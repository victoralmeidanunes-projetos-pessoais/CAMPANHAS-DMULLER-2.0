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B:\Nicolas\Acompanhamentos\JOHNSON\2025.26\Q4\"/>
    </mc:Choice>
  </mc:AlternateContent>
  <xr:revisionPtr revIDLastSave="0" documentId="13_ncr:1_{66338DCD-7F7F-4F46-93A9-5B20DB448963}" xr6:coauthVersionLast="47" xr6:coauthVersionMax="47" xr10:uidLastSave="{00000000-0000-0000-0000-000000000000}"/>
  <bookViews>
    <workbookView xWindow="28680" yWindow="-120" windowWidth="29040" windowHeight="15720" tabRatio="705" firstSheet="1" activeTab="3" xr2:uid="{1E3193F5-9832-4B59-8D54-14EFCF6055F0}"/>
  </bookViews>
  <sheets>
    <sheet name="Mecânica" sheetId="32" state="hidden" r:id="rId1"/>
    <sheet name="Top Contas" sheetId="36" r:id="rId2"/>
    <sheet name="VENCEDORES" sheetId="37" state="hidden" r:id="rId3"/>
    <sheet name="Geral" sheetId="1" r:id="rId4"/>
    <sheet name="Rede" sheetId="10" r:id="rId5"/>
    <sheet name="aux" sheetId="34" state="hidden" r:id="rId6"/>
    <sheet name="Cliente" sheetId="2" r:id="rId7"/>
    <sheet name="Metas" sheetId="20" state="hidden" r:id="rId8"/>
    <sheet name="Top Contas 04.07" sheetId="29" state="hidden" r:id="rId9"/>
    <sheet name="Base" sheetId="21" state="hidden" r:id="rId10"/>
  </sheets>
  <definedNames>
    <definedName name="_xlnm._FilterDatabase" localSheetId="9" hidden="1">Base!$U$2:$W$259</definedName>
    <definedName name="_xlnm._FilterDatabase" localSheetId="6" hidden="1">Cliente!$B$9:$BX$33</definedName>
    <definedName name="_xlnm._FilterDatabase" localSheetId="3" hidden="1">Geral!$B$11:$BP$19</definedName>
    <definedName name="_xlnm._FilterDatabase" localSheetId="4" hidden="1">Rede!$B$9:$CT$23</definedName>
    <definedName name="_xlnm._FilterDatabase" localSheetId="8" hidden="1">'Top Contas 04.07'!$B$1:$L$99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22" i="21" l="1"/>
  <c r="M110" i="21"/>
  <c r="M111" i="21"/>
  <c r="M112" i="21"/>
  <c r="M113" i="21"/>
  <c r="M114" i="21"/>
  <c r="M115" i="21"/>
  <c r="M116" i="21"/>
  <c r="G314" i="21"/>
  <c r="G315" i="21"/>
  <c r="G316" i="21"/>
  <c r="G317" i="21"/>
  <c r="G318" i="21"/>
  <c r="G319" i="21"/>
  <c r="G320" i="21"/>
  <c r="G321" i="21"/>
  <c r="M109" i="21"/>
  <c r="G310" i="21"/>
  <c r="G311" i="21"/>
  <c r="G312" i="21"/>
  <c r="G313" i="21"/>
  <c r="M108" i="21"/>
  <c r="G309" i="21"/>
  <c r="G308" i="21"/>
  <c r="G307" i="21"/>
  <c r="BX107" i="2"/>
  <c r="BX106" i="2"/>
  <c r="BX105" i="2"/>
  <c r="BX104" i="2"/>
  <c r="BX103" i="2"/>
  <c r="BX102" i="2"/>
  <c r="BX101" i="2"/>
  <c r="BX100" i="2"/>
  <c r="BX99" i="2"/>
  <c r="BX98" i="2"/>
  <c r="BX97" i="2"/>
  <c r="BX96" i="2"/>
  <c r="BX95" i="2"/>
  <c r="BX94" i="2"/>
  <c r="BX93" i="2"/>
  <c r="BX92" i="2"/>
  <c r="BX91" i="2"/>
  <c r="BX90" i="2"/>
  <c r="BX89" i="2"/>
  <c r="BX88" i="2"/>
  <c r="BX87" i="2"/>
  <c r="BX86" i="2"/>
  <c r="BX85" i="2"/>
  <c r="BX84" i="2"/>
  <c r="BX83" i="2"/>
  <c r="BX82" i="2"/>
  <c r="BX81" i="2"/>
  <c r="BX80" i="2"/>
  <c r="BX79" i="2"/>
  <c r="BX78" i="2"/>
  <c r="BX77" i="2"/>
  <c r="BX76" i="2"/>
  <c r="BX75" i="2"/>
  <c r="BX74" i="2"/>
  <c r="BX73" i="2"/>
  <c r="BX72" i="2"/>
  <c r="BX71" i="2"/>
  <c r="BX70" i="2"/>
  <c r="BX69" i="2"/>
  <c r="BX68" i="2"/>
  <c r="BX67" i="2"/>
  <c r="BX66" i="2"/>
  <c r="BX65" i="2"/>
  <c r="BX64" i="2"/>
  <c r="BX63" i="2"/>
  <c r="BX62" i="2"/>
  <c r="BX61" i="2"/>
  <c r="BX60" i="2"/>
  <c r="BX59" i="2"/>
  <c r="BX58" i="2"/>
  <c r="BX57" i="2"/>
  <c r="BX56" i="2"/>
  <c r="BX55" i="2"/>
  <c r="BX54" i="2"/>
  <c r="BX53" i="2"/>
  <c r="BX52" i="2"/>
  <c r="BX51" i="2"/>
  <c r="BX50" i="2"/>
  <c r="BX49" i="2"/>
  <c r="BX48" i="2"/>
  <c r="BX47" i="2"/>
  <c r="BX46" i="2"/>
  <c r="BX45" i="2"/>
  <c r="BX44" i="2"/>
  <c r="BX43" i="2"/>
  <c r="BX42" i="2"/>
  <c r="BX41" i="2"/>
  <c r="BX40" i="2"/>
  <c r="BX39" i="2"/>
  <c r="BX38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M107" i="21"/>
  <c r="G306" i="21"/>
  <c r="G305" i="21"/>
  <c r="M106" i="21"/>
  <c r="M105" i="21"/>
  <c r="G304" i="21"/>
  <c r="G303" i="21"/>
  <c r="G302" i="21"/>
  <c r="G301" i="21"/>
  <c r="G300" i="21"/>
  <c r="G299" i="21"/>
  <c r="G298" i="21"/>
  <c r="G297" i="21"/>
  <c r="G296" i="21"/>
  <c r="G295" i="21"/>
  <c r="M104" i="21"/>
  <c r="G294" i="21"/>
  <c r="G293" i="21"/>
  <c r="M103" i="21"/>
  <c r="G292" i="21"/>
  <c r="G291" i="21"/>
  <c r="G290" i="21"/>
  <c r="G289" i="21"/>
  <c r="G288" i="21"/>
  <c r="G287" i="21"/>
  <c r="M102" i="21"/>
  <c r="G283" i="21" l="1"/>
  <c r="G284" i="21"/>
  <c r="G285" i="21"/>
  <c r="G286" i="21"/>
  <c r="M101" i="21" l="1"/>
  <c r="M100" i="21"/>
  <c r="G282" i="21"/>
  <c r="G281" i="21"/>
  <c r="G280" i="21"/>
  <c r="G279" i="21"/>
  <c r="G278" i="21"/>
  <c r="G277" i="21"/>
  <c r="G276" i="21"/>
  <c r="G275" i="21"/>
  <c r="G274" i="21"/>
  <c r="G273" i="21"/>
  <c r="G272" i="21"/>
  <c r="G271" i="21"/>
  <c r="G270" i="21"/>
  <c r="G269" i="21"/>
  <c r="G268" i="21"/>
  <c r="G267" i="21"/>
  <c r="G266" i="21"/>
  <c r="G265" i="21"/>
  <c r="G264" i="21"/>
  <c r="G263" i="21"/>
  <c r="G262" i="21"/>
  <c r="G261" i="21" l="1"/>
  <c r="G260" i="21"/>
  <c r="G259" i="21"/>
  <c r="G258" i="21"/>
  <c r="M99" i="21"/>
  <c r="G257" i="21"/>
  <c r="M98" i="21"/>
  <c r="G256" i="21"/>
  <c r="G255" i="21"/>
  <c r="G254" i="21"/>
  <c r="G253" i="21"/>
  <c r="M97" i="21"/>
  <c r="BQ10" i="2"/>
  <c r="G252" i="21"/>
  <c r="G251" i="21"/>
  <c r="G250" i="21"/>
  <c r="G249" i="21"/>
  <c r="G248" i="21"/>
  <c r="G247" i="21"/>
  <c r="G246" i="21"/>
  <c r="G245" i="21"/>
  <c r="G244" i="21"/>
  <c r="G243" i="21"/>
  <c r="BS23" i="10"/>
  <c r="BS22" i="10"/>
  <c r="BS21" i="10"/>
  <c r="BS20" i="10"/>
  <c r="BS19" i="10"/>
  <c r="BS18" i="10"/>
  <c r="BS17" i="10"/>
  <c r="BS16" i="10"/>
  <c r="BS15" i="10"/>
  <c r="BS14" i="10"/>
  <c r="BS13" i="10"/>
  <c r="BS12" i="10"/>
  <c r="BS11" i="10"/>
  <c r="BS10" i="10"/>
  <c r="M96" i="21"/>
  <c r="G242" i="21"/>
  <c r="G241" i="21"/>
  <c r="M95" i="21"/>
  <c r="G240" i="21"/>
  <c r="M93" i="21"/>
  <c r="M94" i="21"/>
  <c r="G235" i="21"/>
  <c r="G236" i="21"/>
  <c r="G237" i="21"/>
  <c r="G238" i="21"/>
  <c r="G239" i="21"/>
  <c r="M92" i="21"/>
  <c r="M89" i="21"/>
  <c r="M90" i="21"/>
  <c r="M91" i="21"/>
  <c r="G230" i="21"/>
  <c r="G231" i="21"/>
  <c r="G232" i="21"/>
  <c r="G233" i="21"/>
  <c r="G234" i="21"/>
  <c r="M88" i="21"/>
  <c r="G229" i="21"/>
  <c r="G228" i="21"/>
  <c r="M87" i="21"/>
  <c r="M86" i="21"/>
  <c r="G227" i="21"/>
  <c r="G226" i="21"/>
  <c r="G225" i="21"/>
  <c r="G224" i="21"/>
  <c r="G223" i="21"/>
  <c r="G222" i="21"/>
  <c r="G221" i="21"/>
  <c r="G220" i="21"/>
  <c r="G219" i="21"/>
  <c r="G218" i="21"/>
  <c r="G217" i="21"/>
  <c r="G216" i="21"/>
  <c r="G215" i="21"/>
  <c r="G214" i="21"/>
  <c r="M85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M84" i="21"/>
  <c r="G191" i="21"/>
  <c r="G192" i="21"/>
  <c r="G193" i="21"/>
  <c r="G194" i="21"/>
  <c r="G195" i="21"/>
  <c r="G196" i="21"/>
  <c r="G197" i="21"/>
  <c r="G198" i="21"/>
  <c r="G199" i="21"/>
  <c r="G200" i="21"/>
  <c r="M83" i="21"/>
  <c r="G187" i="21"/>
  <c r="G188" i="21"/>
  <c r="G189" i="21"/>
  <c r="G190" i="21"/>
  <c r="G186" i="21"/>
  <c r="G185" i="21"/>
  <c r="G184" i="21"/>
  <c r="M76" i="21"/>
  <c r="M77" i="21"/>
  <c r="M78" i="21"/>
  <c r="M79" i="21"/>
  <c r="M80" i="21"/>
  <c r="M81" i="21"/>
  <c r="M82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65" i="21"/>
  <c r="M75" i="21"/>
  <c r="M74" i="21"/>
  <c r="M73" i="21"/>
  <c r="M72" i="21"/>
  <c r="G164" i="21"/>
  <c r="G163" i="21"/>
  <c r="G162" i="21"/>
  <c r="G161" i="21"/>
  <c r="G160" i="21"/>
  <c r="G159" i="21"/>
  <c r="G158" i="21"/>
  <c r="G157" i="21"/>
  <c r="G156" i="21"/>
  <c r="AX23" i="10"/>
  <c r="AX22" i="10"/>
  <c r="AX21" i="10"/>
  <c r="AX20" i="10"/>
  <c r="AX19" i="10"/>
  <c r="AX18" i="10"/>
  <c r="AX17" i="10"/>
  <c r="AX16" i="10"/>
  <c r="AX15" i="10"/>
  <c r="AX14" i="10"/>
  <c r="AX13" i="10"/>
  <c r="AX12" i="10"/>
  <c r="AX11" i="10"/>
  <c r="AX10" i="10"/>
  <c r="M71" i="21"/>
  <c r="M70" i="21"/>
  <c r="M69" i="21"/>
  <c r="G152" i="21" l="1"/>
  <c r="G153" i="21"/>
  <c r="G154" i="21"/>
  <c r="G155" i="21"/>
  <c r="M65" i="21"/>
  <c r="M66" i="21"/>
  <c r="M67" i="21"/>
  <c r="M68" i="21"/>
  <c r="G145" i="21"/>
  <c r="G146" i="21"/>
  <c r="G147" i="21"/>
  <c r="G148" i="21"/>
  <c r="G149" i="21"/>
  <c r="G150" i="21"/>
  <c r="G151" i="21"/>
  <c r="M62" i="21"/>
  <c r="M63" i="21"/>
  <c r="M64" i="21"/>
  <c r="G144" i="21"/>
  <c r="G143" i="21"/>
  <c r="G142" i="21"/>
  <c r="G141" i="21"/>
  <c r="G140" i="21"/>
  <c r="M61" i="21"/>
  <c r="G139" i="21"/>
  <c r="G138" i="21"/>
  <c r="M60" i="21"/>
  <c r="G137" i="21"/>
  <c r="M59" i="21"/>
  <c r="M58" i="21"/>
  <c r="M57" i="21"/>
  <c r="G130" i="21"/>
  <c r="G131" i="21"/>
  <c r="G132" i="21"/>
  <c r="G133" i="21"/>
  <c r="G134" i="21"/>
  <c r="G135" i="21"/>
  <c r="G136" i="21"/>
  <c r="M56" i="21"/>
  <c r="G129" i="21"/>
  <c r="M55" i="21"/>
  <c r="M54" i="21"/>
  <c r="G128" i="21"/>
  <c r="G127" i="21"/>
  <c r="G126" i="21"/>
  <c r="G125" i="21"/>
  <c r="G124" i="21"/>
  <c r="M53" i="21"/>
  <c r="M52" i="21"/>
  <c r="M51" i="21"/>
  <c r="G121" i="21"/>
  <c r="G122" i="21"/>
  <c r="G123" i="21"/>
  <c r="G120" i="21"/>
  <c r="G119" i="21"/>
  <c r="M50" i="21"/>
  <c r="G118" i="21"/>
  <c r="G117" i="21"/>
  <c r="G116" i="21"/>
  <c r="AM10" i="2"/>
  <c r="G115" i="21"/>
  <c r="G114" i="21"/>
  <c r="G113" i="21"/>
  <c r="G112" i="21"/>
  <c r="G111" i="21"/>
  <c r="G110" i="21"/>
  <c r="G109" i="21"/>
  <c r="G108" i="21"/>
  <c r="G107" i="21"/>
  <c r="M49" i="21"/>
  <c r="M48" i="21"/>
  <c r="G106" i="21"/>
  <c r="G105" i="21"/>
  <c r="G104" i="21"/>
  <c r="M43" i="21"/>
  <c r="M44" i="21"/>
  <c r="M45" i="21"/>
  <c r="M46" i="21"/>
  <c r="M47" i="21"/>
  <c r="G103" i="21"/>
  <c r="G102" i="21"/>
  <c r="G101" i="21"/>
  <c r="G100" i="21"/>
  <c r="G99" i="21"/>
  <c r="G98" i="21"/>
  <c r="G97" i="21"/>
  <c r="M42" i="21"/>
  <c r="G96" i="21"/>
  <c r="G95" i="21"/>
  <c r="G94" i="21"/>
  <c r="G93" i="21"/>
  <c r="G92" i="21"/>
  <c r="G91" i="21"/>
  <c r="G90" i="21"/>
  <c r="G86" i="21"/>
  <c r="G87" i="21"/>
  <c r="G88" i="21"/>
  <c r="G89" i="21"/>
  <c r="AC23" i="10"/>
  <c r="AC22" i="10"/>
  <c r="AC21" i="10"/>
  <c r="AC20" i="10"/>
  <c r="AC19" i="10"/>
  <c r="AC18" i="10"/>
  <c r="AC17" i="10"/>
  <c r="AC16" i="10"/>
  <c r="AC15" i="10"/>
  <c r="AC14" i="10"/>
  <c r="AC13" i="10"/>
  <c r="AC12" i="10"/>
  <c r="AC11" i="10"/>
  <c r="AC10" i="10"/>
  <c r="M41" i="21"/>
  <c r="G85" i="21"/>
  <c r="G84" i="21"/>
  <c r="M40" i="21"/>
  <c r="M39" i="21"/>
  <c r="G83" i="21"/>
  <c r="G82" i="21"/>
  <c r="G81" i="21"/>
  <c r="M38" i="21"/>
  <c r="G80" i="21"/>
  <c r="G79" i="21"/>
  <c r="AM10" i="10" l="1"/>
  <c r="G78" i="21"/>
  <c r="G77" i="21"/>
  <c r="G76" i="21"/>
  <c r="G75" i="21"/>
  <c r="G74" i="21"/>
  <c r="G73" i="21"/>
  <c r="G72" i="21"/>
  <c r="G71" i="21"/>
  <c r="G70" i="21"/>
  <c r="G69" i="21"/>
  <c r="G68" i="21"/>
  <c r="G67" i="21"/>
  <c r="G66" i="21"/>
  <c r="M35" i="21" l="1"/>
  <c r="M36" i="21"/>
  <c r="M37" i="21"/>
  <c r="G58" i="21"/>
  <c r="G59" i="21"/>
  <c r="G60" i="21"/>
  <c r="G61" i="21"/>
  <c r="G62" i="21"/>
  <c r="G63" i="21"/>
  <c r="G64" i="21"/>
  <c r="G65" i="21"/>
  <c r="G57" i="21"/>
  <c r="G56" i="21"/>
  <c r="M31" i="21"/>
  <c r="M32" i="21"/>
  <c r="M33" i="21"/>
  <c r="M34" i="21"/>
  <c r="G51" i="21"/>
  <c r="G52" i="21"/>
  <c r="G53" i="21"/>
  <c r="G54" i="21"/>
  <c r="G55" i="21"/>
  <c r="M30" i="21"/>
  <c r="G50" i="21"/>
  <c r="M29" i="21"/>
  <c r="M28" i="21"/>
  <c r="G49" i="21"/>
  <c r="G48" i="21"/>
  <c r="G47" i="21"/>
  <c r="G46" i="21"/>
  <c r="G45" i="21"/>
  <c r="M27" i="21"/>
  <c r="M26" i="21" l="1"/>
  <c r="M25" i="21"/>
  <c r="G44" i="21"/>
  <c r="G43" i="21"/>
  <c r="G38" i="21"/>
  <c r="G39" i="21"/>
  <c r="G40" i="21"/>
  <c r="G41" i="21"/>
  <c r="G42" i="21"/>
  <c r="M24" i="21"/>
  <c r="M19" i="21" l="1"/>
  <c r="M20" i="21"/>
  <c r="M21" i="21"/>
  <c r="M22" i="21"/>
  <c r="M23" i="21"/>
  <c r="G32" i="21"/>
  <c r="G33" i="21"/>
  <c r="G34" i="21"/>
  <c r="G35" i="21"/>
  <c r="G36" i="21"/>
  <c r="G37" i="21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18" i="21"/>
  <c r="M17" i="21"/>
  <c r="M16" i="21"/>
  <c r="M15" i="21"/>
  <c r="M14" i="21"/>
  <c r="M13" i="21"/>
  <c r="M12" i="21"/>
  <c r="G31" i="21"/>
  <c r="G30" i="21"/>
  <c r="G29" i="21"/>
  <c r="G28" i="21"/>
  <c r="M11" i="21"/>
  <c r="G27" i="21"/>
  <c r="M8" i="21"/>
  <c r="M9" i="21"/>
  <c r="M10" i="21"/>
  <c r="G21" i="21"/>
  <c r="G22" i="21"/>
  <c r="G23" i="21"/>
  <c r="G24" i="21"/>
  <c r="G25" i="21"/>
  <c r="G26" i="21"/>
  <c r="M7" i="21"/>
  <c r="M6" i="21"/>
  <c r="G19" i="21"/>
  <c r="G20" i="21"/>
  <c r="D50" i="36"/>
  <c r="C50" i="36"/>
  <c r="E49" i="36"/>
  <c r="E48" i="36"/>
  <c r="E47" i="36"/>
  <c r="E46" i="36"/>
  <c r="E45" i="36"/>
  <c r="E44" i="36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V16" i="20"/>
  <c r="V15" i="20"/>
  <c r="V14" i="20"/>
  <c r="V13" i="20"/>
  <c r="V12" i="20"/>
  <c r="V11" i="20"/>
  <c r="V10" i="20"/>
  <c r="V9" i="20"/>
  <c r="V8" i="20"/>
  <c r="V7" i="20"/>
  <c r="V6" i="20"/>
  <c r="V5" i="20"/>
  <c r="V4" i="20"/>
  <c r="V3" i="20"/>
  <c r="CK14" i="10"/>
  <c r="CG14" i="10"/>
  <c r="CC14" i="10"/>
  <c r="BP14" i="10"/>
  <c r="BL14" i="10"/>
  <c r="BH14" i="10"/>
  <c r="H23" i="10"/>
  <c r="CN23" i="10" s="1"/>
  <c r="H22" i="10"/>
  <c r="CN22" i="10" s="1"/>
  <c r="H21" i="10"/>
  <c r="CN21" i="10" s="1"/>
  <c r="H20" i="10"/>
  <c r="CN20" i="10" s="1"/>
  <c r="H19" i="10"/>
  <c r="CN19" i="10" s="1"/>
  <c r="H18" i="10"/>
  <c r="CN18" i="10" s="1"/>
  <c r="H17" i="10"/>
  <c r="CN17" i="10" s="1"/>
  <c r="H16" i="10"/>
  <c r="CN16" i="10" s="1"/>
  <c r="H15" i="10"/>
  <c r="CN15" i="10" s="1"/>
  <c r="H14" i="10"/>
  <c r="CN14" i="10" s="1"/>
  <c r="H13" i="10"/>
  <c r="CN13" i="10" s="1"/>
  <c r="H12" i="10"/>
  <c r="CN12" i="10" s="1"/>
  <c r="H11" i="10"/>
  <c r="CN11" i="10" s="1"/>
  <c r="H10" i="10"/>
  <c r="CN10" i="10" s="1"/>
  <c r="BX7" i="2"/>
  <c r="BT7" i="2"/>
  <c r="BP7" i="2"/>
  <c r="BH7" i="2"/>
  <c r="BG7" i="2"/>
  <c r="BC7" i="2"/>
  <c r="AY7" i="2"/>
  <c r="AQ7" i="2"/>
  <c r="AP7" i="2"/>
  <c r="AL7" i="2"/>
  <c r="AH7" i="2"/>
  <c r="Z7" i="2"/>
  <c r="Y7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8" i="2"/>
  <c r="BL49" i="2"/>
  <c r="BL50" i="2"/>
  <c r="BL51" i="2"/>
  <c r="BL52" i="2"/>
  <c r="BL53" i="2"/>
  <c r="BL54" i="2"/>
  <c r="BL55" i="2"/>
  <c r="BL56" i="2"/>
  <c r="BL57" i="2"/>
  <c r="BL58" i="2"/>
  <c r="BL59" i="2"/>
  <c r="BL60" i="2"/>
  <c r="BL61" i="2"/>
  <c r="BL62" i="2"/>
  <c r="BL63" i="2"/>
  <c r="BL64" i="2"/>
  <c r="BL65" i="2"/>
  <c r="BL66" i="2"/>
  <c r="BL67" i="2"/>
  <c r="BL68" i="2"/>
  <c r="BL69" i="2"/>
  <c r="BL70" i="2"/>
  <c r="BL71" i="2"/>
  <c r="BL72" i="2"/>
  <c r="BL73" i="2"/>
  <c r="BL74" i="2"/>
  <c r="BL75" i="2"/>
  <c r="BL76" i="2"/>
  <c r="BL77" i="2"/>
  <c r="BL78" i="2"/>
  <c r="BL79" i="2"/>
  <c r="BL80" i="2"/>
  <c r="BL81" i="2"/>
  <c r="BL82" i="2"/>
  <c r="BL83" i="2"/>
  <c r="BL84" i="2"/>
  <c r="BL85" i="2"/>
  <c r="BL86" i="2"/>
  <c r="BL87" i="2"/>
  <c r="BL88" i="2"/>
  <c r="BL89" i="2"/>
  <c r="BL90" i="2"/>
  <c r="BL91" i="2"/>
  <c r="BL92" i="2"/>
  <c r="BL93" i="2"/>
  <c r="BL94" i="2"/>
  <c r="BL95" i="2"/>
  <c r="BL96" i="2"/>
  <c r="BL97" i="2"/>
  <c r="BL98" i="2"/>
  <c r="BL99" i="2"/>
  <c r="BL100" i="2"/>
  <c r="BL101" i="2"/>
  <c r="BL102" i="2"/>
  <c r="BL103" i="2"/>
  <c r="BL104" i="2"/>
  <c r="BL105" i="2"/>
  <c r="BL106" i="2"/>
  <c r="BL107" i="2"/>
  <c r="BU107" i="2"/>
  <c r="BQ107" i="2"/>
  <c r="BM107" i="2"/>
  <c r="BD107" i="2"/>
  <c r="AZ107" i="2"/>
  <c r="AV107" i="2"/>
  <c r="AU107" i="2"/>
  <c r="AM107" i="2"/>
  <c r="AI107" i="2"/>
  <c r="AE107" i="2"/>
  <c r="AD107" i="2"/>
  <c r="V107" i="2"/>
  <c r="R107" i="2"/>
  <c r="N107" i="2"/>
  <c r="BU106" i="2"/>
  <c r="BQ106" i="2"/>
  <c r="BM106" i="2"/>
  <c r="BD106" i="2"/>
  <c r="AZ106" i="2"/>
  <c r="AV106" i="2"/>
  <c r="AU106" i="2"/>
  <c r="AM106" i="2"/>
  <c r="AI106" i="2"/>
  <c r="AE106" i="2"/>
  <c r="AD106" i="2"/>
  <c r="V106" i="2"/>
  <c r="R106" i="2"/>
  <c r="N106" i="2"/>
  <c r="BU105" i="2"/>
  <c r="BQ105" i="2"/>
  <c r="BM105" i="2"/>
  <c r="AU105" i="2"/>
  <c r="BD105" i="2"/>
  <c r="AZ105" i="2"/>
  <c r="AV105" i="2"/>
  <c r="AR105" i="2" s="1"/>
  <c r="AM105" i="2"/>
  <c r="AI105" i="2"/>
  <c r="AE105" i="2"/>
  <c r="AD105" i="2"/>
  <c r="V105" i="2"/>
  <c r="R105" i="2"/>
  <c r="N105" i="2"/>
  <c r="BU104" i="2"/>
  <c r="BQ104" i="2"/>
  <c r="BM104" i="2"/>
  <c r="AU104" i="2"/>
  <c r="BD104" i="2"/>
  <c r="AZ104" i="2"/>
  <c r="AV104" i="2"/>
  <c r="AM104" i="2"/>
  <c r="AI104" i="2"/>
  <c r="AE104" i="2"/>
  <c r="AD104" i="2"/>
  <c r="V104" i="2"/>
  <c r="R104" i="2"/>
  <c r="N104" i="2"/>
  <c r="BU103" i="2"/>
  <c r="BQ103" i="2"/>
  <c r="BM103" i="2"/>
  <c r="BI103" i="2" s="1"/>
  <c r="AU103" i="2"/>
  <c r="BD103" i="2"/>
  <c r="AZ103" i="2"/>
  <c r="AV103" i="2"/>
  <c r="AM103" i="2"/>
  <c r="AI103" i="2"/>
  <c r="AE103" i="2"/>
  <c r="AD103" i="2"/>
  <c r="V103" i="2"/>
  <c r="R103" i="2"/>
  <c r="N103" i="2"/>
  <c r="J103" i="2" s="1"/>
  <c r="BU102" i="2"/>
  <c r="BQ102" i="2"/>
  <c r="BM102" i="2"/>
  <c r="AU102" i="2"/>
  <c r="BD102" i="2"/>
  <c r="AZ102" i="2"/>
  <c r="AV102" i="2"/>
  <c r="AM102" i="2"/>
  <c r="AI102" i="2"/>
  <c r="AE102" i="2"/>
  <c r="AD102" i="2"/>
  <c r="V102" i="2"/>
  <c r="R102" i="2"/>
  <c r="N102" i="2"/>
  <c r="BU101" i="2"/>
  <c r="BQ101" i="2"/>
  <c r="BM101" i="2"/>
  <c r="AU101" i="2"/>
  <c r="BD101" i="2"/>
  <c r="AZ101" i="2"/>
  <c r="AV101" i="2"/>
  <c r="AM101" i="2"/>
  <c r="AI101" i="2"/>
  <c r="AE101" i="2"/>
  <c r="AD101" i="2"/>
  <c r="V101" i="2"/>
  <c r="R101" i="2"/>
  <c r="N101" i="2"/>
  <c r="BU100" i="2"/>
  <c r="BQ100" i="2"/>
  <c r="BM100" i="2"/>
  <c r="BI100" i="2" s="1"/>
  <c r="BD100" i="2"/>
  <c r="AZ100" i="2"/>
  <c r="AV100" i="2"/>
  <c r="AU100" i="2"/>
  <c r="AM100" i="2"/>
  <c r="AI100" i="2"/>
  <c r="AE100" i="2"/>
  <c r="AD100" i="2"/>
  <c r="V100" i="2"/>
  <c r="R100" i="2"/>
  <c r="N100" i="2"/>
  <c r="BU99" i="2"/>
  <c r="BQ99" i="2"/>
  <c r="BM99" i="2"/>
  <c r="BD99" i="2"/>
  <c r="AZ99" i="2"/>
  <c r="AV99" i="2"/>
  <c r="AU99" i="2"/>
  <c r="AM99" i="2"/>
  <c r="AI99" i="2"/>
  <c r="AE99" i="2"/>
  <c r="AD99" i="2"/>
  <c r="V99" i="2"/>
  <c r="R99" i="2"/>
  <c r="N99" i="2"/>
  <c r="BU98" i="2"/>
  <c r="BQ98" i="2"/>
  <c r="BM98" i="2"/>
  <c r="AU98" i="2"/>
  <c r="BD98" i="2"/>
  <c r="AZ98" i="2"/>
  <c r="AV98" i="2"/>
  <c r="AM98" i="2"/>
  <c r="AI98" i="2"/>
  <c r="AE98" i="2"/>
  <c r="AD98" i="2"/>
  <c r="V98" i="2"/>
  <c r="R98" i="2"/>
  <c r="N98" i="2"/>
  <c r="BU97" i="2"/>
  <c r="BQ97" i="2"/>
  <c r="BM97" i="2"/>
  <c r="AU97" i="2"/>
  <c r="BD97" i="2"/>
  <c r="AZ97" i="2"/>
  <c r="AV97" i="2"/>
  <c r="AM97" i="2"/>
  <c r="AI97" i="2"/>
  <c r="AE97" i="2"/>
  <c r="AD97" i="2"/>
  <c r="V97" i="2"/>
  <c r="R97" i="2"/>
  <c r="N97" i="2"/>
  <c r="BU96" i="2"/>
  <c r="BQ96" i="2"/>
  <c r="BM96" i="2"/>
  <c r="AU96" i="2"/>
  <c r="BD96" i="2"/>
  <c r="AZ96" i="2"/>
  <c r="AV96" i="2"/>
  <c r="AM96" i="2"/>
  <c r="AI96" i="2"/>
  <c r="AE96" i="2"/>
  <c r="AD96" i="2"/>
  <c r="V96" i="2"/>
  <c r="R96" i="2"/>
  <c r="N96" i="2"/>
  <c r="BU95" i="2"/>
  <c r="BQ95" i="2"/>
  <c r="BM95" i="2"/>
  <c r="BD95" i="2"/>
  <c r="AZ95" i="2"/>
  <c r="AV95" i="2"/>
  <c r="AU95" i="2"/>
  <c r="AM95" i="2"/>
  <c r="AI95" i="2"/>
  <c r="AE95" i="2"/>
  <c r="AD95" i="2"/>
  <c r="V95" i="2"/>
  <c r="R95" i="2"/>
  <c r="N95" i="2"/>
  <c r="BU94" i="2"/>
  <c r="BQ94" i="2"/>
  <c r="BM94" i="2"/>
  <c r="BD94" i="2"/>
  <c r="AZ94" i="2"/>
  <c r="AV94" i="2"/>
  <c r="AU94" i="2"/>
  <c r="AM94" i="2"/>
  <c r="AI94" i="2"/>
  <c r="AE94" i="2"/>
  <c r="AD94" i="2"/>
  <c r="V94" i="2"/>
  <c r="R94" i="2"/>
  <c r="N94" i="2"/>
  <c r="BU93" i="2"/>
  <c r="BQ93" i="2"/>
  <c r="BM93" i="2"/>
  <c r="AU93" i="2"/>
  <c r="BD93" i="2"/>
  <c r="AZ93" i="2"/>
  <c r="AV93" i="2"/>
  <c r="AM93" i="2"/>
  <c r="AI93" i="2"/>
  <c r="AE93" i="2"/>
  <c r="AD93" i="2"/>
  <c r="V93" i="2"/>
  <c r="R93" i="2"/>
  <c r="N93" i="2"/>
  <c r="BU92" i="2"/>
  <c r="BQ92" i="2"/>
  <c r="BM92" i="2"/>
  <c r="AU92" i="2"/>
  <c r="BD92" i="2"/>
  <c r="AZ92" i="2"/>
  <c r="AV92" i="2"/>
  <c r="AM92" i="2"/>
  <c r="AI92" i="2"/>
  <c r="AE92" i="2"/>
  <c r="AD92" i="2"/>
  <c r="V92" i="2"/>
  <c r="R92" i="2"/>
  <c r="N92" i="2"/>
  <c r="BU91" i="2"/>
  <c r="BQ91" i="2"/>
  <c r="BM91" i="2"/>
  <c r="AU91" i="2"/>
  <c r="BD91" i="2"/>
  <c r="AZ91" i="2"/>
  <c r="AV91" i="2"/>
  <c r="AM91" i="2"/>
  <c r="AI91" i="2"/>
  <c r="AE91" i="2"/>
  <c r="AD91" i="2"/>
  <c r="V91" i="2"/>
  <c r="R91" i="2"/>
  <c r="N91" i="2"/>
  <c r="BU90" i="2"/>
  <c r="BQ90" i="2"/>
  <c r="BM90" i="2"/>
  <c r="BD90" i="2"/>
  <c r="AZ90" i="2"/>
  <c r="AV90" i="2"/>
  <c r="AU90" i="2"/>
  <c r="AM90" i="2"/>
  <c r="AI90" i="2"/>
  <c r="AE90" i="2"/>
  <c r="AD90" i="2"/>
  <c r="V90" i="2"/>
  <c r="R90" i="2"/>
  <c r="N90" i="2"/>
  <c r="BU89" i="2"/>
  <c r="BI89" i="2" s="1"/>
  <c r="BQ89" i="2"/>
  <c r="BM89" i="2"/>
  <c r="AU89" i="2"/>
  <c r="BD89" i="2"/>
  <c r="AZ89" i="2"/>
  <c r="AV89" i="2"/>
  <c r="AM89" i="2"/>
  <c r="AI89" i="2"/>
  <c r="AE89" i="2"/>
  <c r="AD89" i="2"/>
  <c r="V89" i="2"/>
  <c r="R89" i="2"/>
  <c r="N89" i="2"/>
  <c r="BU88" i="2"/>
  <c r="BQ88" i="2"/>
  <c r="BM88" i="2"/>
  <c r="BD88" i="2"/>
  <c r="AZ88" i="2"/>
  <c r="AV88" i="2"/>
  <c r="AU88" i="2"/>
  <c r="AM88" i="2"/>
  <c r="AI88" i="2"/>
  <c r="AE88" i="2"/>
  <c r="AD88" i="2"/>
  <c r="V88" i="2"/>
  <c r="R88" i="2"/>
  <c r="N88" i="2"/>
  <c r="BU87" i="2"/>
  <c r="BQ87" i="2"/>
  <c r="BM87" i="2"/>
  <c r="BD87" i="2"/>
  <c r="AZ87" i="2"/>
  <c r="AV87" i="2"/>
  <c r="AU87" i="2"/>
  <c r="AM87" i="2"/>
  <c r="AI87" i="2"/>
  <c r="AE87" i="2"/>
  <c r="AD87" i="2"/>
  <c r="V87" i="2"/>
  <c r="R87" i="2"/>
  <c r="N87" i="2"/>
  <c r="BU86" i="2"/>
  <c r="BQ86" i="2"/>
  <c r="BM86" i="2"/>
  <c r="BD86" i="2"/>
  <c r="AZ86" i="2"/>
  <c r="AV86" i="2"/>
  <c r="AU86" i="2"/>
  <c r="AM86" i="2"/>
  <c r="AI86" i="2"/>
  <c r="AE86" i="2"/>
  <c r="AD86" i="2"/>
  <c r="V86" i="2"/>
  <c r="R86" i="2"/>
  <c r="N86" i="2"/>
  <c r="BU85" i="2"/>
  <c r="BQ85" i="2"/>
  <c r="BM85" i="2"/>
  <c r="AU85" i="2"/>
  <c r="BD85" i="2"/>
  <c r="AZ85" i="2"/>
  <c r="AV85" i="2"/>
  <c r="AM85" i="2"/>
  <c r="AI85" i="2"/>
  <c r="AE85" i="2"/>
  <c r="AD85" i="2"/>
  <c r="V85" i="2"/>
  <c r="R85" i="2"/>
  <c r="N85" i="2"/>
  <c r="BU84" i="2"/>
  <c r="BQ84" i="2"/>
  <c r="BM84" i="2"/>
  <c r="BD84" i="2"/>
  <c r="AZ84" i="2"/>
  <c r="AV84" i="2"/>
  <c r="AU84" i="2"/>
  <c r="AM84" i="2"/>
  <c r="AI84" i="2"/>
  <c r="AE84" i="2"/>
  <c r="AD84" i="2"/>
  <c r="V84" i="2"/>
  <c r="R84" i="2"/>
  <c r="N84" i="2"/>
  <c r="BU83" i="2"/>
  <c r="BQ83" i="2"/>
  <c r="BM83" i="2"/>
  <c r="BD83" i="2"/>
  <c r="AZ83" i="2"/>
  <c r="AV83" i="2"/>
  <c r="AU83" i="2"/>
  <c r="AM83" i="2"/>
  <c r="AI83" i="2"/>
  <c r="AE83" i="2"/>
  <c r="AD83" i="2"/>
  <c r="V83" i="2"/>
  <c r="R83" i="2"/>
  <c r="N83" i="2"/>
  <c r="BU82" i="2"/>
  <c r="BQ82" i="2"/>
  <c r="BM82" i="2"/>
  <c r="AU82" i="2"/>
  <c r="BD82" i="2"/>
  <c r="AZ82" i="2"/>
  <c r="AV82" i="2"/>
  <c r="AR82" i="2" s="1"/>
  <c r="AM82" i="2"/>
  <c r="AI82" i="2"/>
  <c r="AE82" i="2"/>
  <c r="AD82" i="2"/>
  <c r="V82" i="2"/>
  <c r="R82" i="2"/>
  <c r="N82" i="2"/>
  <c r="BU81" i="2"/>
  <c r="BQ81" i="2"/>
  <c r="BM81" i="2"/>
  <c r="BD81" i="2"/>
  <c r="AZ81" i="2"/>
  <c r="AV81" i="2"/>
  <c r="AU81" i="2"/>
  <c r="AM81" i="2"/>
  <c r="AI81" i="2"/>
  <c r="AE81" i="2"/>
  <c r="AD81" i="2"/>
  <c r="V81" i="2"/>
  <c r="R81" i="2"/>
  <c r="N81" i="2"/>
  <c r="BU80" i="2"/>
  <c r="BQ80" i="2"/>
  <c r="BM80" i="2"/>
  <c r="BD80" i="2"/>
  <c r="AZ80" i="2"/>
  <c r="AV80" i="2"/>
  <c r="AU80" i="2"/>
  <c r="AM80" i="2"/>
  <c r="AI80" i="2"/>
  <c r="AE80" i="2"/>
  <c r="AD80" i="2"/>
  <c r="V80" i="2"/>
  <c r="R80" i="2"/>
  <c r="N80" i="2"/>
  <c r="BU79" i="2"/>
  <c r="BQ79" i="2"/>
  <c r="BM79" i="2"/>
  <c r="AU79" i="2"/>
  <c r="BD79" i="2"/>
  <c r="AZ79" i="2"/>
  <c r="AV79" i="2"/>
  <c r="AM79" i="2"/>
  <c r="AI79" i="2"/>
  <c r="AE79" i="2"/>
  <c r="AD79" i="2"/>
  <c r="V79" i="2"/>
  <c r="R79" i="2"/>
  <c r="N79" i="2"/>
  <c r="BU78" i="2"/>
  <c r="BQ78" i="2"/>
  <c r="BM78" i="2"/>
  <c r="BD78" i="2"/>
  <c r="AZ78" i="2"/>
  <c r="AV78" i="2"/>
  <c r="AU78" i="2"/>
  <c r="AM78" i="2"/>
  <c r="AI78" i="2"/>
  <c r="AE78" i="2"/>
  <c r="AA78" i="2" s="1"/>
  <c r="AD78" i="2"/>
  <c r="V78" i="2"/>
  <c r="R78" i="2"/>
  <c r="N78" i="2"/>
  <c r="BU77" i="2"/>
  <c r="BQ77" i="2"/>
  <c r="BM77" i="2"/>
  <c r="BI77" i="2" s="1"/>
  <c r="AU77" i="2"/>
  <c r="BD77" i="2"/>
  <c r="AZ77" i="2"/>
  <c r="AV77" i="2"/>
  <c r="AM77" i="2"/>
  <c r="AI77" i="2"/>
  <c r="AE77" i="2"/>
  <c r="AD77" i="2"/>
  <c r="V77" i="2"/>
  <c r="R77" i="2"/>
  <c r="N77" i="2"/>
  <c r="BU76" i="2"/>
  <c r="BQ76" i="2"/>
  <c r="BM76" i="2"/>
  <c r="BI76" i="2" s="1"/>
  <c r="AU76" i="2"/>
  <c r="BD76" i="2"/>
  <c r="AZ76" i="2"/>
  <c r="AV76" i="2"/>
  <c r="AM76" i="2"/>
  <c r="AI76" i="2"/>
  <c r="AE76" i="2"/>
  <c r="AA76" i="2" s="1"/>
  <c r="AD76" i="2"/>
  <c r="V76" i="2"/>
  <c r="R76" i="2"/>
  <c r="N76" i="2"/>
  <c r="BU75" i="2"/>
  <c r="BQ75" i="2"/>
  <c r="BM75" i="2"/>
  <c r="BI75" i="2" s="1"/>
  <c r="BD75" i="2"/>
  <c r="AZ75" i="2"/>
  <c r="AV75" i="2"/>
  <c r="AU75" i="2"/>
  <c r="AM75" i="2"/>
  <c r="AI75" i="2"/>
  <c r="AE75" i="2"/>
  <c r="AD75" i="2"/>
  <c r="V75" i="2"/>
  <c r="R75" i="2"/>
  <c r="N75" i="2"/>
  <c r="J75" i="2" s="1"/>
  <c r="BU74" i="2"/>
  <c r="BQ74" i="2"/>
  <c r="BM74" i="2"/>
  <c r="AU74" i="2"/>
  <c r="BD74" i="2"/>
  <c r="AZ74" i="2"/>
  <c r="AV74" i="2"/>
  <c r="AM74" i="2"/>
  <c r="AI74" i="2"/>
  <c r="AE74" i="2"/>
  <c r="AD74" i="2"/>
  <c r="V74" i="2"/>
  <c r="R74" i="2"/>
  <c r="N74" i="2"/>
  <c r="BU73" i="2"/>
  <c r="BQ73" i="2"/>
  <c r="BM73" i="2"/>
  <c r="AU73" i="2"/>
  <c r="BD73" i="2"/>
  <c r="AZ73" i="2"/>
  <c r="AV73" i="2"/>
  <c r="AM73" i="2"/>
  <c r="AI73" i="2"/>
  <c r="AE73" i="2"/>
  <c r="AD73" i="2"/>
  <c r="V73" i="2"/>
  <c r="R73" i="2"/>
  <c r="N73" i="2"/>
  <c r="BU72" i="2"/>
  <c r="BQ72" i="2"/>
  <c r="BM72" i="2"/>
  <c r="AU72" i="2"/>
  <c r="BD72" i="2"/>
  <c r="AZ72" i="2"/>
  <c r="AV72" i="2"/>
  <c r="AM72" i="2"/>
  <c r="AI72" i="2"/>
  <c r="AE72" i="2"/>
  <c r="AD72" i="2"/>
  <c r="V72" i="2"/>
  <c r="R72" i="2"/>
  <c r="N72" i="2"/>
  <c r="BU71" i="2"/>
  <c r="BQ71" i="2"/>
  <c r="BM71" i="2"/>
  <c r="BD71" i="2"/>
  <c r="AZ71" i="2"/>
  <c r="AV71" i="2"/>
  <c r="AU71" i="2"/>
  <c r="AM71" i="2"/>
  <c r="AI71" i="2"/>
  <c r="AE71" i="2"/>
  <c r="AD71" i="2"/>
  <c r="V71" i="2"/>
  <c r="R71" i="2"/>
  <c r="N71" i="2"/>
  <c r="BU70" i="2"/>
  <c r="BQ70" i="2"/>
  <c r="BM70" i="2"/>
  <c r="AU70" i="2"/>
  <c r="BD70" i="2"/>
  <c r="AZ70" i="2"/>
  <c r="AV70" i="2"/>
  <c r="AM70" i="2"/>
  <c r="AI70" i="2"/>
  <c r="AE70" i="2"/>
  <c r="AD70" i="2"/>
  <c r="V70" i="2"/>
  <c r="R70" i="2"/>
  <c r="N70" i="2"/>
  <c r="BU69" i="2"/>
  <c r="BQ69" i="2"/>
  <c r="BM69" i="2"/>
  <c r="BD69" i="2"/>
  <c r="AZ69" i="2"/>
  <c r="AV69" i="2"/>
  <c r="AU69" i="2"/>
  <c r="AM69" i="2"/>
  <c r="AI69" i="2"/>
  <c r="AE69" i="2"/>
  <c r="AD69" i="2"/>
  <c r="V69" i="2"/>
  <c r="R69" i="2"/>
  <c r="N69" i="2"/>
  <c r="BU68" i="2"/>
  <c r="BQ68" i="2"/>
  <c r="BM68" i="2"/>
  <c r="AU68" i="2"/>
  <c r="BD68" i="2"/>
  <c r="AZ68" i="2"/>
  <c r="AV68" i="2"/>
  <c r="AM68" i="2"/>
  <c r="AI68" i="2"/>
  <c r="AE68" i="2"/>
  <c r="AD68" i="2"/>
  <c r="V68" i="2"/>
  <c r="R68" i="2"/>
  <c r="N68" i="2"/>
  <c r="BU67" i="2"/>
  <c r="BQ67" i="2"/>
  <c r="BM67" i="2"/>
  <c r="BI67" i="2"/>
  <c r="AU67" i="2"/>
  <c r="BD67" i="2"/>
  <c r="AZ67" i="2"/>
  <c r="AV67" i="2"/>
  <c r="AM67" i="2"/>
  <c r="AI67" i="2"/>
  <c r="AE67" i="2"/>
  <c r="AD67" i="2"/>
  <c r="V67" i="2"/>
  <c r="R67" i="2"/>
  <c r="N67" i="2"/>
  <c r="BU66" i="2"/>
  <c r="BQ66" i="2"/>
  <c r="BM66" i="2"/>
  <c r="BD66" i="2"/>
  <c r="AZ66" i="2"/>
  <c r="AV66" i="2"/>
  <c r="AU66" i="2"/>
  <c r="AM66" i="2"/>
  <c r="AI66" i="2"/>
  <c r="AE66" i="2"/>
  <c r="AD66" i="2"/>
  <c r="V66" i="2"/>
  <c r="R66" i="2"/>
  <c r="N66" i="2"/>
  <c r="BU65" i="2"/>
  <c r="BQ65" i="2"/>
  <c r="BM65" i="2"/>
  <c r="BD65" i="2"/>
  <c r="AZ65" i="2"/>
  <c r="AV65" i="2"/>
  <c r="AU65" i="2"/>
  <c r="AM65" i="2"/>
  <c r="AI65" i="2"/>
  <c r="AE65" i="2"/>
  <c r="AD65" i="2"/>
  <c r="V65" i="2"/>
  <c r="R65" i="2"/>
  <c r="N65" i="2"/>
  <c r="BU64" i="2"/>
  <c r="BQ64" i="2"/>
  <c r="BM64" i="2"/>
  <c r="BI64" i="2" s="1"/>
  <c r="BD64" i="2"/>
  <c r="AZ64" i="2"/>
  <c r="AV64" i="2"/>
  <c r="AU64" i="2"/>
  <c r="AM64" i="2"/>
  <c r="AI64" i="2"/>
  <c r="AE64" i="2"/>
  <c r="AD64" i="2"/>
  <c r="V64" i="2"/>
  <c r="R64" i="2"/>
  <c r="N64" i="2"/>
  <c r="BU63" i="2"/>
  <c r="BQ63" i="2"/>
  <c r="BM63" i="2"/>
  <c r="AU63" i="2"/>
  <c r="BD63" i="2"/>
  <c r="AZ63" i="2"/>
  <c r="AV63" i="2"/>
  <c r="AM63" i="2"/>
  <c r="AI63" i="2"/>
  <c r="AE63" i="2"/>
  <c r="AD63" i="2"/>
  <c r="V63" i="2"/>
  <c r="R63" i="2"/>
  <c r="N63" i="2"/>
  <c r="BU62" i="2"/>
  <c r="BQ62" i="2"/>
  <c r="BM62" i="2"/>
  <c r="AU62" i="2"/>
  <c r="BD62" i="2"/>
  <c r="AZ62" i="2"/>
  <c r="AV62" i="2"/>
  <c r="AM62" i="2"/>
  <c r="AI62" i="2"/>
  <c r="AE62" i="2"/>
  <c r="AD62" i="2"/>
  <c r="V62" i="2"/>
  <c r="R62" i="2"/>
  <c r="N62" i="2"/>
  <c r="BU61" i="2"/>
  <c r="BQ61" i="2"/>
  <c r="BM61" i="2"/>
  <c r="AU61" i="2"/>
  <c r="BD61" i="2"/>
  <c r="AZ61" i="2"/>
  <c r="AV61" i="2"/>
  <c r="AR61" i="2"/>
  <c r="AM61" i="2"/>
  <c r="AI61" i="2"/>
  <c r="AE61" i="2"/>
  <c r="AD61" i="2"/>
  <c r="V61" i="2"/>
  <c r="R61" i="2"/>
  <c r="N61" i="2"/>
  <c r="BU60" i="2"/>
  <c r="BQ60" i="2"/>
  <c r="BM60" i="2"/>
  <c r="BI60" i="2"/>
  <c r="BD60" i="2"/>
  <c r="AZ60" i="2"/>
  <c r="AV60" i="2"/>
  <c r="AU60" i="2"/>
  <c r="AM60" i="2"/>
  <c r="AI60" i="2"/>
  <c r="AE60" i="2"/>
  <c r="AD60" i="2"/>
  <c r="V60" i="2"/>
  <c r="R60" i="2"/>
  <c r="N60" i="2"/>
  <c r="BU59" i="2"/>
  <c r="BQ59" i="2"/>
  <c r="BM59" i="2"/>
  <c r="BI59" i="2" s="1"/>
  <c r="BD59" i="2"/>
  <c r="AZ59" i="2"/>
  <c r="AV59" i="2"/>
  <c r="AU59" i="2"/>
  <c r="AM59" i="2"/>
  <c r="AI59" i="2"/>
  <c r="AA59" i="2" s="1"/>
  <c r="AE59" i="2"/>
  <c r="AD59" i="2"/>
  <c r="V59" i="2"/>
  <c r="R59" i="2"/>
  <c r="N59" i="2"/>
  <c r="BU58" i="2"/>
  <c r="BQ58" i="2"/>
  <c r="BM58" i="2"/>
  <c r="BD58" i="2"/>
  <c r="AZ58" i="2"/>
  <c r="AV58" i="2"/>
  <c r="AR58" i="2" s="1"/>
  <c r="AU58" i="2"/>
  <c r="AM58" i="2"/>
  <c r="AI58" i="2"/>
  <c r="AE58" i="2"/>
  <c r="AA58" i="2" s="1"/>
  <c r="AD58" i="2"/>
  <c r="V58" i="2"/>
  <c r="R58" i="2"/>
  <c r="N58" i="2"/>
  <c r="BU57" i="2"/>
  <c r="BQ57" i="2"/>
  <c r="BM57" i="2"/>
  <c r="AU57" i="2"/>
  <c r="BD57" i="2"/>
  <c r="AZ57" i="2"/>
  <c r="AV57" i="2"/>
  <c r="AM57" i="2"/>
  <c r="AI57" i="2"/>
  <c r="AE57" i="2"/>
  <c r="AD57" i="2"/>
  <c r="V57" i="2"/>
  <c r="R57" i="2"/>
  <c r="N57" i="2"/>
  <c r="BU56" i="2"/>
  <c r="BQ56" i="2"/>
  <c r="BM56" i="2"/>
  <c r="BD56" i="2"/>
  <c r="AZ56" i="2"/>
  <c r="AV56" i="2"/>
  <c r="AU56" i="2"/>
  <c r="AM56" i="2"/>
  <c r="AI56" i="2"/>
  <c r="AE56" i="2"/>
  <c r="AD56" i="2"/>
  <c r="V56" i="2"/>
  <c r="R56" i="2"/>
  <c r="N56" i="2"/>
  <c r="BU55" i="2"/>
  <c r="BQ55" i="2"/>
  <c r="BM55" i="2"/>
  <c r="BD55" i="2"/>
  <c r="AZ55" i="2"/>
  <c r="AV55" i="2"/>
  <c r="AU55" i="2"/>
  <c r="AM55" i="2"/>
  <c r="AI55" i="2"/>
  <c r="AE55" i="2"/>
  <c r="AD55" i="2"/>
  <c r="V55" i="2"/>
  <c r="R55" i="2"/>
  <c r="N55" i="2"/>
  <c r="BU54" i="2"/>
  <c r="BQ54" i="2"/>
  <c r="BM54" i="2"/>
  <c r="BD54" i="2"/>
  <c r="AZ54" i="2"/>
  <c r="AV54" i="2"/>
  <c r="AU54" i="2"/>
  <c r="AM54" i="2"/>
  <c r="AI54" i="2"/>
  <c r="AE54" i="2"/>
  <c r="AD54" i="2"/>
  <c r="V54" i="2"/>
  <c r="R54" i="2"/>
  <c r="N54" i="2"/>
  <c r="BU53" i="2"/>
  <c r="BQ53" i="2"/>
  <c r="BM53" i="2"/>
  <c r="AU53" i="2"/>
  <c r="BD53" i="2"/>
  <c r="AZ53" i="2"/>
  <c r="AV53" i="2"/>
  <c r="AM53" i="2"/>
  <c r="AI53" i="2"/>
  <c r="AE53" i="2"/>
  <c r="AD53" i="2"/>
  <c r="V53" i="2"/>
  <c r="R53" i="2"/>
  <c r="N53" i="2"/>
  <c r="BU52" i="2"/>
  <c r="BQ52" i="2"/>
  <c r="BM52" i="2"/>
  <c r="AU52" i="2"/>
  <c r="BD52" i="2"/>
  <c r="AZ52" i="2"/>
  <c r="AV52" i="2"/>
  <c r="AM52" i="2"/>
  <c r="AI52" i="2"/>
  <c r="AE52" i="2"/>
  <c r="AA52" i="2" s="1"/>
  <c r="AD52" i="2"/>
  <c r="V52" i="2"/>
  <c r="R52" i="2"/>
  <c r="N52" i="2"/>
  <c r="BU51" i="2"/>
  <c r="BQ51" i="2"/>
  <c r="BM51" i="2"/>
  <c r="BI51" i="2" s="1"/>
  <c r="BD51" i="2"/>
  <c r="AR51" i="2" s="1"/>
  <c r="AZ51" i="2"/>
  <c r="AV51" i="2"/>
  <c r="AU51" i="2"/>
  <c r="AM51" i="2"/>
  <c r="AI51" i="2"/>
  <c r="AE51" i="2"/>
  <c r="AD51" i="2"/>
  <c r="V51" i="2"/>
  <c r="R51" i="2"/>
  <c r="N51" i="2"/>
  <c r="BU50" i="2"/>
  <c r="BQ50" i="2"/>
  <c r="BM50" i="2"/>
  <c r="AU50" i="2"/>
  <c r="BD50" i="2"/>
  <c r="AZ50" i="2"/>
  <c r="AV50" i="2"/>
  <c r="AR50" i="2" s="1"/>
  <c r="AM50" i="2"/>
  <c r="AI50" i="2"/>
  <c r="AE50" i="2"/>
  <c r="AD50" i="2"/>
  <c r="V50" i="2"/>
  <c r="R50" i="2"/>
  <c r="N50" i="2"/>
  <c r="BU49" i="2"/>
  <c r="BQ49" i="2"/>
  <c r="BM49" i="2"/>
  <c r="AU49" i="2"/>
  <c r="BD49" i="2"/>
  <c r="AZ49" i="2"/>
  <c r="AV49" i="2"/>
  <c r="AM49" i="2"/>
  <c r="AI49" i="2"/>
  <c r="AE49" i="2"/>
  <c r="AA49" i="2" s="1"/>
  <c r="AD49" i="2"/>
  <c r="V49" i="2"/>
  <c r="R49" i="2"/>
  <c r="N49" i="2"/>
  <c r="J49" i="2"/>
  <c r="BU48" i="2"/>
  <c r="BQ48" i="2"/>
  <c r="BM48" i="2"/>
  <c r="BD48" i="2"/>
  <c r="AZ48" i="2"/>
  <c r="AV48" i="2"/>
  <c r="AU48" i="2"/>
  <c r="AM48" i="2"/>
  <c r="AI48" i="2"/>
  <c r="AE48" i="2"/>
  <c r="AD48" i="2"/>
  <c r="V48" i="2"/>
  <c r="R48" i="2"/>
  <c r="N48" i="2"/>
  <c r="BU47" i="2"/>
  <c r="BQ47" i="2"/>
  <c r="BM47" i="2"/>
  <c r="BD47" i="2"/>
  <c r="AZ47" i="2"/>
  <c r="AV47" i="2"/>
  <c r="AU47" i="2"/>
  <c r="AM47" i="2"/>
  <c r="AI47" i="2"/>
  <c r="AE47" i="2"/>
  <c r="AD47" i="2"/>
  <c r="V47" i="2"/>
  <c r="R47" i="2"/>
  <c r="N47" i="2"/>
  <c r="BU46" i="2"/>
  <c r="BQ46" i="2"/>
  <c r="BM46" i="2"/>
  <c r="BD46" i="2"/>
  <c r="AZ46" i="2"/>
  <c r="AV46" i="2"/>
  <c r="AU46" i="2"/>
  <c r="AM46" i="2"/>
  <c r="AI46" i="2"/>
  <c r="AE46" i="2"/>
  <c r="AD46" i="2"/>
  <c r="V46" i="2"/>
  <c r="R46" i="2"/>
  <c r="N46" i="2"/>
  <c r="BU45" i="2"/>
  <c r="BQ45" i="2"/>
  <c r="BM45" i="2"/>
  <c r="AU45" i="2"/>
  <c r="BD45" i="2"/>
  <c r="AZ45" i="2"/>
  <c r="AV45" i="2"/>
  <c r="AM45" i="2"/>
  <c r="AI45" i="2"/>
  <c r="AE45" i="2"/>
  <c r="AA45" i="2" s="1"/>
  <c r="AD45" i="2"/>
  <c r="V45" i="2"/>
  <c r="R45" i="2"/>
  <c r="N45" i="2"/>
  <c r="BU44" i="2"/>
  <c r="BQ44" i="2"/>
  <c r="BM44" i="2"/>
  <c r="BD44" i="2"/>
  <c r="AZ44" i="2"/>
  <c r="AV44" i="2"/>
  <c r="AU44" i="2"/>
  <c r="AM44" i="2"/>
  <c r="AI44" i="2"/>
  <c r="AE44" i="2"/>
  <c r="AD44" i="2"/>
  <c r="V44" i="2"/>
  <c r="R44" i="2"/>
  <c r="N44" i="2"/>
  <c r="BU43" i="2"/>
  <c r="BQ43" i="2"/>
  <c r="BM43" i="2"/>
  <c r="BD43" i="2"/>
  <c r="AZ43" i="2"/>
  <c r="AV43" i="2"/>
  <c r="AU43" i="2"/>
  <c r="AM43" i="2"/>
  <c r="AI43" i="2"/>
  <c r="AE43" i="2"/>
  <c r="AD43" i="2"/>
  <c r="V43" i="2"/>
  <c r="R43" i="2"/>
  <c r="N43" i="2"/>
  <c r="BU42" i="2"/>
  <c r="BQ42" i="2"/>
  <c r="BM42" i="2"/>
  <c r="AU42" i="2"/>
  <c r="BD42" i="2"/>
  <c r="AZ42" i="2"/>
  <c r="AV42" i="2"/>
  <c r="AM42" i="2"/>
  <c r="AA42" i="2" s="1"/>
  <c r="AI42" i="2"/>
  <c r="AE42" i="2"/>
  <c r="AD42" i="2"/>
  <c r="V42" i="2"/>
  <c r="R42" i="2"/>
  <c r="N42" i="2"/>
  <c r="BU41" i="2"/>
  <c r="BQ41" i="2"/>
  <c r="BM41" i="2"/>
  <c r="BD41" i="2"/>
  <c r="AZ41" i="2"/>
  <c r="AV41" i="2"/>
  <c r="AU41" i="2"/>
  <c r="AM41" i="2"/>
  <c r="AI41" i="2"/>
  <c r="AE41" i="2"/>
  <c r="AD41" i="2"/>
  <c r="V41" i="2"/>
  <c r="R41" i="2"/>
  <c r="N41" i="2"/>
  <c r="BU40" i="2"/>
  <c r="BQ40" i="2"/>
  <c r="BM40" i="2"/>
  <c r="BD40" i="2"/>
  <c r="AZ40" i="2"/>
  <c r="AV40" i="2"/>
  <c r="AR40" i="2" s="1"/>
  <c r="AU40" i="2"/>
  <c r="AM40" i="2"/>
  <c r="AI40" i="2"/>
  <c r="AE40" i="2"/>
  <c r="AA40" i="2" s="1"/>
  <c r="AD40" i="2"/>
  <c r="V40" i="2"/>
  <c r="R40" i="2"/>
  <c r="N40" i="2"/>
  <c r="BU39" i="2"/>
  <c r="BQ39" i="2"/>
  <c r="BM39" i="2"/>
  <c r="AU39" i="2"/>
  <c r="BD39" i="2"/>
  <c r="AZ39" i="2"/>
  <c r="AV39" i="2"/>
  <c r="AM39" i="2"/>
  <c r="AI39" i="2"/>
  <c r="AE39" i="2"/>
  <c r="AD39" i="2"/>
  <c r="V39" i="2"/>
  <c r="R39" i="2"/>
  <c r="N39" i="2"/>
  <c r="BU38" i="2"/>
  <c r="BQ38" i="2"/>
  <c r="BM38" i="2"/>
  <c r="BD38" i="2"/>
  <c r="AZ38" i="2"/>
  <c r="AV38" i="2"/>
  <c r="AU38" i="2"/>
  <c r="AM38" i="2"/>
  <c r="AI38" i="2"/>
  <c r="AE38" i="2"/>
  <c r="AD38" i="2"/>
  <c r="V38" i="2"/>
  <c r="R38" i="2"/>
  <c r="N38" i="2"/>
  <c r="BU37" i="2"/>
  <c r="BQ37" i="2"/>
  <c r="BM37" i="2"/>
  <c r="BI37" i="2"/>
  <c r="AU37" i="2"/>
  <c r="BD37" i="2"/>
  <c r="AZ37" i="2"/>
  <c r="AV37" i="2"/>
  <c r="AR37" i="2"/>
  <c r="AM37" i="2"/>
  <c r="AI37" i="2"/>
  <c r="AE37" i="2"/>
  <c r="AD37" i="2"/>
  <c r="V37" i="2"/>
  <c r="R37" i="2"/>
  <c r="N37" i="2"/>
  <c r="BU36" i="2"/>
  <c r="BQ36" i="2"/>
  <c r="BM36" i="2"/>
  <c r="BD36" i="2"/>
  <c r="AZ36" i="2"/>
  <c r="AV36" i="2"/>
  <c r="AU36" i="2"/>
  <c r="AM36" i="2"/>
  <c r="AI36" i="2"/>
  <c r="AE36" i="2"/>
  <c r="AD36" i="2"/>
  <c r="V36" i="2"/>
  <c r="R36" i="2"/>
  <c r="N36" i="2"/>
  <c r="BU35" i="2"/>
  <c r="BQ35" i="2"/>
  <c r="BM35" i="2"/>
  <c r="BD35" i="2"/>
  <c r="AZ35" i="2"/>
  <c r="AV35" i="2"/>
  <c r="AU35" i="2"/>
  <c r="AM35" i="2"/>
  <c r="AI35" i="2"/>
  <c r="AE35" i="2"/>
  <c r="AD35" i="2"/>
  <c r="V35" i="2"/>
  <c r="R35" i="2"/>
  <c r="N35" i="2"/>
  <c r="BU34" i="2"/>
  <c r="BQ34" i="2"/>
  <c r="BM34" i="2"/>
  <c r="AU34" i="2"/>
  <c r="BD34" i="2"/>
  <c r="AZ34" i="2"/>
  <c r="AV34" i="2"/>
  <c r="AM34" i="2"/>
  <c r="AI34" i="2"/>
  <c r="AE34" i="2"/>
  <c r="AD34" i="2"/>
  <c r="V34" i="2"/>
  <c r="R34" i="2"/>
  <c r="N34" i="2"/>
  <c r="C4" i="20"/>
  <c r="D4" i="20"/>
  <c r="E4" i="20"/>
  <c r="F4" i="20"/>
  <c r="G4" i="20"/>
  <c r="H4" i="20"/>
  <c r="I4" i="20"/>
  <c r="J4" i="20"/>
  <c r="K4" i="20"/>
  <c r="L4" i="20"/>
  <c r="M4" i="20"/>
  <c r="N4" i="20"/>
  <c r="C5" i="20"/>
  <c r="D5" i="20"/>
  <c r="E5" i="20"/>
  <c r="F5" i="20"/>
  <c r="G5" i="20"/>
  <c r="H5" i="20"/>
  <c r="I5" i="20"/>
  <c r="J5" i="20"/>
  <c r="K5" i="20"/>
  <c r="L5" i="20"/>
  <c r="M5" i="20"/>
  <c r="N5" i="20"/>
  <c r="C6" i="20"/>
  <c r="D6" i="20"/>
  <c r="E6" i="20"/>
  <c r="F6" i="20"/>
  <c r="G6" i="20"/>
  <c r="H6" i="20"/>
  <c r="I6" i="20"/>
  <c r="J6" i="20"/>
  <c r="K6" i="20"/>
  <c r="L6" i="20"/>
  <c r="M6" i="20"/>
  <c r="N6" i="20"/>
  <c r="C7" i="20"/>
  <c r="D7" i="20"/>
  <c r="E7" i="20"/>
  <c r="F7" i="20"/>
  <c r="G7" i="20"/>
  <c r="H7" i="20"/>
  <c r="I7" i="20"/>
  <c r="J7" i="20"/>
  <c r="K7" i="20"/>
  <c r="L7" i="20"/>
  <c r="M7" i="20"/>
  <c r="N7" i="20"/>
  <c r="C8" i="20"/>
  <c r="D8" i="20"/>
  <c r="E8" i="20"/>
  <c r="F8" i="20"/>
  <c r="G8" i="20"/>
  <c r="H8" i="20"/>
  <c r="I8" i="20"/>
  <c r="J8" i="20"/>
  <c r="K8" i="20"/>
  <c r="L8" i="20"/>
  <c r="M8" i="20"/>
  <c r="N8" i="20"/>
  <c r="C9" i="20"/>
  <c r="D9" i="20"/>
  <c r="E9" i="20"/>
  <c r="F9" i="20"/>
  <c r="G9" i="20"/>
  <c r="H9" i="20"/>
  <c r="I9" i="20"/>
  <c r="J9" i="20"/>
  <c r="K9" i="20"/>
  <c r="L9" i="20"/>
  <c r="M9" i="20"/>
  <c r="N9" i="20"/>
  <c r="C10" i="20"/>
  <c r="D10" i="20"/>
  <c r="E10" i="20"/>
  <c r="F10" i="20"/>
  <c r="G10" i="20"/>
  <c r="H10" i="20"/>
  <c r="I10" i="20"/>
  <c r="J10" i="20"/>
  <c r="K10" i="20"/>
  <c r="L10" i="20"/>
  <c r="M10" i="20"/>
  <c r="N10" i="20"/>
  <c r="C11" i="20"/>
  <c r="D11" i="20"/>
  <c r="E11" i="20"/>
  <c r="F11" i="20"/>
  <c r="G11" i="20"/>
  <c r="H11" i="20"/>
  <c r="I11" i="20"/>
  <c r="J11" i="20"/>
  <c r="K11" i="20"/>
  <c r="L11" i="20"/>
  <c r="M11" i="20"/>
  <c r="N11" i="20"/>
  <c r="C12" i="20"/>
  <c r="D12" i="20"/>
  <c r="E12" i="20"/>
  <c r="F12" i="20"/>
  <c r="G12" i="20"/>
  <c r="H12" i="20"/>
  <c r="I12" i="20"/>
  <c r="J12" i="20"/>
  <c r="K12" i="20"/>
  <c r="L12" i="20"/>
  <c r="M12" i="20"/>
  <c r="N12" i="20"/>
  <c r="C13" i="20"/>
  <c r="D13" i="20"/>
  <c r="E13" i="20"/>
  <c r="F13" i="20"/>
  <c r="G13" i="20"/>
  <c r="H13" i="20"/>
  <c r="I13" i="20"/>
  <c r="J13" i="20"/>
  <c r="K13" i="20"/>
  <c r="L13" i="20"/>
  <c r="M13" i="20"/>
  <c r="N13" i="20"/>
  <c r="C14" i="20"/>
  <c r="D14" i="20"/>
  <c r="E14" i="20"/>
  <c r="F14" i="20"/>
  <c r="G14" i="20"/>
  <c r="H14" i="20"/>
  <c r="I14" i="20"/>
  <c r="J14" i="20"/>
  <c r="K14" i="20"/>
  <c r="L14" i="20"/>
  <c r="M14" i="20"/>
  <c r="N14" i="20"/>
  <c r="C15" i="20"/>
  <c r="D15" i="20"/>
  <c r="E15" i="20"/>
  <c r="F15" i="20"/>
  <c r="G15" i="20"/>
  <c r="H15" i="20"/>
  <c r="I15" i="20"/>
  <c r="J15" i="20"/>
  <c r="K15" i="20"/>
  <c r="L15" i="20"/>
  <c r="M15" i="20"/>
  <c r="N15" i="20"/>
  <c r="C16" i="20"/>
  <c r="D16" i="20"/>
  <c r="E16" i="20"/>
  <c r="F16" i="20"/>
  <c r="G16" i="20"/>
  <c r="H16" i="20"/>
  <c r="I16" i="20"/>
  <c r="J16" i="20"/>
  <c r="K16" i="20"/>
  <c r="L16" i="20"/>
  <c r="M16" i="20"/>
  <c r="N16" i="20"/>
  <c r="N3" i="20"/>
  <c r="M3" i="20"/>
  <c r="L3" i="20"/>
  <c r="K3" i="20"/>
  <c r="J3" i="20"/>
  <c r="I3" i="20"/>
  <c r="H3" i="20"/>
  <c r="G3" i="20"/>
  <c r="F3" i="20"/>
  <c r="E3" i="20"/>
  <c r="D3" i="20"/>
  <c r="C3" i="20"/>
  <c r="BL7" i="2" l="1"/>
  <c r="AR94" i="2"/>
  <c r="AA96" i="2"/>
  <c r="J98" i="2"/>
  <c r="BI99" i="2"/>
  <c r="J105" i="2"/>
  <c r="AR107" i="2"/>
  <c r="BI79" i="2"/>
  <c r="AR87" i="2"/>
  <c r="BI36" i="2"/>
  <c r="BE14" i="10"/>
  <c r="AW14" i="10" s="1"/>
  <c r="BI14" i="10"/>
  <c r="BM14" i="10"/>
  <c r="AA91" i="2"/>
  <c r="BZ14" i="10"/>
  <c r="CD14" i="10"/>
  <c r="BI50" i="2"/>
  <c r="AR62" i="2"/>
  <c r="AR41" i="2"/>
  <c r="CH14" i="10"/>
  <c r="BI45" i="2"/>
  <c r="BI56" i="2"/>
  <c r="BI78" i="2"/>
  <c r="AA99" i="2"/>
  <c r="AR103" i="2"/>
  <c r="AA95" i="2"/>
  <c r="J107" i="2"/>
  <c r="BI91" i="2"/>
  <c r="AA102" i="2"/>
  <c r="BI93" i="2"/>
  <c r="BI105" i="2"/>
  <c r="J42" i="2"/>
  <c r="BI48" i="2"/>
  <c r="AR39" i="2"/>
  <c r="AR67" i="2"/>
  <c r="AR35" i="2"/>
  <c r="AA86" i="2"/>
  <c r="BI95" i="2"/>
  <c r="AR96" i="2"/>
  <c r="AR97" i="2"/>
  <c r="AA93" i="2"/>
  <c r="AA103" i="2"/>
  <c r="BI96" i="2"/>
  <c r="AR98" i="2"/>
  <c r="BI107" i="2"/>
  <c r="AA61" i="2"/>
  <c r="BI86" i="2"/>
  <c r="AA51" i="2"/>
  <c r="J59" i="2"/>
  <c r="AR65" i="2"/>
  <c r="AA67" i="2"/>
  <c r="AA41" i="2"/>
  <c r="BI49" i="2"/>
  <c r="AR73" i="2"/>
  <c r="AR79" i="2"/>
  <c r="BI82" i="2"/>
  <c r="J55" i="2"/>
  <c r="J77" i="2"/>
  <c r="AA92" i="2"/>
  <c r="BI39" i="2"/>
  <c r="AR36" i="2"/>
  <c r="AA54" i="2"/>
  <c r="BI61" i="2"/>
  <c r="AR63" i="2"/>
  <c r="J89" i="2"/>
  <c r="J40" i="2"/>
  <c r="BI41" i="2"/>
  <c r="AR42" i="2"/>
  <c r="AR48" i="2"/>
  <c r="J61" i="2"/>
  <c r="AR69" i="2"/>
  <c r="AA71" i="2"/>
  <c r="BI85" i="2"/>
  <c r="AR86" i="2"/>
  <c r="BI46" i="2"/>
  <c r="AA50" i="2"/>
  <c r="BI52" i="2"/>
  <c r="AR70" i="2"/>
  <c r="AR76" i="2"/>
  <c r="J85" i="2"/>
  <c r="AA89" i="2"/>
  <c r="J101" i="2"/>
  <c r="U7" i="2"/>
  <c r="R10" i="10"/>
  <c r="Q7" i="2"/>
  <c r="E50" i="36"/>
  <c r="BU14" i="10"/>
  <c r="BA14" i="10"/>
  <c r="AA47" i="2"/>
  <c r="AA36" i="2"/>
  <c r="AA68" i="2"/>
  <c r="AA55" i="2"/>
  <c r="AA70" i="2"/>
  <c r="AA73" i="2"/>
  <c r="AA77" i="2"/>
  <c r="AA105" i="2"/>
  <c r="AA107" i="2"/>
  <c r="AA85" i="2"/>
  <c r="AA87" i="2"/>
  <c r="AA48" i="2"/>
  <c r="AA80" i="2"/>
  <c r="AA97" i="2"/>
  <c r="AA46" i="2"/>
  <c r="AA35" i="2"/>
  <c r="AA34" i="2"/>
  <c r="AA37" i="2"/>
  <c r="AA39" i="2"/>
  <c r="AA43" i="2"/>
  <c r="AA38" i="2"/>
  <c r="AA64" i="2"/>
  <c r="AA63" i="2"/>
  <c r="AA82" i="2"/>
  <c r="AA56" i="2"/>
  <c r="AA74" i="2"/>
  <c r="AA98" i="2"/>
  <c r="AA100" i="2"/>
  <c r="AA72" i="2"/>
  <c r="AA75" i="2"/>
  <c r="AA106" i="2"/>
  <c r="AA53" i="2"/>
  <c r="AA60" i="2"/>
  <c r="AA66" i="2"/>
  <c r="AA79" i="2"/>
  <c r="AA84" i="2"/>
  <c r="AA101" i="2"/>
  <c r="AR66" i="2"/>
  <c r="AR81" i="2"/>
  <c r="BI63" i="2"/>
  <c r="BI87" i="2"/>
  <c r="AR92" i="2"/>
  <c r="BI94" i="2"/>
  <c r="AR59" i="2"/>
  <c r="BI68" i="2"/>
  <c r="AR75" i="2"/>
  <c r="BI83" i="2"/>
  <c r="AR89" i="2"/>
  <c r="AR100" i="2"/>
  <c r="AR102" i="2"/>
  <c r="BI102" i="2"/>
  <c r="AR68" i="2"/>
  <c r="BI70" i="2"/>
  <c r="AR71" i="2"/>
  <c r="AR83" i="2"/>
  <c r="AR80" i="2"/>
  <c r="BI84" i="2"/>
  <c r="AR91" i="2"/>
  <c r="AR93" i="2"/>
  <c r="AR95" i="2"/>
  <c r="BI97" i="2"/>
  <c r="BI104" i="2"/>
  <c r="AR49" i="2"/>
  <c r="AR54" i="2"/>
  <c r="BI57" i="2"/>
  <c r="BI74" i="2"/>
  <c r="BI88" i="2"/>
  <c r="BI98" i="2"/>
  <c r="AR106" i="2"/>
  <c r="AR45" i="2"/>
  <c r="AR34" i="2"/>
  <c r="AR43" i="2"/>
  <c r="BI44" i="2"/>
  <c r="BI43" i="2"/>
  <c r="BI35" i="2"/>
  <c r="BI38" i="2"/>
  <c r="AR46" i="2"/>
  <c r="AR57" i="2"/>
  <c r="BI58" i="2"/>
  <c r="AR60" i="2"/>
  <c r="BI72" i="2"/>
  <c r="AR74" i="2"/>
  <c r="AR85" i="2"/>
  <c r="AR99" i="2"/>
  <c r="BI34" i="2"/>
  <c r="AR38" i="2"/>
  <c r="AR44" i="2"/>
  <c r="BI47" i="2"/>
  <c r="BI53" i="2"/>
  <c r="BI55" i="2"/>
  <c r="BI69" i="2"/>
  <c r="AR72" i="2"/>
  <c r="BI73" i="2"/>
  <c r="BI81" i="2"/>
  <c r="AR84" i="2"/>
  <c r="AR104" i="2"/>
  <c r="AR53" i="2"/>
  <c r="AR55" i="2"/>
  <c r="AR90" i="2"/>
  <c r="BI92" i="2"/>
  <c r="BI106" i="2"/>
  <c r="J95" i="2"/>
  <c r="J39" i="2"/>
  <c r="J92" i="2"/>
  <c r="J94" i="2"/>
  <c r="J37" i="2"/>
  <c r="J48" i="2"/>
  <c r="J70" i="2"/>
  <c r="J78" i="2"/>
  <c r="J82" i="2"/>
  <c r="J52" i="2"/>
  <c r="J71" i="2"/>
  <c r="J34" i="2"/>
  <c r="J100" i="2"/>
  <c r="J54" i="2"/>
  <c r="J79" i="2"/>
  <c r="J35" i="2"/>
  <c r="J51" i="2"/>
  <c r="J63" i="2"/>
  <c r="J91" i="2"/>
  <c r="J93" i="2"/>
  <c r="J96" i="2"/>
  <c r="J41" i="2"/>
  <c r="J47" i="2"/>
  <c r="J86" i="2"/>
  <c r="J102" i="2"/>
  <c r="J45" i="2"/>
  <c r="J43" i="2"/>
  <c r="J65" i="2"/>
  <c r="J106" i="2"/>
  <c r="J97" i="2"/>
  <c r="J73" i="2"/>
  <c r="J58" i="2"/>
  <c r="J60" i="2"/>
  <c r="J46" i="2"/>
  <c r="J56" i="2"/>
  <c r="J87" i="2"/>
  <c r="J104" i="2"/>
  <c r="J36" i="2"/>
  <c r="J84" i="2"/>
  <c r="J44" i="2"/>
  <c r="J76" i="2"/>
  <c r="J80" i="2"/>
  <c r="J83" i="2"/>
  <c r="J90" i="2"/>
  <c r="J66" i="2"/>
  <c r="J69" i="2"/>
  <c r="J67" i="2"/>
  <c r="J88" i="2"/>
  <c r="J64" i="2"/>
  <c r="BI40" i="2"/>
  <c r="AR56" i="2"/>
  <c r="AA62" i="2"/>
  <c r="BI62" i="2"/>
  <c r="AA81" i="2"/>
  <c r="J50" i="2"/>
  <c r="J81" i="2"/>
  <c r="AA83" i="2"/>
  <c r="AA90" i="2"/>
  <c r="AR78" i="2"/>
  <c r="BI80" i="2"/>
  <c r="AR52" i="2"/>
  <c r="AA65" i="2"/>
  <c r="J53" i="2"/>
  <c r="BI66" i="2"/>
  <c r="AA69" i="2"/>
  <c r="AA44" i="2"/>
  <c r="BI54" i="2"/>
  <c r="AA57" i="2"/>
  <c r="J72" i="2"/>
  <c r="BI65" i="2"/>
  <c r="AR77" i="2"/>
  <c r="AR47" i="2"/>
  <c r="J57" i="2"/>
  <c r="J68" i="2"/>
  <c r="BI71" i="2"/>
  <c r="AA88" i="2"/>
  <c r="AR88" i="2"/>
  <c r="BI42" i="2"/>
  <c r="AR64" i="2"/>
  <c r="AA94" i="2"/>
  <c r="AR101" i="2"/>
  <c r="BI101" i="2"/>
  <c r="J74" i="2"/>
  <c r="J62" i="2"/>
  <c r="BI90" i="2"/>
  <c r="J99" i="2"/>
  <c r="AA104" i="2"/>
  <c r="J38" i="2"/>
  <c r="V10" i="10"/>
  <c r="Z10" i="10"/>
  <c r="AQ10" i="10"/>
  <c r="AU10" i="10"/>
  <c r="BR14" i="10" l="1"/>
  <c r="K10" i="10"/>
  <c r="AF10" i="10"/>
  <c r="D42" i="32"/>
  <c r="E41" i="32"/>
  <c r="E40" i="32"/>
  <c r="C39" i="32"/>
  <c r="E39" i="32" s="1"/>
  <c r="C38" i="32"/>
  <c r="C42" i="32" s="1"/>
  <c r="E42" i="32" s="1"/>
  <c r="E37" i="32"/>
  <c r="E36" i="32"/>
  <c r="E38" i="32" l="1"/>
  <c r="AU22" i="2"/>
  <c r="AD22" i="2"/>
  <c r="M22" i="2"/>
  <c r="Q17" i="20" l="1"/>
  <c r="R17" i="20"/>
  <c r="S17" i="20"/>
  <c r="T17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3" i="20"/>
  <c r="CK23" i="10" l="1"/>
  <c r="CK22" i="10"/>
  <c r="CK21" i="10"/>
  <c r="CK20" i="10"/>
  <c r="CK19" i="10"/>
  <c r="CK18" i="10"/>
  <c r="CK17" i="10"/>
  <c r="CK16" i="10"/>
  <c r="CK15" i="10"/>
  <c r="CK13" i="10"/>
  <c r="CK12" i="10"/>
  <c r="CK11" i="10"/>
  <c r="CK10" i="10"/>
  <c r="CG23" i="10"/>
  <c r="CG22" i="10"/>
  <c r="CG21" i="10"/>
  <c r="CG20" i="10"/>
  <c r="CG19" i="10"/>
  <c r="CG18" i="10"/>
  <c r="CG17" i="10"/>
  <c r="CG16" i="10"/>
  <c r="CG15" i="10"/>
  <c r="CG13" i="10"/>
  <c r="CG12" i="10"/>
  <c r="CG11" i="10"/>
  <c r="CG10" i="10"/>
  <c r="CC23" i="10"/>
  <c r="CC22" i="10"/>
  <c r="CC21" i="10"/>
  <c r="CC20" i="10"/>
  <c r="CC19" i="10"/>
  <c r="CC18" i="10"/>
  <c r="CC17" i="10"/>
  <c r="CC16" i="10"/>
  <c r="CC15" i="10"/>
  <c r="CC13" i="10"/>
  <c r="CC12" i="10"/>
  <c r="CC11" i="10"/>
  <c r="CC10" i="10"/>
  <c r="BP23" i="10"/>
  <c r="BP22" i="10"/>
  <c r="BP21" i="10"/>
  <c r="BP20" i="10"/>
  <c r="BP19" i="10"/>
  <c r="BP18" i="10"/>
  <c r="BP17" i="10"/>
  <c r="BP16" i="10"/>
  <c r="BP15" i="10"/>
  <c r="BP13" i="10"/>
  <c r="BP12" i="10"/>
  <c r="BP11" i="10"/>
  <c r="BP10" i="10"/>
  <c r="BL23" i="10"/>
  <c r="BL22" i="10"/>
  <c r="BL21" i="10"/>
  <c r="BL20" i="10"/>
  <c r="BL19" i="10"/>
  <c r="BL18" i="10"/>
  <c r="BL17" i="10"/>
  <c r="BL16" i="10"/>
  <c r="BL15" i="10"/>
  <c r="BL13" i="10"/>
  <c r="BL12" i="10"/>
  <c r="BL11" i="10"/>
  <c r="BL10" i="10"/>
  <c r="BH23" i="10"/>
  <c r="BH22" i="10"/>
  <c r="BH21" i="10"/>
  <c r="BH20" i="10"/>
  <c r="BH19" i="10"/>
  <c r="BH18" i="10"/>
  <c r="BH17" i="10"/>
  <c r="BH16" i="10"/>
  <c r="BH15" i="10"/>
  <c r="BH13" i="10"/>
  <c r="BH12" i="10"/>
  <c r="BH11" i="10"/>
  <c r="BH10" i="10"/>
  <c r="BA16" i="10" l="1"/>
  <c r="BA11" i="10"/>
  <c r="BA12" i="10"/>
  <c r="BA17" i="10"/>
  <c r="BA18" i="10"/>
  <c r="BA19" i="10"/>
  <c r="BA13" i="10"/>
  <c r="BA15" i="10"/>
  <c r="BA20" i="10"/>
  <c r="BA21" i="10"/>
  <c r="BA22" i="10"/>
  <c r="BA10" i="10"/>
  <c r="BA23" i="10"/>
  <c r="BV10" i="10"/>
  <c r="AU14" i="10"/>
  <c r="AU23" i="10"/>
  <c r="AU22" i="10"/>
  <c r="AU21" i="10"/>
  <c r="AU20" i="10"/>
  <c r="AU19" i="10"/>
  <c r="AU18" i="10"/>
  <c r="AU17" i="10"/>
  <c r="AU16" i="10"/>
  <c r="AU15" i="10"/>
  <c r="AU13" i="10"/>
  <c r="AU12" i="10"/>
  <c r="AU11" i="10"/>
  <c r="AQ23" i="10"/>
  <c r="AQ22" i="10"/>
  <c r="AQ21" i="10"/>
  <c r="AQ20" i="10"/>
  <c r="AQ19" i="10"/>
  <c r="AQ18" i="10"/>
  <c r="AQ17" i="10"/>
  <c r="AQ16" i="10"/>
  <c r="AQ15" i="10"/>
  <c r="AQ14" i="10"/>
  <c r="AQ13" i="10"/>
  <c r="AQ12" i="10"/>
  <c r="AQ11" i="10"/>
  <c r="AM23" i="10"/>
  <c r="AM22" i="10"/>
  <c r="AM21" i="10"/>
  <c r="AM20" i="10"/>
  <c r="AM19" i="10"/>
  <c r="AM18" i="10"/>
  <c r="AM17" i="10"/>
  <c r="AM16" i="10"/>
  <c r="AM15" i="10"/>
  <c r="AM14" i="10"/>
  <c r="AM13" i="10"/>
  <c r="AM12" i="10"/>
  <c r="AM11" i="10"/>
  <c r="Z23" i="10" l="1"/>
  <c r="Z22" i="10"/>
  <c r="Z21" i="10"/>
  <c r="Z20" i="10"/>
  <c r="Z19" i="10"/>
  <c r="Z18" i="10"/>
  <c r="Z17" i="10"/>
  <c r="Z16" i="10"/>
  <c r="Z15" i="10"/>
  <c r="Z14" i="10"/>
  <c r="Z13" i="10"/>
  <c r="Z12" i="10"/>
  <c r="Z11" i="10"/>
  <c r="V23" i="10" l="1"/>
  <c r="V22" i="10"/>
  <c r="V21" i="10"/>
  <c r="V20" i="10"/>
  <c r="V19" i="10"/>
  <c r="V18" i="10"/>
  <c r="V17" i="10"/>
  <c r="V16" i="10"/>
  <c r="V15" i="10"/>
  <c r="V14" i="10"/>
  <c r="V13" i="10"/>
  <c r="V12" i="10"/>
  <c r="V11" i="10"/>
  <c r="AD10" i="2" l="1"/>
  <c r="AU10" i="2"/>
  <c r="AF23" i="10"/>
  <c r="BU23" i="10"/>
  <c r="M11" i="2"/>
  <c r="AD11" i="2"/>
  <c r="AU11" i="2"/>
  <c r="M12" i="2"/>
  <c r="AD12" i="2"/>
  <c r="AU12" i="2"/>
  <c r="M13" i="2"/>
  <c r="AD13" i="2"/>
  <c r="AU13" i="2"/>
  <c r="M14" i="2"/>
  <c r="AD14" i="2"/>
  <c r="AU14" i="2"/>
  <c r="M15" i="2"/>
  <c r="AD15" i="2"/>
  <c r="AU15" i="2"/>
  <c r="M16" i="2"/>
  <c r="AD16" i="2"/>
  <c r="AU16" i="2"/>
  <c r="M17" i="2"/>
  <c r="AD17" i="2"/>
  <c r="AU17" i="2"/>
  <c r="M18" i="2"/>
  <c r="AD18" i="2"/>
  <c r="AU18" i="2"/>
  <c r="M19" i="2"/>
  <c r="AD19" i="2"/>
  <c r="AU19" i="2"/>
  <c r="M20" i="2"/>
  <c r="AD20" i="2"/>
  <c r="AU20" i="2"/>
  <c r="M21" i="2"/>
  <c r="AD21" i="2"/>
  <c r="AU21" i="2"/>
  <c r="AD23" i="2"/>
  <c r="AU23" i="2"/>
  <c r="M24" i="2"/>
  <c r="AD24" i="2"/>
  <c r="AU24" i="2"/>
  <c r="M25" i="2"/>
  <c r="AD25" i="2"/>
  <c r="AU25" i="2"/>
  <c r="M26" i="2"/>
  <c r="AD26" i="2"/>
  <c r="AU26" i="2"/>
  <c r="M27" i="2"/>
  <c r="AD27" i="2"/>
  <c r="AU27" i="2"/>
  <c r="M28" i="2"/>
  <c r="AD28" i="2"/>
  <c r="AU28" i="2"/>
  <c r="M29" i="2"/>
  <c r="AD29" i="2"/>
  <c r="AU29" i="2"/>
  <c r="M30" i="2"/>
  <c r="AD30" i="2"/>
  <c r="AU30" i="2"/>
  <c r="M31" i="2"/>
  <c r="AD31" i="2"/>
  <c r="AU31" i="2"/>
  <c r="M32" i="2"/>
  <c r="AD32" i="2"/>
  <c r="AU32" i="2"/>
  <c r="AD33" i="2"/>
  <c r="AU33" i="2"/>
  <c r="R13" i="10"/>
  <c r="K13" i="10" s="1"/>
  <c r="R16" i="10"/>
  <c r="K16" i="10" s="1"/>
  <c r="AU7" i="2" l="1"/>
  <c r="AD7" i="2"/>
  <c r="R22" i="10"/>
  <c r="K22" i="10" s="1"/>
  <c r="R14" i="10"/>
  <c r="K14" i="10" s="1"/>
  <c r="M33" i="2"/>
  <c r="R12" i="10"/>
  <c r="K12" i="10" s="1"/>
  <c r="R21" i="10"/>
  <c r="K21" i="10" s="1"/>
  <c r="R15" i="10"/>
  <c r="K15" i="10" s="1"/>
  <c r="R23" i="10"/>
  <c r="K23" i="10" s="1"/>
  <c r="R17" i="10"/>
  <c r="K17" i="10" s="1"/>
  <c r="R19" i="10"/>
  <c r="K19" i="10" s="1"/>
  <c r="R20" i="10"/>
  <c r="K20" i="10" s="1"/>
  <c r="R18" i="10"/>
  <c r="K18" i="10" s="1"/>
  <c r="M10" i="2"/>
  <c r="M23" i="2"/>
  <c r="R11" i="10"/>
  <c r="K11" i="10" s="1"/>
  <c r="M7" i="2" l="1"/>
  <c r="K5" i="1"/>
  <c r="CQ10" i="10"/>
  <c r="F18" i="1" l="1"/>
  <c r="D17" i="20"/>
  <c r="E17" i="20"/>
  <c r="F17" i="20"/>
  <c r="G17" i="20"/>
  <c r="H17" i="20"/>
  <c r="I17" i="20"/>
  <c r="J17" i="20"/>
  <c r="K17" i="20"/>
  <c r="L17" i="20"/>
  <c r="M17" i="20"/>
  <c r="N17" i="20"/>
  <c r="O17" i="20"/>
  <c r="C17" i="20"/>
  <c r="F17" i="1" l="1"/>
  <c r="F12" i="1" l="1"/>
  <c r="F13" i="1"/>
  <c r="F5" i="1" s="1"/>
  <c r="F14" i="1"/>
  <c r="F15" i="1"/>
  <c r="F16" i="1"/>
  <c r="F19" i="1"/>
  <c r="F20" i="1" l="1"/>
  <c r="F6" i="1"/>
  <c r="H7" i="10" l="1"/>
  <c r="H18" i="1"/>
  <c r="BS18" i="1"/>
  <c r="BS7" i="10"/>
  <c r="H12" i="1"/>
  <c r="H5" i="1"/>
  <c r="AC12" i="1"/>
  <c r="BS12" i="1"/>
  <c r="BS5" i="1"/>
  <c r="AX12" i="1"/>
  <c r="H16" i="1"/>
  <c r="H15" i="1"/>
  <c r="H17" i="1"/>
  <c r="BS15" i="1"/>
  <c r="BS17" i="1"/>
  <c r="BS6" i="1"/>
  <c r="H6" i="1"/>
  <c r="BS19" i="1"/>
  <c r="BS14" i="1"/>
  <c r="H14" i="1"/>
  <c r="H13" i="1"/>
  <c r="BS13" i="1"/>
  <c r="BS16" i="1"/>
  <c r="F7" i="1"/>
  <c r="CN12" i="1" l="1"/>
  <c r="BS7" i="1"/>
  <c r="M5" i="21" l="1"/>
  <c r="M4" i="21"/>
  <c r="BS107" i="2" l="1"/>
  <c r="AO107" i="2"/>
  <c r="AX106" i="2"/>
  <c r="T106" i="2"/>
  <c r="BF105" i="2"/>
  <c r="AK104" i="2"/>
  <c r="AX103" i="2"/>
  <c r="BF102" i="2"/>
  <c r="BO101" i="2"/>
  <c r="BB99" i="2"/>
  <c r="X99" i="2"/>
  <c r="AG98" i="2"/>
  <c r="AO97" i="2"/>
  <c r="T96" i="2"/>
  <c r="BO94" i="2"/>
  <c r="AO93" i="2"/>
  <c r="T92" i="2"/>
  <c r="BF91" i="2"/>
  <c r="AK90" i="2"/>
  <c r="BW89" i="2"/>
  <c r="AX89" i="2"/>
  <c r="BB88" i="2"/>
  <c r="X88" i="2"/>
  <c r="AG87" i="2"/>
  <c r="BS86" i="2"/>
  <c r="AX85" i="2"/>
  <c r="BB84" i="2"/>
  <c r="X84" i="2"/>
  <c r="AG83" i="2"/>
  <c r="BS82" i="2"/>
  <c r="AX81" i="2"/>
  <c r="T81" i="2"/>
  <c r="BO79" i="2"/>
  <c r="AK79" i="2"/>
  <c r="BW78" i="2"/>
  <c r="BB77" i="2"/>
  <c r="AK75" i="2"/>
  <c r="BW74" i="2"/>
  <c r="BB73" i="2"/>
  <c r="AK71" i="2"/>
  <c r="BW70" i="2"/>
  <c r="BB65" i="2"/>
  <c r="X65" i="2"/>
  <c r="AG64" i="2"/>
  <c r="BS63" i="2"/>
  <c r="AX62" i="2"/>
  <c r="BO60" i="2"/>
  <c r="AX59" i="2"/>
  <c r="BF58" i="2"/>
  <c r="BS57" i="2"/>
  <c r="BB55" i="2"/>
  <c r="X55" i="2"/>
  <c r="AG54" i="2"/>
  <c r="AO53" i="2"/>
  <c r="T52" i="2"/>
  <c r="AK50" i="2"/>
  <c r="BW49" i="2"/>
  <c r="BB48" i="2"/>
  <c r="X48" i="2"/>
  <c r="AG47" i="2"/>
  <c r="BO104" i="2"/>
  <c r="BW103" i="2"/>
  <c r="X102" i="2"/>
  <c r="AG101" i="2"/>
  <c r="BS100" i="2"/>
  <c r="AO100" i="2"/>
  <c r="BS97" i="2"/>
  <c r="AX96" i="2"/>
  <c r="BB95" i="2"/>
  <c r="X95" i="2"/>
  <c r="AG94" i="2"/>
  <c r="BS93" i="2"/>
  <c r="AX92" i="2"/>
  <c r="BO90" i="2"/>
  <c r="BF87" i="2"/>
  <c r="AK86" i="2"/>
  <c r="BW85" i="2"/>
  <c r="BF83" i="2"/>
  <c r="AK82" i="2"/>
  <c r="BB80" i="2"/>
  <c r="X80" i="2"/>
  <c r="AO78" i="2"/>
  <c r="T77" i="2"/>
  <c r="BF76" i="2"/>
  <c r="BO75" i="2"/>
  <c r="AO74" i="2"/>
  <c r="T73" i="2"/>
  <c r="BF72" i="2"/>
  <c r="BO71" i="2"/>
  <c r="AO70" i="2"/>
  <c r="AX69" i="2"/>
  <c r="T69" i="2"/>
  <c r="BF68" i="2"/>
  <c r="BO67" i="2"/>
  <c r="AK67" i="2"/>
  <c r="BW66" i="2"/>
  <c r="BF64" i="2"/>
  <c r="AK63" i="2"/>
  <c r="BW62" i="2"/>
  <c r="BB61" i="2"/>
  <c r="X61" i="2"/>
  <c r="AK60" i="2"/>
  <c r="T59" i="2"/>
  <c r="AK57" i="2"/>
  <c r="BW56" i="2"/>
  <c r="BF54" i="2"/>
  <c r="BS53" i="2"/>
  <c r="AX52" i="2"/>
  <c r="BB51" i="2"/>
  <c r="BO50" i="2"/>
  <c r="AO49" i="2"/>
  <c r="BF47" i="2"/>
  <c r="AK46" i="2"/>
  <c r="BW45" i="2"/>
  <c r="BF43" i="2"/>
  <c r="AK42" i="2"/>
  <c r="AX41" i="2"/>
  <c r="BF40" i="2"/>
  <c r="BO107" i="2"/>
  <c r="AK107" i="2"/>
  <c r="BW106" i="2"/>
  <c r="BB105" i="2"/>
  <c r="X105" i="2"/>
  <c r="AG104" i="2"/>
  <c r="AO103" i="2"/>
  <c r="BB102" i="2"/>
  <c r="AX99" i="2"/>
  <c r="T99" i="2"/>
  <c r="BF98" i="2"/>
  <c r="AK97" i="2"/>
  <c r="BW96" i="2"/>
  <c r="BF94" i="2"/>
  <c r="AK93" i="2"/>
  <c r="BW92" i="2"/>
  <c r="BB91" i="2"/>
  <c r="X91" i="2"/>
  <c r="AG90" i="2"/>
  <c r="BS89" i="2"/>
  <c r="AO89" i="2"/>
  <c r="AX88" i="2"/>
  <c r="T88" i="2"/>
  <c r="BO86" i="2"/>
  <c r="AO85" i="2"/>
  <c r="AX84" i="2"/>
  <c r="T84" i="2"/>
  <c r="BO82" i="2"/>
  <c r="BW81" i="2"/>
  <c r="AG79" i="2"/>
  <c r="BS78" i="2"/>
  <c r="AX77" i="2"/>
  <c r="X76" i="2"/>
  <c r="AG75" i="2"/>
  <c r="BS74" i="2"/>
  <c r="AX73" i="2"/>
  <c r="X72" i="2"/>
  <c r="AG71" i="2"/>
  <c r="BS70" i="2"/>
  <c r="X68" i="2"/>
  <c r="AO66" i="2"/>
  <c r="AX65" i="2"/>
  <c r="T65" i="2"/>
  <c r="BO63" i="2"/>
  <c r="AO62" i="2"/>
  <c r="BW59" i="2"/>
  <c r="BB58" i="2"/>
  <c r="BO57" i="2"/>
  <c r="AO56" i="2"/>
  <c r="AX55" i="2"/>
  <c r="T55" i="2"/>
  <c r="AK53" i="2"/>
  <c r="BW52" i="2"/>
  <c r="X51" i="2"/>
  <c r="AG50" i="2"/>
  <c r="BS49" i="2"/>
  <c r="AX48" i="2"/>
  <c r="T48" i="2"/>
  <c r="BO46" i="2"/>
  <c r="AO45" i="2"/>
  <c r="AX44" i="2"/>
  <c r="AO106" i="2"/>
  <c r="BS103" i="2"/>
  <c r="T102" i="2"/>
  <c r="BF101" i="2"/>
  <c r="BO100" i="2"/>
  <c r="AK100" i="2"/>
  <c r="BW99" i="2"/>
  <c r="BO97" i="2"/>
  <c r="AO96" i="2"/>
  <c r="AX95" i="2"/>
  <c r="T95" i="2"/>
  <c r="BO93" i="2"/>
  <c r="AO92" i="2"/>
  <c r="BF90" i="2"/>
  <c r="BB87" i="2"/>
  <c r="X87" i="2"/>
  <c r="AG86" i="2"/>
  <c r="BS85" i="2"/>
  <c r="BB83" i="2"/>
  <c r="X83" i="2"/>
  <c r="AG82" i="2"/>
  <c r="AO81" i="2"/>
  <c r="AX80" i="2"/>
  <c r="T80" i="2"/>
  <c r="AK78" i="2"/>
  <c r="BW77" i="2"/>
  <c r="BB76" i="2"/>
  <c r="BF75" i="2"/>
  <c r="AK74" i="2"/>
  <c r="BW73" i="2"/>
  <c r="BB72" i="2"/>
  <c r="BF71" i="2"/>
  <c r="AK70" i="2"/>
  <c r="BW69" i="2"/>
  <c r="BB68" i="2"/>
  <c r="AG67" i="2"/>
  <c r="BS66" i="2"/>
  <c r="BB64" i="2"/>
  <c r="X64" i="2"/>
  <c r="AG63" i="2"/>
  <c r="BS62" i="2"/>
  <c r="AX61" i="2"/>
  <c r="T61" i="2"/>
  <c r="BF60" i="2"/>
  <c r="AG60" i="2"/>
  <c r="AO59" i="2"/>
  <c r="X58" i="2"/>
  <c r="AG57" i="2"/>
  <c r="BS56" i="2"/>
  <c r="BB54" i="2"/>
  <c r="BO53" i="2"/>
  <c r="AO52" i="2"/>
  <c r="AX51" i="2"/>
  <c r="AK49" i="2"/>
  <c r="BB47" i="2"/>
  <c r="AG107" i="2"/>
  <c r="BS106" i="2"/>
  <c r="AX105" i="2"/>
  <c r="AT105" i="2" s="1"/>
  <c r="T105" i="2"/>
  <c r="BF104" i="2"/>
  <c r="AK103" i="2"/>
  <c r="AX102" i="2"/>
  <c r="X101" i="2"/>
  <c r="BB98" i="2"/>
  <c r="X98" i="2"/>
  <c r="AG97" i="2"/>
  <c r="BS96" i="2"/>
  <c r="BB94" i="2"/>
  <c r="X94" i="2"/>
  <c r="AG93" i="2"/>
  <c r="BS92" i="2"/>
  <c r="AX91" i="2"/>
  <c r="AT91" i="2" s="1"/>
  <c r="T91" i="2"/>
  <c r="BO89" i="2"/>
  <c r="AK89" i="2"/>
  <c r="BW88" i="2"/>
  <c r="BF86" i="2"/>
  <c r="AK85" i="2"/>
  <c r="BW84" i="2"/>
  <c r="L84" i="2"/>
  <c r="BS81" i="2"/>
  <c r="BF79" i="2"/>
  <c r="BO78" i="2"/>
  <c r="AO77" i="2"/>
  <c r="T76" i="2"/>
  <c r="BO74" i="2"/>
  <c r="AO73" i="2"/>
  <c r="T72" i="2"/>
  <c r="BO70" i="2"/>
  <c r="AO69" i="2"/>
  <c r="T68" i="2"/>
  <c r="AK66" i="2"/>
  <c r="BW65" i="2"/>
  <c r="AK62" i="2"/>
  <c r="BW61" i="2"/>
  <c r="BS59" i="2"/>
  <c r="AX58" i="2"/>
  <c r="AK56" i="2"/>
  <c r="BW55" i="2"/>
  <c r="X54" i="2"/>
  <c r="AG53" i="2"/>
  <c r="BS52" i="2"/>
  <c r="T51" i="2"/>
  <c r="BF50" i="2"/>
  <c r="BO49" i="2"/>
  <c r="BW48" i="2"/>
  <c r="BF46" i="2"/>
  <c r="AK45" i="2"/>
  <c r="BW44" i="2"/>
  <c r="BS41" i="2"/>
  <c r="AO41" i="2"/>
  <c r="AK38" i="2"/>
  <c r="BW37" i="2"/>
  <c r="AX37" i="2"/>
  <c r="T37" i="2"/>
  <c r="BO35" i="2"/>
  <c r="AO34" i="2"/>
  <c r="BO52" i="2"/>
  <c r="BB50" i="2"/>
  <c r="BB46" i="2"/>
  <c r="AG45" i="2"/>
  <c r="AK41" i="2"/>
  <c r="BS37" i="2"/>
  <c r="BF35" i="2"/>
  <c r="AK34" i="2"/>
  <c r="BF107" i="2"/>
  <c r="AK106" i="2"/>
  <c r="BW105" i="2"/>
  <c r="BO103" i="2"/>
  <c r="BW102" i="2"/>
  <c r="BB101" i="2"/>
  <c r="AG100" i="2"/>
  <c r="BS99" i="2"/>
  <c r="AO99" i="2"/>
  <c r="AK96" i="2"/>
  <c r="BW95" i="2"/>
  <c r="AK92" i="2"/>
  <c r="BW91" i="2"/>
  <c r="BB90" i="2"/>
  <c r="X90" i="2"/>
  <c r="AO88" i="2"/>
  <c r="AX87" i="2"/>
  <c r="T87" i="2"/>
  <c r="BO85" i="2"/>
  <c r="AO84" i="2"/>
  <c r="AX83" i="2"/>
  <c r="T83" i="2"/>
  <c r="BF82" i="2"/>
  <c r="AK81" i="2"/>
  <c r="BW80" i="2"/>
  <c r="X79" i="2"/>
  <c r="AG78" i="2"/>
  <c r="BS77" i="2"/>
  <c r="AX76" i="2"/>
  <c r="BB75" i="2"/>
  <c r="X75" i="2"/>
  <c r="AG74" i="2"/>
  <c r="BS73" i="2"/>
  <c r="AX72" i="2"/>
  <c r="BB71" i="2"/>
  <c r="X71" i="2"/>
  <c r="AG70" i="2"/>
  <c r="BS69" i="2"/>
  <c r="AX68" i="2"/>
  <c r="BF67" i="2"/>
  <c r="BO66" i="2"/>
  <c r="AO65" i="2"/>
  <c r="AX64" i="2"/>
  <c r="T64" i="2"/>
  <c r="BF63" i="2"/>
  <c r="BO62" i="2"/>
  <c r="BB60" i="2"/>
  <c r="AK59" i="2"/>
  <c r="T58" i="2"/>
  <c r="BF57" i="2"/>
  <c r="BO56" i="2"/>
  <c r="AO55" i="2"/>
  <c r="AX54" i="2"/>
  <c r="AK52" i="2"/>
  <c r="BW51" i="2"/>
  <c r="X50" i="2"/>
  <c r="AG49" i="2"/>
  <c r="AO48" i="2"/>
  <c r="AX47" i="2"/>
  <c r="T47" i="2"/>
  <c r="BO45" i="2"/>
  <c r="AO44" i="2"/>
  <c r="AX43" i="2"/>
  <c r="T43" i="2"/>
  <c r="BF42" i="2"/>
  <c r="AX40" i="2"/>
  <c r="T40" i="2"/>
  <c r="BF39" i="2"/>
  <c r="BO38" i="2"/>
  <c r="BB36" i="2"/>
  <c r="X36" i="2"/>
  <c r="AG35" i="2"/>
  <c r="BS34" i="2"/>
  <c r="BS55" i="2"/>
  <c r="X46" i="2"/>
  <c r="BO41" i="2"/>
  <c r="X39" i="2"/>
  <c r="BO106" i="2"/>
  <c r="BB104" i="2"/>
  <c r="X104" i="2"/>
  <c r="AG103" i="2"/>
  <c r="AO102" i="2"/>
  <c r="T101" i="2"/>
  <c r="BF100" i="2"/>
  <c r="AX98" i="2"/>
  <c r="T98" i="2"/>
  <c r="BF97" i="2"/>
  <c r="BO96" i="2"/>
  <c r="AO95" i="2"/>
  <c r="AX94" i="2"/>
  <c r="T94" i="2"/>
  <c r="BF93" i="2"/>
  <c r="BO92" i="2"/>
  <c r="AO91" i="2"/>
  <c r="AG89" i="2"/>
  <c r="BS88" i="2"/>
  <c r="BB86" i="2"/>
  <c r="X86" i="2"/>
  <c r="AG85" i="2"/>
  <c r="BS84" i="2"/>
  <c r="BO81" i="2"/>
  <c r="AO80" i="2"/>
  <c r="BB79" i="2"/>
  <c r="BF78" i="2"/>
  <c r="AK77" i="2"/>
  <c r="BW76" i="2"/>
  <c r="AK73" i="2"/>
  <c r="BW72" i="2"/>
  <c r="AK69" i="2"/>
  <c r="BW68" i="2"/>
  <c r="X67" i="2"/>
  <c r="AG66" i="2"/>
  <c r="BS65" i="2"/>
  <c r="X63" i="2"/>
  <c r="AG62" i="2"/>
  <c r="BS61" i="2"/>
  <c r="AO61" i="2"/>
  <c r="BO59" i="2"/>
  <c r="BW58" i="2"/>
  <c r="X57" i="2"/>
  <c r="AG56" i="2"/>
  <c r="T54" i="2"/>
  <c r="BF53" i="2"/>
  <c r="BS48" i="2"/>
  <c r="BS44" i="2"/>
  <c r="AG38" i="2"/>
  <c r="BB107" i="2"/>
  <c r="X107" i="2"/>
  <c r="AG106" i="2"/>
  <c r="BS105" i="2"/>
  <c r="AO105" i="2"/>
  <c r="BS102" i="2"/>
  <c r="AX101" i="2"/>
  <c r="BO99" i="2"/>
  <c r="AK99" i="2"/>
  <c r="BW98" i="2"/>
  <c r="X97" i="2"/>
  <c r="AG96" i="2"/>
  <c r="BS95" i="2"/>
  <c r="X93" i="2"/>
  <c r="AG92" i="2"/>
  <c r="BS91" i="2"/>
  <c r="AX90" i="2"/>
  <c r="T90" i="2"/>
  <c r="AK88" i="2"/>
  <c r="BW87" i="2"/>
  <c r="AK84" i="2"/>
  <c r="BW83" i="2"/>
  <c r="BB82" i="2"/>
  <c r="X82" i="2"/>
  <c r="AG81" i="2"/>
  <c r="BS80" i="2"/>
  <c r="T79" i="2"/>
  <c r="BO77" i="2"/>
  <c r="AO76" i="2"/>
  <c r="AX75" i="2"/>
  <c r="T75" i="2"/>
  <c r="BF74" i="2"/>
  <c r="BO73" i="2"/>
  <c r="AO72" i="2"/>
  <c r="AX71" i="2"/>
  <c r="T71" i="2"/>
  <c r="BF70" i="2"/>
  <c r="BO69" i="2"/>
  <c r="AO68" i="2"/>
  <c r="BB67" i="2"/>
  <c r="BF66" i="2"/>
  <c r="AK65" i="2"/>
  <c r="BW64" i="2"/>
  <c r="BB63" i="2"/>
  <c r="AX60" i="2"/>
  <c r="X60" i="2"/>
  <c r="AG59" i="2"/>
  <c r="AO58" i="2"/>
  <c r="BB57" i="2"/>
  <c r="BF56" i="2"/>
  <c r="AK55" i="2"/>
  <c r="BW54" i="2"/>
  <c r="X53" i="2"/>
  <c r="AG52" i="2"/>
  <c r="BS51" i="2"/>
  <c r="AO51" i="2"/>
  <c r="T50" i="2"/>
  <c r="BF49" i="2"/>
  <c r="AK48" i="2"/>
  <c r="BW47" i="2"/>
  <c r="BF106" i="2"/>
  <c r="AX104" i="2"/>
  <c r="T104" i="2"/>
  <c r="BF103" i="2"/>
  <c r="AK102" i="2"/>
  <c r="BW101" i="2"/>
  <c r="BB100" i="2"/>
  <c r="X100" i="2"/>
  <c r="AO98" i="2"/>
  <c r="BB97" i="2"/>
  <c r="AK95" i="2"/>
  <c r="BW94" i="2"/>
  <c r="BB93" i="2"/>
  <c r="AK91" i="2"/>
  <c r="BF89" i="2"/>
  <c r="BO88" i="2"/>
  <c r="AO87" i="2"/>
  <c r="AX86" i="2"/>
  <c r="T86" i="2"/>
  <c r="BF85" i="2"/>
  <c r="BO84" i="2"/>
  <c r="AO83" i="2"/>
  <c r="BF81" i="2"/>
  <c r="AK80" i="2"/>
  <c r="BW79" i="2"/>
  <c r="AX79" i="2"/>
  <c r="BB78" i="2"/>
  <c r="X78" i="2"/>
  <c r="AG77" i="2"/>
  <c r="BS76" i="2"/>
  <c r="X74" i="2"/>
  <c r="AG73" i="2"/>
  <c r="BS72" i="2"/>
  <c r="X70" i="2"/>
  <c r="AG69" i="2"/>
  <c r="BS68" i="2"/>
  <c r="T67" i="2"/>
  <c r="BO65" i="2"/>
  <c r="AO64" i="2"/>
  <c r="T63" i="2"/>
  <c r="BF62" i="2"/>
  <c r="BO61" i="2"/>
  <c r="AK61" i="2"/>
  <c r="BW60" i="2"/>
  <c r="BF59" i="2"/>
  <c r="BS58" i="2"/>
  <c r="T57" i="2"/>
  <c r="BO55" i="2"/>
  <c r="AO54" i="2"/>
  <c r="BB53" i="2"/>
  <c r="AX50" i="2"/>
  <c r="X49" i="2"/>
  <c r="BO48" i="2"/>
  <c r="AO47" i="2"/>
  <c r="AX46" i="2"/>
  <c r="T46" i="2"/>
  <c r="BF45" i="2"/>
  <c r="BO44" i="2"/>
  <c r="AO43" i="2"/>
  <c r="AG41" i="2"/>
  <c r="AO40" i="2"/>
  <c r="AX107" i="2"/>
  <c r="T107" i="2"/>
  <c r="BO105" i="2"/>
  <c r="AK105" i="2"/>
  <c r="BW104" i="2"/>
  <c r="X103" i="2"/>
  <c r="BO102" i="2"/>
  <c r="AO101" i="2"/>
  <c r="AG99" i="2"/>
  <c r="BS98" i="2"/>
  <c r="T97" i="2"/>
  <c r="BF96" i="2"/>
  <c r="BO95" i="2"/>
  <c r="AO94" i="2"/>
  <c r="T93" i="2"/>
  <c r="BF92" i="2"/>
  <c r="BO91" i="2"/>
  <c r="BW90" i="2"/>
  <c r="X89" i="2"/>
  <c r="AG88" i="2"/>
  <c r="BS87" i="2"/>
  <c r="X85" i="2"/>
  <c r="AG84" i="2"/>
  <c r="BS83" i="2"/>
  <c r="AX82" i="2"/>
  <c r="T82" i="2"/>
  <c r="BO80" i="2"/>
  <c r="AK76" i="2"/>
  <c r="BW75" i="2"/>
  <c r="BB74" i="2"/>
  <c r="AK72" i="2"/>
  <c r="BW71" i="2"/>
  <c r="BB70" i="2"/>
  <c r="BF69" i="2"/>
  <c r="AK68" i="2"/>
  <c r="BW67" i="2"/>
  <c r="AX67" i="2"/>
  <c r="BB66" i="2"/>
  <c r="X66" i="2"/>
  <c r="AG65" i="2"/>
  <c r="BS64" i="2"/>
  <c r="AX63" i="2"/>
  <c r="X62" i="2"/>
  <c r="T60" i="2"/>
  <c r="AK58" i="2"/>
  <c r="AX57" i="2"/>
  <c r="BB56" i="2"/>
  <c r="X56" i="2"/>
  <c r="AG55" i="2"/>
  <c r="BS54" i="2"/>
  <c r="T53" i="2"/>
  <c r="BF52" i="2"/>
  <c r="BO51" i="2"/>
  <c r="AK51" i="2"/>
  <c r="BW50" i="2"/>
  <c r="BB49" i="2"/>
  <c r="AG48" i="2"/>
  <c r="BS47" i="2"/>
  <c r="X45" i="2"/>
  <c r="AO104" i="2"/>
  <c r="AG102" i="2"/>
  <c r="BW100" i="2"/>
  <c r="AX97" i="2"/>
  <c r="BF80" i="2"/>
  <c r="BS75" i="2"/>
  <c r="AG72" i="2"/>
  <c r="BO68" i="2"/>
  <c r="AO67" i="2"/>
  <c r="BW63" i="2"/>
  <c r="BW57" i="2"/>
  <c r="AK54" i="2"/>
  <c r="AX49" i="2"/>
  <c r="BS46" i="2"/>
  <c r="BB45" i="2"/>
  <c r="BS43" i="2"/>
  <c r="AG43" i="2"/>
  <c r="AG42" i="2"/>
  <c r="BO40" i="2"/>
  <c r="AG37" i="2"/>
  <c r="BO36" i="2"/>
  <c r="AG36" i="2"/>
  <c r="BO34" i="2"/>
  <c r="T89" i="2"/>
  <c r="BB85" i="2"/>
  <c r="AX78" i="2"/>
  <c r="X77" i="2"/>
  <c r="BF73" i="2"/>
  <c r="T70" i="2"/>
  <c r="AK47" i="2"/>
  <c r="AG44" i="2"/>
  <c r="BO42" i="2"/>
  <c r="X40" i="2"/>
  <c r="BF38" i="2"/>
  <c r="X38" i="2"/>
  <c r="BF41" i="2"/>
  <c r="BB39" i="2"/>
  <c r="T39" i="2"/>
  <c r="X37" i="2"/>
  <c r="BB35" i="2"/>
  <c r="BF34" i="2"/>
  <c r="T42" i="2"/>
  <c r="BB52" i="2"/>
  <c r="T49" i="2"/>
  <c r="AX42" i="2"/>
  <c r="AO39" i="2"/>
  <c r="BW36" i="2"/>
  <c r="BW42" i="2"/>
  <c r="BW34" i="2"/>
  <c r="BF51" i="2"/>
  <c r="BW43" i="2"/>
  <c r="AK35" i="2"/>
  <c r="BB106" i="2"/>
  <c r="X96" i="2"/>
  <c r="AX56" i="2"/>
  <c r="BW41" i="2"/>
  <c r="BB92" i="2"/>
  <c r="X43" i="2"/>
  <c r="T38" i="2"/>
  <c r="AO35" i="2"/>
  <c r="BS40" i="2"/>
  <c r="AO79" i="2"/>
  <c r="BW107" i="2"/>
  <c r="BO98" i="2"/>
  <c r="AG95" i="2"/>
  <c r="BW93" i="2"/>
  <c r="AO90" i="2"/>
  <c r="BW86" i="2"/>
  <c r="AK83" i="2"/>
  <c r="X59" i="2"/>
  <c r="BF55" i="2"/>
  <c r="X52" i="2"/>
  <c r="BS50" i="2"/>
  <c r="AX45" i="2"/>
  <c r="BO43" i="2"/>
  <c r="X41" i="2"/>
  <c r="BF37" i="2"/>
  <c r="BF36" i="2"/>
  <c r="X35" i="2"/>
  <c r="X34" i="2"/>
  <c r="AX66" i="2"/>
  <c r="AO60" i="2"/>
  <c r="BF48" i="2"/>
  <c r="BB40" i="2"/>
  <c r="BW39" i="2"/>
  <c r="AO36" i="2"/>
  <c r="AK37" i="2"/>
  <c r="BB103" i="2"/>
  <c r="T100" i="2"/>
  <c r="BS79" i="2"/>
  <c r="AO71" i="2"/>
  <c r="BF61" i="2"/>
  <c r="AX53" i="2"/>
  <c r="BB38" i="2"/>
  <c r="T62" i="2"/>
  <c r="BW40" i="2"/>
  <c r="AK39" i="2"/>
  <c r="BS38" i="2"/>
  <c r="AK101" i="2"/>
  <c r="BB96" i="2"/>
  <c r="BF84" i="2"/>
  <c r="X81" i="2"/>
  <c r="AG76" i="2"/>
  <c r="BO72" i="2"/>
  <c r="BS67" i="2"/>
  <c r="AK64" i="2"/>
  <c r="BF44" i="2"/>
  <c r="X44" i="2"/>
  <c r="X42" i="2"/>
  <c r="T41" i="2"/>
  <c r="BB37" i="2"/>
  <c r="T36" i="2"/>
  <c r="T35" i="2"/>
  <c r="T34" i="2"/>
  <c r="AK94" i="2"/>
  <c r="AX70" i="2"/>
  <c r="AG51" i="2"/>
  <c r="BB44" i="2"/>
  <c r="AO75" i="2"/>
  <c r="T56" i="2"/>
  <c r="BS45" i="2"/>
  <c r="AK40" i="2"/>
  <c r="BS39" i="2"/>
  <c r="AG46" i="2"/>
  <c r="BO37" i="2"/>
  <c r="T103" i="2"/>
  <c r="T66" i="2"/>
  <c r="AK44" i="2"/>
  <c r="BS35" i="2"/>
  <c r="BS104" i="2"/>
  <c r="BW97" i="2"/>
  <c r="BB89" i="2"/>
  <c r="BF77" i="2"/>
  <c r="T74" i="2"/>
  <c r="X69" i="2"/>
  <c r="BB59" i="2"/>
  <c r="AG58" i="2"/>
  <c r="BO54" i="2"/>
  <c r="X47" i="2"/>
  <c r="BB43" i="2"/>
  <c r="BB42" i="2"/>
  <c r="BB41" i="2"/>
  <c r="AX39" i="2"/>
  <c r="AX38" i="2"/>
  <c r="AX36" i="2"/>
  <c r="AX35" i="2"/>
  <c r="BB34" i="2"/>
  <c r="AK87" i="2"/>
  <c r="BF65" i="2"/>
  <c r="BS60" i="2"/>
  <c r="BO47" i="2"/>
  <c r="T44" i="2"/>
  <c r="AG80" i="2"/>
  <c r="AO46" i="2"/>
  <c r="AX34" i="2"/>
  <c r="BW38" i="2"/>
  <c r="AO42" i="2"/>
  <c r="BW46" i="2"/>
  <c r="AG40" i="2"/>
  <c r="BF99" i="2"/>
  <c r="BO87" i="2"/>
  <c r="BB62" i="2"/>
  <c r="AG39" i="2"/>
  <c r="AG34" i="2"/>
  <c r="AO82" i="2"/>
  <c r="AO37" i="2"/>
  <c r="AX74" i="2"/>
  <c r="BO39" i="2"/>
  <c r="X106" i="2"/>
  <c r="AX100" i="2"/>
  <c r="BF95" i="2"/>
  <c r="BS90" i="2"/>
  <c r="BO83" i="2"/>
  <c r="AO38" i="2"/>
  <c r="AK43" i="2"/>
  <c r="BS101" i="2"/>
  <c r="X92" i="2"/>
  <c r="BF88" i="2"/>
  <c r="BB81" i="2"/>
  <c r="BO76" i="2"/>
  <c r="BS71" i="2"/>
  <c r="AG68" i="2"/>
  <c r="AO63" i="2"/>
  <c r="AO57" i="2"/>
  <c r="BW53" i="2"/>
  <c r="BW35" i="2"/>
  <c r="AK36" i="2"/>
  <c r="AG105" i="2"/>
  <c r="AK98" i="2"/>
  <c r="AX93" i="2"/>
  <c r="T85" i="2"/>
  <c r="T78" i="2"/>
  <c r="X73" i="2"/>
  <c r="BB69" i="2"/>
  <c r="BO64" i="2"/>
  <c r="BO58" i="2"/>
  <c r="AO50" i="2"/>
  <c r="T45" i="2"/>
  <c r="AG61" i="2"/>
  <c r="BS36" i="2"/>
  <c r="BS94" i="2"/>
  <c r="AG91" i="2"/>
  <c r="AO86" i="2"/>
  <c r="BW82" i="2"/>
  <c r="BS42" i="2"/>
  <c r="BF13" i="2"/>
  <c r="BW22" i="2"/>
  <c r="AO22" i="2"/>
  <c r="T22" i="2"/>
  <c r="AX22" i="2"/>
  <c r="X22" i="2"/>
  <c r="BB22" i="2"/>
  <c r="BO22" i="2"/>
  <c r="AG22" i="2"/>
  <c r="BF22" i="2"/>
  <c r="BS22" i="2"/>
  <c r="AK22" i="2"/>
  <c r="T11" i="2"/>
  <c r="AX11" i="2"/>
  <c r="AK12" i="2"/>
  <c r="X13" i="2"/>
  <c r="AO14" i="2"/>
  <c r="BS14" i="2"/>
  <c r="BF15" i="2"/>
  <c r="T16" i="2"/>
  <c r="AX16" i="2"/>
  <c r="BS17" i="2"/>
  <c r="BF18" i="2"/>
  <c r="T19" i="2"/>
  <c r="AX19" i="2"/>
  <c r="BS20" i="2"/>
  <c r="AK24" i="2"/>
  <c r="BO24" i="2"/>
  <c r="BW26" i="2"/>
  <c r="AK27" i="2"/>
  <c r="AK30" i="2"/>
  <c r="X31" i="2"/>
  <c r="BB31" i="2"/>
  <c r="BW32" i="2"/>
  <c r="BO33" i="2"/>
  <c r="BS12" i="2"/>
  <c r="BB13" i="2"/>
  <c r="AG15" i="2"/>
  <c r="AO17" i="2"/>
  <c r="AG18" i="2"/>
  <c r="AO20" i="2"/>
  <c r="BF21" i="2"/>
  <c r="T23" i="2"/>
  <c r="AX23" i="2"/>
  <c r="BF25" i="2"/>
  <c r="T26" i="2"/>
  <c r="AX26" i="2"/>
  <c r="BS27" i="2"/>
  <c r="BF28" i="2"/>
  <c r="T29" i="2"/>
  <c r="AX29" i="2"/>
  <c r="BS30" i="2"/>
  <c r="AK33" i="2"/>
  <c r="X11" i="2"/>
  <c r="BB11" i="2"/>
  <c r="AO12" i="2"/>
  <c r="BW14" i="2"/>
  <c r="X16" i="2"/>
  <c r="BB16" i="2"/>
  <c r="BW17" i="2"/>
  <c r="BO18" i="2"/>
  <c r="X19" i="2"/>
  <c r="BB19" i="2"/>
  <c r="BW20" i="2"/>
  <c r="AG21" i="2"/>
  <c r="AO24" i="2"/>
  <c r="BS24" i="2"/>
  <c r="AG25" i="2"/>
  <c r="AO27" i="2"/>
  <c r="AG28" i="2"/>
  <c r="AO30" i="2"/>
  <c r="BF31" i="2"/>
  <c r="T32" i="2"/>
  <c r="AX32" i="2"/>
  <c r="BS33" i="2"/>
  <c r="AG11" i="2"/>
  <c r="T14" i="2"/>
  <c r="AX14" i="2"/>
  <c r="AO18" i="2"/>
  <c r="AO19" i="2"/>
  <c r="BW19" i="2"/>
  <c r="AK21" i="2"/>
  <c r="BS21" i="2"/>
  <c r="AG23" i="2"/>
  <c r="BO23" i="2"/>
  <c r="X26" i="2"/>
  <c r="T28" i="2"/>
  <c r="BW31" i="2"/>
  <c r="AK32" i="2"/>
  <c r="BS32" i="2"/>
  <c r="AG33" i="2"/>
  <c r="BS11" i="2"/>
  <c r="BO12" i="2"/>
  <c r="AX15" i="2"/>
  <c r="BO25" i="2"/>
  <c r="BF26" i="2"/>
  <c r="X27" i="2"/>
  <c r="BF27" i="2"/>
  <c r="BB28" i="2"/>
  <c r="AX30" i="2"/>
  <c r="AO31" i="2"/>
  <c r="AK11" i="2"/>
  <c r="AG12" i="2"/>
  <c r="X14" i="2"/>
  <c r="BB14" i="2"/>
  <c r="T15" i="2"/>
  <c r="AX17" i="2"/>
  <c r="AO21" i="2"/>
  <c r="BW21" i="2"/>
  <c r="AK23" i="2"/>
  <c r="BS23" i="2"/>
  <c r="AG24" i="2"/>
  <c r="X28" i="2"/>
  <c r="BB29" i="2"/>
  <c r="AO32" i="2"/>
  <c r="BW33" i="2"/>
  <c r="BF11" i="2"/>
  <c r="X12" i="2"/>
  <c r="BF12" i="2"/>
  <c r="BO15" i="2"/>
  <c r="BS16" i="2"/>
  <c r="AG17" i="2"/>
  <c r="AK18" i="2"/>
  <c r="BW18" i="2"/>
  <c r="AX21" i="2"/>
  <c r="X24" i="2"/>
  <c r="AG27" i="2"/>
  <c r="BW28" i="2"/>
  <c r="AK29" i="2"/>
  <c r="BW30" i="2"/>
  <c r="AK31" i="2"/>
  <c r="BO14" i="2"/>
  <c r="AK16" i="2"/>
  <c r="AX20" i="2"/>
  <c r="BF23" i="2"/>
  <c r="AG26" i="2"/>
  <c r="BO26" i="2"/>
  <c r="BW27" i="2"/>
  <c r="AO28" i="2"/>
  <c r="BW29" i="2"/>
  <c r="AX33" i="2"/>
  <c r="BW10" i="2"/>
  <c r="AO10" i="2"/>
  <c r="BO11" i="2"/>
  <c r="BO13" i="2"/>
  <c r="AG14" i="2"/>
  <c r="AK15" i="2"/>
  <c r="BS15" i="2"/>
  <c r="BW16" i="2"/>
  <c r="AK17" i="2"/>
  <c r="T20" i="2"/>
  <c r="T21" i="2"/>
  <c r="BB21" i="2"/>
  <c r="X23" i="2"/>
  <c r="BS25" i="2"/>
  <c r="AO29" i="2"/>
  <c r="AG13" i="2"/>
  <c r="AO16" i="2"/>
  <c r="BB20" i="2"/>
  <c r="AK25" i="2"/>
  <c r="AK26" i="2"/>
  <c r="BS26" i="2"/>
  <c r="BB32" i="2"/>
  <c r="T33" i="2"/>
  <c r="BB33" i="2"/>
  <c r="BB15" i="2"/>
  <c r="AG20" i="2"/>
  <c r="BO27" i="2"/>
  <c r="AK28" i="2"/>
  <c r="BB30" i="2"/>
  <c r="T31" i="2"/>
  <c r="X10" i="2"/>
  <c r="AX25" i="2"/>
  <c r="BO30" i="2"/>
  <c r="BF33" i="2"/>
  <c r="BW12" i="2"/>
  <c r="AK13" i="2"/>
  <c r="BW13" i="2"/>
  <c r="AG16" i="2"/>
  <c r="BB18" i="2"/>
  <c r="BO19" i="2"/>
  <c r="BW24" i="2"/>
  <c r="AO25" i="2"/>
  <c r="T30" i="2"/>
  <c r="BO31" i="2"/>
  <c r="AG32" i="2"/>
  <c r="BF10" i="2"/>
  <c r="BB10" i="2"/>
  <c r="T18" i="2"/>
  <c r="AG19" i="2"/>
  <c r="AK20" i="2"/>
  <c r="BB26" i="2"/>
  <c r="BF30" i="2"/>
  <c r="T10" i="2"/>
  <c r="AO13" i="2"/>
  <c r="X15" i="2"/>
  <c r="BB17" i="2"/>
  <c r="BS19" i="2"/>
  <c r="BW23" i="2"/>
  <c r="BF29" i="2"/>
  <c r="X30" i="2"/>
  <c r="BS31" i="2"/>
  <c r="X18" i="2"/>
  <c r="AK19" i="2"/>
  <c r="AX24" i="2"/>
  <c r="AX28" i="2"/>
  <c r="AG31" i="2"/>
  <c r="BW11" i="2"/>
  <c r="BO20" i="2"/>
  <c r="BB23" i="2"/>
  <c r="BF32" i="2"/>
  <c r="AX10" i="2"/>
  <c r="AO11" i="2"/>
  <c r="BF19" i="2"/>
  <c r="AX31" i="2"/>
  <c r="T12" i="2"/>
  <c r="T17" i="2"/>
  <c r="AO26" i="2"/>
  <c r="BB24" i="2"/>
  <c r="AG30" i="2"/>
  <c r="AK10" i="2"/>
  <c r="X17" i="2"/>
  <c r="BW25" i="2"/>
  <c r="X21" i="2"/>
  <c r="X29" i="2"/>
  <c r="AX12" i="2"/>
  <c r="AK14" i="2"/>
  <c r="BS18" i="2"/>
  <c r="X20" i="2"/>
  <c r="AX27" i="2"/>
  <c r="BS28" i="2"/>
  <c r="T13" i="2"/>
  <c r="BB25" i="2"/>
  <c r="BO32" i="2"/>
  <c r="BB12" i="2"/>
  <c r="BS13" i="2"/>
  <c r="BB27" i="2"/>
  <c r="X32" i="2"/>
  <c r="AO33" i="2"/>
  <c r="BF17" i="2"/>
  <c r="T25" i="2"/>
  <c r="T27" i="2"/>
  <c r="BO17" i="2"/>
  <c r="X25" i="2"/>
  <c r="BW15" i="2"/>
  <c r="BO21" i="2"/>
  <c r="BO29" i="2"/>
  <c r="BF14" i="2"/>
  <c r="BF16" i="2"/>
  <c r="AX18" i="2"/>
  <c r="AO23" i="2"/>
  <c r="BF24" i="2"/>
  <c r="BS10" i="2"/>
  <c r="T24" i="2"/>
  <c r="BO28" i="2"/>
  <c r="AO15" i="2"/>
  <c r="AG10" i="2"/>
  <c r="BF20" i="2"/>
  <c r="AX13" i="2"/>
  <c r="BO10" i="2"/>
  <c r="BS29" i="2"/>
  <c r="AG29" i="2"/>
  <c r="BO16" i="2"/>
  <c r="X33" i="2"/>
  <c r="AL11" i="10" l="1"/>
  <c r="L99" i="2"/>
  <c r="AT99" i="2"/>
  <c r="BK74" i="2"/>
  <c r="BK89" i="2"/>
  <c r="AT102" i="2"/>
  <c r="AC42" i="2"/>
  <c r="L65" i="2"/>
  <c r="BO16" i="10"/>
  <c r="BK78" i="2"/>
  <c r="AC107" i="2"/>
  <c r="AC97" i="2"/>
  <c r="L88" i="2"/>
  <c r="BK87" i="2"/>
  <c r="BK98" i="2"/>
  <c r="BK73" i="2"/>
  <c r="BK92" i="2"/>
  <c r="AC103" i="2"/>
  <c r="L73" i="2"/>
  <c r="AT51" i="2"/>
  <c r="AC34" i="2"/>
  <c r="AP16" i="10"/>
  <c r="BK61" i="2"/>
  <c r="L76" i="2"/>
  <c r="AC89" i="2"/>
  <c r="BK56" i="2"/>
  <c r="AT80" i="2"/>
  <c r="AC77" i="2"/>
  <c r="AT71" i="2"/>
  <c r="BK95" i="2"/>
  <c r="AC62" i="2"/>
  <c r="L91" i="2"/>
  <c r="BK55" i="2"/>
  <c r="AT95" i="2"/>
  <c r="BK57" i="2"/>
  <c r="L57" i="2"/>
  <c r="AT83" i="2"/>
  <c r="AT74" i="2"/>
  <c r="L63" i="2"/>
  <c r="AT64" i="2"/>
  <c r="AC66" i="2"/>
  <c r="AC61" i="2"/>
  <c r="L97" i="2"/>
  <c r="AT66" i="2"/>
  <c r="BK59" i="2"/>
  <c r="AT94" i="2"/>
  <c r="L69" i="2"/>
  <c r="L90" i="2"/>
  <c r="BK102" i="2"/>
  <c r="CF16" i="10"/>
  <c r="AT16" i="10"/>
  <c r="L51" i="2"/>
  <c r="AT87" i="2"/>
  <c r="BK58" i="2"/>
  <c r="BK34" i="2"/>
  <c r="AT68" i="2"/>
  <c r="L102" i="2"/>
  <c r="AC95" i="2"/>
  <c r="AC96" i="2"/>
  <c r="BO14" i="10"/>
  <c r="AT106" i="2"/>
  <c r="AT93" i="2"/>
  <c r="L104" i="2"/>
  <c r="AT35" i="2"/>
  <c r="CJ16" i="10"/>
  <c r="BK81" i="2"/>
  <c r="L105" i="2"/>
  <c r="BK49" i="2"/>
  <c r="L80" i="2"/>
  <c r="AK7" i="2"/>
  <c r="AC50" i="2"/>
  <c r="BK47" i="2"/>
  <c r="BK105" i="2"/>
  <c r="BK90" i="2"/>
  <c r="L43" i="2"/>
  <c r="U16" i="10"/>
  <c r="BK62" i="2"/>
  <c r="AC40" i="2"/>
  <c r="AT70" i="2"/>
  <c r="AC41" i="2"/>
  <c r="AC69" i="2"/>
  <c r="AC59" i="2"/>
  <c r="AC78" i="2"/>
  <c r="AC85" i="2"/>
  <c r="BK96" i="2"/>
  <c r="AC58" i="2"/>
  <c r="L87" i="2"/>
  <c r="AT34" i="2"/>
  <c r="AT38" i="2"/>
  <c r="Y16" i="10"/>
  <c r="AT78" i="2"/>
  <c r="BK75" i="2"/>
  <c r="BK84" i="2"/>
  <c r="L47" i="2"/>
  <c r="AT90" i="2"/>
  <c r="L72" i="2"/>
  <c r="AT40" i="2"/>
  <c r="L41" i="2"/>
  <c r="BK80" i="2"/>
  <c r="AT86" i="2"/>
  <c r="CJ14" i="10"/>
  <c r="BK46" i="2"/>
  <c r="BS7" i="2"/>
  <c r="BK64" i="2"/>
  <c r="BK83" i="2"/>
  <c r="AT43" i="2"/>
  <c r="BK88" i="2"/>
  <c r="AC51" i="2"/>
  <c r="AT60" i="2"/>
  <c r="L83" i="2"/>
  <c r="BK45" i="2"/>
  <c r="AC56" i="2"/>
  <c r="AC82" i="2"/>
  <c r="BK16" i="10"/>
  <c r="AC75" i="2"/>
  <c r="AC64" i="2"/>
  <c r="L53" i="2"/>
  <c r="AC39" i="2"/>
  <c r="AT56" i="2"/>
  <c r="BK52" i="2"/>
  <c r="AT61" i="2"/>
  <c r="AT69" i="2"/>
  <c r="AT44" i="2"/>
  <c r="BK14" i="10"/>
  <c r="L67" i="2"/>
  <c r="BK42" i="2"/>
  <c r="BK36" i="2"/>
  <c r="AT107" i="2"/>
  <c r="CF14" i="10"/>
  <c r="AC35" i="2"/>
  <c r="AC70" i="2"/>
  <c r="BK103" i="2"/>
  <c r="AT58" i="2"/>
  <c r="BK97" i="2"/>
  <c r="AG7" i="2"/>
  <c r="X7" i="2"/>
  <c r="L60" i="2"/>
  <c r="AC68" i="2"/>
  <c r="BK54" i="2"/>
  <c r="BK43" i="2"/>
  <c r="AC44" i="2"/>
  <c r="BK68" i="2"/>
  <c r="L50" i="2"/>
  <c r="L71" i="2"/>
  <c r="AC84" i="2"/>
  <c r="L54" i="2"/>
  <c r="BK65" i="2"/>
  <c r="AC52" i="2"/>
  <c r="L64" i="2"/>
  <c r="AT79" i="2"/>
  <c r="AT47" i="2"/>
  <c r="BK35" i="2"/>
  <c r="L48" i="2"/>
  <c r="AC63" i="2"/>
  <c r="AT88" i="2"/>
  <c r="BK107" i="2"/>
  <c r="AT52" i="2"/>
  <c r="AC79" i="2"/>
  <c r="BK63" i="2"/>
  <c r="AT77" i="2"/>
  <c r="AT98" i="2"/>
  <c r="BK53" i="2"/>
  <c r="AC101" i="2"/>
  <c r="BK79" i="2"/>
  <c r="L100" i="2"/>
  <c r="BO7" i="2"/>
  <c r="BW7" i="2"/>
  <c r="AT45" i="2"/>
  <c r="AC72" i="2"/>
  <c r="BK48" i="2"/>
  <c r="BK99" i="2"/>
  <c r="AC49" i="2"/>
  <c r="AT72" i="2"/>
  <c r="L95" i="2"/>
  <c r="AT37" i="2"/>
  <c r="AC86" i="2"/>
  <c r="BK100" i="2"/>
  <c r="AT41" i="2"/>
  <c r="L66" i="2"/>
  <c r="L89" i="2"/>
  <c r="AC54" i="2"/>
  <c r="L70" i="2"/>
  <c r="L36" i="2"/>
  <c r="AT57" i="2"/>
  <c r="AT100" i="2"/>
  <c r="L35" i="2"/>
  <c r="BK40" i="2"/>
  <c r="L61" i="2"/>
  <c r="AX7" i="2"/>
  <c r="BK72" i="2"/>
  <c r="AT63" i="2"/>
  <c r="L94" i="2"/>
  <c r="BK38" i="2"/>
  <c r="AC91" i="2"/>
  <c r="BK37" i="2"/>
  <c r="AC76" i="2"/>
  <c r="AT53" i="2"/>
  <c r="AT48" i="2"/>
  <c r="AC43" i="2"/>
  <c r="BK51" i="2"/>
  <c r="AC88" i="2"/>
  <c r="AC99" i="2"/>
  <c r="CB14" i="10"/>
  <c r="BK44" i="2"/>
  <c r="AT104" i="2"/>
  <c r="AT101" i="2"/>
  <c r="BK106" i="2"/>
  <c r="AT50" i="2"/>
  <c r="AC57" i="2"/>
  <c r="L52" i="2"/>
  <c r="AT65" i="2"/>
  <c r="AC90" i="2"/>
  <c r="L56" i="2"/>
  <c r="L103" i="2"/>
  <c r="AT81" i="2"/>
  <c r="AT82" i="2"/>
  <c r="L101" i="2"/>
  <c r="AC38" i="2"/>
  <c r="T7" i="2"/>
  <c r="AT36" i="2"/>
  <c r="BK76" i="2"/>
  <c r="AT75" i="2"/>
  <c r="L68" i="2"/>
  <c r="P7" i="2"/>
  <c r="BK39" i="2"/>
  <c r="L38" i="2"/>
  <c r="AC46" i="2"/>
  <c r="L34" i="2"/>
  <c r="AT97" i="2"/>
  <c r="AC65" i="2"/>
  <c r="L75" i="2"/>
  <c r="BK77" i="2"/>
  <c r="L37" i="2"/>
  <c r="AC74" i="2"/>
  <c r="AC67" i="2"/>
  <c r="L77" i="2"/>
  <c r="L81" i="2"/>
  <c r="AT92" i="2"/>
  <c r="AT103" i="2"/>
  <c r="L45" i="2"/>
  <c r="BK67" i="2"/>
  <c r="BK104" i="2"/>
  <c r="AC83" i="2"/>
  <c r="BK70" i="2"/>
  <c r="BK82" i="2"/>
  <c r="L92" i="2"/>
  <c r="AC104" i="2"/>
  <c r="AC94" i="2"/>
  <c r="AC47" i="2"/>
  <c r="L74" i="2"/>
  <c r="L59" i="2"/>
  <c r="BB7" i="2"/>
  <c r="AC36" i="2"/>
  <c r="AC37" i="2"/>
  <c r="L39" i="2"/>
  <c r="L86" i="2"/>
  <c r="L82" i="2"/>
  <c r="AC102" i="2"/>
  <c r="AT46" i="2"/>
  <c r="BK60" i="2"/>
  <c r="AC73" i="2"/>
  <c r="L98" i="2"/>
  <c r="L58" i="2"/>
  <c r="BK69" i="2"/>
  <c r="BK41" i="2"/>
  <c r="AT54" i="2"/>
  <c r="BK85" i="2"/>
  <c r="AC53" i="2"/>
  <c r="BF7" i="2"/>
  <c r="BK101" i="2"/>
  <c r="AC80" i="2"/>
  <c r="AT39" i="2"/>
  <c r="AT89" i="2"/>
  <c r="L40" i="2"/>
  <c r="L46" i="2"/>
  <c r="AT85" i="2"/>
  <c r="AT49" i="2"/>
  <c r="AC55" i="2"/>
  <c r="AT67" i="2"/>
  <c r="L79" i="2"/>
  <c r="BK91" i="2"/>
  <c r="AC48" i="2"/>
  <c r="AC81" i="2"/>
  <c r="AC92" i="2"/>
  <c r="AC106" i="2"/>
  <c r="BK66" i="2"/>
  <c r="AT76" i="2"/>
  <c r="AC100" i="2"/>
  <c r="AC45" i="2"/>
  <c r="AC60" i="2"/>
  <c r="BK93" i="2"/>
  <c r="BG14" i="10"/>
  <c r="AT55" i="2"/>
  <c r="AC71" i="2"/>
  <c r="AT59" i="2"/>
  <c r="BK94" i="2"/>
  <c r="AO7" i="2"/>
  <c r="L42" i="2"/>
  <c r="L44" i="2"/>
  <c r="L93" i="2"/>
  <c r="L107" i="2"/>
  <c r="AT42" i="2"/>
  <c r="AC105" i="2"/>
  <c r="L55" i="2"/>
  <c r="AT84" i="2"/>
  <c r="AC93" i="2"/>
  <c r="AT73" i="2"/>
  <c r="L106" i="2"/>
  <c r="AT96" i="2"/>
  <c r="L49" i="2"/>
  <c r="AT62" i="2"/>
  <c r="BK86" i="2"/>
  <c r="L96" i="2"/>
  <c r="BK50" i="2"/>
  <c r="L62" i="2"/>
  <c r="BK71" i="2"/>
  <c r="L85" i="2"/>
  <c r="L78" i="2"/>
  <c r="AC87" i="2"/>
  <c r="AC98" i="2"/>
  <c r="L19" i="2"/>
  <c r="L33" i="2"/>
  <c r="L25" i="2"/>
  <c r="L11" i="2"/>
  <c r="L27" i="2"/>
  <c r="L29" i="2"/>
  <c r="L21" i="2"/>
  <c r="L15" i="2"/>
  <c r="L23" i="2"/>
  <c r="L24" i="2"/>
  <c r="L17" i="2"/>
  <c r="L14" i="2"/>
  <c r="L26" i="2"/>
  <c r="L32" i="2"/>
  <c r="L31" i="2"/>
  <c r="L13" i="2"/>
  <c r="L20" i="2"/>
  <c r="L10" i="2"/>
  <c r="L28" i="2"/>
  <c r="L18" i="2"/>
  <c r="L16" i="2"/>
  <c r="L22" i="2"/>
  <c r="L12" i="2"/>
  <c r="L30" i="2"/>
  <c r="U10" i="10"/>
  <c r="AT10" i="10"/>
  <c r="AP10" i="10"/>
  <c r="Y10" i="10"/>
  <c r="AL10" i="10"/>
  <c r="Q10" i="10"/>
  <c r="BK22" i="2"/>
  <c r="AT22" i="2"/>
  <c r="AC22" i="2"/>
  <c r="BK20" i="2"/>
  <c r="AC20" i="2"/>
  <c r="BK18" i="2"/>
  <c r="CF11" i="10"/>
  <c r="BK22" i="10"/>
  <c r="Y14" i="10"/>
  <c r="BK23" i="10"/>
  <c r="BK19" i="1" s="1"/>
  <c r="Y19" i="10"/>
  <c r="AT22" i="10"/>
  <c r="Y21" i="10"/>
  <c r="AC30" i="2"/>
  <c r="BO13" i="10"/>
  <c r="CJ15" i="10"/>
  <c r="AT29" i="2"/>
  <c r="BK11" i="2"/>
  <c r="BO23" i="10"/>
  <c r="BO19" i="1" s="1"/>
  <c r="BK15" i="2"/>
  <c r="AT15" i="10"/>
  <c r="AP15" i="10"/>
  <c r="AC18" i="2"/>
  <c r="AT11" i="10"/>
  <c r="CJ23" i="10"/>
  <c r="CJ19" i="1" s="1"/>
  <c r="AC16" i="2"/>
  <c r="U23" i="10"/>
  <c r="U19" i="1" s="1"/>
  <c r="U20" i="10"/>
  <c r="BK13" i="10"/>
  <c r="AT23" i="10"/>
  <c r="AT19" i="1" s="1"/>
  <c r="BK13" i="2"/>
  <c r="CF13" i="10"/>
  <c r="BK25" i="2"/>
  <c r="U13" i="10"/>
  <c r="AC14" i="2"/>
  <c r="AP23" i="10"/>
  <c r="AP19" i="1" s="1"/>
  <c r="AT21" i="2"/>
  <c r="U19" i="10"/>
  <c r="AP18" i="10"/>
  <c r="BO22" i="10"/>
  <c r="U22" i="10"/>
  <c r="AT21" i="10"/>
  <c r="Q19" i="10"/>
  <c r="CB19" i="10"/>
  <c r="AC31" i="2"/>
  <c r="BG19" i="10"/>
  <c r="BG23" i="10"/>
  <c r="AL19" i="10"/>
  <c r="AL20" i="10"/>
  <c r="Q17" i="10"/>
  <c r="Q21" i="10"/>
  <c r="BK19" i="10"/>
  <c r="AP11" i="10"/>
  <c r="BK17" i="10"/>
  <c r="AC28" i="2"/>
  <c r="Q16" i="10"/>
  <c r="AT16" i="2"/>
  <c r="AP14" i="10"/>
  <c r="BG22" i="10"/>
  <c r="AP17" i="10"/>
  <c r="AT24" i="2"/>
  <c r="AL18" i="10"/>
  <c r="CB20" i="10"/>
  <c r="Q14" i="10"/>
  <c r="CB21" i="10"/>
  <c r="U14" i="10"/>
  <c r="CF23" i="10"/>
  <c r="CF19" i="1" s="1"/>
  <c r="AT17" i="10"/>
  <c r="AL13" i="10"/>
  <c r="AC29" i="2"/>
  <c r="AL22" i="10"/>
  <c r="BK33" i="2"/>
  <c r="CB12" i="10"/>
  <c r="Q18" i="10"/>
  <c r="BG16" i="10"/>
  <c r="Q12" i="10"/>
  <c r="AT18" i="2"/>
  <c r="AT28" i="2"/>
  <c r="AT12" i="2"/>
  <c r="U17" i="10"/>
  <c r="Y17" i="10"/>
  <c r="AP19" i="10"/>
  <c r="BK26" i="2"/>
  <c r="CB15" i="10"/>
  <c r="AC15" i="2"/>
  <c r="AC19" i="2"/>
  <c r="BO17" i="10"/>
  <c r="AL21" i="10"/>
  <c r="AC26" i="2"/>
  <c r="CB16" i="10"/>
  <c r="AL14" i="10"/>
  <c r="BG17" i="10"/>
  <c r="CB11" i="10"/>
  <c r="BK23" i="2"/>
  <c r="AP12" i="10"/>
  <c r="AT19" i="2"/>
  <c r="AT11" i="2"/>
  <c r="AC25" i="2"/>
  <c r="AT26" i="2"/>
  <c r="CB10" i="10"/>
  <c r="BK10" i="2"/>
  <c r="AT18" i="10"/>
  <c r="AL17" i="10"/>
  <c r="CF17" i="10"/>
  <c r="BO18" i="10"/>
  <c r="BO11" i="10"/>
  <c r="AC23" i="2"/>
  <c r="AC27" i="2"/>
  <c r="CF18" i="10"/>
  <c r="AC10" i="2"/>
  <c r="CJ21" i="10"/>
  <c r="CJ20" i="10"/>
  <c r="BK28" i="2"/>
  <c r="Q22" i="10"/>
  <c r="BK11" i="10"/>
  <c r="BK31" i="2"/>
  <c r="CF20" i="10"/>
  <c r="BO19" i="10"/>
  <c r="AP20" i="10"/>
  <c r="AC32" i="2"/>
  <c r="AL15" i="10"/>
  <c r="AT20" i="2"/>
  <c r="CJ12" i="10"/>
  <c r="AT17" i="2"/>
  <c r="AL16" i="10"/>
  <c r="CJ13" i="10"/>
  <c r="Y12" i="10"/>
  <c r="AL23" i="10"/>
  <c r="BK20" i="10"/>
  <c r="BK21" i="10"/>
  <c r="CF10" i="10"/>
  <c r="BK29" i="2"/>
  <c r="BK17" i="2"/>
  <c r="Y13" i="10"/>
  <c r="BK32" i="2"/>
  <c r="AT27" i="2"/>
  <c r="Q11" i="10"/>
  <c r="CF15" i="10"/>
  <c r="Y23" i="10"/>
  <c r="Y19" i="1" s="1"/>
  <c r="AP22" i="10"/>
  <c r="CF21" i="10"/>
  <c r="AC13" i="2"/>
  <c r="Y18" i="10"/>
  <c r="BG15" i="10"/>
  <c r="AT15" i="2"/>
  <c r="Q15" i="10"/>
  <c r="CF12" i="10"/>
  <c r="BG11" i="10"/>
  <c r="AT23" i="2"/>
  <c r="AT13" i="10"/>
  <c r="BK24" i="2"/>
  <c r="BK21" i="2"/>
  <c r="AT12" i="10"/>
  <c r="CJ19" i="10"/>
  <c r="BG20" i="10"/>
  <c r="AT31" i="2"/>
  <c r="CB17" i="10"/>
  <c r="AT20" i="10"/>
  <c r="Y15" i="10"/>
  <c r="BO12" i="10"/>
  <c r="BG13" i="10"/>
  <c r="BO20" i="10"/>
  <c r="BK14" i="2"/>
  <c r="BG18" i="10"/>
  <c r="AT13" i="2"/>
  <c r="AT32" i="2"/>
  <c r="AC21" i="2"/>
  <c r="U11" i="10"/>
  <c r="Q13" i="10"/>
  <c r="AC24" i="2"/>
  <c r="Y22" i="10"/>
  <c r="Q23" i="10"/>
  <c r="CB13" i="10"/>
  <c r="Y20" i="10"/>
  <c r="CB18" i="10"/>
  <c r="BO10" i="10"/>
  <c r="CB22" i="10"/>
  <c r="BK30" i="2"/>
  <c r="BK15" i="10"/>
  <c r="Y11" i="10"/>
  <c r="CJ10" i="10"/>
  <c r="AT14" i="10"/>
  <c r="BG21" i="10"/>
  <c r="U18" i="10"/>
  <c r="BK12" i="2"/>
  <c r="BK16" i="2"/>
  <c r="Q20" i="10"/>
  <c r="BK18" i="10"/>
  <c r="AT19" i="10"/>
  <c r="CF22" i="10"/>
  <c r="CJ11" i="10"/>
  <c r="AP13" i="10"/>
  <c r="AT25" i="2"/>
  <c r="U15" i="10"/>
  <c r="BK12" i="10"/>
  <c r="CB23" i="10"/>
  <c r="U21" i="10"/>
  <c r="AC12" i="2"/>
  <c r="AL12" i="10"/>
  <c r="AC33" i="2"/>
  <c r="CJ18" i="10"/>
  <c r="CJ22" i="10"/>
  <c r="AP21" i="10"/>
  <c r="CJ17" i="10"/>
  <c r="BG10" i="10"/>
  <c r="AT10" i="2"/>
  <c r="BK10" i="10"/>
  <c r="BK19" i="2"/>
  <c r="BO21" i="10"/>
  <c r="BO15" i="10"/>
  <c r="BK27" i="2"/>
  <c r="U12" i="10"/>
  <c r="BG12" i="10"/>
  <c r="AT33" i="2"/>
  <c r="AC17" i="2"/>
  <c r="CF19" i="10"/>
  <c r="AC11" i="2"/>
  <c r="AT30" i="2"/>
  <c r="AT14" i="2"/>
  <c r="BV12" i="1"/>
  <c r="Z5" i="1"/>
  <c r="BP5" i="1"/>
  <c r="BH5" i="1"/>
  <c r="AM5" i="1"/>
  <c r="CJ15" i="1" l="1"/>
  <c r="BO15" i="1"/>
  <c r="AP15" i="1"/>
  <c r="AT15" i="1"/>
  <c r="CF15" i="1"/>
  <c r="U15" i="1"/>
  <c r="BK15" i="1"/>
  <c r="AZ16" i="10"/>
  <c r="BV14" i="10"/>
  <c r="Y15" i="1"/>
  <c r="AT7" i="2"/>
  <c r="AZ14" i="10"/>
  <c r="BK7" i="2"/>
  <c r="L7" i="2"/>
  <c r="AC7" i="2"/>
  <c r="AT16" i="1"/>
  <c r="CF16" i="1"/>
  <c r="BO16" i="1"/>
  <c r="U16" i="1"/>
  <c r="BK16" i="1"/>
  <c r="CJ16" i="1"/>
  <c r="CF5" i="1"/>
  <c r="Y16" i="1"/>
  <c r="AP16" i="1"/>
  <c r="J10" i="10"/>
  <c r="AE10" i="10"/>
  <c r="AZ21" i="10"/>
  <c r="AZ17" i="10"/>
  <c r="AZ22" i="10"/>
  <c r="AZ18" i="10"/>
  <c r="AZ12" i="10"/>
  <c r="AZ19" i="10"/>
  <c r="AZ13" i="10"/>
  <c r="AZ20" i="10"/>
  <c r="AZ15" i="10"/>
  <c r="AZ11" i="10"/>
  <c r="AZ23" i="10"/>
  <c r="AZ10" i="10"/>
  <c r="CF13" i="1"/>
  <c r="AE11" i="10"/>
  <c r="AE15" i="10"/>
  <c r="Y17" i="1"/>
  <c r="J21" i="10"/>
  <c r="BV15" i="10"/>
  <c r="BV23" i="10"/>
  <c r="BV19" i="1" s="1"/>
  <c r="AE14" i="10"/>
  <c r="BV19" i="10"/>
  <c r="J19" i="10"/>
  <c r="BV13" i="10"/>
  <c r="AE22" i="10"/>
  <c r="AP17" i="1"/>
  <c r="BV21" i="10"/>
  <c r="U17" i="1"/>
  <c r="AE23" i="10"/>
  <c r="AE19" i="1" s="1"/>
  <c r="J14" i="10"/>
  <c r="AL15" i="1"/>
  <c r="AE16" i="10"/>
  <c r="J17" i="10"/>
  <c r="Q16" i="1"/>
  <c r="CJ5" i="1"/>
  <c r="CJ13" i="1"/>
  <c r="CJ7" i="10"/>
  <c r="CJ12" i="1"/>
  <c r="J11" i="10"/>
  <c r="Q5" i="1"/>
  <c r="Q13" i="1"/>
  <c r="AE18" i="10"/>
  <c r="AL18" i="1"/>
  <c r="CF18" i="1"/>
  <c r="Y12" i="1"/>
  <c r="Y7" i="10"/>
  <c r="BV18" i="10"/>
  <c r="CB18" i="1"/>
  <c r="Q19" i="1"/>
  <c r="BK12" i="1"/>
  <c r="BK7" i="10"/>
  <c r="AE17" i="10"/>
  <c r="AL16" i="1"/>
  <c r="AE21" i="10"/>
  <c r="BO17" i="1"/>
  <c r="BG5" i="1"/>
  <c r="BG13" i="1"/>
  <c r="CF7" i="10"/>
  <c r="CF12" i="1"/>
  <c r="BO18" i="1"/>
  <c r="BV11" i="10"/>
  <c r="CB13" i="1"/>
  <c r="CB5" i="1"/>
  <c r="J18" i="10"/>
  <c r="Q18" i="1"/>
  <c r="AP18" i="1"/>
  <c r="BK18" i="1"/>
  <c r="U13" i="1"/>
  <c r="U5" i="1"/>
  <c r="CF6" i="1"/>
  <c r="CF14" i="1"/>
  <c r="U12" i="1"/>
  <c r="U7" i="10"/>
  <c r="J20" i="10"/>
  <c r="Q17" i="1"/>
  <c r="BV22" i="10"/>
  <c r="BG18" i="1"/>
  <c r="J12" i="10"/>
  <c r="Q6" i="1"/>
  <c r="Q14" i="1"/>
  <c r="J15" i="10"/>
  <c r="CB15" i="1"/>
  <c r="BV16" i="10"/>
  <c r="CJ6" i="1"/>
  <c r="CJ14" i="1"/>
  <c r="CB19" i="1"/>
  <c r="J16" i="10"/>
  <c r="Q15" i="1"/>
  <c r="BG17" i="1"/>
  <c r="BK13" i="1"/>
  <c r="BK5" i="1"/>
  <c r="BU10" i="10"/>
  <c r="CB7" i="10"/>
  <c r="CB12" i="1"/>
  <c r="U6" i="1"/>
  <c r="U14" i="1"/>
  <c r="J23" i="10"/>
  <c r="AT17" i="1"/>
  <c r="Y18" i="1"/>
  <c r="CB6" i="1"/>
  <c r="CB14" i="1"/>
  <c r="BV12" i="10"/>
  <c r="AE19" i="10"/>
  <c r="BG14" i="1"/>
  <c r="BG6" i="1"/>
  <c r="CB16" i="1"/>
  <c r="BV17" i="10"/>
  <c r="BK6" i="1"/>
  <c r="BK14" i="1"/>
  <c r="U18" i="1"/>
  <c r="CJ18" i="1"/>
  <c r="BG15" i="1"/>
  <c r="AL19" i="1"/>
  <c r="Y13" i="1"/>
  <c r="Y5" i="1"/>
  <c r="CF17" i="1"/>
  <c r="AE20" i="10"/>
  <c r="AL17" i="1"/>
  <c r="Y6" i="1"/>
  <c r="Y14" i="1"/>
  <c r="BG19" i="1"/>
  <c r="CJ17" i="1"/>
  <c r="Q12" i="1"/>
  <c r="Q7" i="10"/>
  <c r="AE13" i="10"/>
  <c r="BV20" i="10"/>
  <c r="CB17" i="1"/>
  <c r="BG12" i="1"/>
  <c r="BG7" i="10"/>
  <c r="J13" i="10"/>
  <c r="BK17" i="1"/>
  <c r="J22" i="10"/>
  <c r="AT18" i="1"/>
  <c r="BG16" i="1"/>
  <c r="R5" i="1"/>
  <c r="AQ5" i="1"/>
  <c r="AP7" i="10"/>
  <c r="AP6" i="1"/>
  <c r="AP14" i="1"/>
  <c r="V5" i="1"/>
  <c r="AU5" i="1"/>
  <c r="CK5" i="1"/>
  <c r="AT7" i="10"/>
  <c r="AT6" i="1"/>
  <c r="AT14" i="1"/>
  <c r="CC7" i="10"/>
  <c r="CG7" i="10"/>
  <c r="CK7" i="10"/>
  <c r="BP7" i="10"/>
  <c r="BH7" i="10"/>
  <c r="BL7" i="10"/>
  <c r="AU7" i="10"/>
  <c r="AM7" i="10"/>
  <c r="AQ7" i="10"/>
  <c r="V7" i="10"/>
  <c r="R7" i="10"/>
  <c r="Z7" i="10"/>
  <c r="AF11" i="10"/>
  <c r="BH18" i="1"/>
  <c r="CK18" i="1"/>
  <c r="AM18" i="1"/>
  <c r="BU11" i="10"/>
  <c r="BH16" i="1"/>
  <c r="V18" i="1"/>
  <c r="CC16" i="1"/>
  <c r="AU18" i="1"/>
  <c r="CG18" i="1"/>
  <c r="CC12" i="1"/>
  <c r="CC5" i="1"/>
  <c r="AP5" i="1"/>
  <c r="AP13" i="1"/>
  <c r="CG5" i="1"/>
  <c r="AT5" i="1"/>
  <c r="AT13" i="1"/>
  <c r="R18" i="1"/>
  <c r="CC18" i="1"/>
  <c r="BL18" i="1"/>
  <c r="CK14" i="1"/>
  <c r="AQ18" i="1"/>
  <c r="Z18" i="1"/>
  <c r="BP18" i="1"/>
  <c r="BL12" i="1"/>
  <c r="BL5" i="1"/>
  <c r="V17" i="1"/>
  <c r="CK15" i="1"/>
  <c r="CG15" i="1"/>
  <c r="CG14" i="1"/>
  <c r="CC15" i="1"/>
  <c r="BP14" i="1"/>
  <c r="AM16" i="1"/>
  <c r="BL14" i="1"/>
  <c r="BL15" i="1"/>
  <c r="AU16" i="1"/>
  <c r="V16" i="1"/>
  <c r="Z15" i="1"/>
  <c r="BP15" i="1"/>
  <c r="BH15" i="1"/>
  <c r="AQ15" i="1"/>
  <c r="AM15" i="1"/>
  <c r="CK16" i="1"/>
  <c r="CG17" i="1"/>
  <c r="AQ16" i="1"/>
  <c r="AU15" i="1"/>
  <c r="CK17" i="1"/>
  <c r="Z17" i="1"/>
  <c r="CC17" i="1"/>
  <c r="BL16" i="1"/>
  <c r="BL17" i="1"/>
  <c r="BP17" i="1"/>
  <c r="BP16" i="1"/>
  <c r="V15" i="1"/>
  <c r="Z16" i="1"/>
  <c r="AU17" i="1"/>
  <c r="AQ17" i="1"/>
  <c r="AU6" i="1"/>
  <c r="R6" i="1"/>
  <c r="BL6" i="1"/>
  <c r="BL19" i="1"/>
  <c r="V6" i="1"/>
  <c r="CK12" i="1"/>
  <c r="Z6" i="1"/>
  <c r="CK19" i="1"/>
  <c r="CK13" i="1"/>
  <c r="CK6" i="1"/>
  <c r="CC6" i="1"/>
  <c r="AM6" i="1"/>
  <c r="BP6" i="1"/>
  <c r="BH6" i="1"/>
  <c r="CG6" i="1"/>
  <c r="AQ6" i="1"/>
  <c r="V14" i="1"/>
  <c r="BU18" i="10"/>
  <c r="CG16" i="1"/>
  <c r="CG19" i="1"/>
  <c r="CG12" i="1"/>
  <c r="CC13" i="1"/>
  <c r="CC14" i="1"/>
  <c r="CC19" i="1"/>
  <c r="CG13" i="1"/>
  <c r="BU21" i="10"/>
  <c r="BP12" i="1"/>
  <c r="BP19" i="1"/>
  <c r="BP13" i="1"/>
  <c r="BL13" i="1"/>
  <c r="AM17" i="1"/>
  <c r="BH17" i="1"/>
  <c r="R17" i="1"/>
  <c r="BH19" i="1"/>
  <c r="BH14" i="1"/>
  <c r="BH12" i="1"/>
  <c r="BH13" i="1"/>
  <c r="AM14" i="1"/>
  <c r="BU20" i="10"/>
  <c r="AU13" i="1"/>
  <c r="AQ19" i="1"/>
  <c r="AM13" i="1"/>
  <c r="V19" i="1"/>
  <c r="BU22" i="10"/>
  <c r="AF21" i="10"/>
  <c r="BU15" i="10"/>
  <c r="AQ14" i="1"/>
  <c r="AU14" i="1"/>
  <c r="BU19" i="10"/>
  <c r="BU17" i="10"/>
  <c r="BU13" i="10"/>
  <c r="BU16" i="10"/>
  <c r="BU12" i="10"/>
  <c r="AQ13" i="1"/>
  <c r="AF12" i="10"/>
  <c r="AM12" i="1"/>
  <c r="AP12" i="1"/>
  <c r="AU12" i="1"/>
  <c r="AM19" i="1"/>
  <c r="AT12" i="1"/>
  <c r="AQ12" i="1"/>
  <c r="AU19" i="1"/>
  <c r="Z13" i="1"/>
  <c r="Z12" i="1"/>
  <c r="Z14" i="1"/>
  <c r="Z19" i="1"/>
  <c r="V12" i="1"/>
  <c r="V13" i="1"/>
  <c r="R12" i="1"/>
  <c r="R15" i="1"/>
  <c r="R14" i="1"/>
  <c r="R13" i="1"/>
  <c r="R19" i="1"/>
  <c r="R16" i="1"/>
  <c r="AF18" i="10"/>
  <c r="AF22" i="10"/>
  <c r="AF17" i="10"/>
  <c r="AF15" i="10"/>
  <c r="AF19" i="10"/>
  <c r="AF13" i="10"/>
  <c r="AF16" i="10"/>
  <c r="AF14" i="10"/>
  <c r="AF20" i="10"/>
  <c r="BV16" i="1" l="1"/>
  <c r="AE15" i="1"/>
  <c r="BV15" i="1"/>
  <c r="AE16" i="1"/>
  <c r="CQ13" i="10"/>
  <c r="CQ23" i="10"/>
  <c r="CQ19" i="10"/>
  <c r="CQ15" i="10"/>
  <c r="CQ14" i="10"/>
  <c r="CP14" i="10"/>
  <c r="CP15" i="10"/>
  <c r="CP21" i="10"/>
  <c r="CP19" i="10"/>
  <c r="CP22" i="10"/>
  <c r="CP23" i="10"/>
  <c r="U7" i="1"/>
  <c r="BV17" i="1"/>
  <c r="CQ21" i="10"/>
  <c r="BA19" i="1"/>
  <c r="Y20" i="1"/>
  <c r="CQ18" i="10"/>
  <c r="BA18" i="1"/>
  <c r="CQ20" i="10"/>
  <c r="BA17" i="1"/>
  <c r="CP20" i="10"/>
  <c r="J17" i="1"/>
  <c r="CQ22" i="10"/>
  <c r="CP17" i="10"/>
  <c r="J16" i="1"/>
  <c r="CP11" i="10"/>
  <c r="J5" i="1"/>
  <c r="J13" i="1"/>
  <c r="CQ17" i="10"/>
  <c r="BA16" i="1"/>
  <c r="AE17" i="1"/>
  <c r="AE18" i="1"/>
  <c r="CP13" i="10"/>
  <c r="CP10" i="10"/>
  <c r="J7" i="10"/>
  <c r="J12" i="1"/>
  <c r="J19" i="1"/>
  <c r="CP18" i="10"/>
  <c r="J18" i="1"/>
  <c r="BV18" i="1"/>
  <c r="CP16" i="10"/>
  <c r="J15" i="1"/>
  <c r="BV6" i="1"/>
  <c r="BV14" i="1"/>
  <c r="J6" i="1"/>
  <c r="J14" i="1"/>
  <c r="BV7" i="10"/>
  <c r="BV5" i="1"/>
  <c r="BV13" i="1"/>
  <c r="CQ16" i="10"/>
  <c r="BA15" i="1"/>
  <c r="CQ11" i="10"/>
  <c r="BU5" i="1"/>
  <c r="AF5" i="1"/>
  <c r="BU7" i="10"/>
  <c r="AZ7" i="10"/>
  <c r="AF7" i="10"/>
  <c r="K7" i="10"/>
  <c r="AZ18" i="1"/>
  <c r="K18" i="1"/>
  <c r="BU18" i="1"/>
  <c r="AZ12" i="1"/>
  <c r="AZ5" i="1"/>
  <c r="AF18" i="1"/>
  <c r="K14" i="1"/>
  <c r="BU15" i="1"/>
  <c r="AF15" i="1"/>
  <c r="K16" i="1"/>
  <c r="BU17" i="1"/>
  <c r="AZ16" i="1"/>
  <c r="AF17" i="1"/>
  <c r="BU16" i="1"/>
  <c r="AZ15" i="1"/>
  <c r="AF16" i="1"/>
  <c r="K15" i="1"/>
  <c r="AZ17" i="1"/>
  <c r="BU14" i="1"/>
  <c r="K6" i="1"/>
  <c r="CK7" i="1"/>
  <c r="BU6" i="1"/>
  <c r="CK20" i="1"/>
  <c r="AZ6" i="1"/>
  <c r="AF6" i="1"/>
  <c r="CC7" i="1"/>
  <c r="CC20" i="1"/>
  <c r="CG20" i="1"/>
  <c r="CG7" i="1"/>
  <c r="BL7" i="1"/>
  <c r="BP7" i="1"/>
  <c r="BP20" i="1"/>
  <c r="BL20" i="1"/>
  <c r="K17" i="1"/>
  <c r="BU19" i="1"/>
  <c r="BH20" i="1"/>
  <c r="BH7" i="1"/>
  <c r="AM7" i="1"/>
  <c r="Z7" i="1"/>
  <c r="K13" i="1"/>
  <c r="V20" i="1"/>
  <c r="AU7" i="1"/>
  <c r="BU13" i="1"/>
  <c r="BU12" i="1"/>
  <c r="AU20" i="1"/>
  <c r="AM20" i="1"/>
  <c r="AF13" i="1"/>
  <c r="AQ7" i="1"/>
  <c r="AF12" i="1"/>
  <c r="AF19" i="1"/>
  <c r="AF14" i="1"/>
  <c r="AQ20" i="1"/>
  <c r="K19" i="1"/>
  <c r="R7" i="1"/>
  <c r="V7" i="1"/>
  <c r="Z20" i="1"/>
  <c r="R20" i="1"/>
  <c r="K12" i="1"/>
  <c r="AZ19" i="1"/>
  <c r="AZ13" i="1"/>
  <c r="AZ14" i="1"/>
  <c r="CQ15" i="1" l="1"/>
  <c r="CP15" i="1"/>
  <c r="CQ18" i="1"/>
  <c r="CQ19" i="1"/>
  <c r="J20" i="1"/>
  <c r="J7" i="1"/>
  <c r="CP18" i="1"/>
  <c r="CP16" i="1"/>
  <c r="CQ17" i="1"/>
  <c r="CQ16" i="1"/>
  <c r="CP19" i="1"/>
  <c r="CP17" i="1"/>
  <c r="AL7" i="10"/>
  <c r="AL14" i="1"/>
  <c r="AL6" i="1"/>
  <c r="AL5" i="1"/>
  <c r="AL13" i="1"/>
  <c r="AE12" i="10"/>
  <c r="CP12" i="10" s="1"/>
  <c r="CP7" i="10" s="1"/>
  <c r="AL12" i="1"/>
  <c r="K7" i="1"/>
  <c r="Q7" i="1"/>
  <c r="AT7" i="1"/>
  <c r="AT20" i="1"/>
  <c r="AP7" i="1"/>
  <c r="AP20" i="1"/>
  <c r="AE7" i="10" l="1"/>
  <c r="AE6" i="1"/>
  <c r="CP6" i="1" s="1"/>
  <c r="AE14" i="1"/>
  <c r="CP14" i="1" s="1"/>
  <c r="AE5" i="1"/>
  <c r="CP5" i="1" s="1"/>
  <c r="AE13" i="1"/>
  <c r="CP13" i="1" s="1"/>
  <c r="AE12" i="1"/>
  <c r="CP12" i="1" s="1"/>
  <c r="AE7" i="1" l="1"/>
  <c r="AE20" i="1"/>
  <c r="AL7" i="1"/>
  <c r="AL20" i="1"/>
  <c r="BO7" i="10" l="1"/>
  <c r="BO14" i="1"/>
  <c r="BO6" i="1"/>
  <c r="BO5" i="1"/>
  <c r="BO13" i="1"/>
  <c r="BO12" i="1"/>
  <c r="CQ12" i="10"/>
  <c r="CQ7" i="10" s="1"/>
  <c r="BA7" i="10" l="1"/>
  <c r="BA6" i="1"/>
  <c r="CQ6" i="1" s="1"/>
  <c r="BA14" i="1"/>
  <c r="CQ14" i="1" s="1"/>
  <c r="BA5" i="1"/>
  <c r="CQ5" i="1" s="1"/>
  <c r="BA13" i="1"/>
  <c r="CQ13" i="1" s="1"/>
  <c r="BA12" i="1"/>
  <c r="CQ12" i="1" s="1"/>
  <c r="G5" i="21"/>
  <c r="G4" i="21"/>
  <c r="AF107" i="2" l="1"/>
  <c r="AJ106" i="2"/>
  <c r="BR104" i="2"/>
  <c r="AN102" i="2"/>
  <c r="AW101" i="2"/>
  <c r="BA100" i="2"/>
  <c r="S99" i="2"/>
  <c r="BA97" i="2"/>
  <c r="AF97" i="2"/>
  <c r="BE96" i="2"/>
  <c r="AJ96" i="2"/>
  <c r="AN95" i="2"/>
  <c r="BA93" i="2"/>
  <c r="AF93" i="2"/>
  <c r="BE92" i="2"/>
  <c r="AJ92" i="2"/>
  <c r="AN91" i="2"/>
  <c r="BR90" i="2"/>
  <c r="AW90" i="2"/>
  <c r="BV89" i="2"/>
  <c r="S88" i="2"/>
  <c r="W87" i="2"/>
  <c r="S84" i="2"/>
  <c r="W83" i="2"/>
  <c r="AJ81" i="2"/>
  <c r="AN80" i="2"/>
  <c r="BV78" i="2"/>
  <c r="BA78" i="2"/>
  <c r="BN76" i="2"/>
  <c r="BR75" i="2"/>
  <c r="AW75" i="2"/>
  <c r="BV74" i="2"/>
  <c r="BN72" i="2"/>
  <c r="BR71" i="2"/>
  <c r="AW71" i="2"/>
  <c r="BV70" i="2"/>
  <c r="BE69" i="2"/>
  <c r="BN68" i="2"/>
  <c r="BR67" i="2"/>
  <c r="S65" i="2"/>
  <c r="W64" i="2"/>
  <c r="AN61" i="2"/>
  <c r="AW60" i="2"/>
  <c r="AJ59" i="2"/>
  <c r="BN58" i="2"/>
  <c r="W58" i="2"/>
  <c r="S55" i="2"/>
  <c r="BA53" i="2"/>
  <c r="AF53" i="2"/>
  <c r="BE52" i="2"/>
  <c r="AJ52" i="2"/>
  <c r="BR50" i="2"/>
  <c r="BV49" i="2"/>
  <c r="S48" i="2"/>
  <c r="W47" i="2"/>
  <c r="S44" i="2"/>
  <c r="W43" i="2"/>
  <c r="BE41" i="2"/>
  <c r="S41" i="2"/>
  <c r="W40" i="2"/>
  <c r="BR36" i="2"/>
  <c r="AW36" i="2"/>
  <c r="BV35" i="2"/>
  <c r="BA35" i="2"/>
  <c r="AJ34" i="2"/>
  <c r="BV107" i="2"/>
  <c r="S96" i="2"/>
  <c r="BR107" i="2"/>
  <c r="AN105" i="2"/>
  <c r="AW104" i="2"/>
  <c r="BV103" i="2"/>
  <c r="S102" i="2"/>
  <c r="W101" i="2"/>
  <c r="AF100" i="2"/>
  <c r="BE99" i="2"/>
  <c r="BN98" i="2"/>
  <c r="W98" i="2"/>
  <c r="S95" i="2"/>
  <c r="W94" i="2"/>
  <c r="BE88" i="2"/>
  <c r="BN87" i="2"/>
  <c r="BR86" i="2"/>
  <c r="AW86" i="2"/>
  <c r="BV85" i="2"/>
  <c r="BE84" i="2"/>
  <c r="BN83" i="2"/>
  <c r="BR82" i="2"/>
  <c r="S80" i="2"/>
  <c r="AW79" i="2"/>
  <c r="AF78" i="2"/>
  <c r="BE77" i="2"/>
  <c r="AJ77" i="2"/>
  <c r="AN76" i="2"/>
  <c r="BA74" i="2"/>
  <c r="AF74" i="2"/>
  <c r="BE73" i="2"/>
  <c r="AJ73" i="2"/>
  <c r="AN72" i="2"/>
  <c r="BA70" i="2"/>
  <c r="AF70" i="2"/>
  <c r="AJ69" i="2"/>
  <c r="AN68" i="2"/>
  <c r="BV66" i="2"/>
  <c r="BA66" i="2"/>
  <c r="BE65" i="2"/>
  <c r="BN64" i="2"/>
  <c r="BR63" i="2"/>
  <c r="BV62" i="2"/>
  <c r="S61" i="2"/>
  <c r="AN58" i="2"/>
  <c r="BR57" i="2"/>
  <c r="BV56" i="2"/>
  <c r="BA56" i="2"/>
  <c r="BE55" i="2"/>
  <c r="BN54" i="2"/>
  <c r="W54" i="2"/>
  <c r="AN51" i="2"/>
  <c r="AW50" i="2"/>
  <c r="BA49" i="2"/>
  <c r="AF49" i="2"/>
  <c r="BE48" i="2"/>
  <c r="BN47" i="2"/>
  <c r="BR46" i="2"/>
  <c r="AW46" i="2"/>
  <c r="BV45" i="2"/>
  <c r="BE44" i="2"/>
  <c r="BN43" i="2"/>
  <c r="BR42" i="2"/>
  <c r="AJ41" i="2"/>
  <c r="BN40" i="2"/>
  <c r="BR39" i="2"/>
  <c r="BV38" i="2"/>
  <c r="BA38" i="2"/>
  <c r="AN37" i="2"/>
  <c r="AF35" i="2"/>
  <c r="BE34" i="2"/>
  <c r="W102" i="2"/>
  <c r="AW107" i="2"/>
  <c r="BV106" i="2"/>
  <c r="BA106" i="2"/>
  <c r="S105" i="2"/>
  <c r="BA103" i="2"/>
  <c r="AF103" i="2"/>
  <c r="BN101" i="2"/>
  <c r="BR100" i="2"/>
  <c r="AJ99" i="2"/>
  <c r="AN98" i="2"/>
  <c r="BR97" i="2"/>
  <c r="BV96" i="2"/>
  <c r="BE95" i="2"/>
  <c r="BN94" i="2"/>
  <c r="BR93" i="2"/>
  <c r="BV92" i="2"/>
  <c r="S91" i="2"/>
  <c r="W90" i="2"/>
  <c r="BA89" i="2"/>
  <c r="AF89" i="2"/>
  <c r="AJ88" i="2"/>
  <c r="AN87" i="2"/>
  <c r="BA85" i="2"/>
  <c r="AF85" i="2"/>
  <c r="AJ84" i="2"/>
  <c r="AN83" i="2"/>
  <c r="AW82" i="2"/>
  <c r="BV81" i="2"/>
  <c r="BA81" i="2"/>
  <c r="BE80" i="2"/>
  <c r="BN79" i="2"/>
  <c r="W79" i="2"/>
  <c r="S76" i="2"/>
  <c r="W75" i="2"/>
  <c r="S72" i="2"/>
  <c r="W71" i="2"/>
  <c r="S68" i="2"/>
  <c r="AW67" i="2"/>
  <c r="AF66" i="2"/>
  <c r="AJ65" i="2"/>
  <c r="AN64" i="2"/>
  <c r="AW63" i="2"/>
  <c r="BA62" i="2"/>
  <c r="AF62" i="2"/>
  <c r="BE61" i="2"/>
  <c r="BN60" i="2"/>
  <c r="BV59" i="2"/>
  <c r="BA59" i="2"/>
  <c r="AW57" i="2"/>
  <c r="AF56" i="2"/>
  <c r="AJ55" i="2"/>
  <c r="AN54" i="2"/>
  <c r="BR53" i="2"/>
  <c r="BV52" i="2"/>
  <c r="BE51" i="2"/>
  <c r="S51" i="2"/>
  <c r="W50" i="2"/>
  <c r="AJ48" i="2"/>
  <c r="AN47" i="2"/>
  <c r="BA45" i="2"/>
  <c r="AF45" i="2"/>
  <c r="AJ44" i="2"/>
  <c r="AN43" i="2"/>
  <c r="AW42" i="2"/>
  <c r="BV41" i="2"/>
  <c r="AN40" i="2"/>
  <c r="AW39" i="2"/>
  <c r="AF38" i="2"/>
  <c r="S37" i="2"/>
  <c r="W36" i="2"/>
  <c r="AF37" i="2"/>
  <c r="AJ100" i="2"/>
  <c r="W95" i="2"/>
  <c r="AF106" i="2"/>
  <c r="BE105" i="2"/>
  <c r="BN104" i="2"/>
  <c r="W104" i="2"/>
  <c r="BE102" i="2"/>
  <c r="AJ102" i="2"/>
  <c r="AN101" i="2"/>
  <c r="AW100" i="2"/>
  <c r="BV99" i="2"/>
  <c r="AW97" i="2"/>
  <c r="BA96" i="2"/>
  <c r="AF96" i="2"/>
  <c r="AJ95" i="2"/>
  <c r="AN94" i="2"/>
  <c r="AW93" i="2"/>
  <c r="BA92" i="2"/>
  <c r="AF92" i="2"/>
  <c r="BE91" i="2"/>
  <c r="AJ91" i="2"/>
  <c r="BN90" i="2"/>
  <c r="BR89" i="2"/>
  <c r="S87" i="2"/>
  <c r="W86" i="2"/>
  <c r="S83" i="2"/>
  <c r="AF81" i="2"/>
  <c r="AJ80" i="2"/>
  <c r="BR78" i="2"/>
  <c r="AW78" i="2"/>
  <c r="BV77" i="2"/>
  <c r="BN75" i="2"/>
  <c r="BR74" i="2"/>
  <c r="BV73" i="2"/>
  <c r="BN71" i="2"/>
  <c r="BR70" i="2"/>
  <c r="BV69" i="2"/>
  <c r="BA69" i="2"/>
  <c r="BN67" i="2"/>
  <c r="W67" i="2"/>
  <c r="S64" i="2"/>
  <c r="W63" i="2"/>
  <c r="AJ61" i="2"/>
  <c r="AF59" i="2"/>
  <c r="BE58" i="2"/>
  <c r="S58" i="2"/>
  <c r="W57" i="2"/>
  <c r="AW53" i="2"/>
  <c r="BA52" i="2"/>
  <c r="AF52" i="2"/>
  <c r="BN50" i="2"/>
  <c r="BR49" i="2"/>
  <c r="S47" i="2"/>
  <c r="W46" i="2"/>
  <c r="S43" i="2"/>
  <c r="BA41" i="2"/>
  <c r="S40" i="2"/>
  <c r="W39" i="2"/>
  <c r="BE37" i="2"/>
  <c r="BN36" i="2"/>
  <c r="BR35" i="2"/>
  <c r="AW35" i="2"/>
  <c r="BV34" i="2"/>
  <c r="BR37" i="2"/>
  <c r="BN107" i="2"/>
  <c r="W107" i="2"/>
  <c r="AJ105" i="2"/>
  <c r="AN104" i="2"/>
  <c r="BR103" i="2"/>
  <c r="S101" i="2"/>
  <c r="BA99" i="2"/>
  <c r="S98" i="2"/>
  <c r="W97" i="2"/>
  <c r="S94" i="2"/>
  <c r="W93" i="2"/>
  <c r="AN90" i="2"/>
  <c r="BV88" i="2"/>
  <c r="BA88" i="2"/>
  <c r="BE87" i="2"/>
  <c r="BN86" i="2"/>
  <c r="BR85" i="2"/>
  <c r="BV84" i="2"/>
  <c r="BA84" i="2"/>
  <c r="BE83" i="2"/>
  <c r="BN82" i="2"/>
  <c r="W82" i="2"/>
  <c r="AN79" i="2"/>
  <c r="BA77" i="2"/>
  <c r="AF77" i="2"/>
  <c r="BE76" i="2"/>
  <c r="AJ76" i="2"/>
  <c r="AN75" i="2"/>
  <c r="AW74" i="2"/>
  <c r="BA73" i="2"/>
  <c r="AF73" i="2"/>
  <c r="BE72" i="2"/>
  <c r="AJ72" i="2"/>
  <c r="AN71" i="2"/>
  <c r="AW70" i="2"/>
  <c r="AF69" i="2"/>
  <c r="BE68" i="2"/>
  <c r="AJ68" i="2"/>
  <c r="BR66" i="2"/>
  <c r="AW66" i="2"/>
  <c r="BV65" i="2"/>
  <c r="BA65" i="2"/>
  <c r="BE64" i="2"/>
  <c r="BN63" i="2"/>
  <c r="BR62" i="2"/>
  <c r="BV61" i="2"/>
  <c r="W60" i="2"/>
  <c r="AJ58" i="2"/>
  <c r="BN57" i="2"/>
  <c r="BR56" i="2"/>
  <c r="AW56" i="2"/>
  <c r="BV55" i="2"/>
  <c r="BA55" i="2"/>
  <c r="BE54" i="2"/>
  <c r="S54" i="2"/>
  <c r="W53" i="2"/>
  <c r="AJ51" i="2"/>
  <c r="AN50" i="2"/>
  <c r="AW49" i="2"/>
  <c r="BV48" i="2"/>
  <c r="BA48" i="2"/>
  <c r="BE47" i="2"/>
  <c r="BN46" i="2"/>
  <c r="BR45" i="2"/>
  <c r="BV44" i="2"/>
  <c r="BA44" i="2"/>
  <c r="BE43" i="2"/>
  <c r="BN42" i="2"/>
  <c r="W42" i="2"/>
  <c r="AF41" i="2"/>
  <c r="BE40" i="2"/>
  <c r="BN39" i="2"/>
  <c r="BR38" i="2"/>
  <c r="AW38" i="2"/>
  <c r="BV37" i="2"/>
  <c r="AJ37" i="2"/>
  <c r="AN36" i="2"/>
  <c r="BA34" i="2"/>
  <c r="AF34" i="2"/>
  <c r="BA104" i="2"/>
  <c r="BR106" i="2"/>
  <c r="AW106" i="2"/>
  <c r="BV105" i="2"/>
  <c r="AW103" i="2"/>
  <c r="BV102" i="2"/>
  <c r="BN100" i="2"/>
  <c r="W100" i="2"/>
  <c r="AF99" i="2"/>
  <c r="BE98" i="2"/>
  <c r="AJ98" i="2"/>
  <c r="BN97" i="2"/>
  <c r="BR96" i="2"/>
  <c r="BV95" i="2"/>
  <c r="BA95" i="2"/>
  <c r="BE94" i="2"/>
  <c r="BN93" i="2"/>
  <c r="BR92" i="2"/>
  <c r="BV91" i="2"/>
  <c r="S90" i="2"/>
  <c r="AW89" i="2"/>
  <c r="AF88" i="2"/>
  <c r="AJ87" i="2"/>
  <c r="AN86" i="2"/>
  <c r="AW85" i="2"/>
  <c r="AF84" i="2"/>
  <c r="AJ83" i="2"/>
  <c r="AN82" i="2"/>
  <c r="BR81" i="2"/>
  <c r="AW81" i="2"/>
  <c r="BV80" i="2"/>
  <c r="BA80" i="2"/>
  <c r="S79" i="2"/>
  <c r="W78" i="2"/>
  <c r="S75" i="2"/>
  <c r="W74" i="2"/>
  <c r="S71" i="2"/>
  <c r="W70" i="2"/>
  <c r="AN67" i="2"/>
  <c r="AF65" i="2"/>
  <c r="AJ64" i="2"/>
  <c r="AN63" i="2"/>
  <c r="AW62" i="2"/>
  <c r="BA61" i="2"/>
  <c r="AN60" i="2"/>
  <c r="BR59" i="2"/>
  <c r="AW59" i="2"/>
  <c r="AN57" i="2"/>
  <c r="AF55" i="2"/>
  <c r="AJ54" i="2"/>
  <c r="BN53" i="2"/>
  <c r="BR52" i="2"/>
  <c r="BV51" i="2"/>
  <c r="BA51" i="2"/>
  <c r="S50" i="2"/>
  <c r="W49" i="2"/>
  <c r="AF48" i="2"/>
  <c r="AJ47" i="2"/>
  <c r="AN46" i="2"/>
  <c r="AW45" i="2"/>
  <c r="AF44" i="2"/>
  <c r="AJ43" i="2"/>
  <c r="AN42" i="2"/>
  <c r="BR41" i="2"/>
  <c r="AJ40" i="2"/>
  <c r="AN39" i="2"/>
  <c r="S36" i="2"/>
  <c r="W35" i="2"/>
  <c r="AN35" i="2"/>
  <c r="BR98" i="2"/>
  <c r="AN107" i="2"/>
  <c r="BA105" i="2"/>
  <c r="S104" i="2"/>
  <c r="W103" i="2"/>
  <c r="BA102" i="2"/>
  <c r="AF102" i="2"/>
  <c r="BE101" i="2"/>
  <c r="AJ101" i="2"/>
  <c r="BR99" i="2"/>
  <c r="AN97" i="2"/>
  <c r="AW96" i="2"/>
  <c r="AF95" i="2"/>
  <c r="AJ94" i="2"/>
  <c r="AN93" i="2"/>
  <c r="AW92" i="2"/>
  <c r="BA91" i="2"/>
  <c r="AF91" i="2"/>
  <c r="BE90" i="2"/>
  <c r="BN89" i="2"/>
  <c r="W89" i="2"/>
  <c r="S86" i="2"/>
  <c r="W85" i="2"/>
  <c r="AF80" i="2"/>
  <c r="BN78" i="2"/>
  <c r="BR77" i="2"/>
  <c r="BV76" i="2"/>
  <c r="BE75" i="2"/>
  <c r="BN74" i="2"/>
  <c r="BR73" i="2"/>
  <c r="BV72" i="2"/>
  <c r="BE71" i="2"/>
  <c r="BN70" i="2"/>
  <c r="BR69" i="2"/>
  <c r="AW69" i="2"/>
  <c r="BV68" i="2"/>
  <c r="S67" i="2"/>
  <c r="W66" i="2"/>
  <c r="S63" i="2"/>
  <c r="W62" i="2"/>
  <c r="AF61" i="2"/>
  <c r="BE60" i="2"/>
  <c r="BV58" i="2"/>
  <c r="BA58" i="2"/>
  <c r="S57" i="2"/>
  <c r="W56" i="2"/>
  <c r="AN53" i="2"/>
  <c r="AW52" i="2"/>
  <c r="BN49" i="2"/>
  <c r="S46" i="2"/>
  <c r="W45" i="2"/>
  <c r="AW41" i="2"/>
  <c r="S39" i="2"/>
  <c r="W38" i="2"/>
  <c r="BA37" i="2"/>
  <c r="BE36" i="2"/>
  <c r="BN35" i="2"/>
  <c r="BR34" i="2"/>
  <c r="AW34" i="2"/>
  <c r="S107" i="2"/>
  <c r="W106" i="2"/>
  <c r="AF105" i="2"/>
  <c r="BE104" i="2"/>
  <c r="AJ104" i="2"/>
  <c r="BN103" i="2"/>
  <c r="AN100" i="2"/>
  <c r="AW99" i="2"/>
  <c r="BV98" i="2"/>
  <c r="S97" i="2"/>
  <c r="W96" i="2"/>
  <c r="S93" i="2"/>
  <c r="W92" i="2"/>
  <c r="AJ90" i="2"/>
  <c r="BR88" i="2"/>
  <c r="AW88" i="2"/>
  <c r="BV87" i="2"/>
  <c r="BA87" i="2"/>
  <c r="BE86" i="2"/>
  <c r="BN85" i="2"/>
  <c r="BR84" i="2"/>
  <c r="AW84" i="2"/>
  <c r="BV83" i="2"/>
  <c r="BA83" i="2"/>
  <c r="S82" i="2"/>
  <c r="W81" i="2"/>
  <c r="BE79" i="2"/>
  <c r="AJ79" i="2"/>
  <c r="AN78" i="2"/>
  <c r="AW77" i="2"/>
  <c r="BA76" i="2"/>
  <c r="AF76" i="2"/>
  <c r="AJ75" i="2"/>
  <c r="AN74" i="2"/>
  <c r="AW73" i="2"/>
  <c r="BA72" i="2"/>
  <c r="AF72" i="2"/>
  <c r="AJ71" i="2"/>
  <c r="AN70" i="2"/>
  <c r="BA68" i="2"/>
  <c r="AF68" i="2"/>
  <c r="BN66" i="2"/>
  <c r="BR65" i="2"/>
  <c r="AW65" i="2"/>
  <c r="BV64" i="2"/>
  <c r="BA64" i="2"/>
  <c r="BN62" i="2"/>
  <c r="BR61" i="2"/>
  <c r="S60" i="2"/>
  <c r="AF58" i="2"/>
  <c r="BN56" i="2"/>
  <c r="BR55" i="2"/>
  <c r="AW55" i="2"/>
  <c r="BV54" i="2"/>
  <c r="BA54" i="2"/>
  <c r="S53" i="2"/>
  <c r="W52" i="2"/>
  <c r="AF51" i="2"/>
  <c r="BE50" i="2"/>
  <c r="AJ50" i="2"/>
  <c r="AN49" i="2"/>
  <c r="BR48" i="2"/>
  <c r="AW48" i="2"/>
  <c r="BV47" i="2"/>
  <c r="BA47" i="2"/>
  <c r="BE46" i="2"/>
  <c r="BN45" i="2"/>
  <c r="BR44" i="2"/>
  <c r="AW44" i="2"/>
  <c r="BV43" i="2"/>
  <c r="BA43" i="2"/>
  <c r="S42" i="2"/>
  <c r="BV40" i="2"/>
  <c r="BA40" i="2"/>
  <c r="BN38" i="2"/>
  <c r="AJ36" i="2"/>
  <c r="BE107" i="2"/>
  <c r="BN106" i="2"/>
  <c r="BR105" i="2"/>
  <c r="AN103" i="2"/>
  <c r="BR102" i="2"/>
  <c r="BV101" i="2"/>
  <c r="S100" i="2"/>
  <c r="BA98" i="2"/>
  <c r="AF98" i="2"/>
  <c r="BN96" i="2"/>
  <c r="BR95" i="2"/>
  <c r="AW95" i="2"/>
  <c r="BV94" i="2"/>
  <c r="BA94" i="2"/>
  <c r="BN92" i="2"/>
  <c r="BR91" i="2"/>
  <c r="AN89" i="2"/>
  <c r="AF87" i="2"/>
  <c r="AJ86" i="2"/>
  <c r="AN85" i="2"/>
  <c r="AF83" i="2"/>
  <c r="BE82" i="2"/>
  <c r="AJ82" i="2"/>
  <c r="BN81" i="2"/>
  <c r="BR80" i="2"/>
  <c r="AW80" i="2"/>
  <c r="BV79" i="2"/>
  <c r="S78" i="2"/>
  <c r="W77" i="2"/>
  <c r="S74" i="2"/>
  <c r="W73" i="2"/>
  <c r="S70" i="2"/>
  <c r="W69" i="2"/>
  <c r="BE67" i="2"/>
  <c r="AJ67" i="2"/>
  <c r="AN66" i="2"/>
  <c r="AF64" i="2"/>
  <c r="BE63" i="2"/>
  <c r="AJ63" i="2"/>
  <c r="AN62" i="2"/>
  <c r="AW61" i="2"/>
  <c r="BV60" i="2"/>
  <c r="AJ60" i="2"/>
  <c r="BN59" i="2"/>
  <c r="W59" i="2"/>
  <c r="BE57" i="2"/>
  <c r="AJ57" i="2"/>
  <c r="AN56" i="2"/>
  <c r="AF54" i="2"/>
  <c r="BN52" i="2"/>
  <c r="BR51" i="2"/>
  <c r="AW51" i="2"/>
  <c r="S49" i="2"/>
  <c r="AF47" i="2"/>
  <c r="AJ46" i="2"/>
  <c r="AN45" i="2"/>
  <c r="AF43" i="2"/>
  <c r="BE42" i="2"/>
  <c r="AJ42" i="2"/>
  <c r="BN41" i="2"/>
  <c r="AF40" i="2"/>
  <c r="BE39" i="2"/>
  <c r="AJ39" i="2"/>
  <c r="AN38" i="2"/>
  <c r="S35" i="2"/>
  <c r="W34" i="2"/>
  <c r="AF104" i="2"/>
  <c r="AJ107" i="2"/>
  <c r="AN106" i="2"/>
  <c r="AW105" i="2"/>
  <c r="BV104" i="2"/>
  <c r="S103" i="2"/>
  <c r="AW102" i="2"/>
  <c r="BA101" i="2"/>
  <c r="AF101" i="2"/>
  <c r="BE100" i="2"/>
  <c r="BN99" i="2"/>
  <c r="W99" i="2"/>
  <c r="BE97" i="2"/>
  <c r="AJ97" i="2"/>
  <c r="AN96" i="2"/>
  <c r="AF94" i="2"/>
  <c r="BE93" i="2"/>
  <c r="AJ93" i="2"/>
  <c r="AN92" i="2"/>
  <c r="AW91" i="2"/>
  <c r="BV90" i="2"/>
  <c r="BA90" i="2"/>
  <c r="S89" i="2"/>
  <c r="W88" i="2"/>
  <c r="S85" i="2"/>
  <c r="W84" i="2"/>
  <c r="AN81" i="2"/>
  <c r="BE78" i="2"/>
  <c r="BN77" i="2"/>
  <c r="BR76" i="2"/>
  <c r="BV75" i="2"/>
  <c r="BA75" i="2"/>
  <c r="BN73" i="2"/>
  <c r="BR72" i="2"/>
  <c r="BV71" i="2"/>
  <c r="BA71" i="2"/>
  <c r="BN69" i="2"/>
  <c r="BR68" i="2"/>
  <c r="BV67" i="2"/>
  <c r="S66" i="2"/>
  <c r="W65" i="2"/>
  <c r="S62" i="2"/>
  <c r="BA60" i="2"/>
  <c r="AN59" i="2"/>
  <c r="BR58" i="2"/>
  <c r="AW58" i="2"/>
  <c r="S56" i="2"/>
  <c r="W55" i="2"/>
  <c r="BE53" i="2"/>
  <c r="AJ53" i="2"/>
  <c r="AN52" i="2"/>
  <c r="BV50" i="2"/>
  <c r="W48" i="2"/>
  <c r="S45" i="2"/>
  <c r="W44" i="2"/>
  <c r="W41" i="2"/>
  <c r="S38" i="2"/>
  <c r="AW37" i="2"/>
  <c r="BV36" i="2"/>
  <c r="BA36" i="2"/>
  <c r="BE35" i="2"/>
  <c r="BN34" i="2"/>
  <c r="S106" i="2"/>
  <c r="BE103" i="2"/>
  <c r="BR94" i="2"/>
  <c r="BE81" i="2"/>
  <c r="AF79" i="2"/>
  <c r="AW68" i="2"/>
  <c r="BR64" i="2"/>
  <c r="W61" i="2"/>
  <c r="AJ45" i="2"/>
  <c r="AW40" i="2"/>
  <c r="BE74" i="2"/>
  <c r="AN73" i="2"/>
  <c r="AF67" i="2"/>
  <c r="BA63" i="2"/>
  <c r="AJ56" i="2"/>
  <c r="BA50" i="2"/>
  <c r="AF39" i="2"/>
  <c r="S69" i="2"/>
  <c r="BV86" i="2"/>
  <c r="AJ62" i="2"/>
  <c r="BA57" i="2"/>
  <c r="BV53" i="2"/>
  <c r="AJ49" i="2"/>
  <c r="AJ89" i="2"/>
  <c r="BE85" i="2"/>
  <c r="AN84" i="2"/>
  <c r="AJ78" i="2"/>
  <c r="W72" i="2"/>
  <c r="BN51" i="2"/>
  <c r="BV46" i="2"/>
  <c r="BA67" i="2"/>
  <c r="AF60" i="2"/>
  <c r="S52" i="2"/>
  <c r="AJ38" i="2"/>
  <c r="W105" i="2"/>
  <c r="S92" i="2"/>
  <c r="AN88" i="2"/>
  <c r="S81" i="2"/>
  <c r="S59" i="2"/>
  <c r="AW43" i="2"/>
  <c r="BV39" i="2"/>
  <c r="AW87" i="2"/>
  <c r="AF75" i="2"/>
  <c r="AJ35" i="2"/>
  <c r="W80" i="2"/>
  <c r="BR43" i="2"/>
  <c r="BE70" i="2"/>
  <c r="BN65" i="2"/>
  <c r="BR54" i="2"/>
  <c r="BA42" i="2"/>
  <c r="BN37" i="2"/>
  <c r="AF90" i="2"/>
  <c r="BA86" i="2"/>
  <c r="W68" i="2"/>
  <c r="AF63" i="2"/>
  <c r="AN34" i="2"/>
  <c r="BE59" i="2"/>
  <c r="BV42" i="2"/>
  <c r="BN102" i="2"/>
  <c r="AN99" i="2"/>
  <c r="BV93" i="2"/>
  <c r="BN91" i="2"/>
  <c r="BN80" i="2"/>
  <c r="BA79" i="2"/>
  <c r="S77" i="2"/>
  <c r="AF71" i="2"/>
  <c r="BV63" i="2"/>
  <c r="BV57" i="2"/>
  <c r="BE56" i="2"/>
  <c r="BE45" i="2"/>
  <c r="AN44" i="2"/>
  <c r="BR40" i="2"/>
  <c r="AJ66" i="2"/>
  <c r="BE62" i="2"/>
  <c r="AN55" i="2"/>
  <c r="BE49" i="2"/>
  <c r="BA39" i="2"/>
  <c r="W37" i="2"/>
  <c r="BR101" i="2"/>
  <c r="AW98" i="2"/>
  <c r="BE89" i="2"/>
  <c r="AF82" i="2"/>
  <c r="AN77" i="2"/>
  <c r="BN44" i="2"/>
  <c r="AF36" i="2"/>
  <c r="BV100" i="2"/>
  <c r="BN88" i="2"/>
  <c r="BR83" i="2"/>
  <c r="BA82" i="2"/>
  <c r="AW76" i="2"/>
  <c r="BN48" i="2"/>
  <c r="S34" i="2"/>
  <c r="AJ103" i="2"/>
  <c r="AW94" i="2"/>
  <c r="W91" i="2"/>
  <c r="AN69" i="2"/>
  <c r="AW64" i="2"/>
  <c r="AF46" i="2"/>
  <c r="AN41" i="2"/>
  <c r="BN95" i="2"/>
  <c r="BV82" i="2"/>
  <c r="AF57" i="2"/>
  <c r="BV97" i="2"/>
  <c r="S73" i="2"/>
  <c r="BN84" i="2"/>
  <c r="AW83" i="2"/>
  <c r="AW72" i="2"/>
  <c r="AN65" i="2"/>
  <c r="AW47" i="2"/>
  <c r="AF50" i="2"/>
  <c r="BN105" i="2"/>
  <c r="BA46" i="2"/>
  <c r="BR79" i="2"/>
  <c r="W76" i="2"/>
  <c r="AJ70" i="2"/>
  <c r="BE66" i="2"/>
  <c r="BN61" i="2"/>
  <c r="BN55" i="2"/>
  <c r="AW54" i="2"/>
  <c r="AN48" i="2"/>
  <c r="AF42" i="2"/>
  <c r="BE38" i="2"/>
  <c r="W51" i="2"/>
  <c r="BA107" i="2"/>
  <c r="AF86" i="2"/>
  <c r="BR87" i="2"/>
  <c r="AJ74" i="2"/>
  <c r="BR60" i="2"/>
  <c r="AJ85" i="2"/>
  <c r="BR47" i="2"/>
  <c r="BE106" i="2"/>
  <c r="BQ22" i="2"/>
  <c r="BU22" i="2"/>
  <c r="R22" i="2"/>
  <c r="AE22" i="2"/>
  <c r="N22" i="2"/>
  <c r="AV22" i="2"/>
  <c r="V22" i="2"/>
  <c r="AZ22" i="2"/>
  <c r="AI22" i="2"/>
  <c r="BM22" i="2"/>
  <c r="AM22" i="2"/>
  <c r="BD22" i="2"/>
  <c r="S22" i="2"/>
  <c r="AW22" i="2"/>
  <c r="AJ22" i="2"/>
  <c r="AN22" i="2"/>
  <c r="BR22" i="2"/>
  <c r="W22" i="2"/>
  <c r="BV22" i="2"/>
  <c r="AF22" i="2"/>
  <c r="BA22" i="2"/>
  <c r="BN22" i="2"/>
  <c r="BE22" i="2"/>
  <c r="N16" i="2"/>
  <c r="BD25" i="2"/>
  <c r="V32" i="2"/>
  <c r="BD27" i="2"/>
  <c r="BQ26" i="2"/>
  <c r="BM33" i="2"/>
  <c r="AV21" i="2"/>
  <c r="AE10" i="2"/>
  <c r="AE15" i="2"/>
  <c r="V27" i="2"/>
  <c r="BQ15" i="2"/>
  <c r="N25" i="2"/>
  <c r="AM20" i="2"/>
  <c r="AZ21" i="2"/>
  <c r="V20" i="2"/>
  <c r="AE14" i="2"/>
  <c r="AI20" i="2"/>
  <c r="BU23" i="2"/>
  <c r="AE26" i="2"/>
  <c r="R19" i="2"/>
  <c r="AE30" i="2"/>
  <c r="BQ17" i="2"/>
  <c r="V15" i="2"/>
  <c r="AI14" i="2"/>
  <c r="AM12" i="2"/>
  <c r="V13" i="2"/>
  <c r="AM11" i="2"/>
  <c r="AV25" i="2"/>
  <c r="AM32" i="2"/>
  <c r="V16" i="2"/>
  <c r="N24" i="2"/>
  <c r="AE24" i="2"/>
  <c r="R18" i="2"/>
  <c r="V12" i="2"/>
  <c r="N33" i="2"/>
  <c r="N13" i="2"/>
  <c r="AM26" i="2"/>
  <c r="AE31" i="2"/>
  <c r="BU29" i="2"/>
  <c r="BM14" i="2"/>
  <c r="V28" i="2"/>
  <c r="AZ16" i="2"/>
  <c r="V21" i="2"/>
  <c r="BD14" i="2"/>
  <c r="BU19" i="2"/>
  <c r="BU26" i="2"/>
  <c r="V24" i="2"/>
  <c r="BU24" i="2"/>
  <c r="V18" i="2"/>
  <c r="BD26" i="2"/>
  <c r="AV16" i="2"/>
  <c r="BQ18" i="2"/>
  <c r="AI21" i="2"/>
  <c r="AE18" i="2"/>
  <c r="AZ10" i="2"/>
  <c r="AI17" i="2"/>
  <c r="BU15" i="2"/>
  <c r="AE29" i="2"/>
  <c r="AE33" i="2"/>
  <c r="BD23" i="2"/>
  <c r="R31" i="2"/>
  <c r="AI32" i="2"/>
  <c r="BM16" i="2"/>
  <c r="BD24" i="2"/>
  <c r="AV20" i="2"/>
  <c r="AM13" i="2"/>
  <c r="BU17" i="2"/>
  <c r="AI33" i="2"/>
  <c r="BQ28" i="2"/>
  <c r="R21" i="2"/>
  <c r="AZ32" i="2"/>
  <c r="AI18" i="2"/>
  <c r="BM21" i="2"/>
  <c r="V29" i="2"/>
  <c r="BQ30" i="2"/>
  <c r="AV27" i="2"/>
  <c r="AZ30" i="2"/>
  <c r="AM15" i="2"/>
  <c r="AV18" i="2"/>
  <c r="N10" i="2"/>
  <c r="AE21" i="2"/>
  <c r="AM29" i="2"/>
  <c r="BM27" i="2"/>
  <c r="BM29" i="2"/>
  <c r="R24" i="2"/>
  <c r="R27" i="2"/>
  <c r="BM25" i="2"/>
  <c r="N12" i="2"/>
  <c r="N26" i="2"/>
  <c r="V31" i="2"/>
  <c r="AV33" i="2"/>
  <c r="BM30" i="2"/>
  <c r="AI29" i="2"/>
  <c r="AI31" i="2"/>
  <c r="AE12" i="2"/>
  <c r="R16" i="2"/>
  <c r="AI13" i="2"/>
  <c r="AZ17" i="2"/>
  <c r="BM28" i="2"/>
  <c r="R13" i="2"/>
  <c r="BM17" i="2"/>
  <c r="AM18" i="2"/>
  <c r="AZ24" i="2"/>
  <c r="V25" i="2"/>
  <c r="BM15" i="2"/>
  <c r="BM13" i="2"/>
  <c r="AI16" i="2"/>
  <c r="V17" i="2"/>
  <c r="R26" i="2"/>
  <c r="AM28" i="2"/>
  <c r="AI23" i="2"/>
  <c r="AV12" i="2"/>
  <c r="N21" i="2"/>
  <c r="N19" i="2"/>
  <c r="R12" i="2"/>
  <c r="BU33" i="2"/>
  <c r="BQ21" i="2"/>
  <c r="V11" i="2"/>
  <c r="AI25" i="2"/>
  <c r="N18" i="2"/>
  <c r="BD29" i="2"/>
  <c r="AZ13" i="2"/>
  <c r="AV19" i="2"/>
  <c r="AZ25" i="2"/>
  <c r="BM20" i="2"/>
  <c r="AM14" i="2"/>
  <c r="BQ24" i="2"/>
  <c r="AZ27" i="2"/>
  <c r="AM30" i="2"/>
  <c r="AZ33" i="2"/>
  <c r="V33" i="2"/>
  <c r="BD17" i="2"/>
  <c r="AV26" i="2"/>
  <c r="N31" i="2"/>
  <c r="BD16" i="2"/>
  <c r="AI12" i="2"/>
  <c r="AV14" i="2"/>
  <c r="AE25" i="2"/>
  <c r="BM26" i="2"/>
  <c r="BU16" i="2"/>
  <c r="AE20" i="2"/>
  <c r="BU14" i="2"/>
  <c r="AI19" i="2"/>
  <c r="BQ14" i="2"/>
  <c r="AV24" i="2"/>
  <c r="BU18" i="2"/>
  <c r="AM21" i="2"/>
  <c r="BD11" i="2"/>
  <c r="R11" i="2"/>
  <c r="BM19" i="2"/>
  <c r="AI11" i="2"/>
  <c r="BM23" i="2"/>
  <c r="AZ18" i="2"/>
  <c r="AE17" i="2"/>
  <c r="AM31" i="2"/>
  <c r="AI15" i="2"/>
  <c r="BU28" i="2"/>
  <c r="AI27" i="2"/>
  <c r="AE32" i="2"/>
  <c r="BU32" i="2"/>
  <c r="AM23" i="2"/>
  <c r="BD15" i="2"/>
  <c r="AV17" i="2"/>
  <c r="BM24" i="2"/>
  <c r="AM17" i="2"/>
  <c r="N28" i="2"/>
  <c r="BQ13" i="2"/>
  <c r="N14" i="2"/>
  <c r="BU31" i="2"/>
  <c r="AV29" i="2"/>
  <c r="BQ16" i="2"/>
  <c r="V30" i="2"/>
  <c r="BQ12" i="2"/>
  <c r="N15" i="2"/>
  <c r="R23" i="2"/>
  <c r="R30" i="2"/>
  <c r="AM33" i="2"/>
  <c r="R15" i="2"/>
  <c r="N32" i="2"/>
  <c r="BM31" i="2"/>
  <c r="R25" i="2"/>
  <c r="BD28" i="2"/>
  <c r="AZ12" i="2"/>
  <c r="AM19" i="2"/>
  <c r="BU12" i="2"/>
  <c r="BU20" i="2"/>
  <c r="AZ28" i="2"/>
  <c r="N27" i="2"/>
  <c r="AV10" i="2"/>
  <c r="AV23" i="2"/>
  <c r="BQ31" i="2"/>
  <c r="BU10" i="2"/>
  <c r="BM18" i="2"/>
  <c r="BD10" i="2"/>
  <c r="N29" i="2"/>
  <c r="AZ19" i="2"/>
  <c r="AZ29" i="2"/>
  <c r="N17" i="2"/>
  <c r="V26" i="2"/>
  <c r="AI26" i="2"/>
  <c r="BU13" i="2"/>
  <c r="R20" i="2"/>
  <c r="AE11" i="2"/>
  <c r="V14" i="2"/>
  <c r="R33" i="2"/>
  <c r="R32" i="2"/>
  <c r="BD21" i="2"/>
  <c r="AZ14" i="2"/>
  <c r="AI30" i="2"/>
  <c r="BU30" i="2"/>
  <c r="AI10" i="2"/>
  <c r="R17" i="2"/>
  <c r="N30" i="2"/>
  <c r="AE28" i="2"/>
  <c r="BM12" i="2"/>
  <c r="AE16" i="2"/>
  <c r="AE19" i="2"/>
  <c r="BU25" i="2"/>
  <c r="BD20" i="2"/>
  <c r="R10" i="2"/>
  <c r="BD33" i="2"/>
  <c r="AZ15" i="2"/>
  <c r="AZ11" i="2"/>
  <c r="BQ33" i="2"/>
  <c r="AM16" i="2"/>
  <c r="BQ19" i="2"/>
  <c r="AZ20" i="2"/>
  <c r="BD13" i="2"/>
  <c r="BU21" i="2"/>
  <c r="BU27" i="2"/>
  <c r="BQ11" i="2"/>
  <c r="BD12" i="2"/>
  <c r="AV15" i="2"/>
  <c r="AI24" i="2"/>
  <c r="AM25" i="2"/>
  <c r="AV30" i="2"/>
  <c r="AM24" i="2"/>
  <c r="BU11" i="2"/>
  <c r="AV32" i="2"/>
  <c r="AE13" i="2"/>
  <c r="R29" i="2"/>
  <c r="N23" i="2"/>
  <c r="BQ25" i="2"/>
  <c r="AE27" i="2"/>
  <c r="BD32" i="2"/>
  <c r="V10" i="2"/>
  <c r="BQ32" i="2"/>
  <c r="R14" i="2"/>
  <c r="BQ23" i="2"/>
  <c r="BD19" i="2"/>
  <c r="BQ20" i="2"/>
  <c r="AV13" i="2"/>
  <c r="AZ31" i="2"/>
  <c r="BD18" i="2"/>
  <c r="N11" i="2"/>
  <c r="BM11" i="2"/>
  <c r="N20" i="2"/>
  <c r="V19" i="2"/>
  <c r="AZ26" i="2"/>
  <c r="AZ23" i="2"/>
  <c r="BQ29" i="2"/>
  <c r="BM32" i="2"/>
  <c r="AM27" i="2"/>
  <c r="BM10" i="2"/>
  <c r="AV11" i="2"/>
  <c r="BD30" i="2"/>
  <c r="V23" i="2"/>
  <c r="BQ27" i="2"/>
  <c r="AV28" i="2"/>
  <c r="R28" i="2"/>
  <c r="BD31" i="2"/>
  <c r="AV31" i="2"/>
  <c r="AI28" i="2"/>
  <c r="AE23" i="2"/>
  <c r="BA11" i="2"/>
  <c r="BV11" i="2"/>
  <c r="BN12" i="2"/>
  <c r="BA13" i="2"/>
  <c r="BV13" i="2"/>
  <c r="BE15" i="2"/>
  <c r="AF16" i="2"/>
  <c r="W17" i="2"/>
  <c r="BE18" i="2"/>
  <c r="AF19" i="2"/>
  <c r="W20" i="2"/>
  <c r="AJ21" i="2"/>
  <c r="AJ25" i="2"/>
  <c r="AW26" i="2"/>
  <c r="AN27" i="2"/>
  <c r="AW29" i="2"/>
  <c r="BR29" i="2"/>
  <c r="AN30" i="2"/>
  <c r="BA31" i="2"/>
  <c r="BV31" i="2"/>
  <c r="S33" i="2"/>
  <c r="AW11" i="2"/>
  <c r="BR11" i="2"/>
  <c r="BE12" i="2"/>
  <c r="AW13" i="2"/>
  <c r="BR13" i="2"/>
  <c r="AN14" i="2"/>
  <c r="BA15" i="2"/>
  <c r="S17" i="2"/>
  <c r="BA18" i="2"/>
  <c r="BV18" i="2"/>
  <c r="S20" i="2"/>
  <c r="AF21" i="2"/>
  <c r="W23" i="2"/>
  <c r="BE24" i="2"/>
  <c r="AF25" i="2"/>
  <c r="W26" i="2"/>
  <c r="AJ27" i="2"/>
  <c r="BN29" i="2"/>
  <c r="AJ30" i="2"/>
  <c r="AW31" i="2"/>
  <c r="BR31" i="2"/>
  <c r="AN32" i="2"/>
  <c r="AJ11" i="2"/>
  <c r="AW14" i="2"/>
  <c r="BR14" i="2"/>
  <c r="S16" i="2"/>
  <c r="AN16" i="2"/>
  <c r="BE17" i="2"/>
  <c r="BA19" i="2"/>
  <c r="W21" i="2"/>
  <c r="S23" i="2"/>
  <c r="AN23" i="2"/>
  <c r="BA25" i="2"/>
  <c r="BV25" i="2"/>
  <c r="BR26" i="2"/>
  <c r="S28" i="2"/>
  <c r="AF30" i="2"/>
  <c r="W33" i="2"/>
  <c r="S11" i="2"/>
  <c r="BN11" i="2"/>
  <c r="S12" i="2"/>
  <c r="AF13" i="2"/>
  <c r="AF14" i="2"/>
  <c r="BR15" i="2"/>
  <c r="AN17" i="2"/>
  <c r="AJ18" i="2"/>
  <c r="AJ19" i="2"/>
  <c r="BA20" i="2"/>
  <c r="BV20" i="2"/>
  <c r="AF26" i="2"/>
  <c r="BA26" i="2"/>
  <c r="BN28" i="2"/>
  <c r="AJ29" i="2"/>
  <c r="BE29" i="2"/>
  <c r="BE30" i="2"/>
  <c r="AF31" i="2"/>
  <c r="AF32" i="2"/>
  <c r="BA32" i="2"/>
  <c r="BV32" i="2"/>
  <c r="AW33" i="2"/>
  <c r="BR33" i="2"/>
  <c r="BR12" i="2"/>
  <c r="AN13" i="2"/>
  <c r="AN15" i="2"/>
  <c r="BN15" i="2"/>
  <c r="S18" i="2"/>
  <c r="AN18" i="2"/>
  <c r="S19" i="2"/>
  <c r="BN19" i="2"/>
  <c r="AN20" i="2"/>
  <c r="BN20" i="2"/>
  <c r="S21" i="2"/>
  <c r="BN21" i="2"/>
  <c r="BE26" i="2"/>
  <c r="AF28" i="2"/>
  <c r="BV28" i="2"/>
  <c r="BE11" i="2"/>
  <c r="AJ12" i="2"/>
  <c r="AF18" i="2"/>
  <c r="AF23" i="2"/>
  <c r="BA23" i="2"/>
  <c r="BV23" i="2"/>
  <c r="BR25" i="2"/>
  <c r="W27" i="2"/>
  <c r="AW27" i="2"/>
  <c r="BR27" i="2"/>
  <c r="S29" i="2"/>
  <c r="AN29" i="2"/>
  <c r="BR30" i="2"/>
  <c r="BR32" i="2"/>
  <c r="BE10" i="2"/>
  <c r="AJ10" i="2"/>
  <c r="W12" i="2"/>
  <c r="AW15" i="2"/>
  <c r="BV15" i="2"/>
  <c r="BA16" i="2"/>
  <c r="BV16" i="2"/>
  <c r="BV17" i="2"/>
  <c r="BR23" i="2"/>
  <c r="BN24" i="2"/>
  <c r="S25" i="2"/>
  <c r="BA27" i="2"/>
  <c r="AF29" i="2"/>
  <c r="BN32" i="2"/>
  <c r="AN11" i="2"/>
  <c r="W13" i="2"/>
  <c r="BV14" i="2"/>
  <c r="AF17" i="2"/>
  <c r="BA17" i="2"/>
  <c r="BR21" i="2"/>
  <c r="AW23" i="2"/>
  <c r="W24" i="2"/>
  <c r="BA28" i="2"/>
  <c r="BN30" i="2"/>
  <c r="BN31" i="2"/>
  <c r="S32" i="2"/>
  <c r="BA14" i="2"/>
  <c r="AF15" i="2"/>
  <c r="BN16" i="2"/>
  <c r="BR17" i="2"/>
  <c r="BE19" i="2"/>
  <c r="AJ20" i="2"/>
  <c r="AW24" i="2"/>
  <c r="BN27" i="2"/>
  <c r="AN28" i="2"/>
  <c r="BA30" i="2"/>
  <c r="AW17" i="2"/>
  <c r="AF24" i="2"/>
  <c r="BV24" i="2"/>
  <c r="AJ26" i="2"/>
  <c r="BR28" i="2"/>
  <c r="BA29" i="2"/>
  <c r="AJ31" i="2"/>
  <c r="AJ14" i="2"/>
  <c r="BE14" i="2"/>
  <c r="AJ15" i="2"/>
  <c r="BR16" i="2"/>
  <c r="AN19" i="2"/>
  <c r="AW21" i="2"/>
  <c r="BA24" i="2"/>
  <c r="BE25" i="2"/>
  <c r="S27" i="2"/>
  <c r="W28" i="2"/>
  <c r="W18" i="2"/>
  <c r="BE20" i="2"/>
  <c r="AN21" i="2"/>
  <c r="BR24" i="2"/>
  <c r="BV29" i="2"/>
  <c r="AJ32" i="2"/>
  <c r="AN33" i="2"/>
  <c r="BN33" i="2"/>
  <c r="AN10" i="2"/>
  <c r="BN10" i="2"/>
  <c r="AW18" i="2"/>
  <c r="BE23" i="2"/>
  <c r="W25" i="2"/>
  <c r="AW25" i="2"/>
  <c r="AW30" i="2"/>
  <c r="AF10" i="2"/>
  <c r="AW10" i="2"/>
  <c r="BN18" i="2"/>
  <c r="AW12" i="2"/>
  <c r="BV12" i="2"/>
  <c r="AJ17" i="2"/>
  <c r="BN17" i="2"/>
  <c r="BR20" i="2"/>
  <c r="BA21" i="2"/>
  <c r="W30" i="2"/>
  <c r="BV33" i="2"/>
  <c r="BN13" i="2"/>
  <c r="S15" i="2"/>
  <c r="AJ23" i="2"/>
  <c r="AN24" i="2"/>
  <c r="BV27" i="2"/>
  <c r="BE31" i="2"/>
  <c r="BN14" i="2"/>
  <c r="BN23" i="2"/>
  <c r="S24" i="2"/>
  <c r="BN26" i="2"/>
  <c r="BA33" i="2"/>
  <c r="BA10" i="2"/>
  <c r="W15" i="2"/>
  <c r="AJ16" i="2"/>
  <c r="AJ28" i="2"/>
  <c r="W32" i="2"/>
  <c r="BV10" i="2"/>
  <c r="AJ13" i="2"/>
  <c r="S14" i="2"/>
  <c r="BR19" i="2"/>
  <c r="S26" i="2"/>
  <c r="AN31" i="2"/>
  <c r="BE33" i="2"/>
  <c r="AF12" i="2"/>
  <c r="BA12" i="2"/>
  <c r="BE13" i="2"/>
  <c r="BE16" i="2"/>
  <c r="AW20" i="2"/>
  <c r="BE21" i="2"/>
  <c r="AN26" i="2"/>
  <c r="BE28" i="2"/>
  <c r="AW32" i="2"/>
  <c r="AF33" i="2"/>
  <c r="W10" i="2"/>
  <c r="W11" i="2"/>
  <c r="BN25" i="2"/>
  <c r="W31" i="2"/>
  <c r="S13" i="2"/>
  <c r="BV30" i="2"/>
  <c r="AJ24" i="2"/>
  <c r="S30" i="2"/>
  <c r="S10" i="2"/>
  <c r="AF27" i="2"/>
  <c r="BE27" i="2"/>
  <c r="AN12" i="2"/>
  <c r="BV26" i="2"/>
  <c r="AW28" i="2"/>
  <c r="AJ33" i="2"/>
  <c r="BR10" i="2"/>
  <c r="AF20" i="2"/>
  <c r="W14" i="2"/>
  <c r="AW19" i="2"/>
  <c r="BV19" i="2"/>
  <c r="AN25" i="2"/>
  <c r="S31" i="2"/>
  <c r="W19" i="2"/>
  <c r="BR18" i="2"/>
  <c r="W29" i="2"/>
  <c r="AF11" i="2"/>
  <c r="AW16" i="2"/>
  <c r="W16" i="2"/>
  <c r="BV21" i="2"/>
  <c r="BE32" i="2"/>
  <c r="K47" i="2" l="1"/>
  <c r="K43" i="2"/>
  <c r="AI7" i="2"/>
  <c r="BQ7" i="2"/>
  <c r="BD7" i="2"/>
  <c r="N7" i="2"/>
  <c r="AZ7" i="2"/>
  <c r="BM7" i="2"/>
  <c r="BU7" i="2"/>
  <c r="AV7" i="2"/>
  <c r="V7" i="2"/>
  <c r="AM7" i="2"/>
  <c r="J32" i="2"/>
  <c r="AE7" i="2"/>
  <c r="R7" i="2"/>
  <c r="BJ107" i="2"/>
  <c r="K94" i="2"/>
  <c r="K98" i="2"/>
  <c r="BJ78" i="2"/>
  <c r="AB80" i="2"/>
  <c r="BJ62" i="2"/>
  <c r="AB87" i="2"/>
  <c r="AS34" i="2"/>
  <c r="AS65" i="2"/>
  <c r="BJ38" i="2"/>
  <c r="AS48" i="2"/>
  <c r="BJ74" i="2"/>
  <c r="K102" i="2"/>
  <c r="AS41" i="2"/>
  <c r="BJ81" i="2"/>
  <c r="BJ35" i="2"/>
  <c r="AB61" i="2"/>
  <c r="BJ41" i="2"/>
  <c r="K90" i="2"/>
  <c r="AS95" i="2"/>
  <c r="AB47" i="2"/>
  <c r="AS88" i="2"/>
  <c r="AS69" i="2"/>
  <c r="K83" i="2"/>
  <c r="AS54" i="2"/>
  <c r="AS89" i="2"/>
  <c r="K49" i="2"/>
  <c r="BJ45" i="2"/>
  <c r="BJ49" i="2"/>
  <c r="K64" i="2"/>
  <c r="AB67" i="2"/>
  <c r="K71" i="2"/>
  <c r="BJ97" i="2"/>
  <c r="K97" i="2"/>
  <c r="BJ71" i="2"/>
  <c r="K70" i="2"/>
  <c r="K67" i="2"/>
  <c r="K76" i="2"/>
  <c r="BJ55" i="2"/>
  <c r="BJ65" i="2"/>
  <c r="AB64" i="2"/>
  <c r="K79" i="2"/>
  <c r="AS84" i="2"/>
  <c r="AB82" i="2"/>
  <c r="K57" i="2"/>
  <c r="K39" i="2"/>
  <c r="BJ48" i="2"/>
  <c r="BJ66" i="2"/>
  <c r="AB50" i="2"/>
  <c r="BJ88" i="2"/>
  <c r="BJ80" i="2"/>
  <c r="AB90" i="2"/>
  <c r="AS91" i="2"/>
  <c r="AB58" i="2"/>
  <c r="K40" i="2"/>
  <c r="BJ70" i="2"/>
  <c r="AS49" i="2"/>
  <c r="K77" i="2"/>
  <c r="AS72" i="2"/>
  <c r="BJ102" i="2"/>
  <c r="K53" i="2"/>
  <c r="AS37" i="2"/>
  <c r="AB94" i="2"/>
  <c r="AB54" i="2"/>
  <c r="AB102" i="2"/>
  <c r="AB34" i="2"/>
  <c r="BJ63" i="2"/>
  <c r="K95" i="2"/>
  <c r="AB59" i="2"/>
  <c r="K99" i="2"/>
  <c r="AB45" i="2"/>
  <c r="AS67" i="2"/>
  <c r="BJ61" i="2"/>
  <c r="BJ84" i="2"/>
  <c r="AB103" i="2"/>
  <c r="K100" i="2"/>
  <c r="K78" i="2"/>
  <c r="AS80" i="2"/>
  <c r="BJ92" i="2"/>
  <c r="AB76" i="2"/>
  <c r="BJ85" i="2"/>
  <c r="AB65" i="2"/>
  <c r="CI14" i="10"/>
  <c r="K48" i="2"/>
  <c r="K34" i="2"/>
  <c r="K69" i="2"/>
  <c r="AS83" i="2"/>
  <c r="AB43" i="2"/>
  <c r="AS92" i="2"/>
  <c r="K46" i="2"/>
  <c r="BJ73" i="2"/>
  <c r="K101" i="2"/>
  <c r="K105" i="2"/>
  <c r="BJ57" i="2"/>
  <c r="AS93" i="2"/>
  <c r="AS87" i="2"/>
  <c r="BJ34" i="2"/>
  <c r="K63" i="2"/>
  <c r="K50" i="2"/>
  <c r="AS61" i="2"/>
  <c r="AB98" i="2"/>
  <c r="AB48" i="2"/>
  <c r="AS85" i="2"/>
  <c r="AS106" i="2"/>
  <c r="AB69" i="2"/>
  <c r="K41" i="2"/>
  <c r="K84" i="2"/>
  <c r="AS63" i="2"/>
  <c r="AB42" i="2"/>
  <c r="AS47" i="2"/>
  <c r="AB46" i="2"/>
  <c r="BJ91" i="2"/>
  <c r="K42" i="2"/>
  <c r="AS102" i="2"/>
  <c r="AB72" i="2"/>
  <c r="K87" i="2"/>
  <c r="K61" i="2"/>
  <c r="AS70" i="2"/>
  <c r="AB96" i="2"/>
  <c r="CA14" i="10"/>
  <c r="BJ44" i="2"/>
  <c r="AS43" i="2"/>
  <c r="BJ51" i="2"/>
  <c r="K104" i="2"/>
  <c r="AB40" i="2"/>
  <c r="BJ52" i="2"/>
  <c r="AB51" i="2"/>
  <c r="AS73" i="2"/>
  <c r="BJ89" i="2"/>
  <c r="K51" i="2"/>
  <c r="AS62" i="2"/>
  <c r="AB88" i="2"/>
  <c r="BJ42" i="2"/>
  <c r="K93" i="2"/>
  <c r="K44" i="2"/>
  <c r="K88" i="2"/>
  <c r="AS97" i="2"/>
  <c r="AB56" i="2"/>
  <c r="AB66" i="2"/>
  <c r="AS60" i="2"/>
  <c r="BJ72" i="2"/>
  <c r="BJ40" i="2"/>
  <c r="AS50" i="2"/>
  <c r="AB74" i="2"/>
  <c r="AB100" i="2"/>
  <c r="BJ82" i="2"/>
  <c r="K107" i="2"/>
  <c r="AS57" i="2"/>
  <c r="AS94" i="2"/>
  <c r="AB39" i="2"/>
  <c r="AS68" i="2"/>
  <c r="CE14" i="10"/>
  <c r="AB91" i="2"/>
  <c r="AB99" i="2"/>
  <c r="BJ14" i="10"/>
  <c r="AB73" i="2"/>
  <c r="BJ75" i="2"/>
  <c r="BJ90" i="2"/>
  <c r="AB37" i="2"/>
  <c r="K59" i="2"/>
  <c r="BJ64" i="2"/>
  <c r="AS86" i="2"/>
  <c r="AS36" i="2"/>
  <c r="K62" i="2"/>
  <c r="AS75" i="2"/>
  <c r="K89" i="2"/>
  <c r="AB97" i="2"/>
  <c r="AS82" i="2"/>
  <c r="K52" i="2"/>
  <c r="BJ69" i="2"/>
  <c r="AS98" i="2"/>
  <c r="K82" i="2"/>
  <c r="AB79" i="2"/>
  <c r="AS58" i="2"/>
  <c r="K86" i="2"/>
  <c r="BJ106" i="2"/>
  <c r="AS52" i="2"/>
  <c r="BJ53" i="2"/>
  <c r="AS81" i="2"/>
  <c r="BJ100" i="2"/>
  <c r="AS74" i="2"/>
  <c r="AS78" i="2"/>
  <c r="BJ94" i="2"/>
  <c r="BJ43" i="2"/>
  <c r="BJ87" i="2"/>
  <c r="K38" i="2"/>
  <c r="BJ76" i="2"/>
  <c r="AS90" i="2"/>
  <c r="K54" i="2"/>
  <c r="K91" i="2"/>
  <c r="K74" i="2"/>
  <c r="K60" i="2"/>
  <c r="AB104" i="2"/>
  <c r="AS77" i="2"/>
  <c r="AS99" i="2"/>
  <c r="AS105" i="2"/>
  <c r="AB44" i="2"/>
  <c r="K68" i="2"/>
  <c r="BJ46" i="2"/>
  <c r="AS56" i="2"/>
  <c r="AS66" i="2"/>
  <c r="BJ36" i="2"/>
  <c r="BJ50" i="2"/>
  <c r="K65" i="2"/>
  <c r="AB92" i="2"/>
  <c r="BJ60" i="2"/>
  <c r="AS107" i="2"/>
  <c r="BN14" i="10"/>
  <c r="BJ54" i="2"/>
  <c r="AS104" i="2"/>
  <c r="AB53" i="2"/>
  <c r="K66" i="2"/>
  <c r="BF14" i="10"/>
  <c r="AS44" i="2"/>
  <c r="AS35" i="2"/>
  <c r="AS100" i="2"/>
  <c r="AB86" i="2"/>
  <c r="AB57" i="2"/>
  <c r="AS76" i="2"/>
  <c r="AB71" i="2"/>
  <c r="AB63" i="2"/>
  <c r="BJ99" i="2"/>
  <c r="BJ59" i="2"/>
  <c r="AS55" i="2"/>
  <c r="AB68" i="2"/>
  <c r="AS45" i="2"/>
  <c r="AB55" i="2"/>
  <c r="BJ93" i="2"/>
  <c r="AS103" i="2"/>
  <c r="AS38" i="2"/>
  <c r="BJ86" i="2"/>
  <c r="AB52" i="2"/>
  <c r="AB38" i="2"/>
  <c r="K73" i="2"/>
  <c r="AB85" i="2"/>
  <c r="AB78" i="2"/>
  <c r="K92" i="2"/>
  <c r="AS101" i="2"/>
  <c r="AS46" i="2"/>
  <c r="AS79" i="2"/>
  <c r="K106" i="2"/>
  <c r="BJ68" i="2"/>
  <c r="AB95" i="2"/>
  <c r="BJ67" i="2"/>
  <c r="AB81" i="2"/>
  <c r="AS39" i="2"/>
  <c r="AB62" i="2"/>
  <c r="BJ105" i="2"/>
  <c r="BJ95" i="2"/>
  <c r="AB75" i="2"/>
  <c r="AB60" i="2"/>
  <c r="AB101" i="2"/>
  <c r="K36" i="2"/>
  <c r="AB83" i="2"/>
  <c r="BJ96" i="2"/>
  <c r="BJ56" i="2"/>
  <c r="BJ103" i="2"/>
  <c r="K58" i="2"/>
  <c r="AS96" i="2"/>
  <c r="AS59" i="2"/>
  <c r="K72" i="2"/>
  <c r="AB84" i="2"/>
  <c r="BJ39" i="2"/>
  <c r="AB77" i="2"/>
  <c r="AS53" i="2"/>
  <c r="BJ104" i="2"/>
  <c r="AB35" i="2"/>
  <c r="AB70" i="2"/>
  <c r="K56" i="2"/>
  <c r="K103" i="2"/>
  <c r="BJ47" i="2"/>
  <c r="K81" i="2"/>
  <c r="K96" i="2"/>
  <c r="AB93" i="2"/>
  <c r="K55" i="2"/>
  <c r="BJ37" i="2"/>
  <c r="AS40" i="2"/>
  <c r="AS51" i="2"/>
  <c r="K75" i="2"/>
  <c r="AB41" i="2"/>
  <c r="AB106" i="2"/>
  <c r="AS42" i="2"/>
  <c r="AB89" i="2"/>
  <c r="K45" i="2"/>
  <c r="BJ58" i="2"/>
  <c r="AS71" i="2"/>
  <c r="AS64" i="2"/>
  <c r="AB36" i="2"/>
  <c r="K35" i="2"/>
  <c r="BJ77" i="2"/>
  <c r="AB105" i="2"/>
  <c r="K37" i="2"/>
  <c r="K80" i="2"/>
  <c r="BJ79" i="2"/>
  <c r="BJ101" i="2"/>
  <c r="AB49" i="2"/>
  <c r="BJ83" i="2"/>
  <c r="BJ98" i="2"/>
  <c r="K85" i="2"/>
  <c r="AB107" i="2"/>
  <c r="BV7" i="2"/>
  <c r="BR7" i="2"/>
  <c r="S7" i="2"/>
  <c r="AN7" i="2"/>
  <c r="BN7" i="2"/>
  <c r="BE7" i="2"/>
  <c r="AW7" i="2"/>
  <c r="W7" i="2"/>
  <c r="BA7" i="2"/>
  <c r="AF7" i="2"/>
  <c r="O7" i="2"/>
  <c r="AJ7" i="2"/>
  <c r="K16" i="2"/>
  <c r="J11" i="2"/>
  <c r="K23" i="2"/>
  <c r="K28" i="2"/>
  <c r="K20" i="2"/>
  <c r="K11" i="2"/>
  <c r="J21" i="2"/>
  <c r="J22" i="2"/>
  <c r="K12" i="2"/>
  <c r="K14" i="2"/>
  <c r="K18" i="2"/>
  <c r="J20" i="2"/>
  <c r="J27" i="2"/>
  <c r="K22" i="2"/>
  <c r="J24" i="2"/>
  <c r="J30" i="2"/>
  <c r="J17" i="2"/>
  <c r="J28" i="2"/>
  <c r="J12" i="2"/>
  <c r="J13" i="2"/>
  <c r="K29" i="2"/>
  <c r="K15" i="2"/>
  <c r="K31" i="2"/>
  <c r="J33" i="2"/>
  <c r="J26" i="2"/>
  <c r="J29" i="2"/>
  <c r="J25" i="2"/>
  <c r="J31" i="2"/>
  <c r="K25" i="2"/>
  <c r="K21" i="2"/>
  <c r="J14" i="2"/>
  <c r="J19" i="2"/>
  <c r="J10" i="2"/>
  <c r="K32" i="2"/>
  <c r="K33" i="2"/>
  <c r="K10" i="2"/>
  <c r="K13" i="2"/>
  <c r="K24" i="2"/>
  <c r="K30" i="2"/>
  <c r="K17" i="2"/>
  <c r="K26" i="2"/>
  <c r="J23" i="2"/>
  <c r="J15" i="2"/>
  <c r="K19" i="2"/>
  <c r="K27" i="2"/>
  <c r="J18" i="2"/>
  <c r="J16" i="2"/>
  <c r="AR10" i="10"/>
  <c r="S10" i="10"/>
  <c r="O10" i="10"/>
  <c r="BI22" i="2"/>
  <c r="AN10" i="10"/>
  <c r="W10" i="10"/>
  <c r="AJ10" i="10"/>
  <c r="T10" i="10"/>
  <c r="AS10" i="10"/>
  <c r="X10" i="10"/>
  <c r="AK10" i="10"/>
  <c r="P10" i="10"/>
  <c r="AO10" i="10"/>
  <c r="AA22" i="2"/>
  <c r="AR22" i="2"/>
  <c r="BN13" i="10"/>
  <c r="AR19" i="2"/>
  <c r="BN11" i="10"/>
  <c r="BI13" i="2"/>
  <c r="AR16" i="2"/>
  <c r="BI12" i="2"/>
  <c r="BI32" i="2"/>
  <c r="AB22" i="2"/>
  <c r="BJ22" i="2"/>
  <c r="AS22" i="2"/>
  <c r="BI24" i="2"/>
  <c r="AR29" i="2"/>
  <c r="CH23" i="10"/>
  <c r="AR15" i="2"/>
  <c r="BI26" i="2"/>
  <c r="AA13" i="2"/>
  <c r="S23" i="10"/>
  <c r="BI21" i="2"/>
  <c r="AR17" i="2"/>
  <c r="AN23" i="10"/>
  <c r="AA24" i="2"/>
  <c r="AA16" i="2"/>
  <c r="AA30" i="2"/>
  <c r="AR14" i="2"/>
  <c r="BI19" i="2"/>
  <c r="AR18" i="2"/>
  <c r="AR31" i="2"/>
  <c r="AA12" i="2"/>
  <c r="AA18" i="2"/>
  <c r="BI23" i="10"/>
  <c r="BI31" i="2"/>
  <c r="AA23" i="2"/>
  <c r="BI11" i="2"/>
  <c r="BI30" i="2"/>
  <c r="BM23" i="10"/>
  <c r="BI14" i="2"/>
  <c r="AJ23" i="10"/>
  <c r="BI20" i="2"/>
  <c r="BI16" i="2"/>
  <c r="AA20" i="2"/>
  <c r="AA25" i="2"/>
  <c r="AR26" i="2"/>
  <c r="AR27" i="2"/>
  <c r="CD23" i="10"/>
  <c r="BI10" i="2"/>
  <c r="BZ23" i="10"/>
  <c r="O23" i="10"/>
  <c r="AR10" i="2"/>
  <c r="BI28" i="2"/>
  <c r="AA15" i="2"/>
  <c r="AR23" i="10"/>
  <c r="BI29" i="2"/>
  <c r="BI18" i="2"/>
  <c r="AR23" i="2"/>
  <c r="BI25" i="2"/>
  <c r="AA33" i="2"/>
  <c r="AA17" i="2"/>
  <c r="AA10" i="2"/>
  <c r="AR28" i="2"/>
  <c r="AR30" i="2"/>
  <c r="AA19" i="2"/>
  <c r="AR12" i="2"/>
  <c r="BI17" i="2"/>
  <c r="BI27" i="2"/>
  <c r="BI15" i="2"/>
  <c r="AA21" i="2"/>
  <c r="AA14" i="2"/>
  <c r="AR11" i="2"/>
  <c r="AA28" i="2"/>
  <c r="W23" i="10"/>
  <c r="AA31" i="2"/>
  <c r="AA29" i="2"/>
  <c r="AA27" i="2"/>
  <c r="AR13" i="2"/>
  <c r="AA11" i="2"/>
  <c r="AA32" i="2"/>
  <c r="BI23" i="2"/>
  <c r="AR20" i="2"/>
  <c r="AA26" i="2"/>
  <c r="AR21" i="2"/>
  <c r="AR25" i="2"/>
  <c r="AR32" i="2"/>
  <c r="BE23" i="10"/>
  <c r="AR24" i="2"/>
  <c r="AR33" i="2"/>
  <c r="BI33" i="2"/>
  <c r="AB27" i="2"/>
  <c r="AS18" i="2"/>
  <c r="AS17" i="2"/>
  <c r="AS19" i="2"/>
  <c r="AB12" i="2"/>
  <c r="AS12" i="2"/>
  <c r="BJ23" i="10"/>
  <c r="AB29" i="2"/>
  <c r="BN23" i="10"/>
  <c r="AS16" i="2"/>
  <c r="AS23" i="10"/>
  <c r="BJ16" i="2"/>
  <c r="AB15" i="2"/>
  <c r="AB11" i="2"/>
  <c r="AS27" i="2"/>
  <c r="AS11" i="2"/>
  <c r="BJ32" i="2"/>
  <c r="AS28" i="2"/>
  <c r="AS20" i="2"/>
  <c r="AS30" i="2"/>
  <c r="AB13" i="2"/>
  <c r="BJ20" i="2"/>
  <c r="CE23" i="10"/>
  <c r="BJ31" i="2"/>
  <c r="AS15" i="2"/>
  <c r="X23" i="10"/>
  <c r="AB18" i="2"/>
  <c r="BJ15" i="2"/>
  <c r="AO23" i="10"/>
  <c r="AB28" i="2"/>
  <c r="BJ25" i="2"/>
  <c r="BJ14" i="2"/>
  <c r="BJ18" i="2"/>
  <c r="BJ21" i="2"/>
  <c r="AB26" i="2"/>
  <c r="BJ11" i="2"/>
  <c r="AS14" i="2"/>
  <c r="AS33" i="2"/>
  <c r="CA23" i="10"/>
  <c r="AB33" i="2"/>
  <c r="AS32" i="2"/>
  <c r="P23" i="10"/>
  <c r="AS21" i="2"/>
  <c r="AK23" i="10"/>
  <c r="AS24" i="2"/>
  <c r="AB31" i="2"/>
  <c r="AS23" i="2"/>
  <c r="AS10" i="2"/>
  <c r="BJ26" i="2"/>
  <c r="T23" i="10"/>
  <c r="BJ17" i="2"/>
  <c r="AS25" i="2"/>
  <c r="AB14" i="2"/>
  <c r="BJ33" i="2"/>
  <c r="BJ23" i="2"/>
  <c r="AB17" i="2"/>
  <c r="BJ24" i="2"/>
  <c r="BJ28" i="2"/>
  <c r="AB30" i="2"/>
  <c r="AB21" i="2"/>
  <c r="AB19" i="2"/>
  <c r="AS31" i="2"/>
  <c r="AB16" i="2"/>
  <c r="AB20" i="2"/>
  <c r="AB23" i="2"/>
  <c r="AB10" i="2"/>
  <c r="CI23" i="10"/>
  <c r="BJ30" i="2"/>
  <c r="BJ19" i="2"/>
  <c r="BF23" i="10"/>
  <c r="BJ10" i="2"/>
  <c r="AB24" i="2"/>
  <c r="BJ27" i="2"/>
  <c r="AB32" i="2"/>
  <c r="BJ29" i="2"/>
  <c r="AS29" i="2"/>
  <c r="AS13" i="2"/>
  <c r="BJ12" i="2"/>
  <c r="AS26" i="2"/>
  <c r="AB25" i="2"/>
  <c r="BJ13" i="2"/>
  <c r="AR11" i="10"/>
  <c r="BI11" i="10"/>
  <c r="AN11" i="10"/>
  <c r="CE10" i="10"/>
  <c r="CA10" i="10"/>
  <c r="AO11" i="10"/>
  <c r="BJ11" i="10"/>
  <c r="CI11" i="10"/>
  <c r="BM11" i="10"/>
  <c r="W11" i="10"/>
  <c r="BE10" i="10"/>
  <c r="X11" i="10"/>
  <c r="BF11" i="10"/>
  <c r="BJ10" i="10"/>
  <c r="BN10" i="10"/>
  <c r="BF10" i="10"/>
  <c r="CI10" i="10"/>
  <c r="P11" i="10"/>
  <c r="AK11" i="10"/>
  <c r="AS11" i="10"/>
  <c r="CA11" i="10"/>
  <c r="CE11" i="10"/>
  <c r="BE11" i="10"/>
  <c r="CH11" i="10"/>
  <c r="AJ11" i="10"/>
  <c r="BM10" i="10"/>
  <c r="CD10" i="10"/>
  <c r="BE12" i="10"/>
  <c r="CD11" i="10"/>
  <c r="BZ11" i="10"/>
  <c r="T11" i="10"/>
  <c r="BE19" i="10"/>
  <c r="S11" i="10"/>
  <c r="O11" i="10"/>
  <c r="BI10" i="10"/>
  <c r="BZ10" i="10"/>
  <c r="CH10" i="10"/>
  <c r="P14" i="10"/>
  <c r="CH18" i="10"/>
  <c r="BM18" i="10"/>
  <c r="BI18" i="10"/>
  <c r="CD18" i="10"/>
  <c r="BF18" i="10"/>
  <c r="CE18" i="10"/>
  <c r="BJ18" i="10"/>
  <c r="P12" i="10"/>
  <c r="CI18" i="10"/>
  <c r="CD13" i="10"/>
  <c r="CD17" i="10"/>
  <c r="CH13" i="10"/>
  <c r="CD16" i="10"/>
  <c r="BM17" i="10"/>
  <c r="BM21" i="10"/>
  <c r="BM19" i="10"/>
  <c r="CH17" i="10"/>
  <c r="BI17" i="10"/>
  <c r="O22" i="10"/>
  <c r="BE15" i="10"/>
  <c r="BI20" i="10"/>
  <c r="CD20" i="10"/>
  <c r="BM16" i="10"/>
  <c r="BM22" i="10"/>
  <c r="CD19" i="10"/>
  <c r="CH20" i="10"/>
  <c r="BE21" i="10"/>
  <c r="CH19" i="10"/>
  <c r="BI21" i="10"/>
  <c r="BZ15" i="10"/>
  <c r="W15" i="10"/>
  <c r="O19" i="10"/>
  <c r="W12" i="10"/>
  <c r="BI19" i="10"/>
  <c r="BE13" i="10"/>
  <c r="O17" i="10"/>
  <c r="BE17" i="10"/>
  <c r="CD21" i="10"/>
  <c r="BM15" i="10"/>
  <c r="BZ13" i="10"/>
  <c r="CH21" i="10"/>
  <c r="CD22" i="10"/>
  <c r="BZ17" i="10"/>
  <c r="BM13" i="10"/>
  <c r="CH16" i="10"/>
  <c r="O12" i="10"/>
  <c r="BM12" i="10"/>
  <c r="CD12" i="10"/>
  <c r="O14" i="10"/>
  <c r="BE20" i="10"/>
  <c r="BI16" i="10"/>
  <c r="BE22" i="10"/>
  <c r="BZ20" i="10"/>
  <c r="CH22" i="10"/>
  <c r="BZ19" i="10"/>
  <c r="CD15" i="10"/>
  <c r="BM20" i="10"/>
  <c r="CH15" i="10"/>
  <c r="O21" i="10"/>
  <c r="O16" i="10"/>
  <c r="BE18" i="10"/>
  <c r="BI15" i="10"/>
  <c r="BE16" i="10"/>
  <c r="BI13" i="10"/>
  <c r="BI22" i="10"/>
  <c r="BZ18" i="10"/>
  <c r="BZ21" i="10"/>
  <c r="BZ16" i="10"/>
  <c r="BZ22" i="10"/>
  <c r="O20" i="10"/>
  <c r="O18" i="10"/>
  <c r="O15" i="10"/>
  <c r="O13" i="10"/>
  <c r="BI12" i="10"/>
  <c r="BZ12" i="10"/>
  <c r="BN20" i="10"/>
  <c r="CE17" i="10"/>
  <c r="BJ12" i="10"/>
  <c r="BF21" i="10"/>
  <c r="BJ22" i="10"/>
  <c r="CI21" i="10"/>
  <c r="CA19" i="10"/>
  <c r="BF13" i="10"/>
  <c r="CA18" i="10"/>
  <c r="BF12" i="10"/>
  <c r="BJ20" i="10"/>
  <c r="CA15" i="10"/>
  <c r="CE22" i="10"/>
  <c r="CA22" i="10"/>
  <c r="CE19" i="10"/>
  <c r="CA20" i="10"/>
  <c r="BJ16" i="10"/>
  <c r="CI15" i="10"/>
  <c r="BN16" i="10"/>
  <c r="BN19" i="10"/>
  <c r="CA13" i="10"/>
  <c r="CI16" i="10"/>
  <c r="CE12" i="10"/>
  <c r="BN12" i="10"/>
  <c r="BF15" i="10"/>
  <c r="BJ17" i="10"/>
  <c r="BN15" i="10"/>
  <c r="BN18" i="10"/>
  <c r="CI13" i="10"/>
  <c r="BJ15" i="10"/>
  <c r="BN17" i="10"/>
  <c r="BN22" i="10"/>
  <c r="CA17" i="10"/>
  <c r="CI19" i="10"/>
  <c r="CE20" i="10"/>
  <c r="CE21" i="10"/>
  <c r="CE16" i="10"/>
  <c r="CA21" i="10"/>
  <c r="CI22" i="10"/>
  <c r="BF19" i="10"/>
  <c r="BF20" i="10"/>
  <c r="CA12" i="10"/>
  <c r="BJ13" i="10"/>
  <c r="BJ19" i="10"/>
  <c r="BF17" i="10"/>
  <c r="BF22" i="10"/>
  <c r="BF16" i="10"/>
  <c r="BN21" i="10"/>
  <c r="CE13" i="10"/>
  <c r="BJ21" i="10"/>
  <c r="CI20" i="10"/>
  <c r="CE15" i="10"/>
  <c r="CA16" i="10"/>
  <c r="CI17" i="10"/>
  <c r="AR16" i="10"/>
  <c r="AS21" i="10"/>
  <c r="X21" i="10"/>
  <c r="AO21" i="10"/>
  <c r="T21" i="10"/>
  <c r="W21" i="10"/>
  <c r="S21" i="10"/>
  <c r="AR21" i="10"/>
  <c r="AN21" i="10"/>
  <c r="AR18" i="10"/>
  <c r="S13" i="10"/>
  <c r="AR22" i="10"/>
  <c r="S18" i="10"/>
  <c r="AR20" i="10"/>
  <c r="AN13" i="10"/>
  <c r="S22" i="10"/>
  <c r="AN19" i="10"/>
  <c r="S20" i="10"/>
  <c r="S16" i="10"/>
  <c r="W19" i="10"/>
  <c r="AN17" i="10"/>
  <c r="S15" i="10"/>
  <c r="W16" i="10"/>
  <c r="W14" i="10"/>
  <c r="AR14" i="10"/>
  <c r="AN15" i="10"/>
  <c r="AR19" i="10"/>
  <c r="W17" i="10"/>
  <c r="W20" i="10"/>
  <c r="W22" i="10"/>
  <c r="W18" i="10"/>
  <c r="AN16" i="10"/>
  <c r="AR17" i="10"/>
  <c r="AN20" i="10"/>
  <c r="S19" i="10"/>
  <c r="AN22" i="10"/>
  <c r="AN18" i="10"/>
  <c r="S14" i="10"/>
  <c r="S17" i="10"/>
  <c r="W13" i="10"/>
  <c r="AR15" i="10"/>
  <c r="AR13" i="10"/>
  <c r="AN14" i="10"/>
  <c r="CH12" i="10"/>
  <c r="AS12" i="10"/>
  <c r="T20" i="10"/>
  <c r="T13" i="10"/>
  <c r="CI12" i="10"/>
  <c r="AS16" i="10"/>
  <c r="AS13" i="10"/>
  <c r="T16" i="10"/>
  <c r="AO18" i="10"/>
  <c r="X17" i="10"/>
  <c r="AO19" i="10"/>
  <c r="X22" i="10"/>
  <c r="X18" i="10"/>
  <c r="X19" i="10"/>
  <c r="T14" i="10"/>
  <c r="X20" i="10"/>
  <c r="X15" i="10"/>
  <c r="AO22" i="10"/>
  <c r="AO17" i="10"/>
  <c r="T15" i="10"/>
  <c r="X16" i="10"/>
  <c r="X14" i="10"/>
  <c r="X13" i="10"/>
  <c r="AS20" i="10"/>
  <c r="AS19" i="10"/>
  <c r="AS18" i="10"/>
  <c r="AS17" i="10"/>
  <c r="T19" i="10"/>
  <c r="AO16" i="10"/>
  <c r="AO14" i="10"/>
  <c r="X12" i="10"/>
  <c r="AS22" i="10"/>
  <c r="AS15" i="10"/>
  <c r="AS14" i="10"/>
  <c r="T22" i="10"/>
  <c r="T18" i="10"/>
  <c r="T17" i="10"/>
  <c r="AO20" i="10"/>
  <c r="AO15" i="10"/>
  <c r="AO13" i="10"/>
  <c r="AK12" i="10"/>
  <c r="AA7" i="2" l="1"/>
  <c r="BI7" i="2"/>
  <c r="J7" i="2"/>
  <c r="AR7" i="2"/>
  <c r="AY14" i="10"/>
  <c r="BT14" i="10"/>
  <c r="K7" i="2"/>
  <c r="AB7" i="2"/>
  <c r="AS7" i="2"/>
  <c r="BJ7" i="2"/>
  <c r="BN13" i="1"/>
  <c r="AB10" i="10"/>
  <c r="G10" i="10"/>
  <c r="I10" i="10"/>
  <c r="AD10" i="10"/>
  <c r="G23" i="10"/>
  <c r="BZ5" i="1"/>
  <c r="AW23" i="10"/>
  <c r="BR23" i="10"/>
  <c r="AB23" i="10"/>
  <c r="X5" i="1"/>
  <c r="W5" i="1"/>
  <c r="AW10" i="10"/>
  <c r="CH7" i="10"/>
  <c r="BI5" i="1"/>
  <c r="BR10" i="10"/>
  <c r="I23" i="10"/>
  <c r="BT23" i="10"/>
  <c r="AY23" i="10"/>
  <c r="AD23" i="10"/>
  <c r="I11" i="10"/>
  <c r="BT10" i="10"/>
  <c r="AS5" i="1"/>
  <c r="I14" i="10"/>
  <c r="AY10" i="10"/>
  <c r="BJ5" i="1"/>
  <c r="CH5" i="1"/>
  <c r="CD5" i="1"/>
  <c r="CA5" i="1"/>
  <c r="O5" i="1"/>
  <c r="BN5" i="1"/>
  <c r="BE18" i="1"/>
  <c r="BE5" i="1"/>
  <c r="CE5" i="1"/>
  <c r="BM5" i="1"/>
  <c r="BF5" i="1"/>
  <c r="BM15" i="1"/>
  <c r="BI18" i="1"/>
  <c r="CD18" i="1"/>
  <c r="BM16" i="1"/>
  <c r="CH18" i="1"/>
  <c r="BZ7" i="10"/>
  <c r="BZ18" i="1"/>
  <c r="G11" i="10"/>
  <c r="CA7" i="10"/>
  <c r="CI7" i="10"/>
  <c r="CE7" i="10"/>
  <c r="CD7" i="10"/>
  <c r="BE7" i="10"/>
  <c r="BF7" i="10"/>
  <c r="BJ7" i="10"/>
  <c r="BI7" i="10"/>
  <c r="BM7" i="10"/>
  <c r="BN7" i="10"/>
  <c r="AS7" i="10"/>
  <c r="X7" i="10"/>
  <c r="W7" i="10"/>
  <c r="O7" i="10"/>
  <c r="AB11" i="10"/>
  <c r="BN18" i="1"/>
  <c r="BF16" i="1"/>
  <c r="AY11" i="10"/>
  <c r="T18" i="1"/>
  <c r="CA18" i="1"/>
  <c r="AS18" i="1"/>
  <c r="CI16" i="1"/>
  <c r="CE18" i="1"/>
  <c r="AW11" i="10"/>
  <c r="AO18" i="1"/>
  <c r="AN18" i="1"/>
  <c r="BJ15" i="1"/>
  <c r="BM18" i="1"/>
  <c r="BF18" i="1"/>
  <c r="O18" i="1"/>
  <c r="W18" i="1"/>
  <c r="CI18" i="1"/>
  <c r="BM14" i="1"/>
  <c r="AD11" i="10"/>
  <c r="CI5" i="1"/>
  <c r="S18" i="1"/>
  <c r="AR18" i="1"/>
  <c r="BR11" i="10"/>
  <c r="CD14" i="1"/>
  <c r="BT11" i="10"/>
  <c r="CH15" i="1"/>
  <c r="AN16" i="1"/>
  <c r="CD13" i="1"/>
  <c r="BJ18" i="1"/>
  <c r="X18" i="1"/>
  <c r="BF15" i="1"/>
  <c r="BI15" i="1"/>
  <c r="BI14" i="1"/>
  <c r="G14" i="10"/>
  <c r="AR15" i="1"/>
  <c r="BN14" i="1"/>
  <c r="BJ14" i="1"/>
  <c r="CH14" i="1"/>
  <c r="CD19" i="1"/>
  <c r="AS15" i="1"/>
  <c r="W16" i="1"/>
  <c r="BE16" i="1"/>
  <c r="CD15" i="1"/>
  <c r="CH17" i="1"/>
  <c r="BI17" i="1"/>
  <c r="AR16" i="1"/>
  <c r="CH16" i="1"/>
  <c r="X16" i="1"/>
  <c r="AN15" i="1"/>
  <c r="CE16" i="1"/>
  <c r="BN15" i="1"/>
  <c r="O16" i="1"/>
  <c r="AN17" i="1"/>
  <c r="O15" i="1"/>
  <c r="BJ16" i="1"/>
  <c r="S17" i="1"/>
  <c r="BM17" i="1"/>
  <c r="BE15" i="1"/>
  <c r="CD17" i="1"/>
  <c r="BI16" i="1"/>
  <c r="CD16" i="1"/>
  <c r="W15" i="1"/>
  <c r="BN16" i="1"/>
  <c r="T16" i="1"/>
  <c r="T15" i="1"/>
  <c r="AS16" i="1"/>
  <c r="X15" i="1"/>
  <c r="W17" i="1"/>
  <c r="AR17" i="1"/>
  <c r="O6" i="1"/>
  <c r="BI6" i="1"/>
  <c r="BM6" i="1"/>
  <c r="BE14" i="1"/>
  <c r="BR16" i="10"/>
  <c r="BR21" i="10"/>
  <c r="CH6" i="1"/>
  <c r="CD6" i="1"/>
  <c r="W6" i="1"/>
  <c r="BE6" i="1"/>
  <c r="BZ6" i="1"/>
  <c r="CE6" i="1"/>
  <c r="CI6" i="1"/>
  <c r="CA6" i="1"/>
  <c r="X6" i="1"/>
  <c r="BF6" i="1"/>
  <c r="BJ6" i="1"/>
  <c r="BN6" i="1"/>
  <c r="AS6" i="1"/>
  <c r="BI13" i="1"/>
  <c r="BM13" i="1"/>
  <c r="BR22" i="10"/>
  <c r="O17" i="1"/>
  <c r="BR20" i="10"/>
  <c r="BR13" i="10"/>
  <c r="BZ13" i="1"/>
  <c r="BE12" i="1"/>
  <c r="AW12" i="10"/>
  <c r="BE19" i="1"/>
  <c r="BI12" i="1"/>
  <c r="BZ16" i="1"/>
  <c r="BR18" i="10"/>
  <c r="BE13" i="1"/>
  <c r="CH13" i="1"/>
  <c r="O19" i="1"/>
  <c r="BR15" i="10"/>
  <c r="BI19" i="1"/>
  <c r="O13" i="1"/>
  <c r="BZ17" i="1"/>
  <c r="CD12" i="1"/>
  <c r="BZ19" i="1"/>
  <c r="BE17" i="1"/>
  <c r="BM19" i="1"/>
  <c r="BZ12" i="1"/>
  <c r="BZ15" i="1"/>
  <c r="BR19" i="10"/>
  <c r="BM12" i="1"/>
  <c r="O12" i="1"/>
  <c r="BZ14" i="1"/>
  <c r="BR17" i="10"/>
  <c r="CH19" i="1"/>
  <c r="O14" i="1"/>
  <c r="BJ12" i="1"/>
  <c r="BN17" i="1"/>
  <c r="AS17" i="1"/>
  <c r="X17" i="1"/>
  <c r="CA17" i="1"/>
  <c r="T17" i="1"/>
  <c r="BJ17" i="1"/>
  <c r="BF17" i="1"/>
  <c r="AO17" i="1"/>
  <c r="CE17" i="1"/>
  <c r="CI17" i="1"/>
  <c r="AO19" i="1"/>
  <c r="T19" i="1"/>
  <c r="CE14" i="1"/>
  <c r="BJ19" i="1"/>
  <c r="G16" i="10"/>
  <c r="BN19" i="1"/>
  <c r="AN19" i="1"/>
  <c r="X19" i="1"/>
  <c r="W13" i="1"/>
  <c r="G17" i="10"/>
  <c r="BF19" i="1"/>
  <c r="CA19" i="1"/>
  <c r="BT16" i="10"/>
  <c r="CE13" i="1"/>
  <c r="BJ13" i="1"/>
  <c r="BT13" i="10"/>
  <c r="CA13" i="1"/>
  <c r="BF12" i="1"/>
  <c r="AY12" i="10"/>
  <c r="BT20" i="10"/>
  <c r="CA15" i="1"/>
  <c r="BT19" i="10"/>
  <c r="CI15" i="1"/>
  <c r="BT17" i="10"/>
  <c r="BN12" i="1"/>
  <c r="CE19" i="1"/>
  <c r="CI13" i="1"/>
  <c r="BT15" i="10"/>
  <c r="BT18" i="10"/>
  <c r="CA16" i="1"/>
  <c r="BF13" i="1"/>
  <c r="CA14" i="1"/>
  <c r="CI19" i="1"/>
  <c r="CA12" i="1"/>
  <c r="BT21" i="10"/>
  <c r="CE12" i="1"/>
  <c r="BF14" i="1"/>
  <c r="CE15" i="1"/>
  <c r="CI14" i="1"/>
  <c r="BT22" i="10"/>
  <c r="AS19" i="1"/>
  <c r="CI12" i="1"/>
  <c r="BT12" i="10"/>
  <c r="CH12" i="1"/>
  <c r="BR12" i="10"/>
  <c r="AK12" i="1"/>
  <c r="AS12" i="1"/>
  <c r="AO15" i="1"/>
  <c r="AS13" i="1"/>
  <c r="AS14" i="1"/>
  <c r="AO16" i="1"/>
  <c r="AR19" i="1"/>
  <c r="X13" i="1"/>
  <c r="X14" i="1"/>
  <c r="S16" i="1"/>
  <c r="G18" i="10"/>
  <c r="X12" i="1"/>
  <c r="W14" i="1"/>
  <c r="W19" i="1"/>
  <c r="S19" i="1"/>
  <c r="G21" i="10"/>
  <c r="S15" i="1"/>
  <c r="G19" i="10"/>
  <c r="G15" i="10"/>
  <c r="G20" i="10"/>
  <c r="G22" i="10"/>
  <c r="G13" i="10"/>
  <c r="CP20" i="1"/>
  <c r="AW17" i="10"/>
  <c r="AW21" i="10"/>
  <c r="AW13" i="10"/>
  <c r="AW19" i="10"/>
  <c r="AW20" i="10"/>
  <c r="AW15" i="10"/>
  <c r="AW16" i="10"/>
  <c r="AW22" i="10"/>
  <c r="BU7" i="1"/>
  <c r="BU20" i="1"/>
  <c r="AZ20" i="1"/>
  <c r="AZ7" i="1"/>
  <c r="AW18" i="10"/>
  <c r="BY14" i="10" l="1"/>
  <c r="BX14" i="10"/>
  <c r="BW14" i="10"/>
  <c r="BC14" i="10"/>
  <c r="BB14" i="10"/>
  <c r="BD14" i="10"/>
  <c r="AI10" i="10"/>
  <c r="AG10" i="10"/>
  <c r="AH10" i="10"/>
  <c r="L10" i="10"/>
  <c r="M10" i="10"/>
  <c r="N10" i="10"/>
  <c r="CM23" i="10"/>
  <c r="BR5" i="1"/>
  <c r="CM10" i="10"/>
  <c r="CO23" i="10"/>
  <c r="BW23" i="10"/>
  <c r="BY23" i="10"/>
  <c r="BX23" i="10"/>
  <c r="AH23" i="10"/>
  <c r="AI23" i="10"/>
  <c r="AG23" i="10"/>
  <c r="BD23" i="10"/>
  <c r="BC23" i="10"/>
  <c r="BB23" i="10"/>
  <c r="L23" i="10"/>
  <c r="M23" i="10"/>
  <c r="N23" i="10"/>
  <c r="BX10" i="10"/>
  <c r="BW10" i="10"/>
  <c r="BY10" i="10"/>
  <c r="BC10" i="10"/>
  <c r="BB10" i="10"/>
  <c r="BD10" i="10"/>
  <c r="CO11" i="10"/>
  <c r="CO10" i="10"/>
  <c r="I12" i="1"/>
  <c r="L12" i="1" s="1"/>
  <c r="BT18" i="1"/>
  <c r="BW18" i="1" s="1"/>
  <c r="BT5" i="1"/>
  <c r="BR7" i="10"/>
  <c r="BT7" i="10"/>
  <c r="AW7" i="10"/>
  <c r="BC11" i="10"/>
  <c r="BD11" i="10"/>
  <c r="BB11" i="10"/>
  <c r="BR14" i="1"/>
  <c r="CM11" i="10"/>
  <c r="AW17" i="1"/>
  <c r="G18" i="1"/>
  <c r="AW18" i="1"/>
  <c r="AW12" i="1"/>
  <c r="AW5" i="1"/>
  <c r="L11" i="10"/>
  <c r="M11" i="10"/>
  <c r="N11" i="10"/>
  <c r="AI11" i="10"/>
  <c r="AH11" i="10"/>
  <c r="AG11" i="10"/>
  <c r="AY12" i="1"/>
  <c r="BB12" i="1" s="1"/>
  <c r="BR18" i="1"/>
  <c r="BW11" i="10"/>
  <c r="BY11" i="10"/>
  <c r="BX11" i="10"/>
  <c r="G15" i="1"/>
  <c r="BR15" i="1"/>
  <c r="AW16" i="1"/>
  <c r="G16" i="1"/>
  <c r="AW15" i="1"/>
  <c r="BR17" i="1"/>
  <c r="BR16" i="1"/>
  <c r="AW6" i="1"/>
  <c r="BR6" i="1"/>
  <c r="BT6" i="1"/>
  <c r="BR13" i="1"/>
  <c r="G17" i="1"/>
  <c r="BR19" i="1"/>
  <c r="BT17" i="1"/>
  <c r="G19" i="1"/>
  <c r="AW14" i="1"/>
  <c r="BX15" i="10"/>
  <c r="BY15" i="10"/>
  <c r="BW15" i="10"/>
  <c r="BT15" i="1"/>
  <c r="BY19" i="10"/>
  <c r="BX19" i="10"/>
  <c r="BW19" i="10"/>
  <c r="BY20" i="10"/>
  <c r="BW20" i="10"/>
  <c r="BX20" i="10"/>
  <c r="BX22" i="10"/>
  <c r="BW22" i="10"/>
  <c r="BY22" i="10"/>
  <c r="BW21" i="10"/>
  <c r="BY21" i="10"/>
  <c r="BX21" i="10"/>
  <c r="BT16" i="1"/>
  <c r="BY18" i="10"/>
  <c r="BX18" i="10"/>
  <c r="BW18" i="10"/>
  <c r="BT14" i="1"/>
  <c r="BY17" i="10"/>
  <c r="BW17" i="10"/>
  <c r="BX17" i="10"/>
  <c r="BW16" i="10"/>
  <c r="BY16" i="10"/>
  <c r="BX16" i="10"/>
  <c r="BX13" i="10"/>
  <c r="BY13" i="10"/>
  <c r="BW13" i="10"/>
  <c r="BT13" i="1"/>
  <c r="BT19" i="1"/>
  <c r="BW12" i="10"/>
  <c r="BT12" i="1"/>
  <c r="BY12" i="10"/>
  <c r="BX12" i="10"/>
  <c r="BR12" i="1"/>
  <c r="X20" i="1"/>
  <c r="X7" i="1"/>
  <c r="AW13" i="1"/>
  <c r="AW19" i="1"/>
  <c r="CQ7" i="1"/>
  <c r="BC12" i="10"/>
  <c r="BA7" i="1"/>
  <c r="AX5" i="1" l="1"/>
  <c r="BX5" i="1"/>
  <c r="BW5" i="1"/>
  <c r="CT23" i="10"/>
  <c r="CR23" i="10"/>
  <c r="CS23" i="10"/>
  <c r="CS10" i="10"/>
  <c r="CT10" i="10"/>
  <c r="CR10" i="10"/>
  <c r="BX18" i="1"/>
  <c r="BY18" i="1"/>
  <c r="BY5" i="1"/>
  <c r="AX18" i="1"/>
  <c r="AX7" i="10"/>
  <c r="BC12" i="1"/>
  <c r="BD12" i="1"/>
  <c r="CR11" i="10"/>
  <c r="CT11" i="10"/>
  <c r="CS11" i="10"/>
  <c r="AX16" i="1"/>
  <c r="AX15" i="1"/>
  <c r="AX17" i="1"/>
  <c r="AX6" i="1"/>
  <c r="BX6" i="1"/>
  <c r="BY6" i="1"/>
  <c r="BW6" i="1"/>
  <c r="BR20" i="1"/>
  <c r="BY17" i="1"/>
  <c r="BX17" i="1"/>
  <c r="BW17" i="1"/>
  <c r="BX14" i="1"/>
  <c r="BW14" i="1"/>
  <c r="BY14" i="1"/>
  <c r="BW15" i="1"/>
  <c r="BX15" i="1"/>
  <c r="BY15" i="1"/>
  <c r="BY19" i="1"/>
  <c r="BW19" i="1"/>
  <c r="BX19" i="1"/>
  <c r="BW13" i="1"/>
  <c r="BY13" i="1"/>
  <c r="BX13" i="1"/>
  <c r="BX16" i="1"/>
  <c r="BY16" i="1"/>
  <c r="BW16" i="1"/>
  <c r="BW12" i="1"/>
  <c r="BY12" i="1"/>
  <c r="BT20" i="1"/>
  <c r="BX12" i="1"/>
  <c r="AX13" i="1"/>
  <c r="AX14" i="1"/>
  <c r="AX19" i="1"/>
  <c r="H19" i="1"/>
  <c r="Y7" i="1"/>
  <c r="BD12" i="10"/>
  <c r="BB12" i="10"/>
  <c r="H20" i="1" l="1"/>
  <c r="AY15" i="10"/>
  <c r="AY13" i="10"/>
  <c r="AY16" i="10"/>
  <c r="AY22" i="10"/>
  <c r="AY18" i="10"/>
  <c r="AY21" i="10"/>
  <c r="AY19" i="10"/>
  <c r="AY20" i="10"/>
  <c r="AY17" i="10"/>
  <c r="AY5" i="1" l="1"/>
  <c r="AY7" i="10"/>
  <c r="AY18" i="1"/>
  <c r="BD18" i="1" s="1"/>
  <c r="AY16" i="1"/>
  <c r="BC16" i="1" s="1"/>
  <c r="AY15" i="1"/>
  <c r="BB15" i="1" s="1"/>
  <c r="AY17" i="1"/>
  <c r="AY6" i="1"/>
  <c r="AY19" i="1"/>
  <c r="BD19" i="1" s="1"/>
  <c r="AY13" i="1"/>
  <c r="AY14" i="1"/>
  <c r="BC17" i="10"/>
  <c r="BB17" i="10"/>
  <c r="BD17" i="10"/>
  <c r="BC15" i="10"/>
  <c r="BB15" i="10"/>
  <c r="BD15" i="10"/>
  <c r="BC20" i="10"/>
  <c r="BB20" i="10"/>
  <c r="BD20" i="10"/>
  <c r="BB19" i="10"/>
  <c r="BC19" i="10"/>
  <c r="BD19" i="10"/>
  <c r="BB21" i="10"/>
  <c r="BC21" i="10"/>
  <c r="BD21" i="10"/>
  <c r="BC22" i="10"/>
  <c r="BB22" i="10"/>
  <c r="BD22" i="10"/>
  <c r="BC13" i="10"/>
  <c r="BB13" i="10"/>
  <c r="BD13" i="10"/>
  <c r="BC18" i="10"/>
  <c r="BB18" i="10"/>
  <c r="BD18" i="10"/>
  <c r="BB16" i="10"/>
  <c r="BC16" i="10"/>
  <c r="BD16" i="10"/>
  <c r="AO12" i="10"/>
  <c r="AK13" i="10"/>
  <c r="AK16" i="10"/>
  <c r="AK21" i="10"/>
  <c r="AK22" i="10"/>
  <c r="AR12" i="10"/>
  <c r="AN12" i="10"/>
  <c r="AJ12" i="10"/>
  <c r="AJ13" i="10"/>
  <c r="AJ16" i="10"/>
  <c r="AJ15" i="10"/>
  <c r="AJ21" i="10"/>
  <c r="AJ22" i="10"/>
  <c r="AC5" i="1" l="1"/>
  <c r="CN5" i="1" s="1"/>
  <c r="BD5" i="1"/>
  <c r="BC5" i="1"/>
  <c r="BB5" i="1"/>
  <c r="AC7" i="10"/>
  <c r="AR7" i="10"/>
  <c r="AR14" i="1"/>
  <c r="AR6" i="1"/>
  <c r="AN7" i="10"/>
  <c r="AN6" i="1"/>
  <c r="AN14" i="1"/>
  <c r="AO7" i="10"/>
  <c r="AO6" i="1"/>
  <c r="AO14" i="1"/>
  <c r="BB18" i="1"/>
  <c r="BC18" i="1"/>
  <c r="AR5" i="1"/>
  <c r="AR13" i="1"/>
  <c r="AO5" i="1"/>
  <c r="AO13" i="1"/>
  <c r="AN5" i="1"/>
  <c r="AN13" i="1"/>
  <c r="AC17" i="1"/>
  <c r="CN17" i="1" s="1"/>
  <c r="AC18" i="1"/>
  <c r="CN18" i="1" s="1"/>
  <c r="BB16" i="1"/>
  <c r="BD16" i="1"/>
  <c r="BC15" i="1"/>
  <c r="BD15" i="1"/>
  <c r="BB17" i="1"/>
  <c r="BD17" i="1"/>
  <c r="BC17" i="1"/>
  <c r="AC6" i="1"/>
  <c r="CN6" i="1" s="1"/>
  <c r="BB6" i="1"/>
  <c r="BC6" i="1"/>
  <c r="BD6" i="1"/>
  <c r="BB19" i="1"/>
  <c r="BC19" i="1"/>
  <c r="AN12" i="1"/>
  <c r="AO12" i="1"/>
  <c r="AD12" i="10"/>
  <c r="AR12" i="1"/>
  <c r="AJ12" i="1"/>
  <c r="AB12" i="10"/>
  <c r="BB14" i="1"/>
  <c r="BC14" i="1"/>
  <c r="BD14" i="1"/>
  <c r="BB13" i="1"/>
  <c r="BC13" i="1"/>
  <c r="BD13" i="1"/>
  <c r="AC16" i="1"/>
  <c r="CN16" i="1" s="1"/>
  <c r="AC19" i="1"/>
  <c r="CN19" i="1" s="1"/>
  <c r="AC14" i="1"/>
  <c r="CN14" i="1" s="1"/>
  <c r="AC13" i="1"/>
  <c r="CN13" i="1" s="1"/>
  <c r="AC15" i="1"/>
  <c r="CN15" i="1" s="1"/>
  <c r="BB7" i="10"/>
  <c r="BD7" i="10"/>
  <c r="BW7" i="10"/>
  <c r="BX7" i="10"/>
  <c r="BY7" i="10"/>
  <c r="BC7" i="10"/>
  <c r="BT7" i="1"/>
  <c r="AB21" i="10"/>
  <c r="AB13" i="10"/>
  <c r="AB22" i="10"/>
  <c r="AB16" i="10"/>
  <c r="AD22" i="10"/>
  <c r="AD21" i="10"/>
  <c r="AI21" i="10" s="1"/>
  <c r="AD13" i="10"/>
  <c r="AJ20" i="10"/>
  <c r="AJ18" i="10"/>
  <c r="AJ17" i="10"/>
  <c r="AJ14" i="10"/>
  <c r="AJ19" i="10"/>
  <c r="CJ7" i="1"/>
  <c r="AK18" i="10"/>
  <c r="AK17" i="10"/>
  <c r="AK14" i="10"/>
  <c r="AK20" i="10"/>
  <c r="AK19" i="10"/>
  <c r="AD16" i="10"/>
  <c r="AI16" i="10" s="1"/>
  <c r="AK15" i="10"/>
  <c r="CJ20" i="1"/>
  <c r="AJ13" i="1" l="1"/>
  <c r="AK5" i="1"/>
  <c r="AJ5" i="1"/>
  <c r="AJ18" i="1"/>
  <c r="AK18" i="1"/>
  <c r="AK7" i="10"/>
  <c r="AJ14" i="1"/>
  <c r="AJ7" i="10"/>
  <c r="AK14" i="1"/>
  <c r="AB12" i="1"/>
  <c r="AK16" i="1"/>
  <c r="AK15" i="1"/>
  <c r="AK17" i="1"/>
  <c r="AJ15" i="1"/>
  <c r="AJ17" i="1"/>
  <c r="AJ16" i="1"/>
  <c r="AJ6" i="1"/>
  <c r="AK6" i="1"/>
  <c r="AK19" i="1"/>
  <c r="AK13" i="1"/>
  <c r="AJ19" i="1"/>
  <c r="AI13" i="10"/>
  <c r="AH12" i="10"/>
  <c r="AD12" i="1"/>
  <c r="CO12" i="1" s="1"/>
  <c r="AI12" i="10"/>
  <c r="AG12" i="10"/>
  <c r="O7" i="1"/>
  <c r="AH21" i="10"/>
  <c r="AG21" i="10"/>
  <c r="AH13" i="10"/>
  <c r="AG13" i="10"/>
  <c r="AH22" i="10"/>
  <c r="AG22" i="10"/>
  <c r="AH16" i="10"/>
  <c r="AG16" i="10"/>
  <c r="AI22" i="10"/>
  <c r="AF7" i="1"/>
  <c r="AF20" i="1"/>
  <c r="AB18" i="10"/>
  <c r="AC20" i="1"/>
  <c r="AC7" i="1"/>
  <c r="AB17" i="10"/>
  <c r="AB15" i="10"/>
  <c r="AB19" i="10"/>
  <c r="AB14" i="10"/>
  <c r="AB20" i="10"/>
  <c r="BS20" i="1"/>
  <c r="CF7" i="1"/>
  <c r="AD19" i="10"/>
  <c r="AD17" i="10"/>
  <c r="AD20" i="10"/>
  <c r="AD18" i="10"/>
  <c r="AD15" i="10"/>
  <c r="AD14" i="10"/>
  <c r="CO14" i="10" s="1"/>
  <c r="AD5" i="1" l="1"/>
  <c r="AG5" i="1" s="1"/>
  <c r="AB5" i="1"/>
  <c r="CR12" i="1"/>
  <c r="CT12" i="1"/>
  <c r="AD18" i="1"/>
  <c r="AG18" i="1" s="1"/>
  <c r="AB18" i="1"/>
  <c r="CM18" i="1" s="1"/>
  <c r="AD7" i="10"/>
  <c r="AB7" i="10"/>
  <c r="AD14" i="1"/>
  <c r="AB14" i="1"/>
  <c r="AD16" i="1"/>
  <c r="AG16" i="1" s="1"/>
  <c r="AB15" i="1"/>
  <c r="CM15" i="1" s="1"/>
  <c r="AB17" i="1"/>
  <c r="CM17" i="1" s="1"/>
  <c r="AB16" i="1"/>
  <c r="CM16" i="1" s="1"/>
  <c r="AD15" i="1"/>
  <c r="AG15" i="1" s="1"/>
  <c r="AD17" i="1"/>
  <c r="AD6" i="1"/>
  <c r="AI6" i="1" s="1"/>
  <c r="AB6" i="1"/>
  <c r="AD19" i="1"/>
  <c r="AG19" i="1" s="1"/>
  <c r="AB19" i="1"/>
  <c r="CM19" i="1" s="1"/>
  <c r="AD13" i="1"/>
  <c r="AB13" i="1"/>
  <c r="AH12" i="1"/>
  <c r="AI12" i="1"/>
  <c r="AG12" i="1"/>
  <c r="AH19" i="10"/>
  <c r="AG19" i="10"/>
  <c r="AI19" i="10"/>
  <c r="AH18" i="10"/>
  <c r="AG18" i="10"/>
  <c r="AI18" i="10"/>
  <c r="AG14" i="10"/>
  <c r="AH14" i="10"/>
  <c r="AI14" i="10"/>
  <c r="AH15" i="10"/>
  <c r="AG15" i="10"/>
  <c r="AI15" i="10"/>
  <c r="AH20" i="10"/>
  <c r="AG20" i="10"/>
  <c r="AI20" i="10"/>
  <c r="AG17" i="10"/>
  <c r="AH17" i="10"/>
  <c r="AI17" i="10"/>
  <c r="AJ7" i="1"/>
  <c r="AR7" i="1"/>
  <c r="AJ20" i="1"/>
  <c r="AS20" i="1"/>
  <c r="AN7" i="1"/>
  <c r="AR20" i="1"/>
  <c r="AS7" i="1"/>
  <c r="AN20" i="1"/>
  <c r="AO20" i="1"/>
  <c r="AO7" i="1"/>
  <c r="AK7" i="1"/>
  <c r="AK20" i="1"/>
  <c r="CD7" i="1"/>
  <c r="CD20" i="1"/>
  <c r="BZ20" i="1"/>
  <c r="CH20" i="1"/>
  <c r="CH7" i="1"/>
  <c r="BZ7" i="1"/>
  <c r="CF20" i="1"/>
  <c r="CI7" i="1"/>
  <c r="CI20" i="1"/>
  <c r="CE20" i="1"/>
  <c r="CE7" i="1"/>
  <c r="CB20" i="1"/>
  <c r="BV7" i="1"/>
  <c r="CB7" i="1"/>
  <c r="CA7" i="1"/>
  <c r="CA20" i="1"/>
  <c r="AI5" i="1" l="1"/>
  <c r="AH5" i="1"/>
  <c r="AI18" i="1"/>
  <c r="AH18" i="1"/>
  <c r="AH14" i="1"/>
  <c r="AG14" i="1"/>
  <c r="AI14" i="1"/>
  <c r="AI16" i="1"/>
  <c r="AH15" i="1"/>
  <c r="AI15" i="1"/>
  <c r="AH16" i="1"/>
  <c r="AI17" i="1"/>
  <c r="AG17" i="1"/>
  <c r="AH17" i="1"/>
  <c r="AG6" i="1"/>
  <c r="AH6" i="1"/>
  <c r="AI19" i="1"/>
  <c r="AH13" i="1"/>
  <c r="AI13" i="1"/>
  <c r="AG13" i="1"/>
  <c r="AH19" i="1"/>
  <c r="BW7" i="1"/>
  <c r="BY7" i="1"/>
  <c r="AH7" i="10"/>
  <c r="AG7" i="10"/>
  <c r="AI7" i="10"/>
  <c r="AD7" i="1"/>
  <c r="AB7" i="1"/>
  <c r="AB20" i="1"/>
  <c r="AD20" i="1"/>
  <c r="BR7" i="1"/>
  <c r="BX7" i="1" s="1"/>
  <c r="BV20" i="1"/>
  <c r="BW20" i="1" l="1"/>
  <c r="BY20" i="1"/>
  <c r="BX20" i="1"/>
  <c r="AH7" i="1"/>
  <c r="AG7" i="1"/>
  <c r="AI7" i="1"/>
  <c r="AH20" i="1"/>
  <c r="AG20" i="1"/>
  <c r="AI20" i="1"/>
  <c r="T12" i="10" l="1"/>
  <c r="I12" i="10" s="1"/>
  <c r="CO12" i="10" s="1"/>
  <c r="P13" i="10"/>
  <c r="I13" i="10" s="1"/>
  <c r="CO13" i="10" s="1"/>
  <c r="P16" i="10"/>
  <c r="I16" i="10" s="1"/>
  <c r="CO16" i="10" s="1"/>
  <c r="P21" i="10"/>
  <c r="I21" i="10" s="1"/>
  <c r="CO21" i="10" s="1"/>
  <c r="P22" i="10"/>
  <c r="I22" i="10" s="1"/>
  <c r="CO22" i="10" s="1"/>
  <c r="T7" i="10" l="1"/>
  <c r="T14" i="1"/>
  <c r="T6" i="1"/>
  <c r="T5" i="1"/>
  <c r="T13" i="1"/>
  <c r="L22" i="10"/>
  <c r="T12" i="1"/>
  <c r="N21" i="10"/>
  <c r="M21" i="10"/>
  <c r="L21" i="10"/>
  <c r="P12" i="1"/>
  <c r="M16" i="10"/>
  <c r="N16" i="10"/>
  <c r="L16" i="10"/>
  <c r="P18" i="10"/>
  <c r="P17" i="10"/>
  <c r="I17" i="10" s="1"/>
  <c r="CO17" i="10" s="1"/>
  <c r="P15" i="10"/>
  <c r="I15" i="10" s="1"/>
  <c r="CO15" i="10" s="1"/>
  <c r="P20" i="10"/>
  <c r="I20" i="10" s="1"/>
  <c r="CO20" i="10" s="1"/>
  <c r="P19" i="10"/>
  <c r="I19" i="10" s="1"/>
  <c r="CO19" i="10" s="1"/>
  <c r="I18" i="10" l="1"/>
  <c r="CO18" i="10" s="1"/>
  <c r="CO7" i="10" s="1"/>
  <c r="P5" i="1"/>
  <c r="I5" i="1"/>
  <c r="L5" i="1" s="1"/>
  <c r="P7" i="10"/>
  <c r="P17" i="1"/>
  <c r="CT22" i="10"/>
  <c r="P18" i="1"/>
  <c r="N22" i="10"/>
  <c r="M22" i="10"/>
  <c r="P6" i="1"/>
  <c r="T7" i="1"/>
  <c r="T20" i="1"/>
  <c r="P15" i="1"/>
  <c r="P19" i="1"/>
  <c r="I14" i="1"/>
  <c r="N12" i="10"/>
  <c r="L12" i="10"/>
  <c r="P13" i="1"/>
  <c r="N17" i="10"/>
  <c r="L17" i="10"/>
  <c r="M17" i="10"/>
  <c r="N13" i="10"/>
  <c r="I13" i="1"/>
  <c r="L13" i="10"/>
  <c r="M13" i="10"/>
  <c r="L14" i="10"/>
  <c r="N14" i="10"/>
  <c r="M14" i="10"/>
  <c r="P16" i="1"/>
  <c r="M15" i="10"/>
  <c r="L15" i="10"/>
  <c r="N15" i="10"/>
  <c r="P14" i="1"/>
  <c r="O20" i="1"/>
  <c r="CT16" i="10"/>
  <c r="CR16" i="10"/>
  <c r="CR21" i="10"/>
  <c r="CT21" i="10"/>
  <c r="S12" i="10"/>
  <c r="I6" i="1" l="1"/>
  <c r="CO6" i="1" s="1"/>
  <c r="CR6" i="1" s="1"/>
  <c r="CO13" i="1"/>
  <c r="CT13" i="1" s="1"/>
  <c r="L13" i="1"/>
  <c r="CO14" i="1"/>
  <c r="CR14" i="1" s="1"/>
  <c r="L14" i="1"/>
  <c r="N5" i="1"/>
  <c r="CO5" i="1"/>
  <c r="I18" i="1"/>
  <c r="S7" i="10"/>
  <c r="S14" i="1"/>
  <c r="S6" i="1"/>
  <c r="I7" i="10"/>
  <c r="N7" i="10" s="1"/>
  <c r="CR22" i="10"/>
  <c r="S5" i="1"/>
  <c r="S13" i="1"/>
  <c r="CT19" i="10"/>
  <c r="I17" i="1"/>
  <c r="P20" i="1"/>
  <c r="S12" i="1"/>
  <c r="G12" i="10"/>
  <c r="G7" i="10" s="1"/>
  <c r="W12" i="1"/>
  <c r="N12" i="1"/>
  <c r="N14" i="1"/>
  <c r="M20" i="10"/>
  <c r="N20" i="10"/>
  <c r="L20" i="10"/>
  <c r="P7" i="1"/>
  <c r="I19" i="1"/>
  <c r="I16" i="1"/>
  <c r="L18" i="10"/>
  <c r="N18" i="10"/>
  <c r="M18" i="10"/>
  <c r="N13" i="1"/>
  <c r="I15" i="1"/>
  <c r="N19" i="10"/>
  <c r="L19" i="10"/>
  <c r="M19" i="10"/>
  <c r="CR18" i="10"/>
  <c r="U20" i="1"/>
  <c r="CT12" i="10"/>
  <c r="CR12" i="10"/>
  <c r="CR20" i="10"/>
  <c r="CT20" i="10"/>
  <c r="CR17" i="10"/>
  <c r="CT17" i="10"/>
  <c r="CT15" i="10"/>
  <c r="CR15" i="10"/>
  <c r="CR14" i="10"/>
  <c r="CT14" i="10"/>
  <c r="BK20" i="1"/>
  <c r="BG20" i="1"/>
  <c r="BK7" i="1"/>
  <c r="BG7" i="1"/>
  <c r="N6" i="1" l="1"/>
  <c r="L6" i="1"/>
  <c r="CT14" i="1"/>
  <c r="CT6" i="1"/>
  <c r="CR13" i="1"/>
  <c r="CO16" i="1"/>
  <c r="CS16" i="1" s="1"/>
  <c r="L16" i="1"/>
  <c r="CO17" i="1"/>
  <c r="CT17" i="1" s="1"/>
  <c r="L17" i="1"/>
  <c r="CO18" i="1"/>
  <c r="CS18" i="1" s="1"/>
  <c r="L18" i="1"/>
  <c r="CO15" i="1"/>
  <c r="CR15" i="1" s="1"/>
  <c r="L15" i="1"/>
  <c r="CO19" i="1"/>
  <c r="CS19" i="1" s="1"/>
  <c r="L19" i="1"/>
  <c r="CR5" i="1"/>
  <c r="CT5" i="1"/>
  <c r="M18" i="1"/>
  <c r="N18" i="1"/>
  <c r="G14" i="1"/>
  <c r="CM14" i="1" s="1"/>
  <c r="CS14" i="1" s="1"/>
  <c r="G6" i="1"/>
  <c r="CM6" i="1" s="1"/>
  <c r="CS6" i="1" s="1"/>
  <c r="CM12" i="10"/>
  <c r="G13" i="1"/>
  <c r="CM13" i="1" s="1"/>
  <c r="CS13" i="1" s="1"/>
  <c r="G5" i="1"/>
  <c r="CM5" i="1" s="1"/>
  <c r="CS5" i="1" s="1"/>
  <c r="CR19" i="10"/>
  <c r="M17" i="1"/>
  <c r="N17" i="1"/>
  <c r="W7" i="1"/>
  <c r="G12" i="1"/>
  <c r="CM12" i="1" s="1"/>
  <c r="CS12" i="1" s="1"/>
  <c r="M12" i="10"/>
  <c r="W20" i="1"/>
  <c r="S7" i="1"/>
  <c r="S20" i="1"/>
  <c r="M19" i="1"/>
  <c r="N19" i="1"/>
  <c r="CT18" i="10"/>
  <c r="M15" i="1"/>
  <c r="N15" i="1"/>
  <c r="M16" i="1"/>
  <c r="N16" i="1"/>
  <c r="Q20" i="1"/>
  <c r="CM13" i="10"/>
  <c r="CS13" i="10" s="1"/>
  <c r="CM16" i="10"/>
  <c r="CS16" i="10" s="1"/>
  <c r="CM20" i="10"/>
  <c r="CS20" i="10" s="1"/>
  <c r="CM18" i="10"/>
  <c r="CS18" i="10" s="1"/>
  <c r="CM22" i="10"/>
  <c r="CS22" i="10" s="1"/>
  <c r="CM17" i="10"/>
  <c r="CS17" i="10" s="1"/>
  <c r="CM14" i="10"/>
  <c r="CS14" i="10" s="1"/>
  <c r="CM19" i="10"/>
  <c r="CS19" i="10" s="1"/>
  <c r="CM21" i="10"/>
  <c r="CS21" i="10" s="1"/>
  <c r="CM15" i="10"/>
  <c r="CS15" i="10" s="1"/>
  <c r="K20" i="1"/>
  <c r="I7" i="1"/>
  <c r="I20" i="1"/>
  <c r="BE20" i="1"/>
  <c r="BI7" i="1"/>
  <c r="BJ7" i="1"/>
  <c r="BJ20" i="1"/>
  <c r="BF20" i="1"/>
  <c r="BF7" i="1"/>
  <c r="BE7" i="1"/>
  <c r="CT16" i="1" l="1"/>
  <c r="CR16" i="1"/>
  <c r="CR17" i="1"/>
  <c r="CS17" i="1"/>
  <c r="CS15" i="1"/>
  <c r="CT19" i="1"/>
  <c r="CR19" i="1"/>
  <c r="CT15" i="1"/>
  <c r="CT18" i="1"/>
  <c r="CM7" i="10"/>
  <c r="CS7" i="10" s="1"/>
  <c r="CR18" i="1"/>
  <c r="L20" i="1"/>
  <c r="M6" i="1"/>
  <c r="M14" i="1"/>
  <c r="M5" i="1"/>
  <c r="M13" i="1"/>
  <c r="M12" i="1"/>
  <c r="G20" i="1"/>
  <c r="M20" i="1" s="1"/>
  <c r="G7" i="1"/>
  <c r="M7" i="1" s="1"/>
  <c r="CO7" i="1"/>
  <c r="CN7" i="10"/>
  <c r="CS12" i="10"/>
  <c r="CP7" i="1"/>
  <c r="CQ20" i="1"/>
  <c r="CO20" i="1"/>
  <c r="CT7" i="10" l="1"/>
  <c r="CR7" i="10"/>
  <c r="CR13" i="10"/>
  <c r="CT13" i="10"/>
  <c r="CN20" i="1"/>
  <c r="CT20" i="1" s="1"/>
  <c r="CN7" i="1"/>
  <c r="CT7" i="1" s="1"/>
  <c r="CM20" i="1"/>
  <c r="CS20" i="1" s="1"/>
  <c r="CM7" i="1"/>
  <c r="CS7" i="1" s="1"/>
  <c r="L7" i="10"/>
  <c r="H7" i="1"/>
  <c r="M7" i="10"/>
  <c r="N7" i="1" l="1"/>
  <c r="L7" i="1"/>
  <c r="CR7" i="1"/>
  <c r="CR20" i="1"/>
  <c r="N20" i="1"/>
  <c r="AX20" i="1" l="1"/>
  <c r="AX7" i="1"/>
  <c r="BI20" i="1" l="1"/>
  <c r="BM7" i="1"/>
  <c r="BN7" i="1"/>
  <c r="AW20" i="1"/>
  <c r="BO20" i="1"/>
  <c r="BN20" i="1"/>
  <c r="BM20" i="1"/>
  <c r="BO7" i="1"/>
  <c r="BA20" i="1"/>
  <c r="AY20" i="1"/>
  <c r="AY7" i="1"/>
  <c r="BD7" i="1" s="1"/>
  <c r="AW7" i="1"/>
  <c r="BC7" i="1" l="1"/>
  <c r="BB7" i="1"/>
  <c r="BC20" i="1"/>
  <c r="BB20" i="1"/>
  <c r="BD20" i="1"/>
</calcChain>
</file>

<file path=xl/sharedStrings.xml><?xml version="1.0" encoding="utf-8"?>
<sst xmlns="http://schemas.openxmlformats.org/spreadsheetml/2006/main" count="4086" uniqueCount="1049">
  <si>
    <t>EQUIPE</t>
  </si>
  <si>
    <t>META</t>
  </si>
  <si>
    <t>CÓD</t>
  </si>
  <si>
    <t>ÁREA</t>
  </si>
  <si>
    <t>KA-BRQ</t>
  </si>
  <si>
    <t>CÓD.</t>
  </si>
  <si>
    <t>CLIENTE</t>
  </si>
  <si>
    <t>SUPERMERCADO MESCHKE LTDA</t>
  </si>
  <si>
    <t>SUPERMERCADO SILVEIRA 02 LTDA</t>
  </si>
  <si>
    <t>SUPERMERCADO SILVEIRA 01 LTDA</t>
  </si>
  <si>
    <t>ABIMAR SUPERMERCADOS LTDA FILIAL 1</t>
  </si>
  <si>
    <t>ABIMAR SUPERMERCADOS LTDA</t>
  </si>
  <si>
    <t>HIPER SELECT SUPERMERCADOS LTDA</t>
  </si>
  <si>
    <t>Código Cliente</t>
  </si>
  <si>
    <t>Quantidade</t>
  </si>
  <si>
    <t>REDE</t>
  </si>
  <si>
    <t>GAP META</t>
  </si>
  <si>
    <t xml:space="preserve">TT </t>
  </si>
  <si>
    <t>VENDEDOR/REPRESENTANTE</t>
  </si>
  <si>
    <t>SUPERMERCADOS MANENTI LTDA CD</t>
  </si>
  <si>
    <t>ABIMAR SUPERMERCADOS LTDA FILIAL 2</t>
  </si>
  <si>
    <t>TEREZINHA MOREIRA MATES E CIA LTDA</t>
  </si>
  <si>
    <t>Q1 - JULHO A SETEMBRO</t>
  </si>
  <si>
    <t>JULHO</t>
  </si>
  <si>
    <t>AGOSTO</t>
  </si>
  <si>
    <t>SETEMBRO</t>
  </si>
  <si>
    <t>NILSON ARNALDO DA SILVA E CIA LTDA</t>
  </si>
  <si>
    <t>OUTUBRO</t>
  </si>
  <si>
    <t>NOVEMBRO</t>
  </si>
  <si>
    <t>DEZEMBRO</t>
  </si>
  <si>
    <t>Q2 - OUTUBRO A DEZEMBRO</t>
  </si>
  <si>
    <t>VENCEDOR ATACADISTA LTDA</t>
  </si>
  <si>
    <t>Nome da Rede</t>
  </si>
  <si>
    <t>JUL</t>
  </si>
  <si>
    <t>AGO</t>
  </si>
  <si>
    <t>SET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</si>
  <si>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</si>
  <si>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</si>
  <si>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</si>
  <si>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</si>
  <si>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</si>
  <si>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</si>
  <si>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</si>
  <si>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</si>
  <si>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</si>
  <si>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TOTAL</t>
  </si>
  <si>
    <t xml:space="preserve">ABIMAR SUPERMERCADOS LTDA </t>
  </si>
  <si>
    <t xml:space="preserve">ABIMAR SUPERMERCADOS LTDA FILIAL 1 </t>
  </si>
  <si>
    <t xml:space="preserve">ABIMAR SUPERMERCADOS LTDA FILIAL 2 </t>
  </si>
  <si>
    <t xml:space="preserve">NILSON ARNALDO DA SILVA E CIA LTDA </t>
  </si>
  <si>
    <t xml:space="preserve">SUPERMERCADO MESCHKE LTDA </t>
  </si>
  <si>
    <t xml:space="preserve">SUPERMERCADO SILVEIRA 01 LTDA </t>
  </si>
  <si>
    <t xml:space="preserve">SUPERMERCADO SILVEIRA 02 LTDA </t>
  </si>
  <si>
    <t xml:space="preserve">SUPERMERCADOS MANENTI LTDA CD </t>
  </si>
  <si>
    <t xml:space="preserve">VENCEDOR ATACADISTA LTDA </t>
  </si>
  <si>
    <t xml:space="preserve">Cliente </t>
  </si>
  <si>
    <t xml:space="preserve"> Mês</t>
  </si>
  <si>
    <t>SUPERMERCADOS MANENTI LTDA LOJA 01</t>
  </si>
  <si>
    <t>SUPERMERCADOS MANENTI LTDA LOJA 02</t>
  </si>
  <si>
    <t>SUPERMERCADOS MANENTI LTDA LOJA 03</t>
  </si>
  <si>
    <t>SUPERMERCADOS MANENTI LTDA LOJA 04</t>
  </si>
  <si>
    <t>SUPERMERCADOS MANENTI LTDA LOJA 05</t>
  </si>
  <si>
    <t>SUPERMERCADOS MANENTI LTDA LOJA 07</t>
  </si>
  <si>
    <t>SUPERMERCADOS MANENTI LTDA LOJA 08</t>
  </si>
  <si>
    <t>SUPERMERCADOS MANENTI LTDA LOJA 09</t>
  </si>
  <si>
    <t>MÁQ</t>
  </si>
  <si>
    <t>Q3 - JANEIRO A MARÇO</t>
  </si>
  <si>
    <t>JANEIRO</t>
  </si>
  <si>
    <t>FEVEREIRO</t>
  </si>
  <si>
    <t>ABRIL</t>
  </si>
  <si>
    <t>MAIO</t>
  </si>
  <si>
    <t>JUNHO</t>
  </si>
  <si>
    <t>MARÇO</t>
  </si>
  <si>
    <t>Q4 - ABRIL A JUNHO</t>
  </si>
  <si>
    <t>Cliente</t>
  </si>
  <si>
    <t>BONIF</t>
  </si>
  <si>
    <t>PEDIDOS DE VENDA - NA MÁQUINA MÊS ATUAL</t>
  </si>
  <si>
    <t>KA-BNU</t>
  </si>
  <si>
    <t>SUPERMERCADO FELIPE ROYER LTDA</t>
  </si>
  <si>
    <t>CLIENTE X TOTAL - COMPRA X EX. FATURADO - JOHNSON</t>
  </si>
  <si>
    <t>Quantidade Atendida</t>
  </si>
  <si>
    <t xml:space="preserve">SUPERMERCADO MEES LTDA </t>
  </si>
  <si>
    <t>CNPJ</t>
  </si>
  <si>
    <t>SUPERMERCADO MEES LTDA</t>
  </si>
  <si>
    <t>BONIFICAÇÃO</t>
  </si>
  <si>
    <t>RELATÓRIO 2824 - CLIENTE X MÊS - COMPRA X V LIQUIDA - 525</t>
  </si>
  <si>
    <t xml:space="preserve">SUPERMERCADO SILVEIRA MATRIZ LTDA </t>
  </si>
  <si>
    <t xml:space="preserve">SUPERMERCADOS MANENTI LTDA LOJA 01 </t>
  </si>
  <si>
    <t xml:space="preserve">SUPERMERCADOS MANENTI LTDA LOJA 02 </t>
  </si>
  <si>
    <t xml:space="preserve">SUPERMERCADOS MANENTI LTDA LOJA 03 </t>
  </si>
  <si>
    <t xml:space="preserve">SUPERMERCADOS MANENTI LTDA LOJA 04 </t>
  </si>
  <si>
    <t xml:space="preserve">SUPERMERCADOS MANENTI LTDA LOJA 07 </t>
  </si>
  <si>
    <t xml:space="preserve">SUPERMERCADOS MANENTI LTDA LOJA 09 </t>
  </si>
  <si>
    <t xml:space="preserve">SUPERMERCADOS MANENTI LTDA LOJA 08 </t>
  </si>
  <si>
    <t xml:space="preserve">SUPERMERCADOS MANENTI LTDA LOJA 05 </t>
  </si>
  <si>
    <t>COOPERATIVA AGROINDUSTRIAL COOPERJA</t>
  </si>
  <si>
    <t xml:space="preserve">COOPERATIVA AGROINDUSTRIAL COOPERJA </t>
  </si>
  <si>
    <t>NORTE MC/KA D</t>
  </si>
  <si>
    <t>NORTE MC/KA M</t>
  </si>
  <si>
    <t>REDE ARCHER</t>
  </si>
  <si>
    <t>SUPERMERCADO SILVEIRA MATRIZ LTDA</t>
  </si>
  <si>
    <t>REDE SM SILVEIRA</t>
  </si>
  <si>
    <t>REDE ABIMAR</t>
  </si>
  <si>
    <t>REDE MESCHKE</t>
  </si>
  <si>
    <t>SUPERMERCADOS MANENTI LTDA</t>
  </si>
  <si>
    <t>REDE MANENTI</t>
  </si>
  <si>
    <t>REDE UBER</t>
  </si>
  <si>
    <t>REDE VENCEDOR</t>
  </si>
  <si>
    <t>REDE MEES</t>
  </si>
  <si>
    <t>ATACADO NILO GOEDERT LTDA</t>
  </si>
  <si>
    <t>REDE NILO GOEDERT</t>
  </si>
  <si>
    <t>SUPERMERCADOS ARCHER S A LJ 04</t>
  </si>
  <si>
    <t>SUPERMERCADOS ARCHER S A</t>
  </si>
  <si>
    <t>SUPERMERCADOS ARCHER S A LJ 01</t>
  </si>
  <si>
    <t>SUPERMERCADOS ARCHER S A LJ 08</t>
  </si>
  <si>
    <t>SUPERMERCADOS ARCHER S A LJ 09</t>
  </si>
  <si>
    <t>SUPERMERCADOS ARCHER S A LJ 05</t>
  </si>
  <si>
    <t>SUPERMERCADOS ARCHER S A LJ 03</t>
  </si>
  <si>
    <t>SUPERMERCADOS ARCHER S A LJ 06</t>
  </si>
  <si>
    <t>SUPERMERCADOS ARCHER S A LJ 02</t>
  </si>
  <si>
    <t>SUPERMERCADOS ARCHER S A LJ 07</t>
  </si>
  <si>
    <t>REDE TOP SUPERMERCADOS EIRELI</t>
  </si>
  <si>
    <t>CENTRAL DE NEGOCIOS E ALIM REDE TOP LTDA</t>
  </si>
  <si>
    <t>MOCAM SUPERMERCADOS LTDA FILIAL 12</t>
  </si>
  <si>
    <t>MOCAM SUPERMERCADOS LTDA</t>
  </si>
  <si>
    <t>REDE TOP SUPERMERCADOS EIRELI FL 04</t>
  </si>
  <si>
    <t>REDE TOP SUPERMERCADOS EIRELI FL 01</t>
  </si>
  <si>
    <t>REDE TOP SUPERMERCADOS EIRELI FL 06</t>
  </si>
  <si>
    <t>SUPERMERCADO CENTRAL LTDA</t>
  </si>
  <si>
    <t>MOCAM SUPERMERCADOS LTDA FILIAL 10</t>
  </si>
  <si>
    <t>MOCAM SUPERMERCADOS LTDA FILIAL 03</t>
  </si>
  <si>
    <t>MOCAM SUPERMERCADOS LTDA FILIAL 07</t>
  </si>
  <si>
    <t>MOCAM SUPERMERCADOS LTDA FILIAL 02</t>
  </si>
  <si>
    <t>MOCAM SUPERMERCADOS LTDA FILIAL 01</t>
  </si>
  <si>
    <t>REDE TOP</t>
  </si>
  <si>
    <t>REDE FEGOAGRO</t>
  </si>
  <si>
    <t>REDE HIPER SELECT</t>
  </si>
  <si>
    <t xml:space="preserve">SUPERMERCADOS ARCHER S A </t>
  </si>
  <si>
    <t xml:space="preserve">ATACADO NILO GOEDERT LTDA </t>
  </si>
  <si>
    <t xml:space="preserve">HIPER SELECT SUPERMERCADOS LTDA. </t>
  </si>
  <si>
    <t>REDE TOP SUPERMERCADOS LTDA</t>
  </si>
  <si>
    <t>HIPER SELECT SUPERMERCADOS LTDA.</t>
  </si>
  <si>
    <t xml:space="preserve">SUPERMERCADOS MANENTI LTDA </t>
  </si>
  <si>
    <t>REDE TOP 716</t>
  </si>
  <si>
    <t>ATIVO</t>
  </si>
  <si>
    <t>STATUS</t>
  </si>
  <si>
    <t>M M ROSSO SUPERMERCADO LTDA FL 03</t>
  </si>
  <si>
    <t>M M ROSSO SUPERMERCADO LTDA FL 04</t>
  </si>
  <si>
    <t>M M ROSSO SUPERMERCADO LTDA</t>
  </si>
  <si>
    <t>M M ROSSO SUPERMERCADO LTDA FL 08</t>
  </si>
  <si>
    <t>M M ROSSO SUPERMERCADO LTDA FL 05</t>
  </si>
  <si>
    <t>M M ROSSO SUPERMERCADO LTDA FL 06</t>
  </si>
  <si>
    <t>COOPERATIVA REG AGROPEC SUL CATARINENSE</t>
  </si>
  <si>
    <t>REDE SM ROSSO</t>
  </si>
  <si>
    <t>REDE COOPER AGRO</t>
  </si>
  <si>
    <t xml:space="preserve">COOPERATIVA REG AGROPEC SUL CATARINENSE </t>
  </si>
  <si>
    <t xml:space="preserve">M M ROSSO SUPERMERCADO LTDA FL 05 </t>
  </si>
  <si>
    <t xml:space="preserve"> JUL/2024</t>
  </si>
  <si>
    <t xml:space="preserve"> AGO/2024</t>
  </si>
  <si>
    <t xml:space="preserve"> SET/2024</t>
  </si>
  <si>
    <t xml:space="preserve"> OUT/2024</t>
  </si>
  <si>
    <t xml:space="preserve"> NOV/2024</t>
  </si>
  <si>
    <t xml:space="preserve"> DEZ/2024</t>
  </si>
  <si>
    <t xml:space="preserve"> JAN/2025</t>
  </si>
  <si>
    <t xml:space="preserve"> FEV/2025</t>
  </si>
  <si>
    <t xml:space="preserve"> MAR/2025</t>
  </si>
  <si>
    <t xml:space="preserve"> ABR/2025</t>
  </si>
  <si>
    <t xml:space="preserve"> MAI/2025</t>
  </si>
  <si>
    <t xml:space="preserve"> JUN/2025</t>
  </si>
  <si>
    <t>HIST</t>
  </si>
  <si>
    <t>FAT</t>
  </si>
  <si>
    <t>TOTAL:</t>
  </si>
  <si>
    <t>% HIST</t>
  </si>
  <si>
    <t>% META</t>
  </si>
  <si>
    <t>CLASSIFICAÇÃO</t>
  </si>
  <si>
    <t>Q1</t>
  </si>
  <si>
    <t>Q2</t>
  </si>
  <si>
    <t>Q3</t>
  </si>
  <si>
    <t>Q4</t>
  </si>
  <si>
    <t xml:space="preserve">GTOP DISTRIBUICAO LTDA </t>
  </si>
  <si>
    <t xml:space="preserve">M M ROSSO SUPERMERCADO LTDA </t>
  </si>
  <si>
    <t xml:space="preserve">M M ROSSO SUPERMERCADO LTDA FL 06 </t>
  </si>
  <si>
    <t xml:space="preserve">M M ROSSO SUPERMERCADO LTDA FL 08 </t>
  </si>
  <si>
    <t>Disponível</t>
  </si>
  <si>
    <t>Pago</t>
  </si>
  <si>
    <t>%</t>
  </si>
  <si>
    <t>GERENTE COMERCIAL</t>
  </si>
  <si>
    <t>GERENTE DE VENDAS</t>
  </si>
  <si>
    <t>SUPERVISORES/CONSULTORES</t>
  </si>
  <si>
    <t>VENDEDORES</t>
  </si>
  <si>
    <t>MERCHANDISING EXTERNO</t>
  </si>
  <si>
    <t>MERCHANDISING INTERNO</t>
  </si>
  <si>
    <t xml:space="preserve">M M ROSSO SUPERMERCADO LTDA LOJA 10 </t>
  </si>
  <si>
    <t>VENDA DISTRIB</t>
  </si>
  <si>
    <t>CONVENIENCIA</t>
  </si>
  <si>
    <t>ITAJAI</t>
  </si>
  <si>
    <t>CENTRO</t>
  </si>
  <si>
    <t>SM DE 10 A 19 CHECK-OUT</t>
  </si>
  <si>
    <t>PALHOCA</t>
  </si>
  <si>
    <t>CASH AND CARRY</t>
  </si>
  <si>
    <t>SAO JOSE</t>
  </si>
  <si>
    <t>FLORIANOPOLIS</t>
  </si>
  <si>
    <t>CAMPECHE</t>
  </si>
  <si>
    <t>BIGUACU</t>
  </si>
  <si>
    <t>SAO CRISTOVAO</t>
  </si>
  <si>
    <t>ICARA</t>
  </si>
  <si>
    <t>CRICIUMA</t>
  </si>
  <si>
    <t>RIO TAVARES</t>
  </si>
  <si>
    <t>SM DE 05 A 09 CHECK-OUT</t>
  </si>
  <si>
    <t>ARARANGUA</t>
  </si>
  <si>
    <t>CAMBORIU</t>
  </si>
  <si>
    <t>BALNEARIO CAMBORIU</t>
  </si>
  <si>
    <t>BRUSQUE</t>
  </si>
  <si>
    <t>BARRA VELHA</t>
  </si>
  <si>
    <t>BLUMENAU</t>
  </si>
  <si>
    <t>NAVEGANTES</t>
  </si>
  <si>
    <t>SAO DOMINGOS</t>
  </si>
  <si>
    <t>INDAIAL</t>
  </si>
  <si>
    <t>SM DE 02 A 04 CHECK-OUT</t>
  </si>
  <si>
    <t>SAO VICENTE</t>
  </si>
  <si>
    <t>VILA NOVA</t>
  </si>
  <si>
    <t>PENHA</t>
  </si>
  <si>
    <t>SAO FRANCISCO DO SUL</t>
  </si>
  <si>
    <t>CD CENTRO DE DISTRIBUICAO</t>
  </si>
  <si>
    <t>WALDEMAR FRANCISCO 434</t>
  </si>
  <si>
    <t>016622210016-74</t>
  </si>
  <si>
    <t>VELHA</t>
  </si>
  <si>
    <t>RUA JOSE REUTER 961</t>
  </si>
  <si>
    <t>VELHA CENTRAL</t>
  </si>
  <si>
    <t>782187650008-66</t>
  </si>
  <si>
    <t>RUA GENERAL OSORIO 1490</t>
  </si>
  <si>
    <t>016622210009-45</t>
  </si>
  <si>
    <t>RUA DR PEDRO ZIMMERMANN 7155</t>
  </si>
  <si>
    <t>ITOUPAVA CENTRAL</t>
  </si>
  <si>
    <t>782187650001-90</t>
  </si>
  <si>
    <t>RUA GUSTAVO ZIMMERMANN 1365</t>
  </si>
  <si>
    <t>782187650005-13</t>
  </si>
  <si>
    <t>RUA HERMANN TRIBESS 1026</t>
  </si>
  <si>
    <t>TRIBESS</t>
  </si>
  <si>
    <t>782187650006-02</t>
  </si>
  <si>
    <t>RUA BENJAMIN CONSTANT 0939</t>
  </si>
  <si>
    <t>ESCOLA AGRICOLA</t>
  </si>
  <si>
    <t>016622210004-30</t>
  </si>
  <si>
    <t>GASPAR</t>
  </si>
  <si>
    <t>RUA NEREU RAMOS 1007</t>
  </si>
  <si>
    <t>COLONINHA</t>
  </si>
  <si>
    <t>863784290008-09</t>
  </si>
  <si>
    <t>RUA FRANCISCO VAHLDIECK 1881</t>
  </si>
  <si>
    <t>FORTALEZA</t>
  </si>
  <si>
    <t>016622210003-50</t>
  </si>
  <si>
    <t>AV DAS COMUNIDADES 0995</t>
  </si>
  <si>
    <t>SANTA TEREZINHA</t>
  </si>
  <si>
    <t>863784290010-23</t>
  </si>
  <si>
    <t>AV FREI GODOFREDO 1500</t>
  </si>
  <si>
    <t>863784290011-04</t>
  </si>
  <si>
    <t>RUA BONIFACIO HAENDCHEN 1120</t>
  </si>
  <si>
    <t>BELCHIOR CENTRAL</t>
  </si>
  <si>
    <t>016622210007-83</t>
  </si>
  <si>
    <t>RUA LUIZ FRANZOI 250</t>
  </si>
  <si>
    <t>MARGEM ESQUERDA</t>
  </si>
  <si>
    <t>863784290012-95</t>
  </si>
  <si>
    <t>RODEIO</t>
  </si>
  <si>
    <t>RIO DOS CEDROS</t>
  </si>
  <si>
    <t>AV TIRTADENTES 0558</t>
  </si>
  <si>
    <t>863784290001-32</t>
  </si>
  <si>
    <t>RUA MARECHAL DEODORO DA FONSECA 1090</t>
  </si>
  <si>
    <t>TAPAJOS</t>
  </si>
  <si>
    <t>863784290004-85</t>
  </si>
  <si>
    <t>DAS NACOES</t>
  </si>
  <si>
    <t>POMERODE</t>
  </si>
  <si>
    <t>RUA HERMANN WEEGE 615</t>
  </si>
  <si>
    <t>863784290005-66</t>
  </si>
  <si>
    <t>ROD BR 470 0399</t>
  </si>
  <si>
    <t>863784290007-28</t>
  </si>
  <si>
    <t>GTOP DISTRIBUICAO LTDA</t>
  </si>
  <si>
    <t>RUA BERTOLINA MAY KECHELE 733</t>
  </si>
  <si>
    <t>ENCANTO DO NORTE</t>
  </si>
  <si>
    <t>188036540001-19</t>
  </si>
  <si>
    <t>MULDE</t>
  </si>
  <si>
    <t>CONFEITARIA/PANIFICADORA</t>
  </si>
  <si>
    <t>188036540003-80</t>
  </si>
  <si>
    <t>LUIGI SARDAGNA 120</t>
  </si>
  <si>
    <t>016622210017-55</t>
  </si>
  <si>
    <t xml:space="preserve">RIO AMAZONAS </t>
  </si>
  <si>
    <t>RIO PEQUENO</t>
  </si>
  <si>
    <t>016622210018-36</t>
  </si>
  <si>
    <t>ANFILOQUIO NUNES PIRES 4242</t>
  </si>
  <si>
    <t>BELA VISTA</t>
  </si>
  <si>
    <t>188036540007-04</t>
  </si>
  <si>
    <t>CORUPA</t>
  </si>
  <si>
    <t>RUA JOSE FRANCISCO LAURINDO 1766</t>
  </si>
  <si>
    <t>016622210011-60</t>
  </si>
  <si>
    <t>BALNEARIO PICARRAS</t>
  </si>
  <si>
    <t>RUA DUQUE DE CAXIAS 662</t>
  </si>
  <si>
    <t>016622210012-40</t>
  </si>
  <si>
    <t>AV NEREU RAMOS 473</t>
  </si>
  <si>
    <t>016622210013-21</t>
  </si>
  <si>
    <t>AV RIO DO SUL 244</t>
  </si>
  <si>
    <t>GRAVATA</t>
  </si>
  <si>
    <t>016622210010-89</t>
  </si>
  <si>
    <t>ROD BR 280 SN</t>
  </si>
  <si>
    <t>MORRO GRANDE</t>
  </si>
  <si>
    <t>016622210014-02</t>
  </si>
  <si>
    <t>RUA GUARAREMA 270</t>
  </si>
  <si>
    <t>TABULEIRO</t>
  </si>
  <si>
    <t>016622210015-93</t>
  </si>
  <si>
    <t>BALNEARIO RINCAO</t>
  </si>
  <si>
    <t>ROD PAULINO BURIGO 765</t>
  </si>
  <si>
    <t>PEDREIRAS</t>
  </si>
  <si>
    <t>005080700003-17</t>
  </si>
  <si>
    <t>IMARUI</t>
  </si>
  <si>
    <t>AV GOVERNADOR CELSO RAMOS 278</t>
  </si>
  <si>
    <t>798376880010-00</t>
  </si>
  <si>
    <t>ROD SC 445 PAULINO BURIGO 0272</t>
  </si>
  <si>
    <t>005080700001-55</t>
  </si>
  <si>
    <t>RUA 7 DE SETEMBRO 0502</t>
  </si>
  <si>
    <t>005080700002-36</t>
  </si>
  <si>
    <t>RUA GENERAL OSVALDO PINTO DA VEIGA 1575</t>
  </si>
  <si>
    <t>PROSPERA</t>
  </si>
  <si>
    <t>798376880003-80</t>
  </si>
  <si>
    <t>ROD LUIZ ROSSO 10870</t>
  </si>
  <si>
    <t>QUARTA LINHA</t>
  </si>
  <si>
    <t>733964420001-72</t>
  </si>
  <si>
    <t>AV DOS IMIGRANTES 1715</t>
  </si>
  <si>
    <t>RIO MAINA</t>
  </si>
  <si>
    <t>798376880001-19</t>
  </si>
  <si>
    <t>AV COCAL 1715</t>
  </si>
  <si>
    <t>MINA UNIAO</t>
  </si>
  <si>
    <t>798376880002-08</t>
  </si>
  <si>
    <t>SAO LUIZ</t>
  </si>
  <si>
    <t>NOVA VENEZA</t>
  </si>
  <si>
    <t>RUA ALFREDO PESSI 1411</t>
  </si>
  <si>
    <t>798376880004-61</t>
  </si>
  <si>
    <t>AV UNIVERSITARIA 1186</t>
  </si>
  <si>
    <t>SANTA LUZIA</t>
  </si>
  <si>
    <t>798376880005-42</t>
  </si>
  <si>
    <t>FORQUILHINHA</t>
  </si>
  <si>
    <t>ROD GABRIEL ARNS 4840</t>
  </si>
  <si>
    <t>SATURNO</t>
  </si>
  <si>
    <t>798376880006-23</t>
  </si>
  <si>
    <t>AV GETULIO VARGAS 0755</t>
  </si>
  <si>
    <t>005080700004-06</t>
  </si>
  <si>
    <t>BALNEARIO GAIVOTA</t>
  </si>
  <si>
    <t>25 DE JULHO 3020</t>
  </si>
  <si>
    <t>798376880012-71</t>
  </si>
  <si>
    <t>BRACO DO NORTE</t>
  </si>
  <si>
    <t>ROD SC 370 595</t>
  </si>
  <si>
    <t>RIO BONITO</t>
  </si>
  <si>
    <t>768577470001-22</t>
  </si>
  <si>
    <t>GAROPABA</t>
  </si>
  <si>
    <t>ROD SC 434 1500</t>
  </si>
  <si>
    <t>832599450001-50</t>
  </si>
  <si>
    <t>ROD SC 434 10864</t>
  </si>
  <si>
    <t>CAMPO DUNA</t>
  </si>
  <si>
    <t>832599450002-30</t>
  </si>
  <si>
    <t>RUA PREF JOAO ORESTES DE ARAUJO 0708</t>
  </si>
  <si>
    <t>832599450003-11</t>
  </si>
  <si>
    <t>IMBITUBA</t>
  </si>
  <si>
    <t>RUA CONEGO ITAMAR LUIZ DA COSTA 0498</t>
  </si>
  <si>
    <t>NOVA BRASILIA</t>
  </si>
  <si>
    <t>798376880008-95</t>
  </si>
  <si>
    <t>CAPIVARI DE BAIXO</t>
  </si>
  <si>
    <t>RUA JOAO RODRIGUES MARTINS 0664</t>
  </si>
  <si>
    <t>798376880009-76</t>
  </si>
  <si>
    <t>GRP 396 VEREADOR LAUDELINO ANTONIO  2876</t>
  </si>
  <si>
    <t>GRAMA</t>
  </si>
  <si>
    <t>798376880013-52</t>
  </si>
  <si>
    <t>RUA EUGENIO DE BONA CASTELAN 0170</t>
  </si>
  <si>
    <t>733964420003-34</t>
  </si>
  <si>
    <t>SIDEROPOLIS</t>
  </si>
  <si>
    <t>RUA DOM LUIZ ORIONE 0154</t>
  </si>
  <si>
    <t>733964420004-15</t>
  </si>
  <si>
    <t>RUA 1045 1920</t>
  </si>
  <si>
    <t>733964420005-04</t>
  </si>
  <si>
    <t>SOMBRIO</t>
  </si>
  <si>
    <t>AV PAPA JOAO PAULO XXII 1004</t>
  </si>
  <si>
    <t>733964420006-87</t>
  </si>
  <si>
    <t>ROD LUIZ ROSSO 5130</t>
  </si>
  <si>
    <t>MORRO ESTEVAO</t>
  </si>
  <si>
    <t>733964420007-68</t>
  </si>
  <si>
    <t>ROD SC 370 935</t>
  </si>
  <si>
    <t>768577470002-03</t>
  </si>
  <si>
    <t>AV UNIVERSITARIA 3999</t>
  </si>
  <si>
    <t>SAO DEFENDE</t>
  </si>
  <si>
    <t>733964420008-49</t>
  </si>
  <si>
    <t>PEDRO RODRIGUES LOPES 550</t>
  </si>
  <si>
    <t>COMERCIARIO</t>
  </si>
  <si>
    <t>733964420009-20</t>
  </si>
  <si>
    <t>M M ROSSO SUPERMERCADO LTDA LOJA 10</t>
  </si>
  <si>
    <t>SC 446 184</t>
  </si>
  <si>
    <t>733964420010-63</t>
  </si>
  <si>
    <t>LAURO MULLER</t>
  </si>
  <si>
    <t>PREFEITO FLAVIO RIGHETTO 525</t>
  </si>
  <si>
    <t>733964420011-44</t>
  </si>
  <si>
    <t>ESTREITO</t>
  </si>
  <si>
    <t>MERCEARIA</t>
  </si>
  <si>
    <t>BARRA DO ARIRIU</t>
  </si>
  <si>
    <t>DISTRITO INDUSTRIAL</t>
  </si>
  <si>
    <t>LAGOA DA CONCEICAO</t>
  </si>
  <si>
    <t>MORRO DAS PEDRAS</t>
  </si>
  <si>
    <t>CORREGO GRANDE</t>
  </si>
  <si>
    <t>BEIRA RIO</t>
  </si>
  <si>
    <t>FLP-SUL MC/KA D</t>
  </si>
  <si>
    <t>NACOES</t>
  </si>
  <si>
    <t>MC-FLP D</t>
  </si>
  <si>
    <t>ROD SC 405 4400</t>
  </si>
  <si>
    <t>040310260004-09</t>
  </si>
  <si>
    <t>ROD DOUTOR ANTONIO LUIZ MOURA GONZA 2797</t>
  </si>
  <si>
    <t>036508310001-05</t>
  </si>
  <si>
    <t>RUA FRANCISCO VIEIRA 465</t>
  </si>
  <si>
    <t>040310260001-58</t>
  </si>
  <si>
    <t>ROD ROD SC 406 4823</t>
  </si>
  <si>
    <t>ARMACAO</t>
  </si>
  <si>
    <t>040310260002-39</t>
  </si>
  <si>
    <t>AV PEQUENO PRINCIPE 1770</t>
  </si>
  <si>
    <t>040310260003-10</t>
  </si>
  <si>
    <t>RUA DEODORO 281</t>
  </si>
  <si>
    <t>040310260006-62</t>
  </si>
  <si>
    <t>DOUTOR ANTONIO LUIZ MOURA GONZAGA 2797</t>
  </si>
  <si>
    <t>040310260009-05</t>
  </si>
  <si>
    <t>RUA ALCINO DOS NAVEGANTES MOREIRA 3010</t>
  </si>
  <si>
    <t>040310260008-24</t>
  </si>
  <si>
    <t>RUA LAURINDO JANUARIO DA SILVEIRA 2308</t>
  </si>
  <si>
    <t>040310260010-49</t>
  </si>
  <si>
    <t>AVENIDA CAMPECHE 2865</t>
  </si>
  <si>
    <t>040310260011-20</t>
  </si>
  <si>
    <t>RUA LAURINDO JANUARIO DA SILVEIRA 432</t>
  </si>
  <si>
    <t>040310260012-00</t>
  </si>
  <si>
    <t>RUA JOAO PIO DUARTE SILVA 1630</t>
  </si>
  <si>
    <t>040310260013-91</t>
  </si>
  <si>
    <t>RUA JUDITE MELO DOS SANTOS 1120</t>
  </si>
  <si>
    <t>040310260015-53</t>
  </si>
  <si>
    <t>ROD SC 407 S/N</t>
  </si>
  <si>
    <t>040310260016-34</t>
  </si>
  <si>
    <t>MC-TBCR D</t>
  </si>
  <si>
    <t>MC-IMB D</t>
  </si>
  <si>
    <t>MC-ARA D</t>
  </si>
  <si>
    <t>MELEIRO</t>
  </si>
  <si>
    <t>RUA 20 DE DEZEMBRO 319</t>
  </si>
  <si>
    <t>865126470036-48</t>
  </si>
  <si>
    <t>JACINTO MACHADO</t>
  </si>
  <si>
    <t>AV PADRE HERVAL FONTANELA 1369</t>
  </si>
  <si>
    <t>FIGUEIRAS</t>
  </si>
  <si>
    <t>856679470003-75</t>
  </si>
  <si>
    <t>SANTA ROSA DO SUL</t>
  </si>
  <si>
    <t>RUA DR NEREU RAMOS 1162</t>
  </si>
  <si>
    <t>856679470026-61</t>
  </si>
  <si>
    <t>SANTA CATARINA 910</t>
  </si>
  <si>
    <t>PRAIA GAIVOTA</t>
  </si>
  <si>
    <t>856679470009-60</t>
  </si>
  <si>
    <t>TURVO</t>
  </si>
  <si>
    <t>RUA FREI GREGORIO DALMONTE 1190</t>
  </si>
  <si>
    <t>865126470014-32</t>
  </si>
  <si>
    <t>SAO JOAO DO SUL</t>
  </si>
  <si>
    <t>RUA AMANDIO LEONEL DE SOUZA 0320</t>
  </si>
  <si>
    <t>865126470015-13</t>
  </si>
  <si>
    <t>PRAIA GRANDE</t>
  </si>
  <si>
    <t>RUA PADRE HUMBERTO OENING 0471</t>
  </si>
  <si>
    <t>856679470005-37</t>
  </si>
  <si>
    <t>RUA DAMASIO PERES 0380</t>
  </si>
  <si>
    <t>856679470014-28</t>
  </si>
  <si>
    <t>DOS MUNICIPIOS</t>
  </si>
  <si>
    <t>LUIZ ALVES</t>
  </si>
  <si>
    <t>NOVA TRENTO</t>
  </si>
  <si>
    <t>CENTRO II</t>
  </si>
  <si>
    <t>AGUAS CLARAS</t>
  </si>
  <si>
    <t>PRIMEIRO DE MAIO</t>
  </si>
  <si>
    <t>GUABIRUBA</t>
  </si>
  <si>
    <t>AV GETULIO VARGAS 381</t>
  </si>
  <si>
    <t>792572910001-58</t>
  </si>
  <si>
    <t>RUA FELIPE SCHIMIDT 390</t>
  </si>
  <si>
    <t>792572910003-10</t>
  </si>
  <si>
    <t>RUA 10 DE JUNHO 11</t>
  </si>
  <si>
    <t>792572910005-81</t>
  </si>
  <si>
    <t>RUA NICOLAU BADO 244</t>
  </si>
  <si>
    <t>792572910006-62</t>
  </si>
  <si>
    <t>RUA SANTOS DUMONT 1004</t>
  </si>
  <si>
    <t>792572910004-09</t>
  </si>
  <si>
    <t>RUA GUILHERME WEGNER 0701</t>
  </si>
  <si>
    <t>792572910008-24</t>
  </si>
  <si>
    <t>RUA PREFEITO GERMANO SCHAEFER 41</t>
  </si>
  <si>
    <t>792572910011-20</t>
  </si>
  <si>
    <t>RUA ANFILOQUIO NUNES PIRES 0477</t>
  </si>
  <si>
    <t>FIGUEIRA</t>
  </si>
  <si>
    <t>792572910012-00</t>
  </si>
  <si>
    <t>RUA FLORIANOPOLIS 1833</t>
  </si>
  <si>
    <t>792572910013-91</t>
  </si>
  <si>
    <t>RUA AUGUSTO KLAPOTH 274</t>
  </si>
  <si>
    <t>792572910002-39</t>
  </si>
  <si>
    <t>MC-ITPE D</t>
  </si>
  <si>
    <t>RUA NILSON EDSON DOS SANTOS 1275</t>
  </si>
  <si>
    <t>096650460001-02</t>
  </si>
  <si>
    <t>AV NILO BITTENCOURT 865</t>
  </si>
  <si>
    <t>096650460002-85</t>
  </si>
  <si>
    <t>ROD SC 414 8310</t>
  </si>
  <si>
    <t>389034790001-49</t>
  </si>
  <si>
    <t>AV DO ESTADO 3103</t>
  </si>
  <si>
    <t>830961230001-03</t>
  </si>
  <si>
    <t>AV DO ESTADO DALMO VIEIRA 2848</t>
  </si>
  <si>
    <t>830961230003-67</t>
  </si>
  <si>
    <t>AV DO ESTADO DALMO VIEIRA 1751</t>
  </si>
  <si>
    <t>830961230002-86</t>
  </si>
  <si>
    <t>BIGUACU 555</t>
  </si>
  <si>
    <t>830961230004-48</t>
  </si>
  <si>
    <t>MC-BNU D</t>
  </si>
  <si>
    <t>RUA ROBERTO SEIDEL 0665</t>
  </si>
  <si>
    <t>024437400001-28</t>
  </si>
  <si>
    <t>d</t>
  </si>
  <si>
    <t>VEND</t>
  </si>
  <si>
    <t>AREA</t>
  </si>
  <si>
    <t>HISTÓRICO JUL 2024 À JUN 2025</t>
  </si>
  <si>
    <t xml:space="preserve"> 259 linhas</t>
  </si>
  <si>
    <t xml:space="preserve"> JUL/2025</t>
  </si>
  <si>
    <t>158062 JUL/2024</t>
  </si>
  <si>
    <t>158062 AGO/2024</t>
  </si>
  <si>
    <t>158062 SET/2024</t>
  </si>
  <si>
    <t>158062 OUT/2024</t>
  </si>
  <si>
    <t>158062 NOV/2024</t>
  </si>
  <si>
    <t>158062 DEZ/2024</t>
  </si>
  <si>
    <t>158062 JAN/2025</t>
  </si>
  <si>
    <t>158062 FEV/2025</t>
  </si>
  <si>
    <t>158062 MAR/2025</t>
  </si>
  <si>
    <t>158062 ABR/2025</t>
  </si>
  <si>
    <t>158062 MAI/2025</t>
  </si>
  <si>
    <t>159620 AGO/2024</t>
  </si>
  <si>
    <t>54675 AGO/2024</t>
  </si>
  <si>
    <t>69667 AGO/2024</t>
  </si>
  <si>
    <t>178205 JUL/2024</t>
  </si>
  <si>
    <t>178205 AGO/2024</t>
  </si>
  <si>
    <t>178205 SET/2024</t>
  </si>
  <si>
    <t>178205 OUT/2024</t>
  </si>
  <si>
    <t>178205 NOV/2024</t>
  </si>
  <si>
    <t>178205 JAN/2025</t>
  </si>
  <si>
    <t>178205 FEV/2025</t>
  </si>
  <si>
    <t>178205 MAR/2025</t>
  </si>
  <si>
    <t>178205 ABR/2025</t>
  </si>
  <si>
    <t>178205 MAI/2025</t>
  </si>
  <si>
    <t>178205 JUN/2025</t>
  </si>
  <si>
    <t>51551 AGO/2024</t>
  </si>
  <si>
    <t>74744 AGO/2024</t>
  </si>
  <si>
    <t>134214 SET/2024</t>
  </si>
  <si>
    <t>134214 DEZ/2024</t>
  </si>
  <si>
    <t>167594 JUL/2024</t>
  </si>
  <si>
    <t>167594 AGO/2024</t>
  </si>
  <si>
    <t>167594 SET/2024</t>
  </si>
  <si>
    <t>167594 OUT/2024</t>
  </si>
  <si>
    <t>167594 NOV/2024</t>
  </si>
  <si>
    <t>167594 DEZ/2024</t>
  </si>
  <si>
    <t>167594 JAN/2025</t>
  </si>
  <si>
    <t>167594 FEV/2025</t>
  </si>
  <si>
    <t>167594 MAR/2025</t>
  </si>
  <si>
    <t>167594 ABR/2025</t>
  </si>
  <si>
    <t>167594 MAI/2025</t>
  </si>
  <si>
    <t>167594 JUN/2025</t>
  </si>
  <si>
    <t>182419 AGO/2024</t>
  </si>
  <si>
    <t>53486 JUL/2024</t>
  </si>
  <si>
    <t>53486 AGO/2024</t>
  </si>
  <si>
    <t>53486 SET/2024</t>
  </si>
  <si>
    <t>53486 OUT/2024</t>
  </si>
  <si>
    <t>53486 NOV/2024</t>
  </si>
  <si>
    <t>53486 JAN/2025</t>
  </si>
  <si>
    <t>53486 FEV/2025</t>
  </si>
  <si>
    <t>53486 MAR/2025</t>
  </si>
  <si>
    <t>53486 ABR/2025</t>
  </si>
  <si>
    <t>53486 MAI/2025</t>
  </si>
  <si>
    <t>53486 JUN/2025</t>
  </si>
  <si>
    <t>54734 JUL/2024</t>
  </si>
  <si>
    <t>54734 NOV/2024</t>
  </si>
  <si>
    <t>54734 DEZ/2024</t>
  </si>
  <si>
    <t>54734 MAR/2025</t>
  </si>
  <si>
    <t>181800 JUL/2024</t>
  </si>
  <si>
    <t>181800 JAN/2025</t>
  </si>
  <si>
    <t>165045 JUL/2024</t>
  </si>
  <si>
    <t>165045 AGO/2024</t>
  </si>
  <si>
    <t>165045 SET/2024</t>
  </si>
  <si>
    <t>165045 OUT/2024</t>
  </si>
  <si>
    <t>165045 NOV/2024</t>
  </si>
  <si>
    <t>165045 DEZ/2024</t>
  </si>
  <si>
    <t>165045 JAN/2025</t>
  </si>
  <si>
    <t>165045 FEV/2025</t>
  </si>
  <si>
    <t>165045 MAR/2025</t>
  </si>
  <si>
    <t>165045 ABR/2025</t>
  </si>
  <si>
    <t>165045 MAI/2025</t>
  </si>
  <si>
    <t>165045 JUN/2025</t>
  </si>
  <si>
    <t>142393 JUL/2024</t>
  </si>
  <si>
    <t>142393 AGO/2024</t>
  </si>
  <si>
    <t>142393 SET/2024</t>
  </si>
  <si>
    <t>142393 OUT/2024</t>
  </si>
  <si>
    <t>142393 NOV/2024</t>
  </si>
  <si>
    <t>142393 DEZ/2024</t>
  </si>
  <si>
    <t>142393 JAN/2025</t>
  </si>
  <si>
    <t>142393 FEV/2025</t>
  </si>
  <si>
    <t>142393 MAR/2025</t>
  </si>
  <si>
    <t>142393 ABR/2025</t>
  </si>
  <si>
    <t>142393 MAI/2025</t>
  </si>
  <si>
    <t>142393 JUN/2025</t>
  </si>
  <si>
    <t>188239 NOV/2024</t>
  </si>
  <si>
    <t>188239 DEZ/2024</t>
  </si>
  <si>
    <t>188239 JAN/2025</t>
  </si>
  <si>
    <t>188239 FEV/2025</t>
  </si>
  <si>
    <t>188239 MAR/2025</t>
  </si>
  <si>
    <t>188239 ABR/2025</t>
  </si>
  <si>
    <t>188239 MAI/2025</t>
  </si>
  <si>
    <t>188239 JUN/2025</t>
  </si>
  <si>
    <t>53405 OUT/2024</t>
  </si>
  <si>
    <t>184214 OUT/2024</t>
  </si>
  <si>
    <t>184221 OUT/2024</t>
  </si>
  <si>
    <t>134677 JUL/2024</t>
  </si>
  <si>
    <t>134677 AGO/2024</t>
  </si>
  <si>
    <t>134677 SET/2024</t>
  </si>
  <si>
    <t>134677 OUT/2024</t>
  </si>
  <si>
    <t>134677 NOV/2024</t>
  </si>
  <si>
    <t>134677 DEZ/2024</t>
  </si>
  <si>
    <t>134677 JAN/2025</t>
  </si>
  <si>
    <t>134677 FEV/2025</t>
  </si>
  <si>
    <t>134677 MAR/2025</t>
  </si>
  <si>
    <t>134677 MAI/2025</t>
  </si>
  <si>
    <t>134677 JUN/2025</t>
  </si>
  <si>
    <t>152753 OUT/2024</t>
  </si>
  <si>
    <t>152753 DEZ/2024</t>
  </si>
  <si>
    <t>182592 OUT/2024</t>
  </si>
  <si>
    <t>182592 DEZ/2024</t>
  </si>
  <si>
    <t>184215 OUT/2024</t>
  </si>
  <si>
    <t>184215 DEZ/2024</t>
  </si>
  <si>
    <t>132039 AGO/2024</t>
  </si>
  <si>
    <t>132039 SET/2024</t>
  </si>
  <si>
    <t>132039 OUT/2024</t>
  </si>
  <si>
    <t>132039 NOV/2024</t>
  </si>
  <si>
    <t>132039 JAN/2025</t>
  </si>
  <si>
    <t>132039 FEV/2025</t>
  </si>
  <si>
    <t>132039 MAR/2025</t>
  </si>
  <si>
    <t>132039 JUN/2025</t>
  </si>
  <si>
    <t>168551 JUL/2024</t>
  </si>
  <si>
    <t>168551 SET/2024</t>
  </si>
  <si>
    <t>168551 OUT/2024</t>
  </si>
  <si>
    <t>168551 NOV/2024</t>
  </si>
  <si>
    <t>168551 DEZ/2024</t>
  </si>
  <si>
    <t>168551 JAN/2025</t>
  </si>
  <si>
    <t>168551 FEV/2025</t>
  </si>
  <si>
    <t>168551 MAR/2025</t>
  </si>
  <si>
    <t>168551 ABR/2025</t>
  </si>
  <si>
    <t>168551 MAI/2025</t>
  </si>
  <si>
    <t>168551 JUN/2025</t>
  </si>
  <si>
    <t>59280 JUL/2024</t>
  </si>
  <si>
    <t>59280 AGO/2024</t>
  </si>
  <si>
    <t>59280 SET/2024</t>
  </si>
  <si>
    <t>59280 OUT/2024</t>
  </si>
  <si>
    <t>59280 NOV/2024</t>
  </si>
  <si>
    <t>59280 DEZ/2024</t>
  </si>
  <si>
    <t>59280 JAN/2025</t>
  </si>
  <si>
    <t>59280 FEV/2025</t>
  </si>
  <si>
    <t>59280 MAR/2025</t>
  </si>
  <si>
    <t>59280 ABR/2025</t>
  </si>
  <si>
    <t>59280 MAI/2025</t>
  </si>
  <si>
    <t>59280 JUN/2025</t>
  </si>
  <si>
    <t>48248 AGO/2024</t>
  </si>
  <si>
    <t>48248 SET/2024</t>
  </si>
  <si>
    <t>48248 NOV/2024</t>
  </si>
  <si>
    <t>48248 DEZ/2024</t>
  </si>
  <si>
    <t>48248 JAN/2025</t>
  </si>
  <si>
    <t>48248 MAR/2025</t>
  </si>
  <si>
    <t>48248 ABR/2025</t>
  </si>
  <si>
    <t>48248 MAI/2025</t>
  </si>
  <si>
    <t>48248 JUN/2025</t>
  </si>
  <si>
    <t>64883 JUL/2024</t>
  </si>
  <si>
    <t>64883 AGO/2024</t>
  </si>
  <si>
    <t>64883 SET/2024</t>
  </si>
  <si>
    <t>64883 OUT/2024</t>
  </si>
  <si>
    <t>64883 NOV/2024</t>
  </si>
  <si>
    <t>64883 DEZ/2024</t>
  </si>
  <si>
    <t>64883 JAN/2025</t>
  </si>
  <si>
    <t>64883 FEV/2025</t>
  </si>
  <si>
    <t>64883 MAR/2025</t>
  </si>
  <si>
    <t>64883 ABR/2025</t>
  </si>
  <si>
    <t>64883 MAI/2025</t>
  </si>
  <si>
    <t>64883 JUN/2025</t>
  </si>
  <si>
    <t>73977 AGO/2024</t>
  </si>
  <si>
    <t>73977 SET/2024</t>
  </si>
  <si>
    <t>73977 OUT/2024</t>
  </si>
  <si>
    <t>73977 NOV/2024</t>
  </si>
  <si>
    <t>73977 DEZ/2024</t>
  </si>
  <si>
    <t>73977 JAN/2025</t>
  </si>
  <si>
    <t>73977 MAR/2025</t>
  </si>
  <si>
    <t>73977 ABR/2025</t>
  </si>
  <si>
    <t>73977 JUN/2025</t>
  </si>
  <si>
    <t>184994 AGO/2024</t>
  </si>
  <si>
    <t>184994 SET/2024</t>
  </si>
  <si>
    <t>184994 OUT/2024</t>
  </si>
  <si>
    <t>184994 NOV/2024</t>
  </si>
  <si>
    <t>184994 DEZ/2024</t>
  </si>
  <si>
    <t>184994 JAN/2025</t>
  </si>
  <si>
    <t>184994 MAR/2025</t>
  </si>
  <si>
    <t>184994 JUN/2025</t>
  </si>
  <si>
    <t>136856 JUL/2024</t>
  </si>
  <si>
    <t>136856 AGO/2024</t>
  </si>
  <si>
    <t>136856 OUT/2024</t>
  </si>
  <si>
    <t>136856 NOV/2024</t>
  </si>
  <si>
    <t>136856 DEZ/2024</t>
  </si>
  <si>
    <t>136856 JAN/2025</t>
  </si>
  <si>
    <t>136856 FEV/2025</t>
  </si>
  <si>
    <t>136856 MAR/2025</t>
  </si>
  <si>
    <t>136856 ABR/2025</t>
  </si>
  <si>
    <t>136856 MAI/2025</t>
  </si>
  <si>
    <t>136856 JUN/2025</t>
  </si>
  <si>
    <t>74369 JUL/2024</t>
  </si>
  <si>
    <t>74369 AGO/2024</t>
  </si>
  <si>
    <t>74369 OUT/2024</t>
  </si>
  <si>
    <t>74369 NOV/2024</t>
  </si>
  <si>
    <t>74369 DEZ/2024</t>
  </si>
  <si>
    <t>74369 JAN/2025</t>
  </si>
  <si>
    <t>74369 FEV/2025</t>
  </si>
  <si>
    <t>74369 MAR/2025</t>
  </si>
  <si>
    <t>74369 ABR/2025</t>
  </si>
  <si>
    <t>74369 MAI/2025</t>
  </si>
  <si>
    <t>74369 JUN/2025</t>
  </si>
  <si>
    <t>53581 JUL/2024</t>
  </si>
  <si>
    <t>53581 AGO/2024</t>
  </si>
  <si>
    <t>53581 SET/2024</t>
  </si>
  <si>
    <t>53581 OUT/2024</t>
  </si>
  <si>
    <t>53581 NOV/2024</t>
  </si>
  <si>
    <t>53581 DEZ/2024</t>
  </si>
  <si>
    <t>53581 JAN/2025</t>
  </si>
  <si>
    <t>53581 FEV/2025</t>
  </si>
  <si>
    <t>53581 MAR/2025</t>
  </si>
  <si>
    <t>53581 ABR/2025</t>
  </si>
  <si>
    <t>53581 MAI/2025</t>
  </si>
  <si>
    <t>53581 JUN/2025</t>
  </si>
  <si>
    <t>57679 JUL/2024</t>
  </si>
  <si>
    <t>57679 AGO/2024</t>
  </si>
  <si>
    <t>57679 SET/2024</t>
  </si>
  <si>
    <t>57679 OUT/2024</t>
  </si>
  <si>
    <t>57679 NOV/2024</t>
  </si>
  <si>
    <t>57679 DEZ/2024</t>
  </si>
  <si>
    <t>57679 JAN/2025</t>
  </si>
  <si>
    <t>57679 FEV/2025</t>
  </si>
  <si>
    <t>57679 MAR/2025</t>
  </si>
  <si>
    <t>57679 ABR/2025</t>
  </si>
  <si>
    <t>57679 MAI/2025</t>
  </si>
  <si>
    <t>57679 JUN/2025</t>
  </si>
  <si>
    <t>184217 AGO/2024</t>
  </si>
  <si>
    <t>184335 AGO/2024</t>
  </si>
  <si>
    <t>94520 JUL/2024</t>
  </si>
  <si>
    <t>94520 AGO/2024</t>
  </si>
  <si>
    <t>94520 SET/2024</t>
  </si>
  <si>
    <t>94520 OUT/2024</t>
  </si>
  <si>
    <t>94520 NOV/2024</t>
  </si>
  <si>
    <t>94520 DEZ/2024</t>
  </si>
  <si>
    <t>94520 JAN/2025</t>
  </si>
  <si>
    <t>94520 FEV/2025</t>
  </si>
  <si>
    <t>94520 MAR/2025</t>
  </si>
  <si>
    <t>94520 ABR/2025</t>
  </si>
  <si>
    <t>94520 MAI/2025</t>
  </si>
  <si>
    <t>94520 JUN/2025</t>
  </si>
  <si>
    <t>53461 AGO/2024</t>
  </si>
  <si>
    <t>56110 AGO/2024</t>
  </si>
  <si>
    <t>73922 AGO/2024</t>
  </si>
  <si>
    <t>102953 AGO/2024</t>
  </si>
  <si>
    <t>119456 AGO/2024</t>
  </si>
  <si>
    <t>150368 AGO/2024</t>
  </si>
  <si>
    <t>164006 AGO/2024</t>
  </si>
  <si>
    <t>167265 AGO/2024</t>
  </si>
  <si>
    <t>48374 JUL/2024</t>
  </si>
  <si>
    <t>48374 AGO/2024</t>
  </si>
  <si>
    <t>48374 SET/2024</t>
  </si>
  <si>
    <t>48374 OUT/2024</t>
  </si>
  <si>
    <t>48374 DEZ/2024</t>
  </si>
  <si>
    <t>48374 JAN/2025</t>
  </si>
  <si>
    <t>48374 FEV/2025</t>
  </si>
  <si>
    <t>48374 MAR/2025</t>
  </si>
  <si>
    <t>48374 ABR/2025</t>
  </si>
  <si>
    <t>48374 MAI/2025</t>
  </si>
  <si>
    <t>48374 JUN/2025</t>
  </si>
  <si>
    <t xml:space="preserve"> SET/2025</t>
  </si>
  <si>
    <t xml:space="preserve"> AGO/2025</t>
  </si>
  <si>
    <t xml:space="preserve"> OUT/2025</t>
  </si>
  <si>
    <t xml:space="preserve"> NOV/2025</t>
  </si>
  <si>
    <t xml:space="preserve"> DEZ/2025</t>
  </si>
  <si>
    <t xml:space="preserve"> JAN/2026</t>
  </si>
  <si>
    <t xml:space="preserve"> FEV/2026</t>
  </si>
  <si>
    <t xml:space="preserve"> MAR/2026</t>
  </si>
  <si>
    <t xml:space="preserve"> ABR/2026</t>
  </si>
  <si>
    <t xml:space="preserve"> MAI/2026</t>
  </si>
  <si>
    <t xml:space="preserve"> JUN/2026</t>
  </si>
  <si>
    <t>TOP CONTAS FY26 ANO FISCAL</t>
  </si>
  <si>
    <t>JOHNSON - TOP CONTAS FY26</t>
  </si>
  <si>
    <t>FY26</t>
  </si>
  <si>
    <t>FY25</t>
  </si>
  <si>
    <t>Relatório Pronto - 2824 - Top Contas - Cliente X MêsCompra x Ven. Liquida - JOHNSON - JULHO 25 A JUNHO 26</t>
  </si>
  <si>
    <t xml:space="preserve"> </t>
  </si>
  <si>
    <t>JOAO JOSE NASCIMENTO</t>
  </si>
  <si>
    <t>GISLAINE BORGES RODRIGUES</t>
  </si>
  <si>
    <t>RAFAEL BERNARDO VIEIRA</t>
  </si>
  <si>
    <t>RAFAEL IZIDIO DE FARIAS</t>
  </si>
  <si>
    <t>PEDRO  PAULO ECCEL</t>
  </si>
  <si>
    <t>MARCELO SCHEFFLER</t>
  </si>
  <si>
    <t>MURIEL DERCIO VOCKES</t>
  </si>
  <si>
    <t>NATHAN FREITAS FUZINATO</t>
  </si>
  <si>
    <t xml:space="preserve">M M ROSSO SUPERMERCADO LTDA FL 04 </t>
  </si>
  <si>
    <t xml:space="preserve">M M ROSSO SUPERMERCADO LTDA FL 03 </t>
  </si>
  <si>
    <t>TOP CONTAS</t>
  </si>
  <si>
    <t>LOJA PERFEITA</t>
  </si>
  <si>
    <t>PONTOS</t>
  </si>
  <si>
    <t xml:space="preserve">MOCAM SUPERMERCADOS LTDA </t>
  </si>
  <si>
    <t xml:space="preserve">MOCAM SUPERMERCADOS LTDA FILIAL 02 </t>
  </si>
  <si>
    <t xml:space="preserve">MOCAM SUPERMERCADOS LTDA FILIAL 03 </t>
  </si>
  <si>
    <t xml:space="preserve">MOCAM SUPERMERCADOS LTDA FILIAL 07 </t>
  </si>
  <si>
    <t xml:space="preserve">MOCAM SUPERMERCADOS LTDA FILIAL 10 </t>
  </si>
  <si>
    <t xml:space="preserve">MOCAM SUPERMERCADOS LTDA FILIAL 12 </t>
  </si>
  <si>
    <t xml:space="preserve">REDE TOP SUPERMERCADOS EIRELI </t>
  </si>
  <si>
    <t xml:space="preserve">SUPERMERCADO CENTRAL LTDA </t>
  </si>
  <si>
    <t xml:space="preserve">SUPERMERCADO NARDELAO LTDA </t>
  </si>
  <si>
    <t xml:space="preserve">MOCAM SUPERMERCADOS LTDA FILIAL 01 </t>
  </si>
  <si>
    <t>BEACH STOP MINI MERCADO LTDA</t>
  </si>
  <si>
    <t>LARISSA POITE STAROSCKY</t>
  </si>
  <si>
    <t>MERCEARIA DONA JO LTDA</t>
  </si>
  <si>
    <t>PROGRESSO COMERCIO DE ALIMENTOS LTDA</t>
  </si>
  <si>
    <t>SUPERMERCADO M A LTDA</t>
  </si>
  <si>
    <t xml:space="preserve"> 113 linhas</t>
  </si>
  <si>
    <t>ALCIONE ZANOLLA ME</t>
  </si>
  <si>
    <t>AUTO POSTO MEDITERRANEO LTDA</t>
  </si>
  <si>
    <t>AUTO POSTO NOVA TRENTO LTDA</t>
  </si>
  <si>
    <t>BLUMENKAFFEE PADARIA E CAFEITARIA LTDA</t>
  </si>
  <si>
    <t>CONVENIENCIA BELLA LTDA</t>
  </si>
  <si>
    <t>COOP CONS OPERARIOS REGIAO CARBONIF LTDA</t>
  </si>
  <si>
    <t>CORDOVA E PRUDENCIO COM DE GEN ALIM LTDA</t>
  </si>
  <si>
    <t>DROGARIA ABNER LTDA</t>
  </si>
  <si>
    <t>EDSON DE LIMA</t>
  </si>
  <si>
    <t>FARMACIA E PERFUMARIA ADIFARMA LTDA</t>
  </si>
  <si>
    <t>H.R. DESCARTAVEIS LTDA</t>
  </si>
  <si>
    <t>JANAINA SILVANO DE SOUZA</t>
  </si>
  <si>
    <t>JH SILVEIRA MARQUES LTDA</t>
  </si>
  <si>
    <t>KAUA TELES LOURENCO</t>
  </si>
  <si>
    <t>LOJAS DE DEPARTAMENTOS MILIUM LTDA</t>
  </si>
  <si>
    <t>MERCADO CAMELIA LTDA</t>
  </si>
  <si>
    <t>MERCADO DO CLEITON EIRELI</t>
  </si>
  <si>
    <t>MERCADO E ACOUGUE DONA BE JOINVILLE LTDA</t>
  </si>
  <si>
    <t>MERCADO E PANIF SILVIO E SILVANIA LTDA</t>
  </si>
  <si>
    <t>MERCADO VILLA LTDA</t>
  </si>
  <si>
    <t>MINIMERCADO E ACOUGUE CLASEN LTDA</t>
  </si>
  <si>
    <t>NUTRY FRUTARIA E MERCEARIA LTDA</t>
  </si>
  <si>
    <t>ROSA MARIA NUNES DA SILVA</t>
  </si>
  <si>
    <t>ROSIMERI ESIDIO</t>
  </si>
  <si>
    <t>SHEILA GISELE BERNARDES</t>
  </si>
  <si>
    <t>SUPERMERCADO EMILIA LTDA</t>
  </si>
  <si>
    <t>SUPERMERCADO IRMAOS ZIMMERMANN LTDA</t>
  </si>
  <si>
    <t>SUPERMERCADO PANATTA LTDA</t>
  </si>
  <si>
    <t>SUPERMERCADO VITORINO LTDA</t>
  </si>
  <si>
    <t>ATUALIZADO:</t>
  </si>
  <si>
    <t xml:space="preserve"> 319 linhas</t>
  </si>
  <si>
    <t>58.911.277 GABRIEL JAQUES LUZ</t>
  </si>
  <si>
    <t>ABASTECEDORA AVENIDA DE COMBUSTIVEL LTDA</t>
  </si>
  <si>
    <t>ADRIANO FRANCISCO BARBOSA DA SILVA</t>
  </si>
  <si>
    <t>AGRO TROPICAL LTDA</t>
  </si>
  <si>
    <t>ALESSANDRA SCARIOT CECHINEL</t>
  </si>
  <si>
    <t>ALEXANDRE DOS SANTOS DIATEL</t>
  </si>
  <si>
    <t>ALTAMIR SERRAO E CIA LTDA</t>
  </si>
  <si>
    <t>ALTHOFF SUPERMERCADOS LTDA</t>
  </si>
  <si>
    <t>AMANDA CARVALHO POLLHEIM</t>
  </si>
  <si>
    <t>ANDERSON PIMENTEL SUPERMERCADO LTDA</t>
  </si>
  <si>
    <t>ARCELINA MARIA ELIAS SEIDEL ME</t>
  </si>
  <si>
    <t>ARLINDO MENDES</t>
  </si>
  <si>
    <t>ARMAZEM SOUPAC LTDA</t>
  </si>
  <si>
    <t>ARNALDO SILVEIRA LIMA ME</t>
  </si>
  <si>
    <t>AURI LOPES DE SOUZA</t>
  </si>
  <si>
    <t>AUTO POSTO CANELINHA LTDA</t>
  </si>
  <si>
    <t>AUTO POSTO FORQUILHINHA LTDA</t>
  </si>
  <si>
    <t>AUTO POSTO M LTDA</t>
  </si>
  <si>
    <t>BELLO SUPERMERCADOS 01 LTDA</t>
  </si>
  <si>
    <t>BIG CAFETERIA LTDA</t>
  </si>
  <si>
    <t>BMI PROSPER EIRELI</t>
  </si>
  <si>
    <t>BRAVA MARKET LTDA</t>
  </si>
  <si>
    <t>BURIGO E BURIGO LTDA</t>
  </si>
  <si>
    <t>CANTO DA PRAIA MERCADO E ACOUGUE EIRELI</t>
  </si>
  <si>
    <t>CASA DE CARNES NARDELLI LTDA</t>
  </si>
  <si>
    <t>CECHINEL &amp; CECHINEL CASA DE CARNES LTDA</t>
  </si>
  <si>
    <t>CL10 COMERCIO DE MERCADORIAS LTDA</t>
  </si>
  <si>
    <t>COM DE PROD LIMPEZA PEDRA BRANCA LTDA</t>
  </si>
  <si>
    <t>COMERCIAL DE ALIMENTOS URUSSANGA LTDA</t>
  </si>
  <si>
    <t>COMERCIAL DUTRA LTDA</t>
  </si>
  <si>
    <t>COMERCIO DE FRUTAS H PAULI LTDA</t>
  </si>
  <si>
    <t>COMERCIO E LANCHONETE BRACO DO SUL LTDA</t>
  </si>
  <si>
    <t>COMPRE PAN PANIFICADORA E MERCEARIA LTDA</t>
  </si>
  <si>
    <t>CRISTIANO MESSIAS PALOCO SEIVISH</t>
  </si>
  <si>
    <t>CRISTIANO PETROSKI MERCEARIA</t>
  </si>
  <si>
    <t>D MARIA MERCADO E PADARIA LTDA</t>
  </si>
  <si>
    <t>DAIANA BRIZOLLA MAMEDIO</t>
  </si>
  <si>
    <t>DAIANA MACHADO VOLLERT</t>
  </si>
  <si>
    <t>DEISE FELISBERTO</t>
  </si>
  <si>
    <t>DENILSON SOUSA CARDOSO</t>
  </si>
  <si>
    <t>DOCA PADARIA E MINI MERCADO LTDA</t>
  </si>
  <si>
    <t>E DE CASA SUPERMERCADOS EIRELI</t>
  </si>
  <si>
    <t>ECOLIMPOS PROD DE LIMP E DESCARTAVE LTDA</t>
  </si>
  <si>
    <t>EDER CAZUNI DE ARAUJO LTDA</t>
  </si>
  <si>
    <t>EDIO HOFFMANN</t>
  </si>
  <si>
    <t>EMBALAGENS SETE DE SETEMBRO LTDA</t>
  </si>
  <si>
    <t>EURICO MARCOS OSMARI EIRELI</t>
  </si>
  <si>
    <t>FABRICIO MATIAS CARDOSO</t>
  </si>
  <si>
    <t>FATIMA LUCENEA BUDSKE</t>
  </si>
  <si>
    <t>FERNANDA MEIER IDALINO</t>
  </si>
  <si>
    <t>FERNANDO JESSE BORBA</t>
  </si>
  <si>
    <t>FERNANDO RIBEIRO DE SOUZA</t>
  </si>
  <si>
    <t>FEZ SUPERMERCADO LTDA</t>
  </si>
  <si>
    <t>FLAMARION RAULINO</t>
  </si>
  <si>
    <t>GATTIS COMERCIO ALIMENTICIOS LTDA</t>
  </si>
  <si>
    <t>GILDASIO PEREIRA JOAO</t>
  </si>
  <si>
    <t>GISLAINE PAULO DA SILVA</t>
  </si>
  <si>
    <t>GOEDERT LTDA</t>
  </si>
  <si>
    <t>HELIO BLOEMER MEURER</t>
  </si>
  <si>
    <t>I S COMERCIO E DISTRIBUICAO LTDA</t>
  </si>
  <si>
    <t>INVICTA BEBIDAS LTDA</t>
  </si>
  <si>
    <t>IVANY BATISTA MERCADO</t>
  </si>
  <si>
    <t>JAIME NICOLAU FUCHIER</t>
  </si>
  <si>
    <t>JAKSON SILVA DE QUADRO EIRELI</t>
  </si>
  <si>
    <t>JANICIO DA ROCHA</t>
  </si>
  <si>
    <t>JC FLORES FLORICULTURA E PAISAGISMO LTDA</t>
  </si>
  <si>
    <t>JEFERSON DA SILVA LIMA</t>
  </si>
  <si>
    <t>JEFFERSON SILVA DE OLIVEIRA</t>
  </si>
  <si>
    <t>JGS MERCEARIA LTDA</t>
  </si>
  <si>
    <t>JOAZA FLORES E PAISAGISMO LTDA</t>
  </si>
  <si>
    <t>JOCEMAR DUARTE BRAATZ PANIF CONF E MERCEARIA LTDA</t>
  </si>
  <si>
    <t>JONAS BARDINI QUIRINO ME</t>
  </si>
  <si>
    <t>JORGE DELA JUSTINA ASCARI</t>
  </si>
  <si>
    <t>JOSE CLEZIO GENEROSO</t>
  </si>
  <si>
    <t>JOSE LEONARDO DA SILVA COMERCIANTE</t>
  </si>
  <si>
    <t>JOSE MENDES FILHO</t>
  </si>
  <si>
    <t>JOSE PEREIRA</t>
  </si>
  <si>
    <t>JOTA KA SUPERMERCADO LTDA</t>
  </si>
  <si>
    <t>JUNETE COMERCIO DE ALIMENTOS LTDA</t>
  </si>
  <si>
    <t>K E V COMERCIO DE FRUTAS E VERDURAS LTDA</t>
  </si>
  <si>
    <t>LANCHONETE DO ITALIANO LTDA</t>
  </si>
  <si>
    <t>LEONIDA BORGEVER LOCH OENNING</t>
  </si>
  <si>
    <t>LIDIANE VILMA DE SOUZA</t>
  </si>
  <si>
    <t>LIRA MERCADO E TOMAZINI LTDA</t>
  </si>
  <si>
    <t>LM CLEAN SHOP DISTRIBUIDORA LTDA</t>
  </si>
  <si>
    <t>LOC MANIA SORVETERIA LTDA</t>
  </si>
  <si>
    <t>LOJAS ADELINO LTDA</t>
  </si>
  <si>
    <t>LP COMERCIO E ALIMENTOS LTDA</t>
  </si>
  <si>
    <t>LUCAS SANTANA DOS SANTOS</t>
  </si>
  <si>
    <t>LUCIA MARIA INNOCENTI LIMA</t>
  </si>
  <si>
    <t>LUCIANA DA ROSA</t>
  </si>
  <si>
    <t>MANOEL FERREIRA ANDRADE</t>
  </si>
  <si>
    <t>MAQ TEM MERCADO LTDA</t>
  </si>
  <si>
    <t>MARCELO QUELUZ MULLER</t>
  </si>
  <si>
    <t>MARCIO AUGUSTO BRINA</t>
  </si>
  <si>
    <t>MARIA TARCILA GESSELE</t>
  </si>
  <si>
    <t>MARIZIE HELENA DA SILVA ANGELI</t>
  </si>
  <si>
    <t>MAYARA TUANE MARTINS EPP</t>
  </si>
  <si>
    <t>MERCADINHO IRMAOS SCHMITT LTDA</t>
  </si>
  <si>
    <t>MERCADO C MAIS LTDA</t>
  </si>
  <si>
    <t>MERCADO CAMPOS SALLES LTDA</t>
  </si>
  <si>
    <t>MERCADO CARIJOS LTDA</t>
  </si>
  <si>
    <t>MERCADO CARLINHOS LTDA</t>
  </si>
  <si>
    <t>MERCADO CAROLINA LTDA.</t>
  </si>
  <si>
    <t>MERCADO CD LTDA</t>
  </si>
  <si>
    <t>MERCADO CONGONHAS LTDA</t>
  </si>
  <si>
    <t>MERCADO DO CLEITON II LTDA</t>
  </si>
  <si>
    <t>MERCADO E ACOGUE SAO MIGUEL LTDA</t>
  </si>
  <si>
    <t>MERCADO E ACOUGUE ANDRADE LTDA</t>
  </si>
  <si>
    <t>MERCADO E ACOUGUE BSP LTDA</t>
  </si>
  <si>
    <t>MERCADO E ACOUGUE NOSSA SRA DA GLORIA LTDA</t>
  </si>
  <si>
    <t>MERCADO E ACOUGUE TR LTDA</t>
  </si>
  <si>
    <t>MERCADO HRUSCHKA LTDA</t>
  </si>
  <si>
    <t>MERCADO KAMMERS LTDA</t>
  </si>
  <si>
    <t>MERCADO KAUE LTDA</t>
  </si>
  <si>
    <t>MERCADO LISANDRA EIRELI</t>
  </si>
  <si>
    <t>MERCADO MELHOR PRECO LTDA</t>
  </si>
  <si>
    <t>MERCADO PEDROSA LTDA</t>
  </si>
  <si>
    <t>MERCADO PICKLER LTDA</t>
  </si>
  <si>
    <t>MERCADO RIO BELO LTDA</t>
  </si>
  <si>
    <t>MERCADO ROBERTA E ROSANA LTDA</t>
  </si>
  <si>
    <t>MERCEARIA DUARTE LTDA</t>
  </si>
  <si>
    <t>MEU VIZINHO ATACADO E VAREJO LTDA</t>
  </si>
  <si>
    <t>MICHEL BUSSOLO ALBERTON</t>
  </si>
  <si>
    <t>MIMIM DISTRIBUIDORA E SERVICOS LTDA.</t>
  </si>
  <si>
    <t>MINI MERCADO E ARMAZEM RABAJ EIRELI</t>
  </si>
  <si>
    <t>MINIMERCADO MANOS LTDA</t>
  </si>
  <si>
    <t>MINIMERCADO PONATH LTDA</t>
  </si>
  <si>
    <t>MURILO SCHMITT ME</t>
  </si>
  <si>
    <t>MV COM ATACADISTA E VAREJ DE ALIM LTDA</t>
  </si>
  <si>
    <t>MV COMERCIO ATACADISTA E VAREJISTA DE ALIMENTOS LIMITADA</t>
  </si>
  <si>
    <t>NELSI PERSCH ZILS</t>
  </si>
  <si>
    <t>NILZA PORTO COMUNELLO</t>
  </si>
  <si>
    <t>OLIRIO JOSE LINO SUPERMERCADO LTDA</t>
  </si>
  <si>
    <t>ORLI HENK MAIER ME</t>
  </si>
  <si>
    <t>PANIFICADORA GOMES LTDA</t>
  </si>
  <si>
    <t>PANIFICADORA LOCA LTDA</t>
  </si>
  <si>
    <t>PAO DA HORA PANIFICADORA LTDA</t>
  </si>
  <si>
    <t>PAPA RANCHO COMERCIO LTDA</t>
  </si>
  <si>
    <t>PAULO CESAR CARDOSO ME</t>
  </si>
  <si>
    <t>PEDRO PERRARO SOBRINHO</t>
  </si>
  <si>
    <t>PEKA SUPERMERCADOS LTDA</t>
  </si>
  <si>
    <t>POSTO BARRA NORTE LTDA</t>
  </si>
  <si>
    <t>POSTO GLORIA LTDA</t>
  </si>
  <si>
    <t>POSTO PAULINHO LTDA</t>
  </si>
  <si>
    <t>PRADO SUPERMERCADO LTDA</t>
  </si>
  <si>
    <t>PRAIA E MAR COMERCIO DE ALIMENTOS LTDA</t>
  </si>
  <si>
    <t>R E M SUPERMERCADO LTDA</t>
  </si>
  <si>
    <t>RAFAEL PEREIRA BERNARDO</t>
  </si>
  <si>
    <t>RANCHO BOM SUPERMERCADOS LTDA</t>
  </si>
  <si>
    <t>REBECA COSTA DIAS</t>
  </si>
  <si>
    <t>RECH E SILVA SUPERMERCADO LTDA</t>
  </si>
  <si>
    <t>REPRESENTACOES FAUST LTDA</t>
  </si>
  <si>
    <t>RG PET DISTRIBUIDORA LTDA</t>
  </si>
  <si>
    <t>RGP LIMPEZA COM VAR DE PROD DE LIMP EIRELI</t>
  </si>
  <si>
    <t>ROBSON CELINGA</t>
  </si>
  <si>
    <t>RONALDO PORTO NUNES</t>
  </si>
  <si>
    <t>ROSA ESTER AUTO POSTO EIRELI</t>
  </si>
  <si>
    <t>ROSANE SEBASTIANA FERREIRA DE LIMA</t>
  </si>
  <si>
    <t>ROSEMERI BUENO DE LIMA ME</t>
  </si>
  <si>
    <t>ROSINETE FRANCISCO ANTONIO BERNARDO</t>
  </si>
  <si>
    <t>SAIONARA MACHADO TORQUATO</t>
  </si>
  <si>
    <t>SANTANA E ALBANAZ LTDA</t>
  </si>
  <si>
    <t>SEBASTIAO KREMER</t>
  </si>
  <si>
    <t>SERGIO RODRIGUES ATANAZIO</t>
  </si>
  <si>
    <t>SILVIERI SUPERMERCADOS LTDA</t>
  </si>
  <si>
    <t>SM SUPERMERCADO LTDA</t>
  </si>
  <si>
    <t>SUPERMERCADO ALIANCA LTDA</t>
  </si>
  <si>
    <t>SUPERMERCADO ALIANDES EIRELI</t>
  </si>
  <si>
    <t>SUPERMERCADO ALIANDES LTDA</t>
  </si>
  <si>
    <t>SUPERMERCADO BITTENCOURT LTDA</t>
  </si>
  <si>
    <t>SUPERMERCADO BOI GORDO LTDA</t>
  </si>
  <si>
    <t>SUPERMERCADO BOOZ LTDA</t>
  </si>
  <si>
    <t>SUPERMERCADO CAMPESTRINI LTDA</t>
  </si>
  <si>
    <t>SUPERMERCADO ENGENHO LTDA</t>
  </si>
  <si>
    <t>SUPERMERCADO FARIAS LTDA</t>
  </si>
  <si>
    <t>SUPERMERCADO GADOTTI LTDA</t>
  </si>
  <si>
    <t>SUPERMERCADO IRMAOS WENDORF LTDA</t>
  </si>
  <si>
    <t>SUPERMERCADO IRMAOS WENDORF LTDA.</t>
  </si>
  <si>
    <t>SUPERMERCADO J K LTDA</t>
  </si>
  <si>
    <t>SUPERMERCADO MERCOCENTRO LTDA</t>
  </si>
  <si>
    <t>SUPERMERCADO MINUANO LTDA</t>
  </si>
  <si>
    <t>SUPERMERCADO MUNHOZ LTDA</t>
  </si>
  <si>
    <t>SUPERMERCADO PC LTDA</t>
  </si>
  <si>
    <t>SUPERMERCADO RONCHI LTDA</t>
  </si>
  <si>
    <t>SUPERMERCADO SANTO AMARO LTDA</t>
  </si>
  <si>
    <t>SUPERMERCADO SETE LTDA</t>
  </si>
  <si>
    <t>SUPERMERCADO SUL DO RIO 02 LTDA</t>
  </si>
  <si>
    <t>SUPERMERCADO SUL DO RIO LTDA</t>
  </si>
  <si>
    <t>SUPERMERCADO VALDIR EIRELI</t>
  </si>
  <si>
    <t>SUPERMERCADO VIANA LTDA</t>
  </si>
  <si>
    <t>SUPERMERCADOS BAGGIO LTDA</t>
  </si>
  <si>
    <t>SUPERMERCADOS NATHAN LTDA</t>
  </si>
  <si>
    <t>TACIANI CARLA DE COSTA ROCHA TORQUATO</t>
  </si>
  <si>
    <t>VALDA ELEUTERIO</t>
  </si>
  <si>
    <t>VALDENIR PERICO</t>
  </si>
  <si>
    <t>VALERIA ROBERTA DE MELO MONTEIRO</t>
  </si>
  <si>
    <t>VARLENE RODRIGUES FISCHER</t>
  </si>
  <si>
    <t>VILLA PAPEIS LTDA</t>
  </si>
  <si>
    <t>TOTAL: 264 linhas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</si>
</sst>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0&quot;.&quot;000&quot;.&quot;000&quot;.&quot;0000&quot;-&quot;00"/>
    <numFmt numFmtId="165" formatCode="_(* #,##0.00_);_(* \(#,##0.00\);_(* &quot;-&quot;??_);_(@_)"/>
    <numFmt numFmtId="166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Arial Black"/>
      <family val="2"/>
    </font>
    <font>
      <sz val="11"/>
      <color theme="0" tint="-0.249977111117893"/>
      <name val="Calibri"/>
      <family val="2"/>
      <scheme val="minor"/>
    </font>
    <font>
      <sz val="10"/>
      <color theme="0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16">
    <xf numFmtId="0" fontId="0" fillId="0" borderId="0" xfId="0"/>
    <xf numFmtId="0" fontId="3" fillId="0" borderId="0" xfId="0" applyFont="1"/>
    <xf numFmtId="0" fontId="6" fillId="0" borderId="0" xfId="0" applyFont="1"/>
    <xf numFmtId="0" fontId="7" fillId="0" borderId="0" xfId="0" applyFont="1"/>
    <xf numFmtId="4" fontId="3" fillId="0" borderId="0" xfId="0" applyNumberFormat="1" applyFont="1"/>
    <xf numFmtId="0" fontId="6" fillId="0" borderId="0" xfId="0" applyFont="1" applyAlignment="1">
      <alignment horizontal="center"/>
    </xf>
    <xf numFmtId="4" fontId="0" fillId="0" borderId="0" xfId="0" applyNumberFormat="1"/>
    <xf numFmtId="44" fontId="3" fillId="0" borderId="0" xfId="1" applyFont="1"/>
    <xf numFmtId="44" fontId="3" fillId="0" borderId="0" xfId="0" applyNumberFormat="1" applyFont="1"/>
    <xf numFmtId="0" fontId="5" fillId="0" borderId="0" xfId="0" applyFont="1"/>
    <xf numFmtId="0" fontId="12" fillId="0" borderId="0" xfId="0" applyFont="1"/>
    <xf numFmtId="3" fontId="3" fillId="0" borderId="0" xfId="0" applyNumberFormat="1" applyFont="1"/>
    <xf numFmtId="0" fontId="8" fillId="0" borderId="0" xfId="0" applyFont="1"/>
    <xf numFmtId="14" fontId="8" fillId="0" borderId="0" xfId="0" applyNumberFormat="1" applyFont="1" applyAlignment="1">
      <alignment horizontal="left"/>
    </xf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1" fontId="10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5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10" borderId="0" xfId="0" applyFill="1"/>
    <xf numFmtId="0" fontId="16" fillId="10" borderId="0" xfId="0" applyFont="1" applyFill="1"/>
    <xf numFmtId="0" fontId="13" fillId="10" borderId="0" xfId="0" applyFont="1" applyFill="1" applyAlignment="1">
      <alignment horizontal="center" vertical="center"/>
    </xf>
    <xf numFmtId="0" fontId="13" fillId="10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3" fontId="3" fillId="0" borderId="1" xfId="2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9" fontId="3" fillId="0" borderId="1" xfId="2" applyFont="1" applyBorder="1" applyAlignment="1">
      <alignment horizontal="center"/>
    </xf>
    <xf numFmtId="9" fontId="10" fillId="0" borderId="1" xfId="2" applyFont="1" applyBorder="1" applyAlignment="1">
      <alignment horizontal="center"/>
    </xf>
    <xf numFmtId="0" fontId="4" fillId="3" borderId="6" xfId="0" applyFont="1" applyFill="1" applyBorder="1" applyAlignment="1">
      <alignment horizontal="center" vertical="center" wrapText="1"/>
    </xf>
    <xf numFmtId="3" fontId="3" fillId="0" borderId="6" xfId="2" applyNumberFormat="1" applyFont="1" applyBorder="1" applyAlignment="1">
      <alignment horizontal="center"/>
    </xf>
    <xf numFmtId="3" fontId="3" fillId="0" borderId="7" xfId="2" applyNumberFormat="1" applyFont="1" applyBorder="1" applyAlignment="1">
      <alignment horizontal="center"/>
    </xf>
    <xf numFmtId="3" fontId="4" fillId="3" borderId="8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 wrapText="1"/>
    </xf>
    <xf numFmtId="3" fontId="4" fillId="11" borderId="10" xfId="0" applyNumberFormat="1" applyFont="1" applyFill="1" applyBorder="1" applyAlignment="1">
      <alignment horizontal="center" vertical="center"/>
    </xf>
    <xf numFmtId="9" fontId="5" fillId="11" borderId="9" xfId="2" applyFont="1" applyFill="1" applyBorder="1" applyAlignment="1">
      <alignment horizontal="center"/>
    </xf>
    <xf numFmtId="9" fontId="4" fillId="11" borderId="9" xfId="2" applyFont="1" applyFill="1" applyBorder="1" applyAlignment="1">
      <alignment horizontal="center" vertical="center"/>
    </xf>
    <xf numFmtId="3" fontId="4" fillId="11" borderId="9" xfId="0" applyNumberFormat="1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3" fontId="4" fillId="3" borderId="8" xfId="0" applyNumberFormat="1" applyFont="1" applyFill="1" applyBorder="1" applyAlignment="1">
      <alignment horizontal="center"/>
    </xf>
    <xf numFmtId="3" fontId="4" fillId="11" borderId="9" xfId="0" applyNumberFormat="1" applyFont="1" applyFill="1" applyBorder="1" applyAlignment="1">
      <alignment horizontal="center"/>
    </xf>
    <xf numFmtId="3" fontId="4" fillId="11" borderId="10" xfId="0" applyNumberFormat="1" applyFont="1" applyFill="1" applyBorder="1" applyAlignment="1">
      <alignment horizontal="center"/>
    </xf>
    <xf numFmtId="0" fontId="4" fillId="11" borderId="14" xfId="0" applyFont="1" applyFill="1" applyBorder="1" applyAlignment="1">
      <alignment horizontal="center" vertical="center" wrapText="1"/>
    </xf>
    <xf numFmtId="3" fontId="3" fillId="0" borderId="14" xfId="2" applyNumberFormat="1" applyFont="1" applyBorder="1" applyAlignment="1">
      <alignment horizontal="center"/>
    </xf>
    <xf numFmtId="3" fontId="4" fillId="11" borderId="15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3" fontId="10" fillId="4" borderId="1" xfId="2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10" fillId="4" borderId="1" xfId="0" applyNumberFormat="1" applyFont="1" applyFill="1" applyBorder="1" applyAlignment="1">
      <alignment horizontal="center"/>
    </xf>
    <xf numFmtId="3" fontId="10" fillId="4" borderId="1" xfId="0" applyNumberFormat="1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 vertical="center"/>
    </xf>
    <xf numFmtId="3" fontId="10" fillId="4" borderId="6" xfId="2" applyNumberFormat="1" applyFont="1" applyFill="1" applyBorder="1" applyAlignment="1">
      <alignment horizontal="center"/>
    </xf>
    <xf numFmtId="3" fontId="9" fillId="4" borderId="8" xfId="2" applyNumberFormat="1" applyFont="1" applyFill="1" applyBorder="1" applyAlignment="1">
      <alignment horizontal="center"/>
    </xf>
    <xf numFmtId="3" fontId="9" fillId="4" borderId="9" xfId="2" applyNumberFormat="1" applyFont="1" applyFill="1" applyBorder="1" applyAlignment="1">
      <alignment horizontal="center"/>
    </xf>
    <xf numFmtId="3" fontId="8" fillId="4" borderId="8" xfId="0" applyNumberFormat="1" applyFont="1" applyFill="1" applyBorder="1" applyAlignment="1">
      <alignment horizontal="center"/>
    </xf>
    <xf numFmtId="3" fontId="8" fillId="4" borderId="9" xfId="0" applyNumberFormat="1" applyFont="1" applyFill="1" applyBorder="1" applyAlignment="1">
      <alignment horizontal="center"/>
    </xf>
    <xf numFmtId="3" fontId="9" fillId="4" borderId="8" xfId="2" applyNumberFormat="1" applyFont="1" applyFill="1" applyBorder="1" applyAlignment="1">
      <alignment horizontal="center" vertical="center"/>
    </xf>
    <xf numFmtId="1" fontId="10" fillId="5" borderId="1" xfId="0" applyNumberFormat="1" applyFont="1" applyFill="1" applyBorder="1" applyAlignment="1">
      <alignment horizontal="center"/>
    </xf>
    <xf numFmtId="3" fontId="9" fillId="2" borderId="3" xfId="0" applyNumberFormat="1" applyFont="1" applyFill="1" applyBorder="1" applyAlignment="1">
      <alignment horizontal="center"/>
    </xf>
    <xf numFmtId="3" fontId="9" fillId="2" borderId="4" xfId="0" applyNumberFormat="1" applyFont="1" applyFill="1" applyBorder="1" applyAlignment="1">
      <alignment horizontal="center"/>
    </xf>
    <xf numFmtId="9" fontId="9" fillId="2" borderId="4" xfId="2" applyFont="1" applyFill="1" applyBorder="1" applyAlignment="1">
      <alignment horizontal="center"/>
    </xf>
    <xf numFmtId="9" fontId="10" fillId="2" borderId="4" xfId="2" applyFont="1" applyFill="1" applyBorder="1" applyAlignment="1">
      <alignment horizontal="center"/>
    </xf>
    <xf numFmtId="3" fontId="9" fillId="2" borderId="5" xfId="0" applyNumberFormat="1" applyFont="1" applyFill="1" applyBorder="1" applyAlignment="1">
      <alignment horizontal="center"/>
    </xf>
    <xf numFmtId="1" fontId="10" fillId="4" borderId="6" xfId="0" applyNumberFormat="1" applyFont="1" applyFill="1" applyBorder="1" applyAlignment="1">
      <alignment horizontal="center"/>
    </xf>
    <xf numFmtId="1" fontId="10" fillId="5" borderId="7" xfId="0" applyNumberFormat="1" applyFont="1" applyFill="1" applyBorder="1" applyAlignment="1">
      <alignment horizontal="center"/>
    </xf>
    <xf numFmtId="14" fontId="3" fillId="0" borderId="7" xfId="0" applyNumberFormat="1" applyFont="1" applyBorder="1" applyAlignment="1">
      <alignment horizontal="left" vertical="center"/>
    </xf>
    <xf numFmtId="0" fontId="4" fillId="11" borderId="6" xfId="0" applyFont="1" applyFill="1" applyBorder="1" applyAlignment="1">
      <alignment horizontal="centerContinuous" vertical="center" wrapText="1"/>
    </xf>
    <xf numFmtId="0" fontId="4" fillId="11" borderId="1" xfId="0" applyFont="1" applyFill="1" applyBorder="1" applyAlignment="1">
      <alignment horizontal="centerContinuous" vertical="center" wrapText="1"/>
    </xf>
    <xf numFmtId="0" fontId="4" fillId="11" borderId="7" xfId="0" applyFont="1" applyFill="1" applyBorder="1" applyAlignment="1">
      <alignment horizontal="centerContinuous" vertical="center" wrapText="1"/>
    </xf>
    <xf numFmtId="0" fontId="4" fillId="11" borderId="3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 wrapText="1"/>
    </xf>
    <xf numFmtId="3" fontId="9" fillId="2" borderId="13" xfId="0" applyNumberFormat="1" applyFont="1" applyFill="1" applyBorder="1" applyAlignment="1">
      <alignment horizontal="center"/>
    </xf>
    <xf numFmtId="0" fontId="4" fillId="11" borderId="14" xfId="0" applyFont="1" applyFill="1" applyBorder="1" applyAlignment="1">
      <alignment horizontal="centerContinuous" vertical="center" wrapText="1"/>
    </xf>
    <xf numFmtId="1" fontId="10" fillId="5" borderId="14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Continuous" vertical="center" wrapText="1"/>
    </xf>
    <xf numFmtId="0" fontId="9" fillId="4" borderId="6" xfId="0" applyFont="1" applyFill="1" applyBorder="1" applyAlignment="1">
      <alignment horizontal="centerContinuous" vertical="center" wrapText="1"/>
    </xf>
    <xf numFmtId="9" fontId="9" fillId="2" borderId="4" xfId="2" applyFont="1" applyFill="1" applyBorder="1" applyAlignment="1">
      <alignment horizontal="center" vertical="center"/>
    </xf>
    <xf numFmtId="9" fontId="10" fillId="2" borderId="4" xfId="2" applyFont="1" applyFill="1" applyBorder="1" applyAlignment="1">
      <alignment horizontal="center" vertical="center"/>
    </xf>
    <xf numFmtId="3" fontId="9" fillId="2" borderId="5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/>
    </xf>
    <xf numFmtId="3" fontId="10" fillId="7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Continuous" vertical="center" wrapText="1"/>
    </xf>
    <xf numFmtId="1" fontId="10" fillId="0" borderId="1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Continuous" vertical="center" wrapText="1"/>
    </xf>
    <xf numFmtId="0" fontId="9" fillId="6" borderId="14" xfId="0" applyFont="1" applyFill="1" applyBorder="1" applyAlignment="1">
      <alignment horizontal="centerContinuous" vertical="center" wrapText="1"/>
    </xf>
    <xf numFmtId="3" fontId="10" fillId="7" borderId="6" xfId="0" applyNumberFormat="1" applyFont="1" applyFill="1" applyBorder="1" applyAlignment="1">
      <alignment horizontal="center"/>
    </xf>
    <xf numFmtId="3" fontId="10" fillId="7" borderId="7" xfId="0" applyNumberFormat="1" applyFont="1" applyFill="1" applyBorder="1" applyAlignment="1">
      <alignment horizontal="center"/>
    </xf>
    <xf numFmtId="0" fontId="9" fillId="6" borderId="6" xfId="0" applyFont="1" applyFill="1" applyBorder="1" applyAlignment="1">
      <alignment horizontal="centerContinuous" vertical="center" wrapText="1"/>
    </xf>
    <xf numFmtId="0" fontId="9" fillId="6" borderId="7" xfId="0" applyFont="1" applyFill="1" applyBorder="1" applyAlignment="1">
      <alignment horizontal="centerContinuous" vertical="center" wrapText="1"/>
    </xf>
    <xf numFmtId="1" fontId="10" fillId="0" borderId="6" xfId="0" applyNumberFormat="1" applyFont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0" fontId="9" fillId="2" borderId="2" xfId="0" applyFont="1" applyFill="1" applyBorder="1" applyAlignment="1">
      <alignment horizontal="left" vertical="center"/>
    </xf>
    <xf numFmtId="1" fontId="10" fillId="7" borderId="7" xfId="0" applyNumberFormat="1" applyFont="1" applyFill="1" applyBorder="1" applyAlignment="1">
      <alignment horizontal="center"/>
    </xf>
    <xf numFmtId="3" fontId="3" fillId="0" borderId="11" xfId="2" applyNumberFormat="1" applyFont="1" applyBorder="1" applyAlignment="1">
      <alignment horizontal="center"/>
    </xf>
    <xf numFmtId="3" fontId="4" fillId="3" borderId="12" xfId="0" applyNumberFormat="1" applyFont="1" applyFill="1" applyBorder="1" applyAlignment="1">
      <alignment horizontal="center"/>
    </xf>
    <xf numFmtId="3" fontId="4" fillId="3" borderId="12" xfId="0" applyNumberFormat="1" applyFont="1" applyFill="1" applyBorder="1" applyAlignment="1">
      <alignment horizontal="center" vertical="center"/>
    </xf>
    <xf numFmtId="3" fontId="4" fillId="11" borderId="15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center" vertical="top" wrapText="1"/>
    </xf>
    <xf numFmtId="0" fontId="4" fillId="11" borderId="14" xfId="0" applyFont="1" applyFill="1" applyBorder="1" applyAlignment="1">
      <alignment horizontal="center" vertical="top" wrapText="1"/>
    </xf>
    <xf numFmtId="0" fontId="4" fillId="11" borderId="7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top" wrapText="1"/>
    </xf>
    <xf numFmtId="0" fontId="9" fillId="6" borderId="7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9" fillId="6" borderId="14" xfId="0" applyFont="1" applyFill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9" fillId="4" borderId="6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8" fillId="0" borderId="0" xfId="0" applyFont="1" applyAlignment="1">
      <alignment horizontal="center" vertical="center"/>
    </xf>
    <xf numFmtId="0" fontId="16" fillId="10" borderId="0" xfId="0" applyFont="1" applyFill="1" applyAlignment="1">
      <alignment vertical="center"/>
    </xf>
    <xf numFmtId="0" fontId="11" fillId="1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3" fillId="10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13" fillId="10" borderId="0" xfId="0" applyFont="1" applyFill="1" applyAlignment="1">
      <alignment horizontal="left" vertical="center"/>
    </xf>
    <xf numFmtId="166" fontId="4" fillId="11" borderId="9" xfId="2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1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4" fillId="3" borderId="21" xfId="0" applyFont="1" applyFill="1" applyBorder="1" applyAlignment="1">
      <alignment horizontal="center" vertical="center" wrapText="1"/>
    </xf>
    <xf numFmtId="3" fontId="3" fillId="0" borderId="21" xfId="2" applyNumberFormat="1" applyFont="1" applyBorder="1" applyAlignment="1">
      <alignment horizontal="center"/>
    </xf>
    <xf numFmtId="3" fontId="4" fillId="3" borderId="22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4" fontId="3" fillId="0" borderId="0" xfId="0" applyNumberFormat="1" applyFont="1"/>
    <xf numFmtId="0" fontId="4" fillId="11" borderId="23" xfId="0" applyFont="1" applyFill="1" applyBorder="1" applyAlignment="1">
      <alignment horizontal="center" vertical="center"/>
    </xf>
    <xf numFmtId="0" fontId="4" fillId="11" borderId="23" xfId="0" applyFont="1" applyFill="1" applyBorder="1" applyAlignment="1">
      <alignment horizontal="left"/>
    </xf>
    <xf numFmtId="44" fontId="10" fillId="0" borderId="24" xfId="1" applyFont="1" applyBorder="1"/>
    <xf numFmtId="9" fontId="10" fillId="0" borderId="25" xfId="2" applyFont="1" applyBorder="1" applyAlignment="1">
      <alignment horizontal="center"/>
    </xf>
    <xf numFmtId="0" fontId="4" fillId="11" borderId="26" xfId="0" applyFont="1" applyFill="1" applyBorder="1" applyAlignment="1">
      <alignment horizontal="left"/>
    </xf>
    <xf numFmtId="44" fontId="9" fillId="6" borderId="23" xfId="0" applyNumberFormat="1" applyFont="1" applyFill="1" applyBorder="1" applyAlignment="1">
      <alignment horizontal="center"/>
    </xf>
    <xf numFmtId="44" fontId="9" fillId="6" borderId="27" xfId="0" applyNumberFormat="1" applyFont="1" applyFill="1" applyBorder="1" applyAlignment="1">
      <alignment horizontal="center"/>
    </xf>
    <xf numFmtId="9" fontId="9" fillId="6" borderId="28" xfId="2" applyFont="1" applyFill="1" applyBorder="1" applyAlignment="1">
      <alignment horizontal="center"/>
    </xf>
    <xf numFmtId="3" fontId="16" fillId="0" borderId="1" xfId="2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2" fontId="16" fillId="0" borderId="1" xfId="0" applyNumberFormat="1" applyFont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4" fontId="9" fillId="2" borderId="4" xfId="0" applyNumberFormat="1" applyFont="1" applyFill="1" applyBorder="1" applyAlignment="1">
      <alignment horizontal="center"/>
    </xf>
    <xf numFmtId="4" fontId="4" fillId="11" borderId="1" xfId="0" applyNumberFormat="1" applyFont="1" applyFill="1" applyBorder="1" applyAlignment="1">
      <alignment horizontal="centerContinuous" vertical="center" wrapText="1"/>
    </xf>
    <xf numFmtId="4" fontId="4" fillId="11" borderId="1" xfId="0" applyNumberFormat="1" applyFont="1" applyFill="1" applyBorder="1" applyAlignment="1">
      <alignment horizontal="center" vertical="top" wrapText="1"/>
    </xf>
    <xf numFmtId="4" fontId="10" fillId="5" borderId="1" xfId="0" applyNumberFormat="1" applyFont="1" applyFill="1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17" fillId="0" borderId="0" xfId="0" applyFont="1"/>
    <xf numFmtId="4" fontId="0" fillId="0" borderId="1" xfId="0" applyNumberFormat="1" applyBorder="1" applyAlignment="1">
      <alignment horizontal="center"/>
    </xf>
    <xf numFmtId="0" fontId="13" fillId="0" borderId="0" xfId="0" applyFont="1" applyAlignment="1">
      <alignment vertical="center" wrapText="1"/>
    </xf>
    <xf numFmtId="0" fontId="4" fillId="11" borderId="0" xfId="0" applyFont="1" applyFill="1" applyAlignment="1">
      <alignment horizontal="center" vertical="center" wrapText="1"/>
    </xf>
    <xf numFmtId="4" fontId="0" fillId="0" borderId="1" xfId="0" applyNumberFormat="1" applyBorder="1"/>
    <xf numFmtId="166" fontId="18" fillId="0" borderId="0" xfId="2" applyNumberFormat="1" applyFont="1" applyBorder="1"/>
    <xf numFmtId="4" fontId="18" fillId="0" borderId="0" xfId="0" applyNumberFormat="1" applyFont="1"/>
    <xf numFmtId="0" fontId="18" fillId="0" borderId="0" xfId="0" applyFont="1"/>
    <xf numFmtId="0" fontId="19" fillId="0" borderId="0" xfId="0" applyFont="1" applyAlignment="1">
      <alignment horizontal="left" vertical="center"/>
    </xf>
    <xf numFmtId="0" fontId="4" fillId="11" borderId="18" xfId="0" applyFont="1" applyFill="1" applyBorder="1" applyAlignment="1">
      <alignment horizontal="center" vertical="center" wrapText="1"/>
    </xf>
    <xf numFmtId="0" fontId="4" fillId="11" borderId="19" xfId="0" applyFont="1" applyFill="1" applyBorder="1" applyAlignment="1">
      <alignment horizontal="center" vertical="center" wrapText="1"/>
    </xf>
    <xf numFmtId="166" fontId="0" fillId="0" borderId="1" xfId="2" applyNumberFormat="1" applyFont="1" applyBorder="1"/>
    <xf numFmtId="3" fontId="0" fillId="0" borderId="1" xfId="0" applyNumberFormat="1" applyBorder="1" applyAlignment="1">
      <alignment horizontal="center"/>
    </xf>
    <xf numFmtId="4" fontId="18" fillId="0" borderId="0" xfId="2" applyNumberFormat="1" applyFont="1" applyBorder="1"/>
    <xf numFmtId="0" fontId="13" fillId="0" borderId="0" xfId="0" applyFont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3" fillId="12" borderId="0" xfId="0" applyFont="1" applyFill="1" applyAlignment="1">
      <alignment vertical="center"/>
    </xf>
    <xf numFmtId="0" fontId="0" fillId="12" borderId="0" xfId="0" applyFill="1" applyAlignment="1">
      <alignment vertical="center"/>
    </xf>
    <xf numFmtId="0" fontId="13" fillId="12" borderId="0" xfId="0" applyFont="1" applyFill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/>
    </xf>
    <xf numFmtId="0" fontId="4" fillId="3" borderId="17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11" borderId="17" xfId="0" applyFont="1" applyFill="1" applyBorder="1" applyAlignment="1">
      <alignment horizontal="center" vertical="center" wrapText="1"/>
    </xf>
    <xf numFmtId="0" fontId="4" fillId="11" borderId="16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11" fillId="4" borderId="29" xfId="0" applyFont="1" applyFill="1" applyBorder="1" applyAlignment="1">
      <alignment horizontal="center" vertical="center"/>
    </xf>
    <xf numFmtId="0" fontId="11" fillId="4" borderId="30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2" fillId="11" borderId="29" xfId="0" applyFont="1" applyFill="1" applyBorder="1" applyAlignment="1">
      <alignment horizontal="center" vertical="center"/>
    </xf>
    <xf numFmtId="0" fontId="2" fillId="11" borderId="30" xfId="0" applyFont="1" applyFill="1" applyBorder="1" applyAlignment="1">
      <alignment horizontal="center" vertical="center"/>
    </xf>
    <xf numFmtId="0" fontId="2" fillId="11" borderId="31" xfId="0" applyFont="1" applyFill="1" applyBorder="1" applyAlignment="1">
      <alignment horizontal="center" vertical="center"/>
    </xf>
    <xf numFmtId="0" fontId="4" fillId="11" borderId="32" xfId="0" applyFont="1" applyFill="1" applyBorder="1" applyAlignment="1">
      <alignment horizontal="center" vertical="center"/>
    </xf>
    <xf numFmtId="0" fontId="4" fillId="11" borderId="33" xfId="0" applyFont="1" applyFill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3" fontId="4" fillId="11" borderId="29" xfId="0" applyNumberFormat="1" applyFont="1" applyFill="1" applyBorder="1" applyAlignment="1">
      <alignment horizontal="center" vertical="center"/>
    </xf>
    <xf numFmtId="3" fontId="4" fillId="11" borderId="30" xfId="0" applyNumberFormat="1" applyFont="1" applyFill="1" applyBorder="1" applyAlignment="1">
      <alignment horizontal="center" vertical="center"/>
    </xf>
    <xf numFmtId="3" fontId="4" fillId="11" borderId="31" xfId="0" applyNumberFormat="1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13" fillId="12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left" vertical="center" wrapText="1"/>
    </xf>
  </cellXfs>
  <cellStyles count="4">
    <cellStyle name="Moeda" xfId="1" builtinId="4"/>
    <cellStyle name="Normal" xfId="0" builtinId="0"/>
    <cellStyle name="Porcentagem" xfId="2" builtinId="5"/>
    <cellStyle name="Vírgula 2" xfId="3" xr:uid="{710BC258-7287-4DC2-B58C-3B0CD22B177B}"/>
  </cellStyles>
  <dxfs count="14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B9B"/>
      <color rgb="FFFF9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9788</xdr:colOff>
      <xdr:row>3</xdr:row>
      <xdr:rowOff>58208</xdr:rowOff>
    </xdr:from>
    <xdr:to>
      <xdr:col>12</xdr:col>
      <xdr:colOff>596900</xdr:colOff>
      <xdr:row>42</xdr:row>
      <xdr:rowOff>47624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CDF2A1B-B6F5-44D7-AAF9-B9401CB3C9D6}"/>
            </a:ext>
          </a:extLst>
        </xdr:cNvPr>
        <xdr:cNvSpPr/>
      </xdr:nvSpPr>
      <xdr:spPr>
        <a:xfrm>
          <a:off x="45507" y="629708"/>
          <a:ext cx="9004831" cy="5704416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eaLnBrk="1" fontAlgn="auto" latinLnBrk="0" hangingPunct="1"/>
          <a:r>
            <a:rPr lang="pt-BR" sz="1600" b="1" baseline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JOHNSON - TOP CONTAS Q3 FY25</a:t>
          </a:r>
        </a:p>
        <a:p>
          <a:pPr marL="0" indent="0" eaLnBrk="1" fontAlgn="auto" latinLnBrk="0" hangingPunct="1"/>
          <a:endParaRPr lang="pt-BR" sz="1600" b="1" baseline="0">
            <a:solidFill>
              <a:schemeClr val="dk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PERÍODO:</a:t>
          </a:r>
          <a:r>
            <a:rPr lang="pt-BR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JANEIRO A MARÇO </a:t>
          </a:r>
          <a:r>
            <a:rPr lang="pt-BR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2025</a:t>
          </a:r>
        </a:p>
        <a:p>
          <a:pPr eaLnBrk="1" fontAlgn="auto" latinLnBrk="0" hangingPunct="1"/>
          <a:endParaRPr lang="pt-BR" sz="14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GATILHO 1: </a:t>
          </a:r>
          <a:r>
            <a:rPr lang="pt-BR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Distribuidora</a:t>
          </a:r>
          <a:r>
            <a:rPr lang="pt-BR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Muller precisa ter acima de </a:t>
          </a:r>
          <a:r>
            <a:rPr lang="pt-BR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22%</a:t>
          </a:r>
          <a:r>
            <a:rPr lang="pt-BR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margem de contribuição para habilitar a premiação abaixo.</a:t>
          </a:r>
        </a:p>
        <a:p>
          <a:pPr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GATILHO 2: </a:t>
          </a:r>
          <a:r>
            <a:rPr lang="pt-BR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Distribuidora Muller precisa atingir a meta de volume Trimestral Top Contas </a:t>
          </a:r>
          <a:r>
            <a:rPr lang="pt-BR" sz="14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(10.940)</a:t>
          </a:r>
          <a:r>
            <a:rPr lang="pt-BR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para habilitar a premiação.</a:t>
          </a:r>
        </a:p>
        <a:p>
          <a:pPr eaLnBrk="1" fontAlgn="auto" latinLnBrk="0" hangingPunct="1"/>
          <a:endParaRPr lang="pt-BR" sz="1400" b="0">
            <a:effectLst/>
          </a:endParaRPr>
        </a:p>
        <a:p>
          <a:pPr eaLnBrk="1" fontAlgn="auto" latinLnBrk="0" hangingPunct="1"/>
          <a:r>
            <a:rPr lang="pt-BR" sz="1400" b="1" baseline="0">
              <a:effectLst/>
            </a:rPr>
            <a:t>VENDEDORES/REPRESENTANTES:</a:t>
          </a:r>
        </a:p>
        <a:p>
          <a:pPr eaLnBrk="1" fontAlgn="auto" latinLnBrk="0" hangingPunct="1"/>
          <a:r>
            <a:rPr lang="pt-BR" sz="1400" b="0" baseline="0">
              <a:effectLst/>
            </a:rPr>
            <a:t>Atingindo sua meta mensal poderá ganhar </a:t>
          </a:r>
          <a:r>
            <a:rPr lang="pt-BR" sz="1400" b="1" baseline="0">
              <a:effectLst/>
            </a:rPr>
            <a:t>100 PONTOS </a:t>
          </a:r>
          <a:r>
            <a:rPr lang="pt-BR" sz="1400" b="0" baseline="0">
              <a:effectLst/>
            </a:rPr>
            <a:t>por Top Conta, por mês.</a:t>
          </a:r>
        </a:p>
        <a:p>
          <a:pPr eaLnBrk="1" fontAlgn="auto" latinLnBrk="0" hangingPunct="1"/>
          <a:r>
            <a:rPr lang="pt-BR" sz="1400" b="0" baseline="0">
              <a:effectLst/>
            </a:rPr>
            <a:t>Caso não tenha batido mensalmente, porem atingindo no trimestre, garante a pontuação total: </a:t>
          </a:r>
          <a:r>
            <a:rPr lang="pt-BR" sz="1400" b="1" baseline="0">
              <a:effectLst/>
            </a:rPr>
            <a:t>300 PONTOS </a:t>
          </a:r>
          <a:r>
            <a:rPr lang="pt-BR" sz="1400" b="0" baseline="0">
              <a:effectLst/>
            </a:rPr>
            <a:t>por Top Conta.</a:t>
          </a:r>
        </a:p>
        <a:p>
          <a:pPr eaLnBrk="1" fontAlgn="auto" latinLnBrk="0" hangingPunct="1"/>
          <a:endParaRPr lang="pt-BR" sz="1400" b="0" baseline="0">
            <a:effectLst/>
          </a:endParaRPr>
        </a:p>
        <a:p>
          <a:pPr eaLnBrk="1" fontAlgn="auto" latinLnBrk="0" hangingPunct="1"/>
          <a:r>
            <a:rPr lang="pt-BR" sz="1400" b="1" baseline="0">
              <a:effectLst/>
            </a:rPr>
            <a:t>OBS:</a:t>
          </a:r>
          <a:r>
            <a:rPr lang="pt-BR" sz="1400" b="0" baseline="0">
              <a:effectLst/>
            </a:rPr>
            <a:t> Pontuação máxima por Top Conta no trimestre = </a:t>
          </a:r>
          <a:r>
            <a:rPr lang="pt-BR" sz="1400" b="1" baseline="0">
              <a:effectLst/>
            </a:rPr>
            <a:t>300 PONTOS.</a:t>
          </a:r>
        </a:p>
        <a:p>
          <a:pPr eaLnBrk="1" fontAlgn="auto" latinLnBrk="0" hangingPunct="1"/>
          <a:endParaRPr lang="pt-BR" sz="1400" b="1" baseline="0">
            <a:effectLst/>
          </a:endParaRPr>
        </a:p>
        <a:p>
          <a:pPr eaLnBrk="1" fontAlgn="auto" latinLnBrk="0" hangingPunct="1"/>
          <a:r>
            <a:rPr lang="pt-BR" sz="1400" b="1" baseline="0">
              <a:effectLst/>
            </a:rPr>
            <a:t>SUPERVISORES: FLP - SUL MC/KA M/NORTE MC/KA M</a:t>
          </a:r>
        </a:p>
        <a:p>
          <a:pPr eaLnBrk="1" fontAlgn="auto" latinLnBrk="0" hangingPunct="1"/>
          <a:r>
            <a:rPr lang="pt-BR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Atingindo sua meta no trimestre poderá ganhar: </a:t>
          </a:r>
          <a:r>
            <a:rPr lang="pt-BR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500 PONTOS.</a:t>
          </a:r>
          <a:endParaRPr lang="pt-BR" sz="1400" b="1">
            <a:effectLst/>
          </a:endParaRPr>
        </a:p>
        <a:p>
          <a:pPr eaLnBrk="1" fontAlgn="auto" latinLnBrk="0" hangingPunct="1"/>
          <a:endParaRPr lang="pt-BR" sz="1400">
            <a:effectLst/>
          </a:endParaRPr>
        </a:p>
        <a:p>
          <a:pPr eaLnBrk="1" fontAlgn="auto" latinLnBrk="0" hangingPunct="1"/>
          <a:r>
            <a:rPr lang="pt-BR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SUPERVISORES: NORTE MC/KA D</a:t>
          </a:r>
          <a:endParaRPr lang="pt-BR" sz="1400">
            <a:effectLst/>
          </a:endParaRPr>
        </a:p>
        <a:p>
          <a:pPr eaLnBrk="1" fontAlgn="auto" latinLnBrk="0" hangingPunct="1"/>
          <a:r>
            <a:rPr lang="pt-BR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Atingindo sua meta no trimestre poderá ganhar: </a:t>
          </a:r>
          <a:r>
            <a:rPr lang="pt-BR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300 PONTOS.</a:t>
          </a:r>
          <a:endParaRPr lang="pt-BR" sz="1400">
            <a:effectLst/>
          </a:endParaRPr>
        </a:p>
        <a:p>
          <a:pPr eaLnBrk="1" fontAlgn="auto" latinLnBrk="0" hangingPunct="1"/>
          <a:br>
            <a:rPr lang="pt-BR" sz="1400" b="1" baseline="0">
              <a:effectLst/>
            </a:rPr>
          </a:br>
          <a:r>
            <a:rPr lang="pt-BR" sz="1400" b="1" baseline="0">
              <a:effectLst/>
            </a:rPr>
            <a:t>CONSULTOR:</a:t>
          </a:r>
        </a:p>
        <a:p>
          <a:pPr eaLnBrk="1" fontAlgn="auto" latinLnBrk="0" hangingPunct="1"/>
          <a:r>
            <a:rPr lang="pt-BR" sz="1400" b="0" baseline="0">
              <a:effectLst/>
            </a:rPr>
            <a:t>A Distribuidora Muller atingindo os gatilhos acima, poderá ganhar: </a:t>
          </a:r>
          <a:r>
            <a:rPr lang="pt-BR" sz="1400" b="1" baseline="0">
              <a:effectLst/>
            </a:rPr>
            <a:t>750 PONTOS.</a:t>
          </a:r>
        </a:p>
        <a:p>
          <a:pPr eaLnBrk="1" fontAlgn="auto" latinLnBrk="0" hangingPunct="1"/>
          <a:endParaRPr lang="pt-BR" sz="1400" b="1" baseline="0">
            <a:effectLst/>
          </a:endParaRPr>
        </a:p>
        <a:p>
          <a:pPr eaLnBrk="1" fontAlgn="auto" latinLnBrk="0" hangingPunct="1"/>
          <a:r>
            <a:rPr lang="pt-BR" sz="1400" b="1" baseline="0">
              <a:effectLst/>
            </a:rPr>
            <a:t>* Bonificações não irão contabilizar para realizado no pagamento da campanha.</a:t>
          </a:r>
        </a:p>
      </xdr:txBody>
    </xdr:sp>
    <xdr:clientData/>
  </xdr:twoCellAnchor>
  <xdr:twoCellAnchor>
    <xdr:from>
      <xdr:col>10</xdr:col>
      <xdr:colOff>203219</xdr:colOff>
      <xdr:row>3</xdr:row>
      <xdr:rowOff>8467</xdr:rowOff>
    </xdr:from>
    <xdr:to>
      <xdr:col>12</xdr:col>
      <xdr:colOff>558802</xdr:colOff>
      <xdr:row>6</xdr:row>
      <xdr:rowOff>6643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B8623B-8379-45AB-AFFF-EEBCBF603C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9425"/>
        <a:stretch/>
      </xdr:blipFill>
      <xdr:spPr>
        <a:xfrm>
          <a:off x="7600969" y="554567"/>
          <a:ext cx="1752583" cy="541101"/>
        </a:xfrm>
        <a:prstGeom prst="rect">
          <a:avLst/>
        </a:prstGeom>
      </xdr:spPr>
    </xdr:pic>
    <xdr:clientData/>
  </xdr:twoCellAnchor>
  <xdr:twoCellAnchor>
    <xdr:from>
      <xdr:col>1</xdr:col>
      <xdr:colOff>2</xdr:colOff>
      <xdr:row>0</xdr:row>
      <xdr:rowOff>28575</xdr:rowOff>
    </xdr:from>
    <xdr:to>
      <xdr:col>13</xdr:col>
      <xdr:colOff>0</xdr:colOff>
      <xdr:row>3</xdr:row>
      <xdr:rowOff>47625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D4DD96A-189C-4C26-A58C-118A808FDC6D}"/>
            </a:ext>
          </a:extLst>
        </xdr:cNvPr>
        <xdr:cNvSpPr/>
      </xdr:nvSpPr>
      <xdr:spPr>
        <a:xfrm>
          <a:off x="35721" y="28575"/>
          <a:ext cx="9036842" cy="590550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endParaRPr lang="pt-BR" sz="1463"/>
        </a:p>
      </xdr:txBody>
    </xdr:sp>
    <xdr:clientData/>
  </xdr:twoCellAnchor>
  <xdr:twoCellAnchor>
    <xdr:from>
      <xdr:col>0</xdr:col>
      <xdr:colOff>0</xdr:colOff>
      <xdr:row>0</xdr:row>
      <xdr:rowOff>64823</xdr:rowOff>
    </xdr:from>
    <xdr:to>
      <xdr:col>4</xdr:col>
      <xdr:colOff>345280</xdr:colOff>
      <xdr:row>2</xdr:row>
      <xdr:rowOff>81492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D9547040-B6E2-45A6-A3BB-45B44749EDE7}"/>
            </a:ext>
          </a:extLst>
        </xdr:cNvPr>
        <xdr:cNvSpPr/>
      </xdr:nvSpPr>
      <xdr:spPr>
        <a:xfrm>
          <a:off x="0" y="64823"/>
          <a:ext cx="3750468" cy="397669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24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INCENTIVO JOHNSON</a:t>
          </a:r>
        </a:p>
      </xdr:txBody>
    </xdr:sp>
    <xdr:clientData/>
  </xdr:twoCellAnchor>
  <xdr:twoCellAnchor editAs="oneCell">
    <xdr:from>
      <xdr:col>8</xdr:col>
      <xdr:colOff>443970</xdr:colOff>
      <xdr:row>3</xdr:row>
      <xdr:rowOff>46303</xdr:rowOff>
    </xdr:from>
    <xdr:to>
      <xdr:col>10</xdr:col>
      <xdr:colOff>93791</xdr:colOff>
      <xdr:row>6</xdr:row>
      <xdr:rowOff>83343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A5958CE9-51EC-463E-8B64-79C00E983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1720" y="592403"/>
          <a:ext cx="922996" cy="57996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9788</xdr:colOff>
      <xdr:row>2</xdr:row>
      <xdr:rowOff>153458</xdr:rowOff>
    </xdr:from>
    <xdr:to>
      <xdr:col>12</xdr:col>
      <xdr:colOff>596900</xdr:colOff>
      <xdr:row>38</xdr:row>
      <xdr:rowOff>78441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6199FF2-D54C-441C-9CF1-978D59DB6140}"/>
            </a:ext>
          </a:extLst>
        </xdr:cNvPr>
        <xdr:cNvSpPr/>
      </xdr:nvSpPr>
      <xdr:spPr>
        <a:xfrm>
          <a:off x="47888" y="534458"/>
          <a:ext cx="9045312" cy="6782983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eaLnBrk="1" fontAlgn="auto" latinLnBrk="0" hangingPunct="1"/>
          <a:r>
            <a:rPr lang="pt-BR" sz="1600" b="1" baseline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JOHNSON - VOLUME E LOJA PERFEITA</a:t>
          </a:r>
        </a:p>
        <a:p>
          <a:pPr marL="0" indent="0" eaLnBrk="1" fontAlgn="auto" latinLnBrk="0" hangingPunct="1"/>
          <a:endParaRPr lang="pt-BR" sz="1600" b="1" baseline="0">
            <a:solidFill>
              <a:schemeClr val="dk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i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PERÍODO:</a:t>
          </a:r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ANO FISCAL Y26</a:t>
          </a:r>
        </a:p>
        <a:p>
          <a:pPr eaLnBrk="1" fontAlgn="auto" latinLnBrk="0" hangingPunct="1"/>
          <a:endParaRPr lang="pt-BR" sz="1400" b="1" i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i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Bateu</a:t>
          </a:r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Levou!</a:t>
          </a:r>
        </a:p>
        <a:p>
          <a:pPr eaLnBrk="1" fontAlgn="auto" latinLnBrk="0" hangingPunct="1"/>
          <a:endParaRPr lang="pt-BR" sz="1400" b="1" i="0" baseline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Vendedores que Baterem suas metas de volume e Loja perfeita Trimestrais podera ganhar 300 pontos.</a:t>
          </a:r>
        </a:p>
        <a:p>
          <a:pPr eaLnBrk="1" fontAlgn="auto" latinLnBrk="0" hangingPunct="1"/>
          <a:endParaRPr lang="pt-BR" sz="1400" b="1" i="0" baseline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	Bater sua meta de Loja Pefeita mês a mês no trimestre. (Média 8 pontos)</a:t>
          </a:r>
        </a:p>
        <a:p>
          <a:pPr eaLnBrk="1" fontAlgn="auto" latinLnBrk="0" hangingPunct="1"/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	Bater a meta do trimestre de volume no TOP CONTA.</a:t>
          </a:r>
        </a:p>
        <a:p>
          <a:pPr eaLnBrk="1" fontAlgn="auto" latinLnBrk="0" hangingPunct="1"/>
          <a:endParaRPr lang="pt-BR" sz="1400" b="1" i="0" baseline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endParaRPr lang="pt-BR" sz="1400" b="1" baseline="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2</xdr:colOff>
      <xdr:row>0</xdr:row>
      <xdr:rowOff>28575</xdr:rowOff>
    </xdr:from>
    <xdr:to>
      <xdr:col>13</xdr:col>
      <xdr:colOff>0</xdr:colOff>
      <xdr:row>2</xdr:row>
      <xdr:rowOff>123825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159B320-320D-4A93-B927-AAB7F7CEF4B7}"/>
            </a:ext>
          </a:extLst>
        </xdr:cNvPr>
        <xdr:cNvSpPr/>
      </xdr:nvSpPr>
      <xdr:spPr>
        <a:xfrm>
          <a:off x="38102" y="28575"/>
          <a:ext cx="9077323" cy="476250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endParaRPr lang="pt-BR" sz="1463"/>
        </a:p>
      </xdr:txBody>
    </xdr:sp>
    <xdr:clientData/>
  </xdr:twoCellAnchor>
  <xdr:twoCellAnchor>
    <xdr:from>
      <xdr:col>0</xdr:col>
      <xdr:colOff>0</xdr:colOff>
      <xdr:row>0</xdr:row>
      <xdr:rowOff>64823</xdr:rowOff>
    </xdr:from>
    <xdr:to>
      <xdr:col>4</xdr:col>
      <xdr:colOff>74083</xdr:colOff>
      <xdr:row>2</xdr:row>
      <xdr:rowOff>81492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9C419B16-C1E3-4E40-8316-070D54EBF1EB}"/>
            </a:ext>
          </a:extLst>
        </xdr:cNvPr>
        <xdr:cNvSpPr/>
      </xdr:nvSpPr>
      <xdr:spPr>
        <a:xfrm>
          <a:off x="0" y="64823"/>
          <a:ext cx="3522133" cy="397669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24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INCENTIVO JOHNSON</a:t>
          </a:r>
        </a:p>
      </xdr:txBody>
    </xdr:sp>
    <xdr:clientData/>
  </xdr:twoCellAnchor>
  <xdr:oneCellAnchor>
    <xdr:from>
      <xdr:col>20</xdr:col>
      <xdr:colOff>0</xdr:colOff>
      <xdr:row>16</xdr:row>
      <xdr:rowOff>0</xdr:rowOff>
    </xdr:from>
    <xdr:ext cx="304800" cy="304800"/>
    <xdr:sp macro="" textlink="">
      <xdr:nvSpPr>
        <xdr:cNvPr id="5" name="AutoShape 1" descr="Visualização da imagem">
          <a:extLst>
            <a:ext uri="{FF2B5EF4-FFF2-40B4-BE49-F238E27FC236}">
              <a16:creationId xmlns:a16="http://schemas.microsoft.com/office/drawing/2014/main" id="{F0E3E2F5-4AAC-420D-8828-3D887C46BA55}"/>
            </a:ext>
          </a:extLst>
        </xdr:cNvPr>
        <xdr:cNvSpPr>
          <a:spLocks noChangeAspect="1" noChangeArrowheads="1"/>
        </xdr:cNvSpPr>
      </xdr:nvSpPr>
      <xdr:spPr bwMode="auto">
        <a:xfrm>
          <a:off x="13382625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550995</xdr:colOff>
      <xdr:row>17</xdr:row>
      <xdr:rowOff>76536</xdr:rowOff>
    </xdr:from>
    <xdr:ext cx="4795136" cy="3529853"/>
    <xdr:pic>
      <xdr:nvPicPr>
        <xdr:cNvPr id="6" name="Imagem 5">
          <a:extLst>
            <a:ext uri="{FF2B5EF4-FFF2-40B4-BE49-F238E27FC236}">
              <a16:creationId xmlns:a16="http://schemas.microsoft.com/office/drawing/2014/main" id="{4330E2F2-D12B-49FF-AB5B-92AD7C63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466" y="3124536"/>
          <a:ext cx="4795136" cy="352985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86086</xdr:colOff>
      <xdr:row>2</xdr:row>
      <xdr:rowOff>101463</xdr:rowOff>
    </xdr:from>
    <xdr:to>
      <xdr:col>1</xdr:col>
      <xdr:colOff>963627</xdr:colOff>
      <xdr:row>5</xdr:row>
      <xdr:rowOff>6407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9FDD53BD-68DE-462A-9B93-93DF8E123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761" y="330063"/>
          <a:ext cx="871191" cy="62566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944217</xdr:colOff>
      <xdr:row>1</xdr:row>
      <xdr:rowOff>98563</xdr:rowOff>
    </xdr:from>
    <xdr:to>
      <xdr:col>3</xdr:col>
      <xdr:colOff>600517</xdr:colOff>
      <xdr:row>8</xdr:row>
      <xdr:rowOff>125895</xdr:rowOff>
    </xdr:to>
    <xdr:pic>
      <xdr:nvPicPr>
        <xdr:cNvPr id="3" name="Imagem 5">
          <a:extLst>
            <a:ext uri="{FF2B5EF4-FFF2-40B4-BE49-F238E27FC236}">
              <a16:creationId xmlns:a16="http://schemas.microsoft.com/office/drawing/2014/main" id="{BE9A02D0-6F1D-4FEA-9286-F93DC7A38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7" r="11457"/>
        <a:stretch/>
      </xdr:blipFill>
      <xdr:spPr>
        <a:xfrm>
          <a:off x="1010892" y="155713"/>
          <a:ext cx="1113625" cy="14941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11903</xdr:colOff>
      <xdr:row>0</xdr:row>
      <xdr:rowOff>119063</xdr:rowOff>
    </xdr:from>
    <xdr:ext cx="1928815" cy="1311046"/>
    <xdr:pic>
      <xdr:nvPicPr>
        <xdr:cNvPr id="8" name="Picture 3">
          <a:extLst>
            <a:ext uri="{FF2B5EF4-FFF2-40B4-BE49-F238E27FC236}">
              <a16:creationId xmlns:a16="http://schemas.microsoft.com/office/drawing/2014/main" id="{B8392D07-9622-45C3-A785-4BF9B6048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341" y="119063"/>
          <a:ext cx="1928815" cy="131104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47625</xdr:colOff>
      <xdr:row>0</xdr:row>
      <xdr:rowOff>0</xdr:rowOff>
    </xdr:from>
    <xdr:to>
      <xdr:col>3</xdr:col>
      <xdr:colOff>53968</xdr:colOff>
      <xdr:row>7</xdr:row>
      <xdr:rowOff>285749</xdr:rowOff>
    </xdr:to>
    <xdr:pic>
      <xdr:nvPicPr>
        <xdr:cNvPr id="2" name="Imagem 5">
          <a:extLst>
            <a:ext uri="{FF2B5EF4-FFF2-40B4-BE49-F238E27FC236}">
              <a16:creationId xmlns:a16="http://schemas.microsoft.com/office/drawing/2014/main" id="{8B057817-907C-4774-960F-AFB949C57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7" r="11457"/>
        <a:stretch/>
      </xdr:blipFill>
      <xdr:spPr>
        <a:xfrm>
          <a:off x="154781" y="0"/>
          <a:ext cx="1113625" cy="16668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857248</xdr:colOff>
      <xdr:row>0</xdr:row>
      <xdr:rowOff>181770</xdr:rowOff>
    </xdr:from>
    <xdr:ext cx="1887111" cy="1282699"/>
    <xdr:pic>
      <xdr:nvPicPr>
        <xdr:cNvPr id="2" name="Picture 3">
          <a:extLst>
            <a:ext uri="{FF2B5EF4-FFF2-40B4-BE49-F238E27FC236}">
              <a16:creationId xmlns:a16="http://schemas.microsoft.com/office/drawing/2014/main" id="{4E948B30-E27F-4022-B325-27B9F73A6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1" y="181770"/>
          <a:ext cx="1887111" cy="128269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0</xdr:colOff>
      <xdr:row>0</xdr:row>
      <xdr:rowOff>0</xdr:rowOff>
    </xdr:from>
    <xdr:to>
      <xdr:col>1</xdr:col>
      <xdr:colOff>1113625</xdr:colOff>
      <xdr:row>8</xdr:row>
      <xdr:rowOff>7002</xdr:rowOff>
    </xdr:to>
    <xdr:pic>
      <xdr:nvPicPr>
        <xdr:cNvPr id="5" name="Imagem 5">
          <a:extLst>
            <a:ext uri="{FF2B5EF4-FFF2-40B4-BE49-F238E27FC236}">
              <a16:creationId xmlns:a16="http://schemas.microsoft.com/office/drawing/2014/main" id="{8225EBAC-188B-4845-A146-AD288F26F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57" r="11457"/>
        <a:stretch/>
      </xdr:blipFill>
      <xdr:spPr>
        <a:xfrm>
          <a:off x="119063" y="0"/>
          <a:ext cx="1113625" cy="1666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45C2-7286-44E8-8344-2578B6EDBECB}">
  <sheetPr>
    <pageSetUpPr fitToPage="1"/>
  </sheetPr>
  <dimension ref="B34:E43"/>
  <sheetViews>
    <sheetView showGridLines="0" zoomScale="80" zoomScaleNormal="80" workbookViewId="0">
      <selection activeCell="V8" sqref="V8"/>
    </sheetView>
  </sheetViews>
  <sheetFormatPr defaultRowHeight="14.5" outlineLevelRow="1" x14ac:dyDescent="0.35"/>
  <cols>
    <col min="1" max="1" width="0.54296875" customWidth="1"/>
    <col min="2" max="2" width="26.26953125" customWidth="1"/>
    <col min="3" max="3" width="12.54296875" customWidth="1"/>
    <col min="4" max="4" width="11.7265625" customWidth="1"/>
    <col min="5" max="11" width="9.26953125" customWidth="1"/>
    <col min="12" max="12" width="10.7265625" customWidth="1"/>
    <col min="13" max="13" width="9.26953125" customWidth="1"/>
    <col min="14" max="15" width="8.7265625" customWidth="1"/>
  </cols>
  <sheetData>
    <row r="34" spans="2:5" hidden="1" outlineLevel="1" x14ac:dyDescent="0.35"/>
    <row r="35" spans="2:5" hidden="1" outlineLevel="1" x14ac:dyDescent="0.35">
      <c r="C35" s="151" t="s">
        <v>183</v>
      </c>
      <c r="D35" s="151" t="s">
        <v>184</v>
      </c>
      <c r="E35" s="151" t="s">
        <v>185</v>
      </c>
    </row>
    <row r="36" spans="2:5" hidden="1" outlineLevel="1" x14ac:dyDescent="0.35">
      <c r="B36" s="152" t="s">
        <v>186</v>
      </c>
      <c r="C36" s="153">
        <v>0</v>
      </c>
      <c r="D36" s="153">
        <v>0</v>
      </c>
      <c r="E36" s="154">
        <f t="shared" ref="E36:E42" si="0">IFERROR(D36/C36,)</f>
        <v>0</v>
      </c>
    </row>
    <row r="37" spans="2:5" hidden="1" outlineLevel="1" x14ac:dyDescent="0.35">
      <c r="B37" s="152" t="s">
        <v>187</v>
      </c>
      <c r="C37" s="153">
        <v>0</v>
      </c>
      <c r="D37" s="153">
        <v>0</v>
      </c>
      <c r="E37" s="154">
        <f t="shared" si="0"/>
        <v>0</v>
      </c>
    </row>
    <row r="38" spans="2:5" hidden="1" outlineLevel="1" x14ac:dyDescent="0.35">
      <c r="B38" s="152" t="s">
        <v>188</v>
      </c>
      <c r="C38" s="153">
        <f>300*2+500*2+750</f>
        <v>2350</v>
      </c>
      <c r="D38" s="153">
        <v>0</v>
      </c>
      <c r="E38" s="154">
        <f t="shared" si="0"/>
        <v>0</v>
      </c>
    </row>
    <row r="39" spans="2:5" hidden="1" outlineLevel="1" x14ac:dyDescent="0.35">
      <c r="B39" s="152" t="s">
        <v>189</v>
      </c>
      <c r="C39" s="153">
        <f>16*300</f>
        <v>4800</v>
      </c>
      <c r="D39" s="153">
        <v>0</v>
      </c>
      <c r="E39" s="154">
        <f t="shared" si="0"/>
        <v>0</v>
      </c>
    </row>
    <row r="40" spans="2:5" hidden="1" outlineLevel="1" x14ac:dyDescent="0.35">
      <c r="B40" s="155" t="s">
        <v>190</v>
      </c>
      <c r="C40" s="153">
        <v>0</v>
      </c>
      <c r="D40" s="153">
        <v>0</v>
      </c>
      <c r="E40" s="154">
        <f t="shared" si="0"/>
        <v>0</v>
      </c>
    </row>
    <row r="41" spans="2:5" hidden="1" outlineLevel="1" x14ac:dyDescent="0.35">
      <c r="B41" s="152" t="s">
        <v>191</v>
      </c>
      <c r="C41" s="153">
        <v>0</v>
      </c>
      <c r="D41" s="153">
        <v>0</v>
      </c>
      <c r="E41" s="154">
        <f t="shared" si="0"/>
        <v>0</v>
      </c>
    </row>
    <row r="42" spans="2:5" ht="15" hidden="1" outlineLevel="1" thickBot="1" x14ac:dyDescent="0.4">
      <c r="B42" s="156" t="s">
        <v>45</v>
      </c>
      <c r="C42" s="157">
        <f>SUM(C35:C41)</f>
        <v>7150</v>
      </c>
      <c r="D42" s="157">
        <f>SUM(D35:D41)</f>
        <v>0</v>
      </c>
      <c r="E42" s="158">
        <f t="shared" si="0"/>
        <v>0</v>
      </c>
    </row>
    <row r="43" spans="2:5" collapsed="1" x14ac:dyDescent="0.35"/>
  </sheetData>
  <sheetProtection selectLockedCells="1" selectUnlockedCells="1"/>
  <pageMargins left="0" right="0" top="0" bottom="0" header="0" footer="0"/>
  <pageSetup paperSize="9" scale="71" orientation="portrait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08C1-42B4-47A4-8435-71F8515D4435}">
  <sheetPr>
    <pageSetUpPr fitToPage="1"/>
  </sheetPr>
  <dimension ref="B43:E50"/>
  <sheetViews>
    <sheetView showGridLines="0" zoomScale="85" zoomScaleNormal="85" workbookViewId="0">
      <selection activeCell="C46" sqref="C46"/>
    </sheetView>
  </sheetViews>
  <sheetFormatPr defaultRowHeight="14.5" outlineLevelRow="1" x14ac:dyDescent="0.35"/>
  <cols>
    <col min="1" max="1" width="0.54296875" customWidth="1"/>
    <col min="2" max="2" width="26.26953125" bestFit="1" customWidth="1"/>
    <col min="3" max="3" width="12.54296875" bestFit="1" customWidth="1"/>
    <col min="4" max="4" width="12.26953125" customWidth="1"/>
    <col min="5" max="11" width="9.26953125" customWidth="1"/>
    <col min="12" max="12" width="10.7265625" customWidth="1"/>
    <col min="13" max="13" width="9.26953125" customWidth="1"/>
  </cols>
  <sheetData>
    <row r="43" spans="2:5" outlineLevel="1" x14ac:dyDescent="0.35">
      <c r="C43" s="151" t="s">
        <v>183</v>
      </c>
      <c r="D43" s="151" t="s">
        <v>184</v>
      </c>
      <c r="E43" s="151" t="s">
        <v>185</v>
      </c>
    </row>
    <row r="44" spans="2:5" outlineLevel="1" x14ac:dyDescent="0.35">
      <c r="B44" s="152" t="s">
        <v>186</v>
      </c>
      <c r="C44" s="153">
        <v>0</v>
      </c>
      <c r="D44" s="153">
        <v>0</v>
      </c>
      <c r="E44" s="154">
        <f t="shared" ref="E44:E50" si="0">IFERROR(D44/C44,)</f>
        <v>0</v>
      </c>
    </row>
    <row r="45" spans="2:5" outlineLevel="1" x14ac:dyDescent="0.35">
      <c r="B45" s="152" t="s">
        <v>187</v>
      </c>
      <c r="C45" s="153">
        <v>0</v>
      </c>
      <c r="D45" s="153">
        <v>0</v>
      </c>
      <c r="E45" s="154">
        <f t="shared" si="0"/>
        <v>0</v>
      </c>
    </row>
    <row r="46" spans="2:5" outlineLevel="1" x14ac:dyDescent="0.35">
      <c r="B46" s="152" t="s">
        <v>188</v>
      </c>
      <c r="C46" s="153">
        <v>0</v>
      </c>
      <c r="D46" s="153">
        <v>0</v>
      </c>
      <c r="E46" s="154">
        <f t="shared" si="0"/>
        <v>0</v>
      </c>
    </row>
    <row r="47" spans="2:5" outlineLevel="1" x14ac:dyDescent="0.35">
      <c r="B47" s="152" t="s">
        <v>189</v>
      </c>
      <c r="C47" s="153">
        <v>33600</v>
      </c>
      <c r="D47" s="153">
        <v>900</v>
      </c>
      <c r="E47" s="154">
        <f t="shared" si="0"/>
        <v>2.6785714285714284E-2</v>
      </c>
    </row>
    <row r="48" spans="2:5" outlineLevel="1" x14ac:dyDescent="0.35">
      <c r="B48" s="155" t="s">
        <v>190</v>
      </c>
      <c r="C48" s="153">
        <v>0</v>
      </c>
      <c r="D48" s="153">
        <v>0</v>
      </c>
      <c r="E48" s="154">
        <f t="shared" si="0"/>
        <v>0</v>
      </c>
    </row>
    <row r="49" spans="2:5" outlineLevel="1" x14ac:dyDescent="0.35">
      <c r="B49" s="152" t="s">
        <v>191</v>
      </c>
      <c r="C49" s="153">
        <v>0</v>
      </c>
      <c r="D49" s="153">
        <v>0</v>
      </c>
      <c r="E49" s="154">
        <f t="shared" si="0"/>
        <v>0</v>
      </c>
    </row>
    <row r="50" spans="2:5" ht="15" outlineLevel="1" thickBot="1" x14ac:dyDescent="0.4">
      <c r="B50" s="156" t="s">
        <v>45</v>
      </c>
      <c r="C50" s="157">
        <f>SUM(C43:C49)</f>
        <v>33600</v>
      </c>
      <c r="D50" s="157">
        <f>SUM(D43:D49)</f>
        <v>900</v>
      </c>
      <c r="E50" s="158">
        <f t="shared" si="0"/>
        <v>2.6785714285714284E-2</v>
      </c>
    </row>
  </sheetData>
  <sheetProtection selectLockedCells="1" selectUnlockedCells="1"/>
  <pageMargins left="0" right="0" top="0" bottom="0" header="0" footer="0"/>
  <pageSetup paperSize="9" scale="48" orientation="portrait" horizontalDpi="4294967293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74E5-8675-47EB-B5C3-14B418849B1A}">
  <dimension ref="B3:H11"/>
  <sheetViews>
    <sheetView showGridLines="0" workbookViewId="0">
      <selection activeCell="J17" sqref="J17"/>
    </sheetView>
  </sheetViews>
  <sheetFormatPr defaultRowHeight="14.5" x14ac:dyDescent="0.35"/>
  <cols>
    <col min="2" max="2" width="5" bestFit="1" customWidth="1"/>
    <col min="3" max="3" width="10.7265625" bestFit="1" customWidth="1"/>
    <col min="4" max="4" width="24.26953125" bestFit="1" customWidth="1"/>
  </cols>
  <sheetData>
    <row r="3" spans="2:8" ht="26" x14ac:dyDescent="0.35">
      <c r="B3" s="179" t="s">
        <v>2</v>
      </c>
      <c r="C3" s="179" t="s">
        <v>3</v>
      </c>
      <c r="D3" s="180" t="s">
        <v>18</v>
      </c>
      <c r="E3" s="173" t="s">
        <v>799</v>
      </c>
      <c r="F3" s="173" t="s">
        <v>185</v>
      </c>
      <c r="G3" s="173" t="s">
        <v>800</v>
      </c>
      <c r="H3" s="173" t="s">
        <v>801</v>
      </c>
    </row>
    <row r="4" spans="2:8" x14ac:dyDescent="0.35">
      <c r="B4" s="161">
        <v>4054</v>
      </c>
      <c r="C4" s="161" t="s">
        <v>436</v>
      </c>
      <c r="D4" s="42" t="s">
        <v>792</v>
      </c>
      <c r="E4" s="174">
        <v>1039.625</v>
      </c>
      <c r="F4" s="181">
        <v>1.7304216630736278</v>
      </c>
      <c r="G4" s="174">
        <v>81.883055555555543</v>
      </c>
      <c r="H4" s="182">
        <v>300</v>
      </c>
    </row>
    <row r="5" spans="2:8" x14ac:dyDescent="0.35">
      <c r="B5" s="161">
        <v>3655</v>
      </c>
      <c r="C5" s="161" t="s">
        <v>77</v>
      </c>
      <c r="D5" s="42" t="s">
        <v>796</v>
      </c>
      <c r="E5" s="174">
        <v>3134.9920000000002</v>
      </c>
      <c r="F5" s="181">
        <v>1.523884016120199</v>
      </c>
      <c r="G5" s="174">
        <v>83.07276984126986</v>
      </c>
      <c r="H5" s="182">
        <v>300</v>
      </c>
    </row>
    <row r="6" spans="2:8" x14ac:dyDescent="0.35">
      <c r="B6" s="161">
        <v>3919</v>
      </c>
      <c r="C6" s="161" t="s">
        <v>434</v>
      </c>
      <c r="D6" s="42" t="s">
        <v>790</v>
      </c>
      <c r="E6" s="174">
        <v>2809.7070000000003</v>
      </c>
      <c r="F6" s="181">
        <v>1.2974361338183149</v>
      </c>
      <c r="G6" s="174">
        <v>79.834421052631583</v>
      </c>
      <c r="H6" s="174"/>
    </row>
    <row r="7" spans="2:8" x14ac:dyDescent="0.35">
      <c r="B7" s="161">
        <v>4066</v>
      </c>
      <c r="C7" s="161" t="s">
        <v>504</v>
      </c>
      <c r="D7" s="42" t="s">
        <v>795</v>
      </c>
      <c r="E7" s="174">
        <v>402.16700000000003</v>
      </c>
      <c r="F7" s="181">
        <v>1.2549639405759883</v>
      </c>
      <c r="G7" s="174">
        <v>85.578333333333333</v>
      </c>
      <c r="H7" s="182">
        <v>300</v>
      </c>
    </row>
    <row r="8" spans="2:8" x14ac:dyDescent="0.35">
      <c r="B8" s="161">
        <v>771</v>
      </c>
      <c r="C8" s="161" t="s">
        <v>404</v>
      </c>
      <c r="D8" s="42" t="s">
        <v>789</v>
      </c>
      <c r="E8" s="174">
        <v>761.76700000000005</v>
      </c>
      <c r="F8" s="181">
        <v>1.0516403743114706</v>
      </c>
      <c r="G8" s="174">
        <v>78.904166666666669</v>
      </c>
      <c r="H8" s="161"/>
    </row>
    <row r="9" spans="2:8" x14ac:dyDescent="0.35">
      <c r="B9" s="177">
        <v>179</v>
      </c>
      <c r="C9" s="177" t="s">
        <v>4</v>
      </c>
      <c r="D9" s="178" t="s">
        <v>793</v>
      </c>
      <c r="E9" s="176">
        <v>1739.875</v>
      </c>
      <c r="F9" s="175">
        <v>0.98943851274258854</v>
      </c>
      <c r="G9" s="183">
        <v>74.015277777777783</v>
      </c>
      <c r="H9" s="176"/>
    </row>
    <row r="10" spans="2:8" x14ac:dyDescent="0.35">
      <c r="B10" s="177">
        <v>3956</v>
      </c>
      <c r="C10" s="177" t="s">
        <v>435</v>
      </c>
      <c r="D10" s="178" t="s">
        <v>791</v>
      </c>
      <c r="E10" s="176">
        <v>405.834</v>
      </c>
      <c r="F10" s="175">
        <v>0.73533905018778845</v>
      </c>
      <c r="G10" s="183">
        <v>87.269444444444446</v>
      </c>
      <c r="H10" s="176"/>
    </row>
    <row r="11" spans="2:8" x14ac:dyDescent="0.35">
      <c r="B11" s="177">
        <v>359</v>
      </c>
      <c r="C11" s="177" t="s">
        <v>489</v>
      </c>
      <c r="D11" s="178" t="s">
        <v>794</v>
      </c>
      <c r="E11" s="176">
        <v>1177.79</v>
      </c>
      <c r="F11" s="175">
        <v>0.58524214599446678</v>
      </c>
      <c r="G11" s="183">
        <v>84.385000000000005</v>
      </c>
      <c r="H11" s="176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FC9A7-9DD2-438E-BF81-3B2FB9B55893}">
  <sheetPr>
    <pageSetUpPr fitToPage="1"/>
  </sheetPr>
  <dimension ref="B1:CU23944"/>
  <sheetViews>
    <sheetView showGridLines="0" tabSelected="1" zoomScaleNormal="100" workbookViewId="0">
      <selection activeCell="BR22" sqref="BR22"/>
    </sheetView>
  </sheetViews>
  <sheetFormatPr defaultColWidth="9.26953125" defaultRowHeight="13" zeroHeight="1" outlineLevelCol="1" x14ac:dyDescent="0.3"/>
  <cols>
    <col min="1" max="1" width="1" style="1" customWidth="1"/>
    <col min="2" max="2" width="16.26953125" style="1" bestFit="1" customWidth="1"/>
    <col min="3" max="3" width="5.54296875" style="1" bestFit="1" customWidth="1"/>
    <col min="4" max="4" width="10.7265625" style="1" bestFit="1" customWidth="1"/>
    <col min="5" max="5" width="24.26953125" style="1" bestFit="1" customWidth="1"/>
    <col min="6" max="6" width="5.453125" style="1" customWidth="1"/>
    <col min="7" max="7" width="7.26953125" style="1" hidden="1" customWidth="1" outlineLevel="1" collapsed="1"/>
    <col min="8" max="8" width="8.26953125" style="1" hidden="1" customWidth="1" outlineLevel="1"/>
    <col min="9" max="9" width="8.7265625" style="1" hidden="1" customWidth="1" outlineLevel="1"/>
    <col min="10" max="10" width="7.453125" style="1" hidden="1" customWidth="1" outlineLevel="1"/>
    <col min="11" max="11" width="7.26953125" style="1" hidden="1" customWidth="1" outlineLevel="1"/>
    <col min="12" max="12" width="8" style="1" hidden="1" customWidth="1" outlineLevel="1"/>
    <col min="13" max="13" width="8.54296875" style="1" hidden="1" customWidth="1" outlineLevel="1"/>
    <col min="14" max="14" width="8.453125" style="1" hidden="1" customWidth="1" outlineLevel="1"/>
    <col min="15" max="15" width="7.26953125" style="1" hidden="1" customWidth="1" outlineLevel="1"/>
    <col min="16" max="16" width="8.7265625" style="1" hidden="1" customWidth="1" outlineLevel="1"/>
    <col min="17" max="17" width="7.453125" style="1" hidden="1" customWidth="1" outlineLevel="1"/>
    <col min="18" max="19" width="7.26953125" style="1" hidden="1" customWidth="1" outlineLevel="1"/>
    <col min="20" max="20" width="8.7265625" style="1" hidden="1" customWidth="1" outlineLevel="1"/>
    <col min="21" max="21" width="7.453125" style="1" hidden="1" customWidth="1" outlineLevel="1"/>
    <col min="22" max="23" width="7.26953125" style="1" hidden="1" customWidth="1" outlineLevel="1"/>
    <col min="24" max="24" width="8.7265625" style="1" hidden="1" customWidth="1" outlineLevel="1"/>
    <col min="25" max="25" width="7.453125" style="1" hidden="1" customWidth="1" outlineLevel="1"/>
    <col min="26" max="26" width="7.26953125" style="1" hidden="1" customWidth="1" outlineLevel="1"/>
    <col min="27" max="27" width="1.26953125" style="1" hidden="1" customWidth="1" outlineLevel="1"/>
    <col min="28" max="28" width="8.1796875" style="1" hidden="1" customWidth="1" outlineLevel="1" collapsed="1"/>
    <col min="29" max="29" width="7.81640625" style="1" hidden="1" customWidth="1" outlineLevel="1"/>
    <col min="30" max="30" width="8.453125" style="1" hidden="1" customWidth="1" outlineLevel="1"/>
    <col min="31" max="31" width="7.453125" style="1" hidden="1" customWidth="1" outlineLevel="1"/>
    <col min="32" max="32" width="7.1796875" style="1" hidden="1" customWidth="1" outlineLevel="1"/>
    <col min="33" max="33" width="7.7265625" style="1" hidden="1" customWidth="1" outlineLevel="1"/>
    <col min="34" max="34" width="8.7265625" style="1" hidden="1" customWidth="1" outlineLevel="1"/>
    <col min="35" max="35" width="7.81640625" style="1" hidden="1" customWidth="1" outlineLevel="1"/>
    <col min="36" max="36" width="8.1796875" style="1" hidden="1" customWidth="1" outlineLevel="1"/>
    <col min="37" max="37" width="8.453125" style="1" hidden="1" customWidth="1" outlineLevel="1"/>
    <col min="38" max="38" width="7.453125" style="1" hidden="1" customWidth="1" outlineLevel="1"/>
    <col min="39" max="39" width="7.1796875" style="1" hidden="1" customWidth="1" outlineLevel="1"/>
    <col min="40" max="40" width="8.1796875" style="1" hidden="1" customWidth="1" outlineLevel="1"/>
    <col min="41" max="41" width="8.453125" style="1" hidden="1" customWidth="1" outlineLevel="1"/>
    <col min="42" max="42" width="7.453125" style="1" hidden="1" customWidth="1" outlineLevel="1"/>
    <col min="43" max="43" width="7.1796875" style="1" hidden="1" customWidth="1" outlineLevel="1"/>
    <col min="44" max="44" width="8.1796875" style="1" hidden="1" customWidth="1" outlineLevel="1"/>
    <col min="45" max="45" width="8.453125" style="1" hidden="1" customWidth="1" outlineLevel="1"/>
    <col min="46" max="46" width="7.453125" style="1" hidden="1" customWidth="1" outlineLevel="1"/>
    <col min="47" max="47" width="7.1796875" style="1" hidden="1" customWidth="1" outlineLevel="1"/>
    <col min="48" max="48" width="4.7265625" style="1" hidden="1" customWidth="1" outlineLevel="1"/>
    <col min="49" max="49" width="8.26953125" style="1" hidden="1" customWidth="1" outlineLevel="1" collapsed="1"/>
    <col min="50" max="50" width="8" style="1" hidden="1" customWidth="1" outlineLevel="1"/>
    <col min="51" max="51" width="7.81640625" style="1" hidden="1" customWidth="1" outlineLevel="1"/>
    <col min="52" max="52" width="7.453125" style="1" hidden="1" customWidth="1" outlineLevel="1"/>
    <col min="53" max="53" width="7.26953125" style="1" hidden="1" customWidth="1" outlineLevel="1"/>
    <col min="54" max="54" width="7.7265625" style="1" hidden="1" customWidth="1" outlineLevel="1"/>
    <col min="55" max="55" width="8.7265625" style="1" hidden="1" customWidth="1" outlineLevel="1"/>
    <col min="56" max="56" width="9" style="1" hidden="1" customWidth="1" outlineLevel="1"/>
    <col min="57" max="57" width="8.26953125" style="1" hidden="1" customWidth="1" outlineLevel="1"/>
    <col min="58" max="58" width="7.81640625" style="1" hidden="1" customWidth="1" outlineLevel="1"/>
    <col min="59" max="59" width="7.453125" style="1" hidden="1" customWidth="1" outlineLevel="1"/>
    <col min="60" max="60" width="7.26953125" style="1" hidden="1" customWidth="1" outlineLevel="1"/>
    <col min="61" max="61" width="8.26953125" style="1" hidden="1" customWidth="1" outlineLevel="1"/>
    <col min="62" max="62" width="7.81640625" style="1" hidden="1" customWidth="1" outlineLevel="1"/>
    <col min="63" max="63" width="7.453125" style="1" hidden="1" customWidth="1" outlineLevel="1"/>
    <col min="64" max="64" width="7.26953125" style="1" hidden="1" customWidth="1" outlineLevel="1"/>
    <col min="65" max="65" width="8.26953125" style="1" hidden="1" customWidth="1" outlineLevel="1" collapsed="1"/>
    <col min="66" max="66" width="7.81640625" style="1" hidden="1" customWidth="1" outlineLevel="1"/>
    <col min="67" max="67" width="7.453125" style="1" hidden="1" customWidth="1" outlineLevel="1"/>
    <col min="68" max="68" width="7.26953125" style="1" hidden="1" customWidth="1" outlineLevel="1"/>
    <col min="69" max="69" width="1.26953125" style="1" hidden="1" customWidth="1" outlineLevel="1"/>
    <col min="70" max="70" width="8" style="1" customWidth="1" collapsed="1"/>
    <col min="71" max="71" width="7.26953125" style="1" customWidth="1"/>
    <col min="72" max="72" width="9.453125" style="1" customWidth="1"/>
    <col min="73" max="73" width="7.26953125" style="1" customWidth="1"/>
    <col min="74" max="74" width="7.1796875" style="1" customWidth="1"/>
    <col min="75" max="75" width="7.7265625" style="1" customWidth="1"/>
    <col min="76" max="76" width="8.26953125" style="1" customWidth="1"/>
    <col min="77" max="77" width="8.81640625" style="1" customWidth="1"/>
    <col min="78" max="78" width="8" style="1" customWidth="1"/>
    <col min="79" max="79" width="9.453125" style="1" customWidth="1"/>
    <col min="80" max="80" width="7.26953125" style="1" customWidth="1"/>
    <col min="81" max="81" width="7.1796875" style="1" customWidth="1"/>
    <col min="82" max="82" width="8" style="1" customWidth="1"/>
    <col min="83" max="83" width="9.453125" style="1" customWidth="1"/>
    <col min="84" max="84" width="7.26953125" style="1" customWidth="1"/>
    <col min="85" max="85" width="7.1796875" style="1" customWidth="1"/>
    <col min="86" max="86" width="8" style="1" customWidth="1"/>
    <col min="87" max="87" width="9.453125" style="1" customWidth="1"/>
    <col min="88" max="88" width="7.26953125" style="1" customWidth="1"/>
    <col min="89" max="89" width="7.1796875" style="1" customWidth="1"/>
    <col min="90" max="90" width="1.7265625" style="1" customWidth="1" collapsed="1"/>
    <col min="91" max="91" width="9" style="1" customWidth="1" collapsed="1"/>
    <col min="92" max="92" width="7.7265625" style="1" customWidth="1"/>
    <col min="93" max="93" width="9" style="1" customWidth="1"/>
    <col min="94" max="95" width="7.26953125" style="1" customWidth="1"/>
    <col min="96" max="97" width="8.7265625" style="1" customWidth="1"/>
    <col min="98" max="98" width="8" style="1" customWidth="1"/>
    <col min="99" max="99" width="7.1796875" style="1" customWidth="1"/>
    <col min="100" max="102" width="9.26953125" style="1" customWidth="1"/>
    <col min="103" max="103" width="9.54296875" style="1" customWidth="1"/>
    <col min="104" max="16384" width="9.26953125" style="1"/>
  </cols>
  <sheetData>
    <row r="1" spans="2:99" ht="4.5" customHeight="1" x14ac:dyDescent="0.3"/>
    <row r="2" spans="2:99" ht="13.5" thickBot="1" x14ac:dyDescent="0.35">
      <c r="B2" s="150"/>
    </row>
    <row r="3" spans="2:99" ht="14.5" x14ac:dyDescent="0.3">
      <c r="E3" s="193" t="s">
        <v>0</v>
      </c>
      <c r="F3" s="191" t="s">
        <v>15</v>
      </c>
      <c r="G3" s="202" t="s">
        <v>22</v>
      </c>
      <c r="H3" s="203"/>
      <c r="I3" s="203"/>
      <c r="J3" s="203"/>
      <c r="K3" s="203"/>
      <c r="L3" s="203"/>
      <c r="M3" s="203"/>
      <c r="N3" s="204"/>
      <c r="O3" s="198" t="s">
        <v>23</v>
      </c>
      <c r="P3" s="199"/>
      <c r="Q3" s="199"/>
      <c r="R3" s="200"/>
      <c r="S3" s="198" t="s">
        <v>24</v>
      </c>
      <c r="T3" s="199"/>
      <c r="U3" s="199"/>
      <c r="V3" s="200"/>
      <c r="W3" s="198" t="s">
        <v>25</v>
      </c>
      <c r="X3" s="199"/>
      <c r="Y3" s="199"/>
      <c r="Z3" s="201"/>
      <c r="AB3" s="202" t="s">
        <v>30</v>
      </c>
      <c r="AC3" s="203"/>
      <c r="AD3" s="203"/>
      <c r="AE3" s="203"/>
      <c r="AF3" s="203"/>
      <c r="AG3" s="203"/>
      <c r="AH3" s="203"/>
      <c r="AI3" s="204"/>
      <c r="AJ3" s="198" t="s">
        <v>27</v>
      </c>
      <c r="AK3" s="199"/>
      <c r="AL3" s="199"/>
      <c r="AM3" s="200"/>
      <c r="AN3" s="198" t="s">
        <v>28</v>
      </c>
      <c r="AO3" s="199"/>
      <c r="AP3" s="199"/>
      <c r="AQ3" s="200"/>
      <c r="AR3" s="198" t="s">
        <v>29</v>
      </c>
      <c r="AS3" s="199"/>
      <c r="AT3" s="199"/>
      <c r="AU3" s="201"/>
      <c r="AW3" s="202" t="s">
        <v>66</v>
      </c>
      <c r="AX3" s="203"/>
      <c r="AY3" s="203"/>
      <c r="AZ3" s="203"/>
      <c r="BA3" s="203"/>
      <c r="BB3" s="203"/>
      <c r="BC3" s="203"/>
      <c r="BD3" s="204"/>
      <c r="BE3" s="198" t="s">
        <v>67</v>
      </c>
      <c r="BF3" s="199"/>
      <c r="BG3" s="199"/>
      <c r="BH3" s="200"/>
      <c r="BI3" s="198" t="s">
        <v>68</v>
      </c>
      <c r="BJ3" s="199"/>
      <c r="BK3" s="199"/>
      <c r="BL3" s="200"/>
      <c r="BM3" s="198" t="s">
        <v>72</v>
      </c>
      <c r="BN3" s="199"/>
      <c r="BO3" s="199"/>
      <c r="BP3" s="201"/>
      <c r="BR3" s="202" t="s">
        <v>73</v>
      </c>
      <c r="BS3" s="203"/>
      <c r="BT3" s="203"/>
      <c r="BU3" s="203"/>
      <c r="BV3" s="203"/>
      <c r="BW3" s="203"/>
      <c r="BX3" s="203"/>
      <c r="BY3" s="204"/>
      <c r="BZ3" s="185" t="s">
        <v>69</v>
      </c>
      <c r="CA3" s="186"/>
      <c r="CB3" s="186"/>
      <c r="CC3" s="186"/>
      <c r="CD3" s="198" t="s">
        <v>70</v>
      </c>
      <c r="CE3" s="199"/>
      <c r="CF3" s="199"/>
      <c r="CG3" s="200"/>
      <c r="CH3" s="198" t="s">
        <v>71</v>
      </c>
      <c r="CI3" s="199"/>
      <c r="CJ3" s="199"/>
      <c r="CK3" s="201"/>
      <c r="CM3" s="195" t="s">
        <v>783</v>
      </c>
      <c r="CN3" s="196"/>
      <c r="CO3" s="196"/>
      <c r="CP3" s="196"/>
      <c r="CQ3" s="196"/>
      <c r="CR3" s="196"/>
      <c r="CS3" s="196"/>
      <c r="CT3" s="197"/>
    </row>
    <row r="4" spans="2:99" ht="26" x14ac:dyDescent="0.3">
      <c r="E4" s="194"/>
      <c r="F4" s="192"/>
      <c r="G4" s="146" t="s">
        <v>169</v>
      </c>
      <c r="H4" s="43" t="s">
        <v>1</v>
      </c>
      <c r="I4" s="43" t="s">
        <v>170</v>
      </c>
      <c r="J4" s="43" t="s">
        <v>75</v>
      </c>
      <c r="K4" s="43" t="s">
        <v>65</v>
      </c>
      <c r="L4" s="44" t="s">
        <v>173</v>
      </c>
      <c r="M4" s="33" t="s">
        <v>172</v>
      </c>
      <c r="N4" s="45" t="s">
        <v>16</v>
      </c>
      <c r="O4" s="66" t="s">
        <v>169</v>
      </c>
      <c r="P4" s="61" t="s">
        <v>170</v>
      </c>
      <c r="Q4" s="61" t="s">
        <v>75</v>
      </c>
      <c r="R4" s="61" t="s">
        <v>65</v>
      </c>
      <c r="S4" s="66" t="s">
        <v>169</v>
      </c>
      <c r="T4" s="61" t="s">
        <v>170</v>
      </c>
      <c r="U4" s="61" t="s">
        <v>75</v>
      </c>
      <c r="V4" s="61" t="s">
        <v>65</v>
      </c>
      <c r="W4" s="66" t="s">
        <v>169</v>
      </c>
      <c r="X4" s="61" t="s">
        <v>170</v>
      </c>
      <c r="Y4" s="61" t="s">
        <v>75</v>
      </c>
      <c r="Z4" s="61" t="s">
        <v>65</v>
      </c>
      <c r="AB4" s="38" t="s">
        <v>169</v>
      </c>
      <c r="AC4" s="43" t="s">
        <v>1</v>
      </c>
      <c r="AD4" s="43" t="s">
        <v>170</v>
      </c>
      <c r="AE4" s="43" t="s">
        <v>75</v>
      </c>
      <c r="AF4" s="43" t="s">
        <v>65</v>
      </c>
      <c r="AG4" s="44" t="s">
        <v>173</v>
      </c>
      <c r="AH4" s="33" t="s">
        <v>172</v>
      </c>
      <c r="AI4" s="58" t="s">
        <v>16</v>
      </c>
      <c r="AJ4" s="66" t="s">
        <v>169</v>
      </c>
      <c r="AK4" s="61" t="s">
        <v>170</v>
      </c>
      <c r="AL4" s="61" t="s">
        <v>75</v>
      </c>
      <c r="AM4" s="61" t="s">
        <v>65</v>
      </c>
      <c r="AN4" s="66" t="s">
        <v>169</v>
      </c>
      <c r="AO4" s="61" t="s">
        <v>170</v>
      </c>
      <c r="AP4" s="61" t="s">
        <v>75</v>
      </c>
      <c r="AQ4" s="61" t="s">
        <v>65</v>
      </c>
      <c r="AR4" s="66" t="s">
        <v>169</v>
      </c>
      <c r="AS4" s="61" t="s">
        <v>170</v>
      </c>
      <c r="AT4" s="61" t="s">
        <v>75</v>
      </c>
      <c r="AU4" s="61" t="s">
        <v>65</v>
      </c>
      <c r="AW4" s="38" t="s">
        <v>169</v>
      </c>
      <c r="AX4" s="43" t="s">
        <v>1</v>
      </c>
      <c r="AY4" s="43" t="s">
        <v>170</v>
      </c>
      <c r="AZ4" s="43" t="s">
        <v>75</v>
      </c>
      <c r="BA4" s="43" t="s">
        <v>65</v>
      </c>
      <c r="BB4" s="44" t="s">
        <v>173</v>
      </c>
      <c r="BC4" s="33" t="s">
        <v>172</v>
      </c>
      <c r="BD4" s="58" t="s">
        <v>16</v>
      </c>
      <c r="BE4" s="66" t="s">
        <v>169</v>
      </c>
      <c r="BF4" s="61" t="s">
        <v>170</v>
      </c>
      <c r="BG4" s="61" t="s">
        <v>75</v>
      </c>
      <c r="BH4" s="61" t="s">
        <v>65</v>
      </c>
      <c r="BI4" s="66" t="s">
        <v>169</v>
      </c>
      <c r="BJ4" s="61" t="s">
        <v>170</v>
      </c>
      <c r="BK4" s="61" t="s">
        <v>75</v>
      </c>
      <c r="BL4" s="61" t="s">
        <v>65</v>
      </c>
      <c r="BM4" s="66" t="s">
        <v>169</v>
      </c>
      <c r="BN4" s="61" t="s">
        <v>170</v>
      </c>
      <c r="BO4" s="61" t="s">
        <v>75</v>
      </c>
      <c r="BP4" s="61" t="s">
        <v>65</v>
      </c>
      <c r="BQ4" s="8"/>
      <c r="BR4" s="38" t="s">
        <v>169</v>
      </c>
      <c r="BS4" s="43" t="s">
        <v>1</v>
      </c>
      <c r="BT4" s="43" t="s">
        <v>170</v>
      </c>
      <c r="BU4" s="43" t="s">
        <v>75</v>
      </c>
      <c r="BV4" s="43" t="s">
        <v>65</v>
      </c>
      <c r="BW4" s="44" t="s">
        <v>173</v>
      </c>
      <c r="BX4" s="33" t="s">
        <v>172</v>
      </c>
      <c r="BY4" s="58" t="s">
        <v>16</v>
      </c>
      <c r="BZ4" s="66" t="s">
        <v>169</v>
      </c>
      <c r="CA4" s="61" t="s">
        <v>170</v>
      </c>
      <c r="CB4" s="61" t="s">
        <v>75</v>
      </c>
      <c r="CC4" s="61" t="s">
        <v>65</v>
      </c>
      <c r="CD4" s="66" t="s">
        <v>169</v>
      </c>
      <c r="CE4" s="61" t="s">
        <v>170</v>
      </c>
      <c r="CF4" s="61" t="s">
        <v>75</v>
      </c>
      <c r="CG4" s="61" t="s">
        <v>65</v>
      </c>
      <c r="CH4" s="66" t="s">
        <v>169</v>
      </c>
      <c r="CI4" s="61" t="s">
        <v>170</v>
      </c>
      <c r="CJ4" s="61" t="s">
        <v>75</v>
      </c>
      <c r="CK4" s="61" t="s">
        <v>65</v>
      </c>
      <c r="CL4" s="8"/>
      <c r="CM4" s="38" t="s">
        <v>169</v>
      </c>
      <c r="CN4" s="43" t="s">
        <v>1</v>
      </c>
      <c r="CO4" s="43" t="s">
        <v>170</v>
      </c>
      <c r="CP4" s="43" t="s">
        <v>75</v>
      </c>
      <c r="CQ4" s="43" t="s">
        <v>65</v>
      </c>
      <c r="CR4" s="44" t="s">
        <v>173</v>
      </c>
      <c r="CS4" s="33" t="s">
        <v>172</v>
      </c>
      <c r="CT4" s="58" t="s">
        <v>16</v>
      </c>
    </row>
    <row r="5" spans="2:99" ht="15.75" customHeight="1" x14ac:dyDescent="0.35">
      <c r="C5" s="9"/>
      <c r="E5" s="161" t="s">
        <v>402</v>
      </c>
      <c r="F5" s="112">
        <f>SUMIF($B:$B,$E5,$F:$F)</f>
        <v>8</v>
      </c>
      <c r="G5" s="147">
        <f>SUMIF(Rede!$C:$C,Geral!E5,Rede!$G:$G)</f>
        <v>7355.4540000000006</v>
      </c>
      <c r="H5" s="35">
        <f>SUMIF(Rede!$C:$C,Geral!E5,Rede!$H:$H)</f>
        <v>5014.67</v>
      </c>
      <c r="I5" s="34">
        <f>SUMIF(Rede!$C:$C,Geral!E5,Rede!$I:$I)</f>
        <v>8042.8950000000004</v>
      </c>
      <c r="J5" s="34">
        <f>SUMIF(Rede!$C:$C,Geral!E5,Rede!$J:$J)</f>
        <v>76.082999999999998</v>
      </c>
      <c r="K5" s="34">
        <f>SUMIF(Rede!$C:$C,Geral!E5,Rede!$K:$K)</f>
        <v>0</v>
      </c>
      <c r="L5" s="36">
        <f t="shared" ref="L5:L6" si="0">IFERROR((I5+K5+J5)/H5,0)</f>
        <v>1.6190453210281035</v>
      </c>
      <c r="M5" s="37">
        <f>IFERROR(((I5+K5+J5)/G5-1),0)</f>
        <v>0.10380378967770021</v>
      </c>
      <c r="N5" s="40">
        <f>H5-I5-J5-K5</f>
        <v>-3104.3080000000004</v>
      </c>
      <c r="O5" s="67">
        <f>SUMIF(Rede!$C:$C,Geral!$E5,Rede!$O:$O)</f>
        <v>672.31499999999994</v>
      </c>
      <c r="P5" s="64">
        <f>SUMIF(Rede!$C:$C,Geral!$E5,Rede!$P:$P)</f>
        <v>965.5619999999999</v>
      </c>
      <c r="Q5" s="64">
        <f>SUMIF(Rede!$C:$C,Geral!$E5,Rede!$Q:$Q)</f>
        <v>32.5</v>
      </c>
      <c r="R5" s="64">
        <f>SUMIF(Rede!$C:$C,Geral!$E5,Rede!$R:$R)</f>
        <v>0</v>
      </c>
      <c r="S5" s="67">
        <f>SUMIF(Rede!$C:$C,Geral!$E5,Rede!$S:$S)</f>
        <v>2531.3289999999997</v>
      </c>
      <c r="T5" s="64">
        <f>SUMIF(Rede!$C:$C,Geral!$E5,Rede!$T:$T)</f>
        <v>2637.221</v>
      </c>
      <c r="U5" s="64">
        <f>SUMIF(Rede!$C:$C,Geral!$E5,Rede!$U:$U)</f>
        <v>22.582999999999998</v>
      </c>
      <c r="V5" s="63">
        <f>SUMIF(Rede!$C:$C,Geral!$E5,Rede!$V:$V)</f>
        <v>0</v>
      </c>
      <c r="W5" s="67">
        <f>SUMIF(Rede!$C:$C,Geral!$E5,Rede!$W:$W)</f>
        <v>4151.8099999999995</v>
      </c>
      <c r="X5" s="64">
        <f>SUMIF(Rede!$C:$C,Geral!$E5,Rede!$X:$X)</f>
        <v>4440.1120000000001</v>
      </c>
      <c r="Y5" s="64">
        <f>SUMIF(Rede!$C:$C,Geral!$E5,Rede!$Y:$Y)</f>
        <v>21</v>
      </c>
      <c r="Z5" s="64">
        <f>SUMIF(Rede!$C:$C,Geral!$E5,Rede!$Z:$Z)</f>
        <v>0</v>
      </c>
      <c r="AB5" s="39">
        <f>SUMIF(Rede!C:C,Geral!E5,Rede!$AB:$AB)</f>
        <v>5155.3599999999997</v>
      </c>
      <c r="AC5" s="35">
        <f>SUMIF(Rede!C:C,Geral!E5,Rede!$AC:$AC)</f>
        <v>4298.2769280000002</v>
      </c>
      <c r="AD5" s="34">
        <f>SUMIF(Rede!C:C,Geral!E5,Rede!$AD:$AD)</f>
        <v>4664.4620000000004</v>
      </c>
      <c r="AE5" s="34">
        <f>SUMIF(Rede!$C:$C,Geral!$E5,Rede!$AE:$AE)</f>
        <v>121.375</v>
      </c>
      <c r="AF5" s="34">
        <f>SUMIF(Rede!C:C,Geral!E5,Rede!$AF:$AF)</f>
        <v>0</v>
      </c>
      <c r="AG5" s="36">
        <f>(AD5+AF5+AE5)/AC5</f>
        <v>1.1134315169001601</v>
      </c>
      <c r="AH5" s="37">
        <f>IFERROR(((AD5+AF5+AE5)/AB5-1),0)</f>
        <v>-7.1677438626982282E-2</v>
      </c>
      <c r="AI5" s="59">
        <f>AC5-AD5-AF5-AE5</f>
        <v>-487.56007200000022</v>
      </c>
      <c r="AJ5" s="67">
        <f>SUMIF(Rede!$C:$C,Geral!$E5,Rede!$AJ:$AJ)</f>
        <v>2689.4870000000005</v>
      </c>
      <c r="AK5" s="64">
        <f>SUMIF(Rede!$C:$C,Geral!$E5,Rede!$AK:$AK)</f>
        <v>1002.691</v>
      </c>
      <c r="AL5" s="64">
        <f>SUMIF(Rede!$C:$C,Geral!$E5,Rede!$AL:$AL)</f>
        <v>45.125</v>
      </c>
      <c r="AM5" s="64">
        <f>SUMIF(Rede!$C:$C,Geral!$E5,Rede!$AM:$AM)</f>
        <v>0</v>
      </c>
      <c r="AN5" s="67">
        <f>SUMIF(Rede!$C:$C,Geral!$E5,Rede!$AN:$AN)</f>
        <v>577.55399999999997</v>
      </c>
      <c r="AO5" s="64">
        <f>SUMIF(Rede!$C:$C,Geral!$E5,Rede!$AO:$AO)</f>
        <v>1355.4870000000001</v>
      </c>
      <c r="AP5" s="64">
        <f>SUMIF(Rede!$C:$C,Geral!$E5,Rede!$AP:$AP)</f>
        <v>21.25</v>
      </c>
      <c r="AQ5" s="64">
        <f>SUMIF(Rede!$C:$C,Geral!$E5,Rede!$AQ:$AQ)</f>
        <v>0</v>
      </c>
      <c r="AR5" s="67">
        <f>SUMIF(Rede!$C:$C,Geral!$E5,Rede!$AR:$AR)</f>
        <v>1888.3190000000002</v>
      </c>
      <c r="AS5" s="64">
        <f>SUMIF(Rede!$C:$C,Geral!$E5,Rede!$AS:$AS)</f>
        <v>2306.2839999999997</v>
      </c>
      <c r="AT5" s="64">
        <f>SUMIF(Rede!$C:$C,Geral!$E5,Rede!$AT:$AT)</f>
        <v>55</v>
      </c>
      <c r="AU5" s="64">
        <f>SUMIF(Rede!$C:$C,Geral!$E5,Rede!$AU:$AU)</f>
        <v>0</v>
      </c>
      <c r="AW5" s="39">
        <f>SUMIF(Rede!$C:$C,Geral!E5,Rede!$AW:$AW)</f>
        <v>2879.0080000000003</v>
      </c>
      <c r="AX5" s="35">
        <f>SUMIF(Rede!$C:$C,Geral!E5,Rede!$AX:$AX)</f>
        <v>4042.6381782269855</v>
      </c>
      <c r="AY5" s="34">
        <f>SUMIF(Rede!$C:$C,Geral!E5,Rede!$AY:$AY)</f>
        <v>4785.0590000000002</v>
      </c>
      <c r="AZ5" s="34">
        <f>SUMIF(Rede!$C:$C,Geral!E5,Rede!$AZ:$AZ)</f>
        <v>231.874</v>
      </c>
      <c r="BA5" s="159">
        <f>SUMIF(Rede!$C:$C,Geral!E5,Rede!$BA:$BA)</f>
        <v>0</v>
      </c>
      <c r="BB5" s="36">
        <f>(AY5+AZ5+BA5)/AX5</f>
        <v>1.2410047050513731</v>
      </c>
      <c r="BC5" s="37">
        <f>IFERROR(((AY5+AZ5+BA5)/AW5-1),0)</f>
        <v>0.7425908507374761</v>
      </c>
      <c r="BD5" s="40">
        <f>AX5-AY5-BA5-AZ5</f>
        <v>-974.29482177301475</v>
      </c>
      <c r="BE5" s="67">
        <f>SUMIF(Rede!$C:$C,Geral!E5,Rede!$BE:$BE)</f>
        <v>978.18000000000006</v>
      </c>
      <c r="BF5" s="64">
        <f>SUMIF(Rede!$C:$C,Geral!E5,Rede!$BF:$BF)</f>
        <v>1112.8090000000002</v>
      </c>
      <c r="BG5" s="64">
        <f>SUMIF(Rede!$C:$C,Geral!E5,Rede!$BG:$BG)</f>
        <v>38.832999999999998</v>
      </c>
      <c r="BH5" s="64">
        <f>SUMIF(Rede!$C:$C,Geral!E5,Rede!$BH:$BH)</f>
        <v>0</v>
      </c>
      <c r="BI5" s="67">
        <f>SUMIF(Rede!$C:$C,Geral!E5,Rede!$BI:$BI)</f>
        <v>705.65500000000009</v>
      </c>
      <c r="BJ5" s="64">
        <f>SUMIF(Rede!$C:$C,Geral!E5,Rede!$BJ:$BJ)</f>
        <v>878.16699999999992</v>
      </c>
      <c r="BK5" s="64">
        <f>SUMIF(Rede!$C:$C,Geral!E5,Rede!$BK:$BK)</f>
        <v>30.832999999999998</v>
      </c>
      <c r="BL5" s="64">
        <f>SUMIF(Rede!$C:$C,Geral!E5,Rede!$BL:$BL)</f>
        <v>0</v>
      </c>
      <c r="BM5" s="67">
        <f>SUMIF(Rede!$C:$C,Geral!E5,Rede!$BM:$BM)</f>
        <v>1195.173</v>
      </c>
      <c r="BN5" s="64">
        <f>SUMIF(Rede!$C:$C,Geral!E5,Rede!$BN:$BN)</f>
        <v>2794.0830000000001</v>
      </c>
      <c r="BO5" s="64">
        <f>SUMIF(Rede!$C:$C,Geral!E5,Rede!$BO:$BO)</f>
        <v>162.208</v>
      </c>
      <c r="BP5" s="64">
        <f>SUMIF(Rede!$C:$C,Geral!E5,Rede!$BP:$BP)</f>
        <v>0</v>
      </c>
      <c r="BQ5" s="7"/>
      <c r="BR5" s="39">
        <f>SUMIF(Rede!$C:$C,Geral!E5,Rede!$BR:$BR)</f>
        <v>1380.2730000000001</v>
      </c>
      <c r="BS5" s="35">
        <f>SUMIF(Rede!$C:$C,Geral!E5,Rede!$BS:$BS)</f>
        <v>4311</v>
      </c>
      <c r="BT5" s="34">
        <f>SUMIF(Rede!$C:$C,Geral!E5,Rede!$BT:$BT)</f>
        <v>2336.748</v>
      </c>
      <c r="BU5" s="34">
        <f>SUMIF(Rede!$C:$C,Geral!E5,Rede!$BU:$BU)</f>
        <v>0</v>
      </c>
      <c r="BV5" s="34">
        <f>SUMIF(Rede!$C:$C,Geral!E5,Rede!$BV:$BV)</f>
        <v>67.332999999999998</v>
      </c>
      <c r="BW5" s="36">
        <f>(BT5+BU5+BV5)/BS5</f>
        <v>0.55766202737183956</v>
      </c>
      <c r="BX5" s="37">
        <f>IFERROR(((BT5+BU5+BV5)/BR5-1),0)</f>
        <v>0.74174311893371803</v>
      </c>
      <c r="BY5" s="40">
        <f>BS5-BT5-BU5-BV5</f>
        <v>1906.9189999999999</v>
      </c>
      <c r="BZ5" s="67">
        <f>SUMIF(Rede!$C:$C,Geral!E5,Rede!$BZ:$BZ)</f>
        <v>181.166</v>
      </c>
      <c r="CA5" s="62">
        <f>SUMIF(Rede!$C:$C,Geral!E5,Rede!$CA:$CA)</f>
        <v>425.41699999999997</v>
      </c>
      <c r="CB5" s="62">
        <f>SUMIF(Rede!$C:$C,Geral!E5,Rede!$CB:$CB)</f>
        <v>24.75</v>
      </c>
      <c r="CC5" s="62">
        <f>SUMIF(Rede!$C:$C,Geral!E5,Rede!$CC:$CC)</f>
        <v>0</v>
      </c>
      <c r="CD5" s="67">
        <f>SUMIF(Rede!$C:$C,Geral!E5,Rede!$CD:$CD)</f>
        <v>731.41799999999989</v>
      </c>
      <c r="CE5" s="64">
        <f>SUMIF(Rede!$C:$C,Geral!E5,Rede!$CE:$CE)</f>
        <v>1002.013</v>
      </c>
      <c r="CF5" s="64">
        <f>SUMIF(Rede!$C:$C,Geral!E5,Rede!$CF:$CF)</f>
        <v>21.082999999999998</v>
      </c>
      <c r="CG5" s="64">
        <f>SUMIF(Rede!$C:$C,Geral!E5,Rede!$CG:$CG)</f>
        <v>0</v>
      </c>
      <c r="CH5" s="67">
        <f>SUMIF(Rede!$C:$C,Geral!E5,Rede!$CH:$CH)</f>
        <v>467.68899999999996</v>
      </c>
      <c r="CI5" s="64">
        <f>SUMIF(Rede!$C:$C,Geral!E5,Rede!$CI:$CI)</f>
        <v>909.31799999999998</v>
      </c>
      <c r="CJ5" s="64">
        <f>SUMIF(Rede!$C:$C,Geral!E5,Rede!$CJ:$CJ)</f>
        <v>21.5</v>
      </c>
      <c r="CK5" s="64">
        <f>SUMIF(Rede!$C:$C,Geral!E5,Rede!$CK:$CK)</f>
        <v>0</v>
      </c>
      <c r="CL5" s="7"/>
      <c r="CM5" s="39">
        <f t="shared" ref="CM5:CQ6" si="1">G5+AB5+AW5+BR5</f>
        <v>16770.095000000001</v>
      </c>
      <c r="CN5" s="35">
        <f t="shared" si="1"/>
        <v>17666.585106226987</v>
      </c>
      <c r="CO5" s="34">
        <f t="shared" si="1"/>
        <v>19829.164000000001</v>
      </c>
      <c r="CP5" s="34">
        <f t="shared" si="1"/>
        <v>429.33199999999999</v>
      </c>
      <c r="CQ5" s="34">
        <f t="shared" si="1"/>
        <v>67.332999999999998</v>
      </c>
      <c r="CR5" s="36">
        <f t="shared" ref="CR5:CR6" si="2">(CO5+CP5+CQ5)/CN5</f>
        <v>1.1505239341832791</v>
      </c>
      <c r="CS5" s="37">
        <f t="shared" ref="CS5:CS6" si="3">IFERROR(((CO5+CP5+CQ5)/CM5-1),0)</f>
        <v>0.21202825625018806</v>
      </c>
      <c r="CT5" s="40">
        <f t="shared" ref="CT5:CT6" si="4">CN5-CO5-CQ5-CP5</f>
        <v>-2659.243893773014</v>
      </c>
      <c r="CU5" s="21"/>
    </row>
    <row r="6" spans="2:99" ht="15.75" customHeight="1" x14ac:dyDescent="0.35">
      <c r="C6" s="9"/>
      <c r="E6" s="161" t="s">
        <v>97</v>
      </c>
      <c r="F6" s="112">
        <f>SUMIF($B:$B,$E6,$F:$F)</f>
        <v>6</v>
      </c>
      <c r="G6" s="147">
        <f>SUMIF(Rede!$C:$C,Geral!E6,Rede!$G:$G)</f>
        <v>6984.3449999999993</v>
      </c>
      <c r="H6" s="35">
        <f>SUMIF(Rede!$C:$C,Geral!E6,Rede!$H:$H)</f>
        <v>7627.0100000000011</v>
      </c>
      <c r="I6" s="34">
        <f>SUMIF(Rede!$C:$C,Geral!E6,Rede!$I:$I)</f>
        <v>7415.4089999999997</v>
      </c>
      <c r="J6" s="34">
        <f>SUMIF(Rede!$C:$C,Geral!E6,Rede!$J:$J)</f>
        <v>49.417000000000002</v>
      </c>
      <c r="K6" s="34">
        <f>SUMIF(Rede!$C:$C,Geral!E6,Rede!$K:$K)</f>
        <v>0</v>
      </c>
      <c r="L6" s="36">
        <f t="shared" si="0"/>
        <v>0.97873557265560152</v>
      </c>
      <c r="M6" s="37">
        <f>IFERROR(((I6+K6+J6)/G6-1),0)</f>
        <v>6.8793995714702127E-2</v>
      </c>
      <c r="N6" s="40">
        <f>H6-I6-J6-K6</f>
        <v>162.18400000000148</v>
      </c>
      <c r="O6" s="67">
        <f>SUMIF(Rede!$C:$C,Geral!$E6,Rede!$O:$O)</f>
        <v>1183.8240000000001</v>
      </c>
      <c r="P6" s="64">
        <f>SUMIF(Rede!$C:$C,Geral!$E6,Rede!$P:$P)</f>
        <v>976.41700000000003</v>
      </c>
      <c r="Q6" s="64">
        <f>SUMIF(Rede!$C:$C,Geral!$E6,Rede!$Q:$Q)</f>
        <v>21.5</v>
      </c>
      <c r="R6" s="64">
        <f>SUMIF(Rede!$C:$C,Geral!$E6,Rede!$R:$R)</f>
        <v>0</v>
      </c>
      <c r="S6" s="67">
        <f>SUMIF(Rede!$C:$C,Geral!$E6,Rede!$S:$S)</f>
        <v>2362.8540000000003</v>
      </c>
      <c r="T6" s="64">
        <f>SUMIF(Rede!$C:$C,Geral!$E6,Rede!$T:$T)</f>
        <v>2796.75</v>
      </c>
      <c r="U6" s="64">
        <f>SUMIF(Rede!$C:$C,Geral!$E6,Rede!$U:$U)</f>
        <v>23.417000000000002</v>
      </c>
      <c r="V6" s="63">
        <f>SUMIF(Rede!$C:$C,Geral!$E6,Rede!$V:$V)</f>
        <v>0</v>
      </c>
      <c r="W6" s="67">
        <f>SUMIF(Rede!$C:$C,Geral!$E6,Rede!$W:$W)</f>
        <v>3437.6669999999999</v>
      </c>
      <c r="X6" s="64">
        <f>SUMIF(Rede!$C:$C,Geral!$E6,Rede!$X:$X)</f>
        <v>3642.2420000000002</v>
      </c>
      <c r="Y6" s="64">
        <f>SUMIF(Rede!$C:$C,Geral!$E6,Rede!$Y:$Y)</f>
        <v>4.5</v>
      </c>
      <c r="Z6" s="64">
        <f>SUMIF(Rede!$C:$C,Geral!$E6,Rede!$Z:$Z)</f>
        <v>0</v>
      </c>
      <c r="AB6" s="39">
        <f>SUMIF(Rede!C:C,Geral!E6,Rede!$AB:$AB)</f>
        <v>9176.73</v>
      </c>
      <c r="AC6" s="35">
        <f>SUMIF(Rede!C:C,Geral!E6,Rede!$AC:$AC)</f>
        <v>6537.4413600000007</v>
      </c>
      <c r="AD6" s="34">
        <f>SUMIF(Rede!C:C,Geral!E6,Rede!$AD:$AD)</f>
        <v>4787.3760000000002</v>
      </c>
      <c r="AE6" s="34">
        <f>SUMIF(Rede!$C:$C,Geral!$E6,Rede!$AE:$AE)</f>
        <v>42.582999999999998</v>
      </c>
      <c r="AF6" s="34">
        <f>SUMIF(Rede!C:C,Geral!E6,Rede!$AF:$AF)</f>
        <v>0</v>
      </c>
      <c r="AG6" s="36">
        <f>(AD6+AF6+AE6)/AC6</f>
        <v>0.7388148870523864</v>
      </c>
      <c r="AH6" s="37">
        <f>IFERROR(((AD6+AF6+AE6)/AB6-1),0)</f>
        <v>-0.47367319295653243</v>
      </c>
      <c r="AI6" s="59">
        <f>AC6-AD6-AF6-AE6</f>
        <v>1707.4823600000004</v>
      </c>
      <c r="AJ6" s="67">
        <f>SUMIF(Rede!$C:$C,Geral!$E6,Rede!$AJ:$AJ)</f>
        <v>3747.2290000000003</v>
      </c>
      <c r="AK6" s="64">
        <f>SUMIF(Rede!$C:$C,Geral!$E6,Rede!$AK:$AK)</f>
        <v>1864.8330000000001</v>
      </c>
      <c r="AL6" s="64">
        <f>SUMIF(Rede!$C:$C,Geral!$E6,Rede!$AL:$AL)</f>
        <v>0</v>
      </c>
      <c r="AM6" s="64">
        <f>SUMIF(Rede!$C:$C,Geral!$E6,Rede!$AM:$AM)</f>
        <v>0</v>
      </c>
      <c r="AN6" s="67">
        <f>SUMIF(Rede!$C:$C,Geral!$E6,Rede!$AN:$AN)</f>
        <v>3037.9169999999999</v>
      </c>
      <c r="AO6" s="64">
        <f>SUMIF(Rede!$C:$C,Geral!$E6,Rede!$AO:$AO)</f>
        <v>1235.876</v>
      </c>
      <c r="AP6" s="64">
        <f>SUMIF(Rede!$C:$C,Geral!$E6,Rede!$AP:$AP)</f>
        <v>11.583</v>
      </c>
      <c r="AQ6" s="64">
        <f>SUMIF(Rede!$C:$C,Geral!$E6,Rede!$AQ:$AQ)</f>
        <v>0</v>
      </c>
      <c r="AR6" s="67">
        <f>SUMIF(Rede!$C:$C,Geral!$E6,Rede!$AR:$AR)</f>
        <v>2391.5839999999998</v>
      </c>
      <c r="AS6" s="64">
        <f>SUMIF(Rede!$C:$C,Geral!$E6,Rede!$AS:$AS)</f>
        <v>1686.6669999999999</v>
      </c>
      <c r="AT6" s="64">
        <f>SUMIF(Rede!$C:$C,Geral!$E6,Rede!$AT:$AT)</f>
        <v>31</v>
      </c>
      <c r="AU6" s="64">
        <f>SUMIF(Rede!$C:$C,Geral!$E6,Rede!$AU:$AU)</f>
        <v>0</v>
      </c>
      <c r="AW6" s="39">
        <f>SUMIF(Rede!$C:$C,Geral!E6,Rede!$AW:$AW)</f>
        <v>5615.0209999999997</v>
      </c>
      <c r="AX6" s="35">
        <f>SUMIF(Rede!$C:$C,Geral!E6,Rede!$AX:$AX)</f>
        <v>6148.6289675042881</v>
      </c>
      <c r="AY6" s="34">
        <f>SUMIF(Rede!$C:$C,Geral!E6,Rede!$AY:$AY)</f>
        <v>6309.5740000000005</v>
      </c>
      <c r="AZ6" s="34">
        <f>SUMIF(Rede!$C:$C,Geral!E6,Rede!$AZ:$AZ)</f>
        <v>145.25</v>
      </c>
      <c r="BA6" s="159">
        <f>SUMIF(Rede!$C:$C,Geral!E6,Rede!$BA:$BA)</f>
        <v>0</v>
      </c>
      <c r="BB6" s="36">
        <f>(AY6+AZ6+BA6)/AX6</f>
        <v>1.0497989119385742</v>
      </c>
      <c r="BC6" s="37">
        <f>IFERROR(((AY6+AZ6+BA6)/AW6-1),0)</f>
        <v>0.14956364366224117</v>
      </c>
      <c r="BD6" s="40">
        <f>AX6-AY6-BA6-AZ6</f>
        <v>-306.19503249571244</v>
      </c>
      <c r="BE6" s="67">
        <f>SUMIF(Rede!$C:$C,Geral!E6,Rede!$BE:$BE)</f>
        <v>1086.6669999999999</v>
      </c>
      <c r="BF6" s="64">
        <f>SUMIF(Rede!$C:$C,Geral!E6,Rede!$BF:$BF)</f>
        <v>1425.7080000000001</v>
      </c>
      <c r="BG6" s="64">
        <f>SUMIF(Rede!$C:$C,Geral!E6,Rede!$BG:$BG)</f>
        <v>21.75</v>
      </c>
      <c r="BH6" s="64">
        <f>SUMIF(Rede!$C:$C,Geral!E6,Rede!$BH:$BH)</f>
        <v>0</v>
      </c>
      <c r="BI6" s="67">
        <f>SUMIF(Rede!$C:$C,Geral!E6,Rede!$BI:$BI)</f>
        <v>1754.3960000000002</v>
      </c>
      <c r="BJ6" s="64">
        <f>SUMIF(Rede!$C:$C,Geral!E6,Rede!$BJ:$BJ)</f>
        <v>2214.3249999999998</v>
      </c>
      <c r="BK6" s="64">
        <f>SUMIF(Rede!$C:$C,Geral!E6,Rede!$BK:$BK)</f>
        <v>39.5</v>
      </c>
      <c r="BL6" s="64">
        <f>SUMIF(Rede!$C:$C,Geral!E6,Rede!$BL:$BL)</f>
        <v>0</v>
      </c>
      <c r="BM6" s="67">
        <f>SUMIF(Rede!$C:$C,Geral!E6,Rede!$BM:$BM)</f>
        <v>2773.9580000000001</v>
      </c>
      <c r="BN6" s="64">
        <f>SUMIF(Rede!$C:$C,Geral!E6,Rede!$BN:$BN)</f>
        <v>2669.5410000000002</v>
      </c>
      <c r="BO6" s="64">
        <f>SUMIF(Rede!$C:$C,Geral!E6,Rede!$BO:$BO)</f>
        <v>84</v>
      </c>
      <c r="BP6" s="64">
        <f>SUMIF(Rede!$C:$C,Geral!E6,Rede!$BP:$BP)</f>
        <v>0</v>
      </c>
      <c r="BQ6" s="7"/>
      <c r="BR6" s="39">
        <f>SUMIF(Rede!$C:$C,Geral!E6,Rede!$BR:$BR)</f>
        <v>3588.4290000000001</v>
      </c>
      <c r="BS6" s="35">
        <f>SUMIF(Rede!$C:$C,Geral!E6,Rede!$BS:$BS)</f>
        <v>6546</v>
      </c>
      <c r="BT6" s="34">
        <f>SUMIF(Rede!$C:$C,Geral!E6,Rede!$BT:$BT)</f>
        <v>3378.96</v>
      </c>
      <c r="BU6" s="34">
        <f>SUMIF(Rede!$C:$C,Geral!E6,Rede!$BU:$BU)</f>
        <v>225</v>
      </c>
      <c r="BV6" s="34">
        <f>SUMIF(Rede!$C:$C,Geral!E6,Rede!$BV:$BV)</f>
        <v>132.5</v>
      </c>
      <c r="BW6" s="36">
        <f>(BT6+BU6+BV6)/BS6</f>
        <v>0.5708004888481516</v>
      </c>
      <c r="BX6" s="37">
        <f>IFERROR(((BT6+BU6+BV6)/BR6-1),0)</f>
        <v>4.1252314034916138E-2</v>
      </c>
      <c r="BY6" s="40">
        <f>BS6-BT6-BU6-BV6</f>
        <v>2809.54</v>
      </c>
      <c r="BZ6" s="67">
        <f>SUMIF(Rede!$C:$C,Geral!E6,Rede!$BZ:$BZ)</f>
        <v>899.88699999999994</v>
      </c>
      <c r="CA6" s="62">
        <f>SUMIF(Rede!$C:$C,Geral!E6,Rede!$CA:$CA)</f>
        <v>802.60400000000004</v>
      </c>
      <c r="CB6" s="62">
        <f>SUMIF(Rede!$C:$C,Geral!E6,Rede!$CB:$CB)</f>
        <v>34.125</v>
      </c>
      <c r="CC6" s="62">
        <f>SUMIF(Rede!$C:$C,Geral!E6,Rede!$CC:$CC)</f>
        <v>0</v>
      </c>
      <c r="CD6" s="67">
        <f>SUMIF(Rede!$C:$C,Geral!E6,Rede!$CD:$CD)</f>
        <v>1268.625</v>
      </c>
      <c r="CE6" s="64">
        <f>SUMIF(Rede!$C:$C,Geral!E6,Rede!$CE:$CE)</f>
        <v>1878.9180000000001</v>
      </c>
      <c r="CF6" s="64">
        <f>SUMIF(Rede!$C:$C,Geral!E6,Rede!$CF:$CF)</f>
        <v>26.584000000000003</v>
      </c>
      <c r="CG6" s="64">
        <f>SUMIF(Rede!$C:$C,Geral!E6,Rede!$CG:$CG)</f>
        <v>0</v>
      </c>
      <c r="CH6" s="67">
        <f>SUMIF(Rede!$C:$C,Geral!E6,Rede!$CH:$CH)</f>
        <v>1419.9169999999999</v>
      </c>
      <c r="CI6" s="64">
        <f>SUMIF(Rede!$C:$C,Geral!E6,Rede!$CI:$CI)</f>
        <v>697.43799999999999</v>
      </c>
      <c r="CJ6" s="64">
        <f>SUMIF(Rede!$C:$C,Geral!E6,Rede!$CJ:$CJ)</f>
        <v>71.790999999999997</v>
      </c>
      <c r="CK6" s="64">
        <f>SUMIF(Rede!$C:$C,Geral!E6,Rede!$CK:$CK)</f>
        <v>225</v>
      </c>
      <c r="CL6" s="7"/>
      <c r="CM6" s="39">
        <f t="shared" si="1"/>
        <v>25364.524999999998</v>
      </c>
      <c r="CN6" s="35">
        <f t="shared" si="1"/>
        <v>26859.080327504293</v>
      </c>
      <c r="CO6" s="34">
        <f t="shared" si="1"/>
        <v>21891.319</v>
      </c>
      <c r="CP6" s="34">
        <f t="shared" si="1"/>
        <v>462.25</v>
      </c>
      <c r="CQ6" s="34">
        <f t="shared" si="1"/>
        <v>132.5</v>
      </c>
      <c r="CR6" s="36">
        <f t="shared" si="2"/>
        <v>0.83718685546257399</v>
      </c>
      <c r="CS6" s="37">
        <f t="shared" si="3"/>
        <v>-0.11348353655351318</v>
      </c>
      <c r="CT6" s="40">
        <f t="shared" si="4"/>
        <v>4373.0113275042931</v>
      </c>
      <c r="CU6" s="21"/>
    </row>
    <row r="7" spans="2:99" ht="15.75" customHeight="1" thickBot="1" x14ac:dyDescent="0.35">
      <c r="B7" s="2"/>
      <c r="C7" s="2"/>
      <c r="E7" s="50" t="s">
        <v>788</v>
      </c>
      <c r="F7" s="114">
        <f t="shared" ref="F7:K7" si="5">SUM(F5:F6)</f>
        <v>14</v>
      </c>
      <c r="G7" s="148">
        <f t="shared" si="5"/>
        <v>14339.798999999999</v>
      </c>
      <c r="H7" s="49">
        <f t="shared" si="5"/>
        <v>12641.68</v>
      </c>
      <c r="I7" s="49">
        <f t="shared" si="5"/>
        <v>15458.304</v>
      </c>
      <c r="J7" s="49">
        <f t="shared" si="5"/>
        <v>125.5</v>
      </c>
      <c r="K7" s="49">
        <f t="shared" si="5"/>
        <v>0</v>
      </c>
      <c r="L7" s="141">
        <f>IFERROR((I7+K7+J7)/H7,0)</f>
        <v>1.2327320419437922</v>
      </c>
      <c r="M7" s="37">
        <f>IFERROR(((I7+K7+J7)/G7-1),0)</f>
        <v>8.6751913328771302E-2</v>
      </c>
      <c r="N7" s="46">
        <f>H7-I7-J7-K7</f>
        <v>-2942.1239999999998</v>
      </c>
      <c r="O7" s="68">
        <f t="shared" ref="O7:Z7" si="6">SUM(O5:O6)</f>
        <v>1856.1390000000001</v>
      </c>
      <c r="P7" s="69">
        <f t="shared" si="6"/>
        <v>1941.9789999999998</v>
      </c>
      <c r="Q7" s="69">
        <f t="shared" si="6"/>
        <v>54</v>
      </c>
      <c r="R7" s="69">
        <f t="shared" si="6"/>
        <v>0</v>
      </c>
      <c r="S7" s="68">
        <f t="shared" si="6"/>
        <v>4894.183</v>
      </c>
      <c r="T7" s="69">
        <f t="shared" si="6"/>
        <v>5433.9709999999995</v>
      </c>
      <c r="U7" s="69">
        <f t="shared" si="6"/>
        <v>46</v>
      </c>
      <c r="V7" s="69">
        <f t="shared" si="6"/>
        <v>0</v>
      </c>
      <c r="W7" s="68">
        <f t="shared" si="6"/>
        <v>7589.476999999999</v>
      </c>
      <c r="X7" s="69">
        <f t="shared" si="6"/>
        <v>8082.3540000000003</v>
      </c>
      <c r="Y7" s="69">
        <f t="shared" si="6"/>
        <v>25.5</v>
      </c>
      <c r="Z7" s="69">
        <f t="shared" si="6"/>
        <v>0</v>
      </c>
      <c r="AB7" s="41">
        <f>SUM(AB5:AB6)</f>
        <v>14332.09</v>
      </c>
      <c r="AC7" s="49">
        <f>SUM(AC5:AC6)</f>
        <v>10835.718288</v>
      </c>
      <c r="AD7" s="49">
        <f>SUM(AD5:AD6)</f>
        <v>9451.8379999999997</v>
      </c>
      <c r="AE7" s="49">
        <f>SUM(AE5:AE6)</f>
        <v>163.958</v>
      </c>
      <c r="AF7" s="49">
        <f>SUM(AF5:AF6)</f>
        <v>0</v>
      </c>
      <c r="AG7" s="48">
        <f t="shared" ref="AG7" si="7">(AD7+AF7+AE7)/AC7</f>
        <v>0.88741657400312812</v>
      </c>
      <c r="AH7" s="47">
        <f t="shared" ref="AH7" si="8">IFERROR(((AD7+AF7+AE7)/AB7-1),0)</f>
        <v>-0.32907231255176317</v>
      </c>
      <c r="AI7" s="115">
        <f t="shared" ref="AI7" si="9">AC7-AD7-AF7-AE7</f>
        <v>1219.9222880000002</v>
      </c>
      <c r="AJ7" s="68">
        <f t="shared" ref="AJ7:AU7" si="10">SUM(AJ5:AJ6)</f>
        <v>6436.7160000000003</v>
      </c>
      <c r="AK7" s="69">
        <f t="shared" si="10"/>
        <v>2867.5240000000003</v>
      </c>
      <c r="AL7" s="69">
        <f t="shared" si="10"/>
        <v>45.125</v>
      </c>
      <c r="AM7" s="69">
        <f t="shared" si="10"/>
        <v>0</v>
      </c>
      <c r="AN7" s="68">
        <f t="shared" si="10"/>
        <v>3615.471</v>
      </c>
      <c r="AO7" s="69">
        <f t="shared" si="10"/>
        <v>2591.3630000000003</v>
      </c>
      <c r="AP7" s="69">
        <f t="shared" si="10"/>
        <v>32.832999999999998</v>
      </c>
      <c r="AQ7" s="69">
        <f t="shared" si="10"/>
        <v>0</v>
      </c>
      <c r="AR7" s="68">
        <f t="shared" si="10"/>
        <v>4279.9030000000002</v>
      </c>
      <c r="AS7" s="69">
        <f t="shared" si="10"/>
        <v>3992.9509999999996</v>
      </c>
      <c r="AT7" s="69">
        <f t="shared" si="10"/>
        <v>86</v>
      </c>
      <c r="AU7" s="69">
        <f t="shared" si="10"/>
        <v>0</v>
      </c>
      <c r="AW7" s="41">
        <f>SUM(AW5:AW6)</f>
        <v>8494.0290000000005</v>
      </c>
      <c r="AX7" s="49">
        <f>SUM(AX5:AX6)</f>
        <v>10191.267145731274</v>
      </c>
      <c r="AY7" s="49">
        <f>SUM(AY5:AY6)</f>
        <v>11094.633000000002</v>
      </c>
      <c r="AZ7" s="49">
        <f>SUM(AZ5:AZ6)</f>
        <v>377.12400000000002</v>
      </c>
      <c r="BA7" s="49">
        <f>SUM(BA5:BA6)</f>
        <v>0</v>
      </c>
      <c r="BB7" s="48">
        <f>(AY7+AZ7+BA7)/AX7</f>
        <v>1.1256457941841977</v>
      </c>
      <c r="BC7" s="47">
        <f>IFERROR(((AY7+AZ7+BA7)/AW7-1),0)</f>
        <v>0.35056720432671007</v>
      </c>
      <c r="BD7" s="46">
        <f>AX7-AY7-BA7-AZ7</f>
        <v>-1280.4898542687281</v>
      </c>
      <c r="BE7" s="68">
        <f t="shared" ref="BE7:BP7" si="11">SUM(BE5:BE6)</f>
        <v>2064.8469999999998</v>
      </c>
      <c r="BF7" s="69">
        <f t="shared" si="11"/>
        <v>2538.5170000000003</v>
      </c>
      <c r="BG7" s="69">
        <f t="shared" si="11"/>
        <v>60.582999999999998</v>
      </c>
      <c r="BH7" s="69">
        <f t="shared" si="11"/>
        <v>0</v>
      </c>
      <c r="BI7" s="72">
        <f t="shared" si="11"/>
        <v>2460.0510000000004</v>
      </c>
      <c r="BJ7" s="69">
        <f t="shared" si="11"/>
        <v>3092.4919999999997</v>
      </c>
      <c r="BK7" s="69">
        <f t="shared" si="11"/>
        <v>70.332999999999998</v>
      </c>
      <c r="BL7" s="69">
        <f t="shared" si="11"/>
        <v>0</v>
      </c>
      <c r="BM7" s="68">
        <f t="shared" si="11"/>
        <v>3969.1310000000003</v>
      </c>
      <c r="BN7" s="69">
        <f t="shared" si="11"/>
        <v>5463.6239999999998</v>
      </c>
      <c r="BO7" s="69">
        <f t="shared" si="11"/>
        <v>246.208</v>
      </c>
      <c r="BP7" s="69">
        <f t="shared" si="11"/>
        <v>0</v>
      </c>
      <c r="BQ7" s="8"/>
      <c r="BR7" s="41">
        <f>SUM(BR5:BR6)</f>
        <v>4968.7020000000002</v>
      </c>
      <c r="BS7" s="49">
        <f>SUM(BS5:BS6)</f>
        <v>10857</v>
      </c>
      <c r="BT7" s="49">
        <f>SUM(BT5:BT6)</f>
        <v>5715.7080000000005</v>
      </c>
      <c r="BU7" s="49">
        <f>SUM(BU5:BU6)</f>
        <v>225</v>
      </c>
      <c r="BV7" s="49">
        <f>SUM(BV5:BV6)</f>
        <v>199.833</v>
      </c>
      <c r="BW7" s="48">
        <f t="shared" ref="BW7" si="12">(BT7+BU7+BV7)/BS7</f>
        <v>0.56558358662613983</v>
      </c>
      <c r="BX7" s="47">
        <f t="shared" ref="BX7" si="13">IFERROR(((BT7+BU7+BV7)/BR7-1),0)</f>
        <v>0.23584408966365866</v>
      </c>
      <c r="BY7" s="46">
        <f t="shared" ref="BY7" si="14">BS7-BT7-BU7-BV7</f>
        <v>4716.4589999999998</v>
      </c>
      <c r="BZ7" s="68">
        <f t="shared" ref="BZ7:CK7" si="15">SUM(BZ5:BZ6)</f>
        <v>1081.0529999999999</v>
      </c>
      <c r="CA7" s="69">
        <f t="shared" si="15"/>
        <v>1228.021</v>
      </c>
      <c r="CB7" s="69">
        <f t="shared" si="15"/>
        <v>58.875</v>
      </c>
      <c r="CC7" s="69">
        <f t="shared" si="15"/>
        <v>0</v>
      </c>
      <c r="CD7" s="72">
        <f t="shared" si="15"/>
        <v>2000.0429999999999</v>
      </c>
      <c r="CE7" s="69">
        <f t="shared" si="15"/>
        <v>2880.931</v>
      </c>
      <c r="CF7" s="69">
        <f t="shared" si="15"/>
        <v>47.667000000000002</v>
      </c>
      <c r="CG7" s="69">
        <f t="shared" si="15"/>
        <v>0</v>
      </c>
      <c r="CH7" s="68">
        <f t="shared" si="15"/>
        <v>1887.6059999999998</v>
      </c>
      <c r="CI7" s="69">
        <f t="shared" si="15"/>
        <v>1606.7559999999999</v>
      </c>
      <c r="CJ7" s="69">
        <f t="shared" si="15"/>
        <v>93.290999999999997</v>
      </c>
      <c r="CK7" s="69">
        <f t="shared" si="15"/>
        <v>225</v>
      </c>
      <c r="CL7" s="8"/>
      <c r="CM7" s="41">
        <f>SUM(CM5:CM6)</f>
        <v>42134.619999999995</v>
      </c>
      <c r="CN7" s="49">
        <f>SUM(CN5:CN6)</f>
        <v>44525.665433731279</v>
      </c>
      <c r="CO7" s="49">
        <f>SUM(CO5:CO6)</f>
        <v>41720.483</v>
      </c>
      <c r="CP7" s="49">
        <f>SUM(CP5:CP6)</f>
        <v>891.58199999999999</v>
      </c>
      <c r="CQ7" s="49">
        <f>SUM(CQ5:CQ6)</f>
        <v>199.833</v>
      </c>
      <c r="CR7" s="48">
        <f t="shared" ref="CR7" si="16">(CO7+CP7+CQ7)/CN7</f>
        <v>0.96151057110461557</v>
      </c>
      <c r="CS7" s="47">
        <f t="shared" ref="CS7" si="17">IFERROR(((CO7+CP7+CQ7)/CM7-1),0)</f>
        <v>1.6074145204110213E-2</v>
      </c>
      <c r="CT7" s="46">
        <f>CN7-CO7-CQ7-CP7</f>
        <v>1713.7674337312792</v>
      </c>
      <c r="CU7" s="21"/>
    </row>
    <row r="8" spans="2:99" ht="14.25" customHeight="1" x14ac:dyDescent="0.3">
      <c r="B8" s="3"/>
      <c r="C8" s="2"/>
      <c r="E8" s="133" t="s">
        <v>847</v>
      </c>
    </row>
    <row r="9" spans="2:99" ht="13.5" thickBot="1" x14ac:dyDescent="0.35">
      <c r="B9" s="3"/>
      <c r="C9" s="2"/>
      <c r="E9" s="190">
        <v>46197</v>
      </c>
      <c r="Q9" s="11"/>
      <c r="R9" s="11"/>
      <c r="U9" s="11"/>
      <c r="V9" s="11"/>
      <c r="Y9" s="11"/>
      <c r="Z9" s="11"/>
      <c r="AL9" s="11"/>
      <c r="AM9" s="11"/>
      <c r="AP9" s="11"/>
      <c r="AQ9" s="11"/>
      <c r="AT9" s="11"/>
      <c r="AU9" s="11"/>
      <c r="BG9" s="11"/>
      <c r="BH9" s="11"/>
      <c r="BK9" s="11"/>
      <c r="BL9" s="11"/>
      <c r="BO9" s="11"/>
      <c r="BP9" s="11"/>
      <c r="CB9" s="11"/>
      <c r="CC9" s="11"/>
      <c r="CF9" s="11"/>
      <c r="CG9" s="11"/>
      <c r="CJ9" s="11"/>
      <c r="CK9" s="11"/>
    </row>
    <row r="10" spans="2:99" ht="14.5" x14ac:dyDescent="0.3">
      <c r="B10" s="208" t="s">
        <v>784</v>
      </c>
      <c r="C10" s="209"/>
      <c r="D10" s="209"/>
      <c r="E10" s="210"/>
      <c r="F10" s="191" t="s">
        <v>15</v>
      </c>
      <c r="G10" s="202" t="s">
        <v>22</v>
      </c>
      <c r="H10" s="203"/>
      <c r="I10" s="203"/>
      <c r="J10" s="203"/>
      <c r="K10" s="203"/>
      <c r="L10" s="203"/>
      <c r="M10" s="203"/>
      <c r="N10" s="204"/>
      <c r="O10" s="198" t="s">
        <v>23</v>
      </c>
      <c r="P10" s="199"/>
      <c r="Q10" s="199"/>
      <c r="R10" s="200"/>
      <c r="S10" s="198" t="s">
        <v>24</v>
      </c>
      <c r="T10" s="199"/>
      <c r="U10" s="199"/>
      <c r="V10" s="200"/>
      <c r="W10" s="198" t="s">
        <v>25</v>
      </c>
      <c r="X10" s="199"/>
      <c r="Y10" s="199"/>
      <c r="Z10" s="201"/>
      <c r="AB10" s="202" t="s">
        <v>30</v>
      </c>
      <c r="AC10" s="203"/>
      <c r="AD10" s="203"/>
      <c r="AE10" s="203"/>
      <c r="AF10" s="203"/>
      <c r="AG10" s="203"/>
      <c r="AH10" s="203"/>
      <c r="AI10" s="204"/>
      <c r="AJ10" s="198" t="s">
        <v>27</v>
      </c>
      <c r="AK10" s="199"/>
      <c r="AL10" s="199"/>
      <c r="AM10" s="200"/>
      <c r="AN10" s="198" t="s">
        <v>28</v>
      </c>
      <c r="AO10" s="199"/>
      <c r="AP10" s="199"/>
      <c r="AQ10" s="200"/>
      <c r="AR10" s="198" t="s">
        <v>29</v>
      </c>
      <c r="AS10" s="199"/>
      <c r="AT10" s="199"/>
      <c r="AU10" s="201"/>
      <c r="AW10" s="202" t="s">
        <v>66</v>
      </c>
      <c r="AX10" s="203"/>
      <c r="AY10" s="203"/>
      <c r="AZ10" s="203"/>
      <c r="BA10" s="203"/>
      <c r="BB10" s="203"/>
      <c r="BC10" s="203"/>
      <c r="BD10" s="204"/>
      <c r="BE10" s="198" t="s">
        <v>67</v>
      </c>
      <c r="BF10" s="199"/>
      <c r="BG10" s="199"/>
      <c r="BH10" s="200"/>
      <c r="BI10" s="198" t="s">
        <v>68</v>
      </c>
      <c r="BJ10" s="199"/>
      <c r="BK10" s="199"/>
      <c r="BL10" s="200"/>
      <c r="BM10" s="198" t="s">
        <v>72</v>
      </c>
      <c r="BN10" s="199"/>
      <c r="BO10" s="199"/>
      <c r="BP10" s="201"/>
      <c r="BR10" s="202" t="s">
        <v>73</v>
      </c>
      <c r="BS10" s="203"/>
      <c r="BT10" s="203"/>
      <c r="BU10" s="203"/>
      <c r="BV10" s="203"/>
      <c r="BW10" s="203"/>
      <c r="BX10" s="203"/>
      <c r="BY10" s="204"/>
      <c r="BZ10" s="185" t="s">
        <v>69</v>
      </c>
      <c r="CA10" s="186"/>
      <c r="CB10" s="186"/>
      <c r="CC10" s="186"/>
      <c r="CD10" s="198" t="s">
        <v>70</v>
      </c>
      <c r="CE10" s="199"/>
      <c r="CF10" s="199"/>
      <c r="CG10" s="200"/>
      <c r="CH10" s="198" t="s">
        <v>71</v>
      </c>
      <c r="CI10" s="199"/>
      <c r="CJ10" s="199"/>
      <c r="CK10" s="201"/>
      <c r="CM10" s="195" t="s">
        <v>783</v>
      </c>
      <c r="CN10" s="196"/>
      <c r="CO10" s="196"/>
      <c r="CP10" s="196"/>
      <c r="CQ10" s="196"/>
      <c r="CR10" s="196"/>
      <c r="CS10" s="196"/>
      <c r="CT10" s="197"/>
    </row>
    <row r="11" spans="2:99" ht="26" x14ac:dyDescent="0.3">
      <c r="B11" s="52" t="s">
        <v>0</v>
      </c>
      <c r="C11" s="43" t="s">
        <v>2</v>
      </c>
      <c r="D11" s="43" t="s">
        <v>3</v>
      </c>
      <c r="E11" s="45" t="s">
        <v>18</v>
      </c>
      <c r="F11" s="192"/>
      <c r="G11" s="38" t="s">
        <v>169</v>
      </c>
      <c r="H11" s="43" t="s">
        <v>1</v>
      </c>
      <c r="I11" s="43" t="s">
        <v>170</v>
      </c>
      <c r="J11" s="43" t="s">
        <v>75</v>
      </c>
      <c r="K11" s="43" t="s">
        <v>65</v>
      </c>
      <c r="L11" s="44" t="s">
        <v>173</v>
      </c>
      <c r="M11" s="33" t="s">
        <v>172</v>
      </c>
      <c r="N11" s="45" t="s">
        <v>16</v>
      </c>
      <c r="O11" s="66" t="s">
        <v>169</v>
      </c>
      <c r="P11" s="61" t="s">
        <v>170</v>
      </c>
      <c r="Q11" s="61" t="s">
        <v>75</v>
      </c>
      <c r="R11" s="61" t="s">
        <v>65</v>
      </c>
      <c r="S11" s="66" t="s">
        <v>169</v>
      </c>
      <c r="T11" s="61" t="s">
        <v>170</v>
      </c>
      <c r="U11" s="61" t="s">
        <v>75</v>
      </c>
      <c r="V11" s="61" t="s">
        <v>65</v>
      </c>
      <c r="W11" s="66" t="s">
        <v>169</v>
      </c>
      <c r="X11" s="61" t="s">
        <v>170</v>
      </c>
      <c r="Y11" s="61" t="s">
        <v>75</v>
      </c>
      <c r="Z11" s="61" t="s">
        <v>65</v>
      </c>
      <c r="AB11" s="38" t="s">
        <v>169</v>
      </c>
      <c r="AC11" s="43" t="s">
        <v>1</v>
      </c>
      <c r="AD11" s="43" t="s">
        <v>170</v>
      </c>
      <c r="AE11" s="43" t="s">
        <v>75</v>
      </c>
      <c r="AF11" s="43" t="s">
        <v>65</v>
      </c>
      <c r="AG11" s="44" t="s">
        <v>173</v>
      </c>
      <c r="AH11" s="33" t="s">
        <v>172</v>
      </c>
      <c r="AI11" s="58" t="s">
        <v>16</v>
      </c>
      <c r="AJ11" s="66" t="s">
        <v>169</v>
      </c>
      <c r="AK11" s="61" t="s">
        <v>170</v>
      </c>
      <c r="AL11" s="61" t="s">
        <v>75</v>
      </c>
      <c r="AM11" s="61" t="s">
        <v>65</v>
      </c>
      <c r="AN11" s="66" t="s">
        <v>169</v>
      </c>
      <c r="AO11" s="61" t="s">
        <v>170</v>
      </c>
      <c r="AP11" s="61" t="s">
        <v>75</v>
      </c>
      <c r="AQ11" s="61" t="s">
        <v>65</v>
      </c>
      <c r="AR11" s="66" t="s">
        <v>169</v>
      </c>
      <c r="AS11" s="61" t="s">
        <v>170</v>
      </c>
      <c r="AT11" s="61" t="s">
        <v>75</v>
      </c>
      <c r="AU11" s="61" t="s">
        <v>65</v>
      </c>
      <c r="AW11" s="38" t="s">
        <v>169</v>
      </c>
      <c r="AX11" s="43" t="s">
        <v>1</v>
      </c>
      <c r="AY11" s="43" t="s">
        <v>170</v>
      </c>
      <c r="AZ11" s="43" t="s">
        <v>75</v>
      </c>
      <c r="BA11" s="43" t="s">
        <v>65</v>
      </c>
      <c r="BB11" s="44" t="s">
        <v>173</v>
      </c>
      <c r="BC11" s="33" t="s">
        <v>172</v>
      </c>
      <c r="BD11" s="58" t="s">
        <v>16</v>
      </c>
      <c r="BE11" s="66" t="s">
        <v>169</v>
      </c>
      <c r="BF11" s="61" t="s">
        <v>170</v>
      </c>
      <c r="BG11" s="61" t="s">
        <v>75</v>
      </c>
      <c r="BH11" s="61" t="s">
        <v>65</v>
      </c>
      <c r="BI11" s="66" t="s">
        <v>169</v>
      </c>
      <c r="BJ11" s="61" t="s">
        <v>170</v>
      </c>
      <c r="BK11" s="61" t="s">
        <v>75</v>
      </c>
      <c r="BL11" s="61" t="s">
        <v>65</v>
      </c>
      <c r="BM11" s="66" t="s">
        <v>169</v>
      </c>
      <c r="BN11" s="61" t="s">
        <v>170</v>
      </c>
      <c r="BO11" s="61" t="s">
        <v>75</v>
      </c>
      <c r="BP11" s="61" t="s">
        <v>65</v>
      </c>
      <c r="BQ11" s="8"/>
      <c r="BR11" s="38" t="s">
        <v>169</v>
      </c>
      <c r="BS11" s="43" t="s">
        <v>1</v>
      </c>
      <c r="BT11" s="43" t="s">
        <v>170</v>
      </c>
      <c r="BU11" s="43" t="s">
        <v>75</v>
      </c>
      <c r="BV11" s="43" t="s">
        <v>65</v>
      </c>
      <c r="BW11" s="44" t="s">
        <v>173</v>
      </c>
      <c r="BX11" s="33" t="s">
        <v>172</v>
      </c>
      <c r="BY11" s="58" t="s">
        <v>16</v>
      </c>
      <c r="BZ11" s="66" t="s">
        <v>169</v>
      </c>
      <c r="CA11" s="61" t="s">
        <v>170</v>
      </c>
      <c r="CB11" s="61" t="s">
        <v>75</v>
      </c>
      <c r="CC11" s="61" t="s">
        <v>65</v>
      </c>
      <c r="CD11" s="66" t="s">
        <v>169</v>
      </c>
      <c r="CE11" s="61" t="s">
        <v>170</v>
      </c>
      <c r="CF11" s="61" t="s">
        <v>75</v>
      </c>
      <c r="CG11" s="61" t="s">
        <v>65</v>
      </c>
      <c r="CH11" s="66" t="s">
        <v>169</v>
      </c>
      <c r="CI11" s="61" t="s">
        <v>170</v>
      </c>
      <c r="CJ11" s="61" t="s">
        <v>75</v>
      </c>
      <c r="CK11" s="61" t="s">
        <v>65</v>
      </c>
      <c r="CL11" s="8"/>
      <c r="CM11" s="38" t="s">
        <v>169</v>
      </c>
      <c r="CN11" s="43" t="s">
        <v>1</v>
      </c>
      <c r="CO11" s="43" t="s">
        <v>170</v>
      </c>
      <c r="CP11" s="43" t="s">
        <v>75</v>
      </c>
      <c r="CQ11" s="43" t="s">
        <v>65</v>
      </c>
      <c r="CR11" s="44" t="s">
        <v>173</v>
      </c>
      <c r="CS11" s="33" t="s">
        <v>172</v>
      </c>
      <c r="CT11" s="58" t="s">
        <v>16</v>
      </c>
    </row>
    <row r="12" spans="2:99" ht="15" customHeight="1" x14ac:dyDescent="0.35">
      <c r="B12" s="161" t="s">
        <v>402</v>
      </c>
      <c r="C12" s="161">
        <v>771</v>
      </c>
      <c r="D12" s="161" t="s">
        <v>404</v>
      </c>
      <c r="E12" s="54" t="s">
        <v>789</v>
      </c>
      <c r="F12" s="112">
        <f>COUNTIF(Rede!$D:$D,Geral!$C12)</f>
        <v>1</v>
      </c>
      <c r="G12" s="39">
        <f>SUMIF(Rede!$D:$D,Geral!C12,Rede!$G:$G)</f>
        <v>1650.944</v>
      </c>
      <c r="H12" s="35">
        <f>SUMIF(Rede!$D:$D,Geral!C12,Rede!$H:$H)</f>
        <v>898.53</v>
      </c>
      <c r="I12" s="35">
        <f>SUMIF(Rede!$D:$D,Geral!C12,Rede!$I:$I)</f>
        <v>690.57500000000005</v>
      </c>
      <c r="J12" s="35">
        <f>SUMIF(Rede!$D:$D,Geral!$C12,Rede!$J:$J)</f>
        <v>0</v>
      </c>
      <c r="K12" s="35">
        <f>SUMIF(Rede!$D:$D,Geral!C12,Rede!$K:$K)</f>
        <v>0</v>
      </c>
      <c r="L12" s="36">
        <f t="shared" ref="L12:L20" si="18">IFERROR((I12+K12+J12)/H12,0)</f>
        <v>0.76856087164591058</v>
      </c>
      <c r="M12" s="37">
        <f>IFERROR(((I12+K12+J12)/G12-1),0)</f>
        <v>-0.5817090101178477</v>
      </c>
      <c r="N12" s="40">
        <f>H12-I12-J12-K12</f>
        <v>207.95499999999993</v>
      </c>
      <c r="O12" s="67">
        <f>SUMIF(Rede!$D:$D,Geral!$C12,Rede!$O:$O)</f>
        <v>270.84399999999999</v>
      </c>
      <c r="P12" s="64">
        <f>SUMIF(Rede!$D:$D,Geral!$C12,Rede!$P:$P)</f>
        <v>10.707999999999998</v>
      </c>
      <c r="Q12" s="64">
        <f>SUMIF(Rede!$D:$D,Geral!$C12,Rede!$Q:$Q)</f>
        <v>0</v>
      </c>
      <c r="R12" s="64">
        <f>SUMIF(Rede!$D:$D,Geral!$C12,Rede!$R:$R)</f>
        <v>0</v>
      </c>
      <c r="S12" s="67">
        <f>SUMIF(Rede!$D:$D,Geral!$C12,Rede!$S:$S)</f>
        <v>854.55799999999999</v>
      </c>
      <c r="T12" s="64">
        <f>SUMIF(Rede!$D:$D,Geral!$C12,Rede!$T:$T)</f>
        <v>803.7</v>
      </c>
      <c r="U12" s="64">
        <f>SUMIF(Rede!$D:$D,Geral!$C12,Rede!$U:$U)</f>
        <v>0</v>
      </c>
      <c r="V12" s="64">
        <f>SUMIF(Rede!$D:$D,Geral!$C12,Rede!$V:$V)</f>
        <v>0</v>
      </c>
      <c r="W12" s="67">
        <f>SUMIF(Rede!$D:$D,Geral!$C12,Rede!$W:$W)</f>
        <v>525.54200000000003</v>
      </c>
      <c r="X12" s="64">
        <f>SUMIF(Rede!$D:$D,Geral!$C12,Rede!$X:$X)</f>
        <v>-123.833</v>
      </c>
      <c r="Y12" s="64">
        <f>SUMIF(Rede!$D:$D,Geral!$C12,Rede!$Y:$Y)</f>
        <v>0</v>
      </c>
      <c r="Z12" s="64">
        <f>SUMIF(Rede!$D:$D,Geral!$C12,Rede!$Z:$Z)</f>
        <v>0</v>
      </c>
      <c r="AB12" s="39">
        <f>SUMIF(Rede!D:D,Geral!C12,Rede!$AB:$AB)</f>
        <v>1068.366</v>
      </c>
      <c r="AC12" s="35">
        <f>SUMIF(Rede!D:D,Geral!C12,Rede!$AC:$AC)</f>
        <v>770.16614400000026</v>
      </c>
      <c r="AD12" s="35">
        <f>SUMIF(Rede!D:D,Geral!C12,Rede!$AD:$AD)</f>
        <v>557.39200000000005</v>
      </c>
      <c r="AE12" s="35">
        <f>SUMIF(Rede!$D:$D,Geral!$C12,Rede!$AE:$AE)</f>
        <v>0</v>
      </c>
      <c r="AF12" s="35">
        <f>SUMIF(Rede!D:D,Geral!C12,Rede!$AF:$AF)</f>
        <v>0</v>
      </c>
      <c r="AG12" s="36">
        <f>(AD12+AF12+AE12)/AC12</f>
        <v>0.72372955412592099</v>
      </c>
      <c r="AH12" s="37">
        <f t="shared" ref="AH12:AH20" si="19">IFERROR(((AD12+AF12+AE12)/AB12-1),0)</f>
        <v>-0.47827617127463806</v>
      </c>
      <c r="AI12" s="59">
        <f t="shared" ref="AI12:AI19" si="20">AC12-AD12-AF12-AE12</f>
        <v>212.77414400000021</v>
      </c>
      <c r="AJ12" s="67">
        <f>SUMIF(Rede!$D:$D,Geral!$C12,Rede!$AJ:$AJ)</f>
        <v>814.13300000000004</v>
      </c>
      <c r="AK12" s="64">
        <f>SUMIF(Rede!$D:$D,Geral!$C12,Rede!$AK:$AK)</f>
        <v>230.108</v>
      </c>
      <c r="AL12" s="64">
        <f>SUMIF(Rede!$D:$D,Geral!$C12,Rede!$AL:$AL)</f>
        <v>0</v>
      </c>
      <c r="AM12" s="64">
        <f>SUMIF(Rede!$D:$D,Geral!$C12,Rede!$AM:$AM)</f>
        <v>0</v>
      </c>
      <c r="AN12" s="67">
        <f>SUMIF(Rede!$D:$D,Geral!$C12,Rede!$AN:$AN)</f>
        <v>111.858</v>
      </c>
      <c r="AO12" s="64">
        <f>SUMIF(Rede!$D:$D,Geral!$C12,Rede!$AO:$AO)</f>
        <v>158.5</v>
      </c>
      <c r="AP12" s="64">
        <f>SUMIF(Rede!$D:$D,Geral!$C12,Rede!$AP:$AP)</f>
        <v>0</v>
      </c>
      <c r="AQ12" s="64">
        <f>SUMIF(Rede!$D:$D,Geral!$C12,Rede!$AQ:$AQ)</f>
        <v>0</v>
      </c>
      <c r="AR12" s="67">
        <f>SUMIF(Rede!$D:$D,Geral!$C12,Rede!$AR:$AR)</f>
        <v>142.375</v>
      </c>
      <c r="AS12" s="64">
        <f>SUMIF(Rede!$D:$D,Geral!$C12,Rede!$AS:$AS)</f>
        <v>168.78399999999999</v>
      </c>
      <c r="AT12" s="64">
        <f>SUMIF(Rede!$D:$D,Geral!$C12,Rede!$AT:$AT)</f>
        <v>0</v>
      </c>
      <c r="AU12" s="64">
        <f>SUMIF(Rede!$D:$D,Geral!$C12,Rede!$AU:$AU)</f>
        <v>0</v>
      </c>
      <c r="AW12" s="39">
        <f>SUMIF(Rede!$D:$D,Geral!C12,Rede!$AW:$AW)</f>
        <v>455.59199999999998</v>
      </c>
      <c r="AX12" s="35">
        <f>SUMIF(Rede!$D:$D,Geral!C12,Rede!$AX:$AX)</f>
        <v>724.3607402375967</v>
      </c>
      <c r="AY12" s="35">
        <f>SUMIF(Rede!$D:$D,Geral!C12,Rede!$AY:$AY)</f>
        <v>761.76700000000005</v>
      </c>
      <c r="AZ12" s="35">
        <f>SUMIF(Rede!$D:$D,Geral!C12,Rede!$AZ:$AZ)</f>
        <v>0</v>
      </c>
      <c r="BA12" s="35">
        <f>SUMIF(Rede!$D:$D,Geral!C12,Rede!$BA:$BA)</f>
        <v>0</v>
      </c>
      <c r="BB12" s="36">
        <f t="shared" ref="BB12:BB20" si="21">(AY12+AZ12+BA12)/AX12</f>
        <v>1.0516403743114706</v>
      </c>
      <c r="BC12" s="37">
        <f t="shared" ref="BC12:BC20" si="22">IFERROR(((AY12+AZ12+BA12)/AW12-1),0)</f>
        <v>0.67203770039860244</v>
      </c>
      <c r="BD12" s="40">
        <f t="shared" ref="BD12:BD20" si="23">AX12-AY12-BA12-AZ12</f>
        <v>-37.406259762403351</v>
      </c>
      <c r="BE12" s="67">
        <f>SUMIF(Rede!$D:$D,Geral!C12,Rede!$BE:$BE)</f>
        <v>286.55</v>
      </c>
      <c r="BF12" s="64">
        <f>SUMIF(Rede!$D:$D,Geral!C12,Rede!$BF:$BF)</f>
        <v>102.017</v>
      </c>
      <c r="BG12" s="64">
        <f>SUMIF(Rede!$D:$D,Geral!C12,Rede!$BG:$BG)</f>
        <v>0</v>
      </c>
      <c r="BH12" s="64">
        <f>SUMIF(Rede!D:D,Geral!C12,Rede!$BH:$BH)</f>
        <v>0</v>
      </c>
      <c r="BI12" s="67">
        <f>SUMIF(Rede!$D:$D,Geral!C12,Rede!$BI:$BI)</f>
        <v>82.959000000000003</v>
      </c>
      <c r="BJ12" s="64">
        <f>SUMIF(Rede!$D:$D,Geral!C12,Rede!$BJ:$BJ)</f>
        <v>68.25</v>
      </c>
      <c r="BK12" s="64">
        <f>SUMIF(Rede!$D:$D,Geral!C12,Rede!$BK:$BK)</f>
        <v>0</v>
      </c>
      <c r="BL12" s="64">
        <f>SUMIF(Rede!$D:$D,Geral!C12,Rede!$BL:$BL)</f>
        <v>0</v>
      </c>
      <c r="BM12" s="67">
        <f>SUMIF(Rede!$D:$D,Geral!C12,Rede!$BM:$BM)</f>
        <v>86.082999999999998</v>
      </c>
      <c r="BN12" s="64">
        <f>SUMIF(Rede!$D:$D,Geral!C12,Rede!$BN:$BN)</f>
        <v>591.5</v>
      </c>
      <c r="BO12" s="64">
        <f>SUMIF(Rede!$D:$D,Geral!C12,Rede!$BO:$BO)</f>
        <v>0</v>
      </c>
      <c r="BP12" s="64">
        <f>SUMIF(Rede!$D:$D,Geral!C12,Rede!$BP:$BP)</f>
        <v>0</v>
      </c>
      <c r="BQ12" s="7"/>
      <c r="BR12" s="39">
        <f>SUMIF(Rede!$D:$D,Geral!C12,Rede!$BR:$BR)</f>
        <v>151.60500000000002</v>
      </c>
      <c r="BS12" s="35">
        <f>SUMIF(Rede!$D:$D,Geral!C12,Rede!$BS:$BS)</f>
        <v>771</v>
      </c>
      <c r="BT12" s="35">
        <f>SUMIF(Rede!$D:$D,Geral!C12,Rede!$BT:$BT)</f>
        <v>79.888999999999996</v>
      </c>
      <c r="BU12" s="35">
        <f>SUMIF(Rede!$D:$D,Geral!C12,Rede!$BU:$BU)</f>
        <v>0</v>
      </c>
      <c r="BV12" s="35">
        <f>SUMIF(Rede!$D:$D,Geral!C12,Rede!$BV:$BV)</f>
        <v>0</v>
      </c>
      <c r="BW12" s="36">
        <f t="shared" ref="BW12:BW20" si="24">(BT12+BU12+BV12)/BS12</f>
        <v>0.10361738002594033</v>
      </c>
      <c r="BX12" s="37">
        <f t="shared" ref="BX12:BX20" si="25">IFERROR(((BT12+BU12+BV12)/BR12-1),0)</f>
        <v>-0.47304508426503089</v>
      </c>
      <c r="BY12" s="40">
        <f t="shared" ref="BY12:BY20" si="26">BS12-BT12-BU12-BV12</f>
        <v>691.11099999999999</v>
      </c>
      <c r="BZ12" s="67">
        <f>SUMIF(Rede!$D:$D,Geral!C12,Rede!$BZ:$BZ)</f>
        <v>24.082999999999998</v>
      </c>
      <c r="CA12" s="65">
        <f>SUMIF(Rede!$D:$D,Geral!C12,Rede!$CA:$CA)</f>
        <v>-121</v>
      </c>
      <c r="CB12" s="65">
        <f>SUMIF(Rede!$D:$D,Geral!C12,Rede!$CB:$CB)</f>
        <v>0</v>
      </c>
      <c r="CC12" s="65">
        <f>SUMIF(Rede!$D:$D,Geral!C12,Rede!$CC:$CC)</f>
        <v>0</v>
      </c>
      <c r="CD12" s="67">
        <f>SUMIF(Rede!$D:$D,Geral!C12,Rede!$CD:$CD)</f>
        <v>59.867000000000004</v>
      </c>
      <c r="CE12" s="64">
        <f>SUMIF(Rede!$D:$D,Geral!C12,Rede!$CE:$CE)</f>
        <v>111.25</v>
      </c>
      <c r="CF12" s="64">
        <f>SUMIF(Rede!$D:$D,Geral!C12,Rede!$CF:$CF)</f>
        <v>0</v>
      </c>
      <c r="CG12" s="64">
        <f>SUMIF(Rede!$D:$D,Geral!C12,Rede!$CG:$CG)</f>
        <v>0</v>
      </c>
      <c r="CH12" s="67">
        <f>SUMIF(Rede!$D:$D,Geral!C12,Rede!$CH:$CH)</f>
        <v>67.655000000000001</v>
      </c>
      <c r="CI12" s="64">
        <f>SUMIF(Rede!$D:$D,Geral!C12,Rede!$CI:$CI)</f>
        <v>89.638999999999996</v>
      </c>
      <c r="CJ12" s="64">
        <f>SUMIF(Rede!$D:$D,Geral!C12,Rede!$CJ:$CJ)</f>
        <v>0</v>
      </c>
      <c r="CK12" s="64">
        <f>SUMIF(Rede!$D:$D,Geral!C12,Rede!$CK:$CK)</f>
        <v>0</v>
      </c>
      <c r="CL12" s="7"/>
      <c r="CM12" s="39">
        <f t="shared" ref="CM12:CQ19" si="27">G12+AB12+AW12+BR12</f>
        <v>3326.5070000000001</v>
      </c>
      <c r="CN12" s="35">
        <f t="shared" si="27"/>
        <v>3164.0568842375969</v>
      </c>
      <c r="CO12" s="34">
        <f t="shared" si="27"/>
        <v>2089.623</v>
      </c>
      <c r="CP12" s="34">
        <f t="shared" si="27"/>
        <v>0</v>
      </c>
      <c r="CQ12" s="34">
        <f t="shared" si="27"/>
        <v>0</v>
      </c>
      <c r="CR12" s="36">
        <f>(CO12+CP12+CQ12)/CN12</f>
        <v>0.66042523142042375</v>
      </c>
      <c r="CS12" s="37">
        <f>IFERROR(((CO12+CP12+CQ12)/CM12-1),0)</f>
        <v>-0.37182666382484686</v>
      </c>
      <c r="CT12" s="40">
        <f>CN12-CO12-CQ12-CP12</f>
        <v>1074.4338842375969</v>
      </c>
      <c r="CU12" s="21"/>
    </row>
    <row r="13" spans="2:99" ht="15" customHeight="1" x14ac:dyDescent="0.35">
      <c r="B13" s="161" t="s">
        <v>402</v>
      </c>
      <c r="C13" s="161">
        <v>3919</v>
      </c>
      <c r="D13" s="161" t="s">
        <v>434</v>
      </c>
      <c r="E13" s="54" t="s">
        <v>790</v>
      </c>
      <c r="F13" s="112">
        <f>COUNTIF(Rede!$D:$D,Geral!$C13)</f>
        <v>4</v>
      </c>
      <c r="G13" s="39">
        <f>SUMIF(Rede!$D:$D,Geral!C13,Rede!$G:$G)</f>
        <v>3551.2179999999998</v>
      </c>
      <c r="H13" s="35">
        <f>SUMIF(Rede!$D:$D,Geral!C13,Rede!$H:$H)</f>
        <v>2686.29</v>
      </c>
      <c r="I13" s="35">
        <f>SUMIF(Rede!$D:$D,Geral!C13,Rede!$I:$I)</f>
        <v>5346.3760000000002</v>
      </c>
      <c r="J13" s="35">
        <f>SUMIF(Rede!$D:$D,Geral!$C13,Rede!$J:$J)</f>
        <v>75.082999999999998</v>
      </c>
      <c r="K13" s="35">
        <f>SUMIF(Rede!$D:$D,Geral!C13,Rede!$K:$K)</f>
        <v>0</v>
      </c>
      <c r="L13" s="36">
        <f t="shared" si="18"/>
        <v>2.0181957271925222</v>
      </c>
      <c r="M13" s="37">
        <f t="shared" ref="M13:M20" si="28">IFERROR(((I13+K13+J13)/G13-1),0)</f>
        <v>0.52664775860000712</v>
      </c>
      <c r="N13" s="40">
        <f t="shared" ref="N13:N20" si="29">H13-I13-J13-K13</f>
        <v>-2735.1690000000003</v>
      </c>
      <c r="O13" s="67">
        <f>SUMIF(Rede!$D:$D,Geral!$C13,Rede!$O:$O)</f>
        <v>214.88800000000001</v>
      </c>
      <c r="P13" s="64">
        <f>SUMIF(Rede!$D:$D,Geral!$C13,Rede!$P:$P)</f>
        <v>750.52099999999996</v>
      </c>
      <c r="Q13" s="64">
        <f>SUMIF(Rede!$D:$D,Geral!$C13,Rede!$Q:$Q)</f>
        <v>31.5</v>
      </c>
      <c r="R13" s="64">
        <f>SUMIF(Rede!$D:$D,Geral!$C13,Rede!$R:$R)</f>
        <v>0</v>
      </c>
      <c r="S13" s="67">
        <f>SUMIF(Rede!$D:$D,Geral!$C13,Rede!$S:$S)</f>
        <v>307.27100000000007</v>
      </c>
      <c r="T13" s="64">
        <f>SUMIF(Rede!$D:$D,Geral!$C13,Rede!$T:$T)</f>
        <v>1621.521</v>
      </c>
      <c r="U13" s="64">
        <f>SUMIF(Rede!$D:$D,Geral!$C13,Rede!$U:$U)</f>
        <v>22.582999999999998</v>
      </c>
      <c r="V13" s="64">
        <f>SUMIF(Rede!$D:$D,Geral!$C13,Rede!$V:$V)</f>
        <v>0</v>
      </c>
      <c r="W13" s="67">
        <f>SUMIF(Rede!$D:$D,Geral!$C13,Rede!$W:$W)</f>
        <v>3029.0589999999997</v>
      </c>
      <c r="X13" s="64">
        <f>SUMIF(Rede!$D:$D,Geral!$C13,Rede!$X:$X)</f>
        <v>2974.3339999999998</v>
      </c>
      <c r="Y13" s="64">
        <f>SUMIF(Rede!$D:$D,Geral!$C13,Rede!$Y:$Y)</f>
        <v>21</v>
      </c>
      <c r="Z13" s="64">
        <f>SUMIF(Rede!$D:$D,Geral!$C13,Rede!$Z:$Z)</f>
        <v>0</v>
      </c>
      <c r="AB13" s="39">
        <f>SUMIF(Rede!D:D,Geral!C13,Rede!$AB:$AB)</f>
        <v>3310.5710000000004</v>
      </c>
      <c r="AC13" s="35">
        <f>SUMIF(Rede!D:D,Geral!C13,Rede!$AC:$AC)</f>
        <v>2302.5261120000005</v>
      </c>
      <c r="AD13" s="35">
        <f>SUMIF(Rede!D:D,Geral!C13,Rede!$AD:$AD)</f>
        <v>3064.6179999999999</v>
      </c>
      <c r="AE13" s="35">
        <f>SUMIF(Rede!$D:$D,Geral!$C13,Rede!$AE:$AE)</f>
        <v>90.375</v>
      </c>
      <c r="AF13" s="35">
        <f>SUMIF(Rede!D:D,Geral!C13,Rede!$AF:$AF)</f>
        <v>0</v>
      </c>
      <c r="AG13" s="36">
        <f t="shared" ref="AG13:AG20" si="30">(AD13+AF13+AE13)/AC13</f>
        <v>1.3702311489790389</v>
      </c>
      <c r="AH13" s="37">
        <f t="shared" si="19"/>
        <v>-4.6994310045004428E-2</v>
      </c>
      <c r="AI13" s="59">
        <f t="shared" si="20"/>
        <v>-852.46688799999947</v>
      </c>
      <c r="AJ13" s="67">
        <f>SUMIF(Rede!$D:$D,Geral!$C13,Rede!$AJ:$AJ)</f>
        <v>1575.7080000000001</v>
      </c>
      <c r="AK13" s="64">
        <f>SUMIF(Rede!$D:$D,Geral!$C13,Rede!$AK:$AK)</f>
        <v>631.83299999999997</v>
      </c>
      <c r="AL13" s="64">
        <f>SUMIF(Rede!$D:$D,Geral!$C13,Rede!$AL:$AL)</f>
        <v>41.625</v>
      </c>
      <c r="AM13" s="64">
        <f>SUMIF(Rede!$D:$D,Geral!$C13,Rede!$AM:$AM)</f>
        <v>0</v>
      </c>
      <c r="AN13" s="67">
        <f>SUMIF(Rede!$D:$D,Geral!$C13,Rede!$AN:$AN)</f>
        <v>313.613</v>
      </c>
      <c r="AO13" s="64">
        <f>SUMIF(Rede!$D:$D,Geral!$C13,Rede!$AO:$AO)</f>
        <v>1032.952</v>
      </c>
      <c r="AP13" s="64">
        <f>SUMIF(Rede!$D:$D,Geral!$C13,Rede!$AP:$AP)</f>
        <v>18</v>
      </c>
      <c r="AQ13" s="64">
        <f>SUMIF(Rede!$D:$D,Geral!$C13,Rede!$AQ:$AQ)</f>
        <v>0</v>
      </c>
      <c r="AR13" s="67">
        <f>SUMIF(Rede!$D:$D,Geral!$C13,Rede!$AR:$AR)</f>
        <v>1421.25</v>
      </c>
      <c r="AS13" s="64">
        <f>SUMIF(Rede!$D:$D,Geral!$C13,Rede!$AS:$AS)</f>
        <v>1399.8330000000001</v>
      </c>
      <c r="AT13" s="64">
        <f>SUMIF(Rede!$D:$D,Geral!$C13,Rede!$AT:$AT)</f>
        <v>30.75</v>
      </c>
      <c r="AU13" s="64">
        <f>SUMIF(Rede!$D:$D,Geral!$C13,Rede!$AU:$AU)</f>
        <v>0</v>
      </c>
      <c r="AW13" s="39">
        <f>SUMIF(Rede!$D:$D,Geral!C13,Rede!$AW:$AW)</f>
        <v>1272.979</v>
      </c>
      <c r="AX13" s="35">
        <f>SUMIF(Rede!$D:$D,Geral!C13,Rede!$AX:$AX)</f>
        <v>2165.5840520882662</v>
      </c>
      <c r="AY13" s="35">
        <f>SUMIF(Rede!$D:$D,Geral!C13,Rede!$AY:$AY)</f>
        <v>2641.5410000000002</v>
      </c>
      <c r="AZ13" s="35">
        <f>SUMIF(Rede!$D:$D,Geral!C13,Rede!$AZ:$AZ)</f>
        <v>168.166</v>
      </c>
      <c r="BA13" s="35">
        <f>SUMIF(Rede!$D:$D,Geral!C13,Rede!$BA:$BA)</f>
        <v>0</v>
      </c>
      <c r="BB13" s="36">
        <f t="shared" si="21"/>
        <v>1.2974361338183149</v>
      </c>
      <c r="BC13" s="37">
        <f t="shared" si="22"/>
        <v>1.2071903778459818</v>
      </c>
      <c r="BD13" s="40">
        <f t="shared" si="23"/>
        <v>-644.12294791173395</v>
      </c>
      <c r="BE13" s="67">
        <f>SUMIF(Rede!D:D,Geral!C13,Rede!$BE:$BE)</f>
        <v>210.53800000000001</v>
      </c>
      <c r="BF13" s="64">
        <f>SUMIF(Rede!D:D,Geral!C13,Rede!$BF:$BF)</f>
        <v>664.625</v>
      </c>
      <c r="BG13" s="64">
        <f>SUMIF(Rede!D:D,Geral!C13,Rede!$BG:$BG)</f>
        <v>33.832999999999998</v>
      </c>
      <c r="BH13" s="64">
        <f>SUMIF(Rede!D:D,Geral!C13,Rede!$BH:$BH)</f>
        <v>0</v>
      </c>
      <c r="BI13" s="67">
        <f>SUMIF(Rede!$D:$D,Geral!C13,Rede!$BI:$BI)</f>
        <v>351.755</v>
      </c>
      <c r="BJ13" s="64">
        <f>SUMIF(Rede!$D:$D,Geral!C13,Rede!$BJ:$BJ)</f>
        <v>666.58299999999997</v>
      </c>
      <c r="BK13" s="64">
        <f>SUMIF(Rede!$D:$D,Geral!C13,Rede!$BK:$BK)</f>
        <v>30.832999999999998</v>
      </c>
      <c r="BL13" s="64">
        <f>SUMIF(Rede!$D:$D,Geral!C13,Rede!$BL:$BL)</f>
        <v>0</v>
      </c>
      <c r="BM13" s="67">
        <f>SUMIF(Rede!$D:$D,Geral!C13,Rede!$BM:$BM)</f>
        <v>710.68600000000004</v>
      </c>
      <c r="BN13" s="64">
        <f>SUMIF(Rede!$D:$D,Geral!C13,Rede!$BN:$BN)</f>
        <v>1310.3330000000001</v>
      </c>
      <c r="BO13" s="64">
        <f>SUMIF(Rede!$D:$D,Geral!C13,Rede!$BO:$BO)</f>
        <v>103.5</v>
      </c>
      <c r="BP13" s="64">
        <f>SUMIF(Rede!$D:$D,Geral!C13,Rede!$BP:$BP)</f>
        <v>0</v>
      </c>
      <c r="BQ13" s="7"/>
      <c r="BR13" s="39">
        <f>SUMIF(Rede!$D:$D,Geral!C13,Rede!$BR:$BR)</f>
        <v>640.00199999999995</v>
      </c>
      <c r="BS13" s="35">
        <f>SUMIF(Rede!$D:$D,Geral!C13,Rede!$BS:$BS)</f>
        <v>2310</v>
      </c>
      <c r="BT13" s="35">
        <f>SUMIF(Rede!$D:$D,Geral!C13,Rede!$BT:$BT)</f>
        <v>1492.7760000000001</v>
      </c>
      <c r="BU13" s="35">
        <f>SUMIF(Rede!$D:$D,Geral!C13,Rede!$BU:$BU)</f>
        <v>0</v>
      </c>
      <c r="BV13" s="35">
        <f>SUMIF(Rede!$D:$D,Geral!C13,Rede!$BV:$BV)</f>
        <v>62.582999999999998</v>
      </c>
      <c r="BW13" s="36">
        <f t="shared" si="24"/>
        <v>0.67331558441558448</v>
      </c>
      <c r="BX13" s="37">
        <f t="shared" si="25"/>
        <v>1.4302408429973661</v>
      </c>
      <c r="BY13" s="40">
        <f t="shared" si="26"/>
        <v>754.64099999999996</v>
      </c>
      <c r="BZ13" s="67">
        <f>SUMIF(Rede!$D:$D,Geral!C13,Rede!$BZ:$BZ)</f>
        <v>28.959000000000003</v>
      </c>
      <c r="CA13" s="65">
        <f>SUMIF(Rede!$D:$D,Geral!C13,Rede!$CA:$CA)</f>
        <v>405.50099999999998</v>
      </c>
      <c r="CB13" s="65">
        <f>SUMIF(Rede!$D:$D,Geral!C13,Rede!$CB:$CB)</f>
        <v>24.75</v>
      </c>
      <c r="CC13" s="65">
        <f>SUMIF(Rede!$D:$D,Geral!C13,Rede!$CC:$CC)</f>
        <v>0</v>
      </c>
      <c r="CD13" s="67">
        <f>SUMIF(Rede!$D:$D,Geral!C13,Rede!$CD:$CD)</f>
        <v>474.21699999999998</v>
      </c>
      <c r="CE13" s="64">
        <f>SUMIF(Rede!$D:$D,Geral!C13,Rede!$CE:$CE)</f>
        <v>635.596</v>
      </c>
      <c r="CF13" s="64">
        <f>SUMIF(Rede!$D:$D,Geral!C13,Rede!$CF:$CF)</f>
        <v>21.082999999999998</v>
      </c>
      <c r="CG13" s="64">
        <f>SUMIF(Rede!$D:$D,Geral!C13,Rede!$CG:$CG)</f>
        <v>0</v>
      </c>
      <c r="CH13" s="67">
        <f>SUMIF(Rede!$D:$D,Geral!C13,Rede!$CH:$CH)</f>
        <v>136.82599999999999</v>
      </c>
      <c r="CI13" s="64">
        <f>SUMIF(Rede!$D:$D,Geral!C13,Rede!$CI:$CI)</f>
        <v>451.67900000000003</v>
      </c>
      <c r="CJ13" s="64">
        <f>SUMIF(Rede!$D:$D,Geral!C13,Rede!$CJ:$CJ)</f>
        <v>16.75</v>
      </c>
      <c r="CK13" s="64">
        <f>SUMIF(Rede!$D:$D,Geral!C13,Rede!$CK:$CK)</f>
        <v>0</v>
      </c>
      <c r="CL13" s="7"/>
      <c r="CM13" s="39">
        <f t="shared" si="27"/>
        <v>8774.77</v>
      </c>
      <c r="CN13" s="35">
        <f t="shared" si="27"/>
        <v>9464.400164088267</v>
      </c>
      <c r="CO13" s="34">
        <f t="shared" si="27"/>
        <v>12545.311</v>
      </c>
      <c r="CP13" s="34">
        <f t="shared" si="27"/>
        <v>333.62400000000002</v>
      </c>
      <c r="CQ13" s="34">
        <f t="shared" si="27"/>
        <v>62.582999999999998</v>
      </c>
      <c r="CR13" s="36">
        <f t="shared" ref="CR13:CR19" si="31">(CO13+CP13+CQ13)/CN13</f>
        <v>1.3673891398955544</v>
      </c>
      <c r="CS13" s="37">
        <f t="shared" ref="CS13:CS19" si="32">IFERROR(((CO13+CP13+CQ13)/CM13-1),0)</f>
        <v>0.47485552327867286</v>
      </c>
      <c r="CT13" s="40">
        <f t="shared" ref="CT13:CT19" si="33">CN13-CO13-CQ13-CP13</f>
        <v>-3477.117835911733</v>
      </c>
      <c r="CU13" s="21"/>
    </row>
    <row r="14" spans="2:99" ht="15" customHeight="1" x14ac:dyDescent="0.35">
      <c r="B14" s="161" t="s">
        <v>402</v>
      </c>
      <c r="C14" s="161">
        <v>3956</v>
      </c>
      <c r="D14" s="161" t="s">
        <v>435</v>
      </c>
      <c r="E14" s="54" t="s">
        <v>791</v>
      </c>
      <c r="F14" s="112">
        <f>COUNTIF(Rede!$D:$D,Geral!$C14)</f>
        <v>1</v>
      </c>
      <c r="G14" s="39">
        <f>SUMIF(Rede!$D:$D,Geral!C14,Rede!$G:$G)</f>
        <v>902.16700000000003</v>
      </c>
      <c r="H14" s="35">
        <f>SUMIF(Rede!$D:$D,Geral!C14,Rede!$H:$H)</f>
        <v>684.6</v>
      </c>
      <c r="I14" s="35">
        <f>SUMIF(Rede!$D:$D,Geral!C14,Rede!$I:$I)</f>
        <v>1216.5690000000002</v>
      </c>
      <c r="J14" s="35">
        <f>SUMIF(Rede!$D:$D,Geral!$C14,Rede!$J:$J)</f>
        <v>0</v>
      </c>
      <c r="K14" s="35">
        <f>SUMIF(Rede!$D:$D,Geral!C14,Rede!$K:$K)</f>
        <v>0</v>
      </c>
      <c r="L14" s="36">
        <f t="shared" si="18"/>
        <v>1.7770508326029801</v>
      </c>
      <c r="M14" s="37">
        <f t="shared" si="28"/>
        <v>0.34849645353908998</v>
      </c>
      <c r="N14" s="40">
        <f t="shared" si="29"/>
        <v>-531.96900000000016</v>
      </c>
      <c r="O14" s="67">
        <f>SUMIF(Rede!$D:$D,Geral!$C14,Rede!$O:$O)</f>
        <v>44.625</v>
      </c>
      <c r="P14" s="64">
        <f>SUMIF(Rede!$D:$D,Geral!$C14,Rede!$P:$P)</f>
        <v>70.832999999999998</v>
      </c>
      <c r="Q14" s="64">
        <f>SUMIF(Rede!$D:$D,Geral!$C14,Rede!$Q:$Q)</f>
        <v>0</v>
      </c>
      <c r="R14" s="64">
        <f>SUMIF(Rede!$D:$D,Geral!$C14,Rede!$R:$R)</f>
        <v>0</v>
      </c>
      <c r="S14" s="67">
        <f>SUMIF(Rede!$D:$D,Geral!$C14,Rede!$S:$S)</f>
        <v>854.875</v>
      </c>
      <c r="T14" s="64">
        <f>SUMIF(Rede!$D:$D,Geral!$C14,Rede!$T:$T)</f>
        <v>10.5</v>
      </c>
      <c r="U14" s="64">
        <f>SUMIF(Rede!$D:$D,Geral!$C14,Rede!$U:$U)</f>
        <v>0</v>
      </c>
      <c r="V14" s="64">
        <f>SUMIF(Rede!$D:$D,Geral!$C14,Rede!$V:$V)</f>
        <v>0</v>
      </c>
      <c r="W14" s="67">
        <f>SUMIF(Rede!$D:$D,Geral!$C14,Rede!$W:$W)</f>
        <v>2.6669999999999998</v>
      </c>
      <c r="X14" s="64">
        <f>SUMIF(Rede!$D:$D,Geral!$C14,Rede!$X:$X)</f>
        <v>1135.2360000000001</v>
      </c>
      <c r="Y14" s="64">
        <f>SUMIF(Rede!$D:$D,Geral!$C14,Rede!$Y:$Y)</f>
        <v>0</v>
      </c>
      <c r="Z14" s="64">
        <f>SUMIF(Rede!$D:$D,Geral!$C14,Rede!$Z:$Z)</f>
        <v>0</v>
      </c>
      <c r="AB14" s="39">
        <f>SUMIF(Rede!D:D,Geral!C14,Rede!$AB:$AB)</f>
        <v>468.89599999999996</v>
      </c>
      <c r="AC14" s="35">
        <f>SUMIF(Rede!D:D,Geral!C14,Rede!$AC:$AC)</f>
        <v>586.80028799999991</v>
      </c>
      <c r="AD14" s="35">
        <f>SUMIF(Rede!D:D,Geral!C14,Rede!$AD:$AD)</f>
        <v>259.11900000000003</v>
      </c>
      <c r="AE14" s="35">
        <f>SUMIF(Rede!$D:$D,Geral!$C14,Rede!$AE:$AE)</f>
        <v>3.5</v>
      </c>
      <c r="AF14" s="35">
        <f>SUMIF(Rede!D:D,Geral!C14,Rede!$AF:$AF)</f>
        <v>0</v>
      </c>
      <c r="AG14" s="36">
        <f t="shared" si="30"/>
        <v>0.44754408845825255</v>
      </c>
      <c r="AH14" s="37">
        <f t="shared" si="19"/>
        <v>-0.43992057940353502</v>
      </c>
      <c r="AI14" s="59">
        <f t="shared" si="20"/>
        <v>324.18128799999988</v>
      </c>
      <c r="AJ14" s="67">
        <f>SUMIF(Rede!$D:$D,Geral!$C14,Rede!$AJ:$AJ)</f>
        <v>259.31299999999999</v>
      </c>
      <c r="AK14" s="64">
        <f>SUMIF(Rede!$D:$D,Geral!$C14,Rede!$AK:$AK)</f>
        <v>22.167000000000002</v>
      </c>
      <c r="AL14" s="64">
        <f>SUMIF(Rede!$D:$D,Geral!$C14,Rede!$AL:$AL)</f>
        <v>3.5</v>
      </c>
      <c r="AM14" s="64">
        <f>SUMIF(Rede!$D:$D,Geral!$C14,Rede!$AM:$AM)</f>
        <v>0</v>
      </c>
      <c r="AN14" s="67">
        <f>SUMIF(Rede!$D:$D,Geral!$C14,Rede!$AN:$AN)</f>
        <v>15</v>
      </c>
      <c r="AO14" s="64">
        <f>SUMIF(Rede!$D:$D,Geral!$C14,Rede!$AO:$AO)</f>
        <v>42.285000000000004</v>
      </c>
      <c r="AP14" s="64">
        <f>SUMIF(Rede!$D:$D,Geral!$C14,Rede!$AP:$AP)</f>
        <v>0</v>
      </c>
      <c r="AQ14" s="64">
        <f>SUMIF(Rede!$D:$D,Geral!$C14,Rede!$AQ:$AQ)</f>
        <v>0</v>
      </c>
      <c r="AR14" s="67">
        <f>SUMIF(Rede!$D:$D,Geral!$C14,Rede!$AR:$AR)</f>
        <v>194.583</v>
      </c>
      <c r="AS14" s="64">
        <f>SUMIF(Rede!$D:$D,Geral!$C14,Rede!$AS:$AS)</f>
        <v>194.667</v>
      </c>
      <c r="AT14" s="64">
        <f>SUMIF(Rede!$D:$D,Geral!$C14,Rede!$AT:$AT)</f>
        <v>0</v>
      </c>
      <c r="AU14" s="64">
        <f>SUMIF(Rede!$D:$D,Geral!$C14,Rede!$AU:$AU)</f>
        <v>0</v>
      </c>
      <c r="AW14" s="39">
        <f>SUMIF(Rede!$D:$D,Geral!C14,Rede!$AW:$AW)</f>
        <v>660.29100000000005</v>
      </c>
      <c r="AX14" s="35">
        <f>SUMIF(Rede!$D:$D,Geral!C14,Rede!$AX:$AX)</f>
        <v>551.90051432241967</v>
      </c>
      <c r="AY14" s="35">
        <f>SUMIF(Rede!$D:$D,Geral!C14,Rede!$AY:$AY)</f>
        <v>399.25099999999998</v>
      </c>
      <c r="AZ14" s="35">
        <f>SUMIF(Rede!$D:$D,Geral!C14,Rede!$AZ:$AZ)</f>
        <v>6.5830000000000002</v>
      </c>
      <c r="BA14" s="35">
        <f>SUMIF(Rede!$D:$D,Geral!C14,Rede!$BA:$BA)</f>
        <v>0</v>
      </c>
      <c r="BB14" s="36">
        <f t="shared" si="21"/>
        <v>0.73533905018778845</v>
      </c>
      <c r="BC14" s="37">
        <f t="shared" si="22"/>
        <v>-0.3853709955156136</v>
      </c>
      <c r="BD14" s="40">
        <f t="shared" si="23"/>
        <v>146.06651432241969</v>
      </c>
      <c r="BE14" s="67">
        <f>SUMIF(Rede!D:D,Geral!C14,Rede!$BE:$BE)</f>
        <v>281.66700000000003</v>
      </c>
      <c r="BF14" s="64">
        <f>SUMIF(Rede!D:D,Geral!C14,Rede!$BF:$BF)</f>
        <v>183.667</v>
      </c>
      <c r="BG14" s="64">
        <f>SUMIF(Rede!D:D,Geral!C14,Rede!$BG:$BG)</f>
        <v>5</v>
      </c>
      <c r="BH14" s="64">
        <f>SUMIF(Rede!D:D,Geral!C14,Rede!$BH:$BH)</f>
        <v>0</v>
      </c>
      <c r="BI14" s="67">
        <f>SUMIF(Rede!$D:$D,Geral!C14,Rede!$BI:$BI)</f>
        <v>202.666</v>
      </c>
      <c r="BJ14" s="64">
        <f>SUMIF(Rede!$D:$D,Geral!C14,Rede!$BJ:$BJ)</f>
        <v>37.334000000000003</v>
      </c>
      <c r="BK14" s="64">
        <f>SUMIF(Rede!$D:$D,Geral!C14,Rede!$BK:$BK)</f>
        <v>0</v>
      </c>
      <c r="BL14" s="64">
        <f>SUMIF(Rede!$D:$D,Geral!C14,Rede!$BL:$BL)</f>
        <v>0</v>
      </c>
      <c r="BM14" s="67">
        <f>SUMIF(Rede!$D:$D,Geral!C14,Rede!$BM:$BM)</f>
        <v>175.958</v>
      </c>
      <c r="BN14" s="64">
        <f>SUMIF(Rede!$D:$D,Geral!C14,Rede!$BN:$BN)</f>
        <v>178.25</v>
      </c>
      <c r="BO14" s="64">
        <f>SUMIF(Rede!$D:$D,Geral!C14,Rede!$BO:$BO)</f>
        <v>1.583</v>
      </c>
      <c r="BP14" s="64">
        <f>SUMIF(Rede!$D:$D,Geral!C14,Rede!$BP:$BP)</f>
        <v>0</v>
      </c>
      <c r="BQ14" s="7"/>
      <c r="BR14" s="39">
        <f>SUMIF(Rede!$D:$D,Geral!C14,Rede!$BR:$BR)</f>
        <v>181.833</v>
      </c>
      <c r="BS14" s="35">
        <f>SUMIF(Rede!$D:$D,Geral!C14,Rede!$BS:$BS)</f>
        <v>588</v>
      </c>
      <c r="BT14" s="35">
        <f>SUMIF(Rede!$D:$D,Geral!C14,Rede!$BT:$BT)</f>
        <v>202.083</v>
      </c>
      <c r="BU14" s="35">
        <f>SUMIF(Rede!$D:$D,Geral!C14,Rede!$BU:$BU)</f>
        <v>0</v>
      </c>
      <c r="BV14" s="35">
        <f>SUMIF(Rede!$D:$D,Geral!C14,Rede!$BV:$BV)</f>
        <v>4.75</v>
      </c>
      <c r="BW14" s="36">
        <f t="shared" si="24"/>
        <v>0.35175680272108845</v>
      </c>
      <c r="BX14" s="37">
        <f t="shared" si="25"/>
        <v>0.13748879466323505</v>
      </c>
      <c r="BY14" s="40">
        <f t="shared" si="26"/>
        <v>381.16700000000003</v>
      </c>
      <c r="BZ14" s="67">
        <f>SUMIF(Rede!$D:$D,Geral!C14,Rede!$BZ:$BZ)</f>
        <v>50.790999999999997</v>
      </c>
      <c r="CA14" s="65">
        <f>SUMIF(Rede!$D:$D,Geral!C14,Rede!$CA:$CA)</f>
        <v>102.458</v>
      </c>
      <c r="CB14" s="65">
        <f>SUMIF(Rede!$D:$D,Geral!C14,Rede!$CB:$CB)</f>
        <v>0</v>
      </c>
      <c r="CC14" s="65">
        <f>SUMIF(Rede!$D:$D,Geral!C14,Rede!$CC:$CC)</f>
        <v>0</v>
      </c>
      <c r="CD14" s="67">
        <f>SUMIF(Rede!$D:$D,Geral!C14,Rede!$CD:$CD)</f>
        <v>73.334000000000003</v>
      </c>
      <c r="CE14" s="64">
        <f>SUMIF(Rede!$D:$D,Geral!C14,Rede!$CE:$CE)</f>
        <v>50.167000000000002</v>
      </c>
      <c r="CF14" s="64">
        <f>SUMIF(Rede!$D:$D,Geral!C14,Rede!$CF:$CF)</f>
        <v>0</v>
      </c>
      <c r="CG14" s="64">
        <f>SUMIF(Rede!$D:$D,Geral!C14,Rede!$CG:$CG)</f>
        <v>0</v>
      </c>
      <c r="CH14" s="67">
        <f>SUMIF(Rede!$D:$D,Geral!C14,Rede!$CH:$CH)</f>
        <v>57.707999999999998</v>
      </c>
      <c r="CI14" s="64">
        <f>SUMIF(Rede!$D:$D,Geral!C14,Rede!$CI:$CI)</f>
        <v>49.457999999999998</v>
      </c>
      <c r="CJ14" s="64">
        <f>SUMIF(Rede!$D:$D,Geral!C14,Rede!$CJ:$CJ)</f>
        <v>4.75</v>
      </c>
      <c r="CK14" s="64">
        <f>SUMIF(Rede!$D:$D,Geral!C14,Rede!$CK:$CK)</f>
        <v>0</v>
      </c>
      <c r="CL14" s="7"/>
      <c r="CM14" s="39">
        <f t="shared" si="27"/>
        <v>2213.1870000000004</v>
      </c>
      <c r="CN14" s="35">
        <f t="shared" si="27"/>
        <v>2411.3008023224193</v>
      </c>
      <c r="CO14" s="34">
        <f t="shared" si="27"/>
        <v>2077.0219999999999</v>
      </c>
      <c r="CP14" s="34">
        <f t="shared" si="27"/>
        <v>10.083</v>
      </c>
      <c r="CQ14" s="34">
        <f t="shared" si="27"/>
        <v>4.75</v>
      </c>
      <c r="CR14" s="36">
        <f t="shared" si="31"/>
        <v>0.86752138015516422</v>
      </c>
      <c r="CS14" s="37">
        <f t="shared" si="32"/>
        <v>-5.4822299245386952E-2</v>
      </c>
      <c r="CT14" s="40">
        <f t="shared" si="33"/>
        <v>319.4458023224193</v>
      </c>
      <c r="CU14" s="21"/>
    </row>
    <row r="15" spans="2:99" ht="15" customHeight="1" x14ac:dyDescent="0.35">
      <c r="B15" s="161" t="s">
        <v>402</v>
      </c>
      <c r="C15" s="161">
        <v>4054</v>
      </c>
      <c r="D15" s="161" t="s">
        <v>436</v>
      </c>
      <c r="E15" s="54" t="s">
        <v>792</v>
      </c>
      <c r="F15" s="112">
        <f>COUNTIF(Rede!$D:$D,Geral!$C15)</f>
        <v>2</v>
      </c>
      <c r="G15" s="39">
        <f>SUMIF(Rede!$D:$D,Geral!C15,Rede!$G:$G)</f>
        <v>1251.125</v>
      </c>
      <c r="H15" s="35">
        <f>SUMIF(Rede!$D:$D,Geral!C15,Rede!$H:$H)</f>
        <v>745.25</v>
      </c>
      <c r="I15" s="35">
        <f>SUMIF(Rede!$D:$D,Geral!C15,Rede!$I:$I)</f>
        <v>789.375</v>
      </c>
      <c r="J15" s="35">
        <f>SUMIF(Rede!$D:$D,Geral!$C15,Rede!$J:$J)</f>
        <v>1</v>
      </c>
      <c r="K15" s="35">
        <f>SUMIF(Rede!$D:$D,Geral!C15,Rede!$K:$K)</f>
        <v>0</v>
      </c>
      <c r="L15" s="36">
        <f t="shared" si="18"/>
        <v>1.0605501509560551</v>
      </c>
      <c r="M15" s="37">
        <f t="shared" si="28"/>
        <v>-0.36826855829753224</v>
      </c>
      <c r="N15" s="40">
        <f t="shared" si="29"/>
        <v>-45.125</v>
      </c>
      <c r="O15" s="67">
        <f>SUMIF(Rede!$D:$D,Geral!$C15,Rede!$O:$O)</f>
        <v>141.958</v>
      </c>
      <c r="P15" s="64">
        <f>SUMIF(Rede!$D:$D,Geral!$C15,Rede!$P:$P)</f>
        <v>133.5</v>
      </c>
      <c r="Q15" s="64">
        <f>SUMIF(Rede!$D:$D,Geral!$C15,Rede!$Q:$Q)</f>
        <v>1</v>
      </c>
      <c r="R15" s="64">
        <f>SUMIF(Rede!$D:$D,Geral!$C15,Rede!$R:$R)</f>
        <v>0</v>
      </c>
      <c r="S15" s="67">
        <f>SUMIF(Rede!$D:$D,Geral!$C15,Rede!$S:$S)</f>
        <v>514.625</v>
      </c>
      <c r="T15" s="64">
        <f>SUMIF(Rede!$D:$D,Geral!$C15,Rede!$T:$T)</f>
        <v>201.5</v>
      </c>
      <c r="U15" s="64">
        <f>SUMIF(Rede!$D:$D,Geral!$C15,Rede!$U:$U)</f>
        <v>0</v>
      </c>
      <c r="V15" s="64">
        <f>SUMIF(Rede!$D:$D,Geral!$C15,Rede!$V:$V)</f>
        <v>0</v>
      </c>
      <c r="W15" s="67">
        <f>SUMIF(Rede!$D:$D,Geral!$C15,Rede!$W:$W)</f>
        <v>594.54200000000003</v>
      </c>
      <c r="X15" s="64">
        <f>SUMIF(Rede!$D:$D,Geral!$C15,Rede!$X:$X)</f>
        <v>454.375</v>
      </c>
      <c r="Y15" s="64">
        <f>SUMIF(Rede!$D:$D,Geral!$C15,Rede!$Y:$Y)</f>
        <v>0</v>
      </c>
      <c r="Z15" s="64">
        <f>SUMIF(Rede!$D:$D,Geral!$C15,Rede!$Z:$Z)</f>
        <v>0</v>
      </c>
      <c r="AB15" s="39">
        <f>SUMIF(Rede!D:D,Geral!C15,Rede!$AB:$AB)</f>
        <v>307.52700000000004</v>
      </c>
      <c r="AC15" s="35">
        <f>SUMIF(Rede!D:D,Geral!C15,Rede!$AC:$AC)</f>
        <v>638.78438399999993</v>
      </c>
      <c r="AD15" s="35">
        <f>SUMIF(Rede!D:D,Geral!C15,Rede!$AD:$AD)</f>
        <v>783.33299999999997</v>
      </c>
      <c r="AE15" s="35">
        <f>SUMIF(Rede!$D:$D,Geral!$C15,Rede!$AE:$AE)</f>
        <v>27.5</v>
      </c>
      <c r="AF15" s="35">
        <f>SUMIF(Rede!D:D,Geral!C15,Rede!$AF:$AF)</f>
        <v>0</v>
      </c>
      <c r="AG15" s="36">
        <f t="shared" si="30"/>
        <v>1.2693375422277073</v>
      </c>
      <c r="AH15" s="37">
        <f t="shared" si="19"/>
        <v>1.6366237761237219</v>
      </c>
      <c r="AI15" s="59">
        <f t="shared" si="20"/>
        <v>-172.04861600000004</v>
      </c>
      <c r="AJ15" s="67">
        <f>SUMIF(Rede!$D:$D,Geral!$C15,Rede!$AJ:$AJ)</f>
        <v>40.332999999999998</v>
      </c>
      <c r="AK15" s="64">
        <f>SUMIF(Rede!$D:$D,Geral!$C15,Rede!$AK:$AK)</f>
        <v>118.583</v>
      </c>
      <c r="AL15" s="64">
        <f>SUMIF(Rede!$D:$D,Geral!$C15,Rede!$AL:$AL)</f>
        <v>0</v>
      </c>
      <c r="AM15" s="64">
        <f>SUMIF(Rede!$D:$D,Geral!$C15,Rede!$AM:$AM)</f>
        <v>0</v>
      </c>
      <c r="AN15" s="67">
        <f>SUMIF(Rede!$D:$D,Geral!$C15,Rede!$AN:$AN)</f>
        <v>137.083</v>
      </c>
      <c r="AO15" s="64">
        <f>SUMIF(Rede!$D:$D,Geral!$C15,Rede!$AO:$AO)</f>
        <v>121.75</v>
      </c>
      <c r="AP15" s="64">
        <f>SUMIF(Rede!$D:$D,Geral!$C15,Rede!$AP:$AP)</f>
        <v>3.25</v>
      </c>
      <c r="AQ15" s="64">
        <f>SUMIF(Rede!$D:$D,Geral!$C15,Rede!$AQ:$AQ)</f>
        <v>0</v>
      </c>
      <c r="AR15" s="67">
        <f>SUMIF(Rede!$D:$D,Geral!$C15,Rede!$AR:$AR)</f>
        <v>130.11099999999999</v>
      </c>
      <c r="AS15" s="64">
        <f>SUMIF(Rede!$D:$D,Geral!$C15,Rede!$AS:$AS)</f>
        <v>543</v>
      </c>
      <c r="AT15" s="64">
        <f>SUMIF(Rede!$D:$D,Geral!$C15,Rede!$AT:$AT)</f>
        <v>24.25</v>
      </c>
      <c r="AU15" s="64">
        <f>SUMIF(Rede!$D:$D,Geral!$C15,Rede!$AU:$AU)</f>
        <v>0</v>
      </c>
      <c r="AW15" s="39">
        <f>SUMIF(Rede!$D:$D,Geral!C15,Rede!$AW:$AW)</f>
        <v>490.14600000000002</v>
      </c>
      <c r="AX15" s="35">
        <f>SUMIF(Rede!$D:$D,Geral!C15,Rede!$AX:$AX)</f>
        <v>600.79287157870317</v>
      </c>
      <c r="AY15" s="35">
        <f>SUMIF(Rede!$D:$D,Geral!C15,Rede!$AY:$AY)</f>
        <v>982.5</v>
      </c>
      <c r="AZ15" s="35">
        <f>SUMIF(Rede!$D:$D,Geral!C15,Rede!$AZ:$AZ)</f>
        <v>57.125</v>
      </c>
      <c r="BA15" s="35">
        <f>SUMIF(Rede!$D:$D,Geral!C15,Rede!$BA:$BA)</f>
        <v>0</v>
      </c>
      <c r="BB15" s="36">
        <f t="shared" si="21"/>
        <v>1.7304216630736278</v>
      </c>
      <c r="BC15" s="37">
        <f t="shared" si="22"/>
        <v>1.1210516866403073</v>
      </c>
      <c r="BD15" s="40">
        <f t="shared" si="23"/>
        <v>-438.83212842129683</v>
      </c>
      <c r="BE15" s="67">
        <f>SUMIF(Rede!D:D,Geral!C15,Rede!$BE:$BE)</f>
        <v>199.42500000000001</v>
      </c>
      <c r="BF15" s="64">
        <f>SUMIF(Rede!D:D,Geral!C15,Rede!$BF:$BF)</f>
        <v>162.5</v>
      </c>
      <c r="BG15" s="64">
        <f>SUMIF(Rede!D:D,Geral!C15,Rede!$BG:$BG)</f>
        <v>0</v>
      </c>
      <c r="BH15" s="64">
        <f>SUMIF(Rede!D:D,Geral!C15,Rede!$BH:$BH)</f>
        <v>0</v>
      </c>
      <c r="BI15" s="67">
        <f>SUMIF(Rede!$D:$D,Geral!C15,Rede!$BI:$BI)</f>
        <v>68.275000000000006</v>
      </c>
      <c r="BJ15" s="64">
        <f>SUMIF(Rede!$D:$D,Geral!C15,Rede!$BJ:$BJ)</f>
        <v>106</v>
      </c>
      <c r="BK15" s="64">
        <f>SUMIF(Rede!$D:$D,Geral!C15,Rede!$BK:$BK)</f>
        <v>0</v>
      </c>
      <c r="BL15" s="64">
        <f>SUMIF(Rede!$D:$D,Geral!C15,Rede!$BL:$BL)</f>
        <v>0</v>
      </c>
      <c r="BM15" s="67">
        <f>SUMIF(Rede!$D:$D,Geral!C15,Rede!$BM:$BM)</f>
        <v>222.446</v>
      </c>
      <c r="BN15" s="64">
        <f>SUMIF(Rede!$D:$D,Geral!C15,Rede!$BN:$BN)</f>
        <v>714</v>
      </c>
      <c r="BO15" s="64">
        <f>SUMIF(Rede!$D:$D,Geral!C15,Rede!$BO:$BO)</f>
        <v>57.125</v>
      </c>
      <c r="BP15" s="64">
        <f>SUMIF(Rede!$D:$D,Geral!C15,Rede!$BP:$BP)</f>
        <v>0</v>
      </c>
      <c r="BQ15" s="7"/>
      <c r="BR15" s="39">
        <f>SUMIF(Rede!$D:$D,Geral!C15,Rede!$BR:$BR)</f>
        <v>406.83299999999997</v>
      </c>
      <c r="BS15" s="35">
        <f>SUMIF(Rede!$D:$D,Geral!C15,Rede!$BS:$BS)</f>
        <v>642</v>
      </c>
      <c r="BT15" s="35">
        <f>SUMIF(Rede!$D:$D,Geral!C15,Rede!$BT:$BT)</f>
        <v>562</v>
      </c>
      <c r="BU15" s="35">
        <f>SUMIF(Rede!$D:$D,Geral!C15,Rede!$BU:$BU)</f>
        <v>0</v>
      </c>
      <c r="BV15" s="35">
        <f>SUMIF(Rede!$D:$D,Geral!C15,Rede!$BV:$BV)</f>
        <v>0</v>
      </c>
      <c r="BW15" s="36">
        <f t="shared" si="24"/>
        <v>0.87538940809968846</v>
      </c>
      <c r="BX15" s="37">
        <f t="shared" si="25"/>
        <v>0.38140219697025568</v>
      </c>
      <c r="BY15" s="40">
        <f t="shared" si="26"/>
        <v>80</v>
      </c>
      <c r="BZ15" s="67">
        <f>SUMIF(Rede!$D:$D,Geral!C15,Rede!$BZ:$BZ)</f>
        <v>77.332999999999998</v>
      </c>
      <c r="CA15" s="65">
        <f>SUMIF(Rede!$D:$D,Geral!C15,Rede!$CA:$CA)</f>
        <v>38.457999999999998</v>
      </c>
      <c r="CB15" s="65">
        <f>SUMIF(Rede!$D:$D,Geral!C15,Rede!$CB:$CB)</f>
        <v>0</v>
      </c>
      <c r="CC15" s="65">
        <f>SUMIF(Rede!$D:$D,Geral!C15,Rede!$CC:$CC)</f>
        <v>0</v>
      </c>
      <c r="CD15" s="67">
        <f>SUMIF(Rede!$D:$D,Geral!C15,Rede!$CD:$CD)</f>
        <v>124</v>
      </c>
      <c r="CE15" s="64">
        <f>SUMIF(Rede!$D:$D,Geral!C15,Rede!$CE:$CE)</f>
        <v>205</v>
      </c>
      <c r="CF15" s="64">
        <f>SUMIF(Rede!$D:$D,Geral!C15,Rede!$CF:$CF)</f>
        <v>0</v>
      </c>
      <c r="CG15" s="64">
        <f>SUMIF(Rede!$D:$D,Geral!C15,Rede!$CG:$CG)</f>
        <v>0</v>
      </c>
      <c r="CH15" s="67">
        <f>SUMIF(Rede!$D:$D,Geral!C15,Rede!$CH:$CH)</f>
        <v>205.5</v>
      </c>
      <c r="CI15" s="64">
        <f>SUMIF(Rede!$D:$D,Geral!C15,Rede!$CI:$CI)</f>
        <v>318.54200000000003</v>
      </c>
      <c r="CJ15" s="64">
        <f>SUMIF(Rede!$D:$D,Geral!C15,Rede!$CJ:$CJ)</f>
        <v>0</v>
      </c>
      <c r="CK15" s="64">
        <f>SUMIF(Rede!$D:$D,Geral!C15,Rede!$CK:$CK)</f>
        <v>0</v>
      </c>
      <c r="CL15" s="7"/>
      <c r="CM15" s="39">
        <f t="shared" si="27"/>
        <v>2455.6310000000003</v>
      </c>
      <c r="CN15" s="35">
        <f t="shared" si="27"/>
        <v>2626.8272555787034</v>
      </c>
      <c r="CO15" s="34">
        <f t="shared" si="27"/>
        <v>3117.2080000000001</v>
      </c>
      <c r="CP15" s="34">
        <f t="shared" si="27"/>
        <v>85.625</v>
      </c>
      <c r="CQ15" s="34">
        <f t="shared" si="27"/>
        <v>0</v>
      </c>
      <c r="CR15" s="36">
        <f t="shared" si="31"/>
        <v>1.2192781208577796</v>
      </c>
      <c r="CS15" s="37">
        <f t="shared" si="32"/>
        <v>0.30428105851408449</v>
      </c>
      <c r="CT15" s="40">
        <f t="shared" si="33"/>
        <v>-576.00574442129664</v>
      </c>
      <c r="CU15" s="21"/>
    </row>
    <row r="16" spans="2:99" ht="15" customHeight="1" x14ac:dyDescent="0.35">
      <c r="B16" s="161" t="s">
        <v>97</v>
      </c>
      <c r="C16" s="161">
        <v>179</v>
      </c>
      <c r="D16" s="161" t="s">
        <v>4</v>
      </c>
      <c r="E16" s="54" t="s">
        <v>793</v>
      </c>
      <c r="F16" s="112">
        <f>COUNTIF(Rede!$D:$D,Geral!$C16)</f>
        <v>1</v>
      </c>
      <c r="G16" s="39">
        <f>SUMIF(Rede!$D:$D,Geral!C16,Rede!$G:$G)</f>
        <v>1707.9580000000001</v>
      </c>
      <c r="H16" s="35">
        <f>SUMIF(Rede!$D:$D,Geral!C16,Rede!$H:$H)</f>
        <v>2181.2600000000002</v>
      </c>
      <c r="I16" s="35">
        <f>SUMIF(Rede!$D:$D,Geral!C16,Rede!$I:$I)</f>
        <v>1828</v>
      </c>
      <c r="J16" s="35">
        <f>SUMIF(Rede!$D:$D,Geral!$C16,Rede!$J:$J)</f>
        <v>15</v>
      </c>
      <c r="K16" s="35">
        <f>SUMIF(Rede!$D:$D,Geral!C16,Rede!$K:$K)</f>
        <v>0</v>
      </c>
      <c r="L16" s="36">
        <f t="shared" si="18"/>
        <v>0.84492449318283924</v>
      </c>
      <c r="M16" s="37">
        <f t="shared" si="28"/>
        <v>7.9066347064740361E-2</v>
      </c>
      <c r="N16" s="40">
        <f t="shared" si="29"/>
        <v>338.26000000000022</v>
      </c>
      <c r="O16" s="67">
        <f>SUMIF(Rede!$D:$D,Geral!$C16,Rede!$O:$O)</f>
        <v>504</v>
      </c>
      <c r="P16" s="64">
        <f>SUMIF(Rede!$D:$D,Geral!$C16,Rede!$P:$P)</f>
        <v>109</v>
      </c>
      <c r="Q16" s="64">
        <f>SUMIF(Rede!$D:$D,Geral!$C16,Rede!$Q:$Q)</f>
        <v>0</v>
      </c>
      <c r="R16" s="64">
        <f>SUMIF(Rede!$D:$D,Geral!$C16,Rede!$R:$R)</f>
        <v>0</v>
      </c>
      <c r="S16" s="67">
        <f>SUMIF(Rede!$D:$D,Geral!$C16,Rede!$S:$S)</f>
        <v>204.958</v>
      </c>
      <c r="T16" s="64">
        <f>SUMIF(Rede!$D:$D,Geral!$C16,Rede!$T:$T)</f>
        <v>1458</v>
      </c>
      <c r="U16" s="64">
        <f>SUMIF(Rede!$D:$D,Geral!$C16,Rede!$U:$U)</f>
        <v>15</v>
      </c>
      <c r="V16" s="64">
        <f>SUMIF(Rede!$D:$D,Geral!$C16,Rede!$V:$V)</f>
        <v>0</v>
      </c>
      <c r="W16" s="67">
        <f>SUMIF(Rede!$D:$D,Geral!$C16,Rede!$W:$W)</f>
        <v>999</v>
      </c>
      <c r="X16" s="64">
        <f>SUMIF(Rede!$D:$D,Geral!$C16,Rede!$X:$X)</f>
        <v>261</v>
      </c>
      <c r="Y16" s="64">
        <f>SUMIF(Rede!$D:$D,Geral!$C16,Rede!$Y:$Y)</f>
        <v>0</v>
      </c>
      <c r="Z16" s="64">
        <f>SUMIF(Rede!$D:$D,Geral!$C16,Rede!$Z:$Z)</f>
        <v>0</v>
      </c>
      <c r="AB16" s="39">
        <f>SUMIF(Rede!D:D,Geral!C16,Rede!$AB:$AB)</f>
        <v>2156</v>
      </c>
      <c r="AC16" s="35">
        <f>SUMIF(Rede!D:D,Geral!C16,Rede!$AC:$AC)</f>
        <v>1869.643296</v>
      </c>
      <c r="AD16" s="35">
        <f>SUMIF(Rede!D:D,Geral!C16,Rede!$AD:$AD)</f>
        <v>1741.75</v>
      </c>
      <c r="AE16" s="35">
        <f>SUMIF(Rede!$D:$D,Geral!$C16,Rede!$AE:$AE)</f>
        <v>3</v>
      </c>
      <c r="AF16" s="35">
        <f>SUMIF(Rede!D:D,Geral!C16,Rede!$AF:$AF)</f>
        <v>0</v>
      </c>
      <c r="AG16" s="36">
        <f t="shared" si="30"/>
        <v>0.93319939890822901</v>
      </c>
      <c r="AH16" s="37">
        <f>IFERROR(((AD16+AF16+AE16)/AB16-1),0)</f>
        <v>-0.19074675324675328</v>
      </c>
      <c r="AI16" s="59">
        <f>AC16-AD16-AF16-AE16</f>
        <v>124.89329599999996</v>
      </c>
      <c r="AJ16" s="67">
        <f>SUMIF(Rede!$D:$D,Geral!$C16,Rede!$AJ:$AJ)</f>
        <v>624</v>
      </c>
      <c r="AK16" s="64">
        <f>SUMIF(Rede!$D:$D,Geral!$C16,Rede!$AK:$AK)</f>
        <v>548.75</v>
      </c>
      <c r="AL16" s="64">
        <f>SUMIF(Rede!$D:$D,Geral!$C16,Rede!$AL:$AL)</f>
        <v>0</v>
      </c>
      <c r="AM16" s="64">
        <f>SUMIF(Rede!$D:$D,Geral!$C16,Rede!$AM:$AM)</f>
        <v>0</v>
      </c>
      <c r="AN16" s="67">
        <f>SUMIF(Rede!$D:$D,Geral!$C16,Rede!$AN:$AN)</f>
        <v>945</v>
      </c>
      <c r="AO16" s="64">
        <f>SUMIF(Rede!$D:$D,Geral!$C16,Rede!$AO:$AO)</f>
        <v>578</v>
      </c>
      <c r="AP16" s="64">
        <f>SUMIF(Rede!$D:$D,Geral!$C16,Rede!$AP:$AP)</f>
        <v>3</v>
      </c>
      <c r="AQ16" s="64">
        <f>SUMIF(Rede!$D:$D,Geral!$C16,Rede!$AQ:$AQ)</f>
        <v>0</v>
      </c>
      <c r="AR16" s="67">
        <f>SUMIF(Rede!$D:$D,Geral!$C16,Rede!$AR:$AR)</f>
        <v>587</v>
      </c>
      <c r="AS16" s="64">
        <f>SUMIF(Rede!$D:$D,Geral!$C16,Rede!$AS:$AS)</f>
        <v>615</v>
      </c>
      <c r="AT16" s="64">
        <f>SUMIF(Rede!$D:$D,Geral!$C16,Rede!$AT:$AT)</f>
        <v>0</v>
      </c>
      <c r="AU16" s="64">
        <f>SUMIF(Rede!$D:$D,Geral!$C16,Rede!$AU:$AU)</f>
        <v>0</v>
      </c>
      <c r="AW16" s="39">
        <f>SUMIF(Rede!$D:$D,Geral!C16,Rede!$AW:$AW)</f>
        <v>2145.4169999999999</v>
      </c>
      <c r="AX16" s="35">
        <f>SUMIF(Rede!$D:$D,Geral!C16,Rede!$AX:$AX)</f>
        <v>1758.4468136148289</v>
      </c>
      <c r="AY16" s="35">
        <f>SUMIF(Rede!$D:$D,Geral!C16,Rede!$AY:$AY)</f>
        <v>1714.875</v>
      </c>
      <c r="AZ16" s="35">
        <f>SUMIF(Rede!$D:$D,Geral!C16,Rede!$AZ:$AZ)</f>
        <v>25</v>
      </c>
      <c r="BA16" s="35">
        <f>SUMIF(Rede!$D:$D,Geral!C16,Rede!$BA:$BA)</f>
        <v>0</v>
      </c>
      <c r="BB16" s="36">
        <f t="shared" si="21"/>
        <v>0.98943851274258854</v>
      </c>
      <c r="BC16" s="37">
        <f t="shared" si="22"/>
        <v>-0.18902712153394885</v>
      </c>
      <c r="BD16" s="40">
        <f t="shared" si="23"/>
        <v>18.571813614828898</v>
      </c>
      <c r="BE16" s="67">
        <f>SUMIF(Rede!D:D,Geral!C16,Rede!$BE:$BE)</f>
        <v>517</v>
      </c>
      <c r="BF16" s="64">
        <f>SUMIF(Rede!D:D,Geral!C16,Rede!$BF:$BF)</f>
        <v>235.917</v>
      </c>
      <c r="BG16" s="64">
        <f>SUMIF(Rede!D:D,Geral!C16,Rede!$BG:$BG)</f>
        <v>0</v>
      </c>
      <c r="BH16" s="64">
        <f>SUMIF(Rede!D:D,Geral!C16,Rede!$BH:$BH)</f>
        <v>0</v>
      </c>
      <c r="BI16" s="67">
        <f>SUMIF(Rede!$D:$D,Geral!C16,Rede!$BI:$BI)</f>
        <v>408</v>
      </c>
      <c r="BJ16" s="64">
        <f>SUMIF(Rede!$D:$D,Geral!C16,Rede!$BJ:$BJ)</f>
        <v>790.95799999999997</v>
      </c>
      <c r="BK16" s="64">
        <f>SUMIF(Rede!$D:$D,Geral!C16,Rede!$BK:$BK)</f>
        <v>12</v>
      </c>
      <c r="BL16" s="64">
        <f>SUMIF(Rede!$D:$D,Geral!C16,Rede!$BL:$BL)</f>
        <v>0</v>
      </c>
      <c r="BM16" s="67">
        <f>SUMIF(Rede!$D:$D,Geral!C16,Rede!$BM:$BM)</f>
        <v>1220.4169999999999</v>
      </c>
      <c r="BN16" s="64">
        <f>SUMIF(Rede!$D:$D,Geral!C16,Rede!$BN:$BN)</f>
        <v>688</v>
      </c>
      <c r="BO16" s="64">
        <f>SUMIF(Rede!$D:$D,Geral!C16,Rede!$BO:$BO)</f>
        <v>13</v>
      </c>
      <c r="BP16" s="64">
        <f>SUMIF(Rede!$D:$D,Geral!C16,Rede!$BP:$BP)</f>
        <v>0</v>
      </c>
      <c r="BQ16" s="7"/>
      <c r="BR16" s="39">
        <f>SUMIF(Rede!$D:$D,Geral!C16,Rede!$BR:$BR)</f>
        <v>1078.25</v>
      </c>
      <c r="BS16" s="35">
        <f>SUMIF(Rede!$D:$D,Geral!C16,Rede!$BS:$BS)</f>
        <v>1872</v>
      </c>
      <c r="BT16" s="35">
        <f>SUMIF(Rede!$D:$D,Geral!C16,Rede!$BT:$BT)</f>
        <v>1087</v>
      </c>
      <c r="BU16" s="35">
        <f>SUMIF(Rede!$D:$D,Geral!C16,Rede!$BU:$BU)</f>
        <v>59</v>
      </c>
      <c r="BV16" s="35">
        <f>SUMIF(Rede!$D:$D,Geral!C16,Rede!$BV:$BV)</f>
        <v>18</v>
      </c>
      <c r="BW16" s="36">
        <f t="shared" si="24"/>
        <v>0.62179487179487181</v>
      </c>
      <c r="BX16" s="37">
        <f t="shared" si="25"/>
        <v>7.9527011361001598E-2</v>
      </c>
      <c r="BY16" s="40">
        <f t="shared" si="26"/>
        <v>708</v>
      </c>
      <c r="BZ16" s="67">
        <f>SUMIF(Rede!$D:$D,Geral!C16,Rede!$BZ:$BZ)</f>
        <v>179.25</v>
      </c>
      <c r="CA16" s="65">
        <f>SUMIF(Rede!$D:$D,Geral!C16,Rede!$CA:$CA)</f>
        <v>365</v>
      </c>
      <c r="CB16" s="65">
        <f>SUMIF(Rede!$D:$D,Geral!C16,Rede!$CB:$CB)</f>
        <v>3</v>
      </c>
      <c r="CC16" s="65">
        <f>SUMIF(Rede!$D:$D,Geral!C16,Rede!$CC:$CC)</f>
        <v>0</v>
      </c>
      <c r="CD16" s="67">
        <f>SUMIF(Rede!$D:$D,Geral!C16,Rede!$CD:$CD)</f>
        <v>490</v>
      </c>
      <c r="CE16" s="64">
        <f>SUMIF(Rede!$D:$D,Geral!C16,Rede!$CE:$CE)</f>
        <v>518</v>
      </c>
      <c r="CF16" s="64">
        <f>SUMIF(Rede!$D:$D,Geral!C16,Rede!$CF:$CF)</f>
        <v>15</v>
      </c>
      <c r="CG16" s="64">
        <f>SUMIF(Rede!$D:$D,Geral!C16,Rede!$CG:$CG)</f>
        <v>0</v>
      </c>
      <c r="CH16" s="67">
        <f>SUMIF(Rede!$D:$D,Geral!C16,Rede!$CH:$CH)</f>
        <v>409</v>
      </c>
      <c r="CI16" s="64">
        <f>SUMIF(Rede!$D:$D,Geral!C16,Rede!$CI:$CI)</f>
        <v>204</v>
      </c>
      <c r="CJ16" s="64">
        <f>SUMIF(Rede!$D:$D,Geral!C16,Rede!$CJ:$CJ)</f>
        <v>0</v>
      </c>
      <c r="CK16" s="64">
        <f>SUMIF(Rede!$D:$D,Geral!C16,Rede!$CK:$CK)</f>
        <v>59</v>
      </c>
      <c r="CL16" s="7"/>
      <c r="CM16" s="39">
        <f t="shared" si="27"/>
        <v>7087.625</v>
      </c>
      <c r="CN16" s="35">
        <f t="shared" si="27"/>
        <v>7681.3501096148293</v>
      </c>
      <c r="CO16" s="34">
        <f t="shared" si="27"/>
        <v>6371.625</v>
      </c>
      <c r="CP16" s="34">
        <f t="shared" si="27"/>
        <v>102</v>
      </c>
      <c r="CQ16" s="34">
        <f t="shared" si="27"/>
        <v>18</v>
      </c>
      <c r="CR16" s="36">
        <f t="shared" si="31"/>
        <v>0.84511510442342197</v>
      </c>
      <c r="CS16" s="37">
        <f t="shared" si="32"/>
        <v>-8.4090227685578722E-2</v>
      </c>
      <c r="CT16" s="40">
        <f t="shared" si="33"/>
        <v>1189.7251096148293</v>
      </c>
      <c r="CU16" s="21"/>
    </row>
    <row r="17" spans="2:99" ht="15" customHeight="1" x14ac:dyDescent="0.35">
      <c r="B17" s="161" t="s">
        <v>97</v>
      </c>
      <c r="C17" s="161">
        <v>359</v>
      </c>
      <c r="D17" s="161" t="s">
        <v>489</v>
      </c>
      <c r="E17" s="54" t="s">
        <v>794</v>
      </c>
      <c r="F17" s="112">
        <f>COUNTIF(Rede!$D:$D,Geral!$C17)</f>
        <v>3</v>
      </c>
      <c r="G17" s="39">
        <f>SUMIF(Rede!$D:$D,Geral!C17,Rede!$G:$G)</f>
        <v>3532.3869999999997</v>
      </c>
      <c r="H17" s="35">
        <f>SUMIF(Rede!$D:$D,Geral!C17,Rede!$H:$H)</f>
        <v>2496.36</v>
      </c>
      <c r="I17" s="35">
        <f>SUMIF(Rede!$D:$D,Geral!C17,Rede!$I:$I)</f>
        <v>2599.2919999999999</v>
      </c>
      <c r="J17" s="35">
        <f>SUMIF(Rede!$D:$D,Geral!$C17,Rede!$J:$J)</f>
        <v>21.25</v>
      </c>
      <c r="K17" s="35">
        <f>SUMIF(Rede!$D:$D,Geral!C17,Rede!$K:$K)</f>
        <v>0</v>
      </c>
      <c r="L17" s="36">
        <f t="shared" si="18"/>
        <v>1.0497452290535019</v>
      </c>
      <c r="M17" s="37">
        <f t="shared" ref="M17" si="34">IFERROR(((I17+K17+J17)/G17-1),0)</f>
        <v>-0.25813847689961489</v>
      </c>
      <c r="N17" s="40">
        <f t="shared" ref="N17" si="35">H17-I17-J17-K17</f>
        <v>-124.18199999999979</v>
      </c>
      <c r="O17" s="67">
        <f>SUMIF(Rede!$D:$D,Geral!$C17,Rede!$O:$O)</f>
        <v>167.24099999999999</v>
      </c>
      <c r="P17" s="64">
        <f>SUMIF(Rede!$D:$D,Geral!$C17,Rede!$P:$P)</f>
        <v>96.042000000000002</v>
      </c>
      <c r="Q17" s="64">
        <f>SUMIF(Rede!$D:$D,Geral!$C17,Rede!$Q:$Q)</f>
        <v>11.75</v>
      </c>
      <c r="R17" s="64">
        <f>SUMIF(Rede!$D:$D,Geral!$C17,Rede!$R:$R)</f>
        <v>0</v>
      </c>
      <c r="S17" s="67">
        <f>SUMIF(Rede!$D:$D,Geral!$C17,Rede!$S:$S)</f>
        <v>1846.146</v>
      </c>
      <c r="T17" s="64">
        <f>SUMIF(Rede!$D:$D,Geral!$C17,Rede!$T:$T)</f>
        <v>906.5</v>
      </c>
      <c r="U17" s="64">
        <f>SUMIF(Rede!$D:$D,Geral!$C17,Rede!$U:$U)</f>
        <v>5</v>
      </c>
      <c r="V17" s="64">
        <f>SUMIF(Rede!$D:$D,Geral!$C17,Rede!$V:$V)</f>
        <v>0</v>
      </c>
      <c r="W17" s="67">
        <f>SUMIF(Rede!$D:$D,Geral!$C17,Rede!$W:$W)</f>
        <v>1519</v>
      </c>
      <c r="X17" s="64">
        <f>SUMIF(Rede!$D:$D,Geral!$C17,Rede!$X:$X)</f>
        <v>1596.75</v>
      </c>
      <c r="Y17" s="64">
        <f>SUMIF(Rede!$D:$D,Geral!$C17,Rede!$Y:$Y)</f>
        <v>4.5</v>
      </c>
      <c r="Z17" s="64">
        <f>SUMIF(Rede!$D:$D,Geral!$C17,Rede!$Z:$Z)</f>
        <v>0</v>
      </c>
      <c r="AB17" s="39">
        <f>SUMIF(Rede!D:D,Geral!C17,Rede!$AB:$AB)</f>
        <v>1915.5630000000001</v>
      </c>
      <c r="AC17" s="35">
        <f>SUMIF(Rede!D:D,Geral!C17,Rede!$AC:$AC)</f>
        <v>2139.7438560000005</v>
      </c>
      <c r="AD17" s="35">
        <f>SUMIF(Rede!D:D,Geral!C17,Rede!$AD:$AD)</f>
        <v>788.87699999999995</v>
      </c>
      <c r="AE17" s="35">
        <f>SUMIF(Rede!$D:$D,Geral!$C17,Rede!$AE:$AE)</f>
        <v>27.332999999999998</v>
      </c>
      <c r="AF17" s="35">
        <f>SUMIF(Rede!D:D,Geral!C17,Rede!$AF:$AF)</f>
        <v>0</v>
      </c>
      <c r="AG17" s="36">
        <f t="shared" ref="AG17" si="36">(AD17+AF17+AE17)/AC17</f>
        <v>0.38145219938885983</v>
      </c>
      <c r="AH17" s="37">
        <f t="shared" ref="AH17" si="37">IFERROR(((AD17+AF17+AE17)/AB17-1),0)</f>
        <v>-0.5739059482773472</v>
      </c>
      <c r="AI17" s="59">
        <f t="shared" ref="AI17" si="38">AC17-AD17-AF17-AE17</f>
        <v>1323.5338560000005</v>
      </c>
      <c r="AJ17" s="67">
        <f>SUMIF(Rede!$D:$D,Geral!$C17,Rede!$AJ:$AJ)</f>
        <v>651.14599999999996</v>
      </c>
      <c r="AK17" s="64">
        <f>SUMIF(Rede!$D:$D,Geral!$C17,Rede!$AK:$AK)</f>
        <v>131.167</v>
      </c>
      <c r="AL17" s="64">
        <f>SUMIF(Rede!$D:$D,Geral!$C17,Rede!$AL:$AL)</f>
        <v>0</v>
      </c>
      <c r="AM17" s="64">
        <f>SUMIF(Rede!$D:$D,Geral!$C17,Rede!$AM:$AM)</f>
        <v>0</v>
      </c>
      <c r="AN17" s="67">
        <f>SUMIF(Rede!$D:$D,Geral!$C17,Rede!$AN:$AN)</f>
        <v>546.5</v>
      </c>
      <c r="AO17" s="64">
        <f>SUMIF(Rede!$D:$D,Geral!$C17,Rede!$AO:$AO)</f>
        <v>273.87599999999998</v>
      </c>
      <c r="AP17" s="64">
        <f>SUMIF(Rede!$D:$D,Geral!$C17,Rede!$AP:$AP)</f>
        <v>7.3330000000000002</v>
      </c>
      <c r="AQ17" s="64">
        <f>SUMIF(Rede!$D:$D,Geral!$C17,Rede!$AQ:$AQ)</f>
        <v>0</v>
      </c>
      <c r="AR17" s="67">
        <f>SUMIF(Rede!$D:$D,Geral!$C17,Rede!$AR:$AR)</f>
        <v>717.91699999999992</v>
      </c>
      <c r="AS17" s="64">
        <f>SUMIF(Rede!$D:$D,Geral!$C17,Rede!$AS:$AS)</f>
        <v>383.834</v>
      </c>
      <c r="AT17" s="64">
        <f>SUMIF(Rede!$D:$D,Geral!$C17,Rede!$AT:$AT)</f>
        <v>20</v>
      </c>
      <c r="AU17" s="64">
        <f>SUMIF(Rede!$D:$D,Geral!$C17,Rede!$AU:$AU)</f>
        <v>0</v>
      </c>
      <c r="AW17" s="39">
        <f>SUMIF(Rede!$D:$D,Geral!C17,Rede!$AW:$AW)</f>
        <v>1699.604</v>
      </c>
      <c r="AX17" s="35">
        <f>SUMIF(Rede!$D:$D,Geral!C17,Rede!$AX:$AX)</f>
        <v>2012.4832226473577</v>
      </c>
      <c r="AY17" s="35">
        <f>SUMIF(Rede!$D:$D,Geral!C17,Rede!$AY:$AY)</f>
        <v>1096.79</v>
      </c>
      <c r="AZ17" s="35">
        <f>SUMIF(Rede!$D:$D,Geral!C17,Rede!$AZ:$AZ)</f>
        <v>81</v>
      </c>
      <c r="BA17" s="35">
        <f>SUMIF(Rede!$D:$D,Geral!C17,Rede!$BA:$BA)</f>
        <v>0</v>
      </c>
      <c r="BB17" s="36">
        <f t="shared" ref="BB17" si="39">(AY17+AZ17+BA17)/AX17</f>
        <v>0.58524214599446678</v>
      </c>
      <c r="BC17" s="37">
        <f t="shared" ref="BC17" si="40">IFERROR(((AY17+AZ17+BA17)/AW17-1),0)</f>
        <v>-0.30702092958124372</v>
      </c>
      <c r="BD17" s="40">
        <f t="shared" ref="BD17" si="41">AX17-AY17-BA17-AZ17</f>
        <v>834.69322264735774</v>
      </c>
      <c r="BE17" s="67">
        <f>SUMIF(Rede!D:D,Geral!C17,Rede!$BE:$BE)</f>
        <v>192.167</v>
      </c>
      <c r="BF17" s="64">
        <f>SUMIF(Rede!D:D,Geral!C17,Rede!$BF:$BF)</f>
        <v>251.624</v>
      </c>
      <c r="BG17" s="64">
        <f>SUMIF(Rede!D:D,Geral!C17,Rede!$BG:$BG)</f>
        <v>9</v>
      </c>
      <c r="BH17" s="64">
        <f>SUMIF(Rede!D:D,Geral!C17,Rede!$BH:$BH)</f>
        <v>0</v>
      </c>
      <c r="BI17" s="67">
        <f>SUMIF(Rede!$D:$D,Geral!C17,Rede!$BI:$BI)</f>
        <v>320.47899999999998</v>
      </c>
      <c r="BJ17" s="64">
        <f>SUMIF(Rede!$D:$D,Geral!C17,Rede!$BJ:$BJ)</f>
        <v>192.958</v>
      </c>
      <c r="BK17" s="64">
        <f>SUMIF(Rede!$D:$D,Geral!C17,Rede!$BK:$BK)</f>
        <v>25</v>
      </c>
      <c r="BL17" s="64">
        <f>SUMIF(Rede!$D:$D,Geral!C17,Rede!$BL:$BL)</f>
        <v>0</v>
      </c>
      <c r="BM17" s="67">
        <f>SUMIF(Rede!$D:$D,Geral!C17,Rede!$BM:$BM)</f>
        <v>1186.9580000000001</v>
      </c>
      <c r="BN17" s="64">
        <f>SUMIF(Rede!$D:$D,Geral!C17,Rede!$BN:$BN)</f>
        <v>652.20799999999997</v>
      </c>
      <c r="BO17" s="64">
        <f>SUMIF(Rede!$D:$D,Geral!C17,Rede!$BO:$BO)</f>
        <v>47</v>
      </c>
      <c r="BP17" s="64">
        <f>SUMIF(Rede!$D:$D,Geral!C17,Rede!$BP:$BP)</f>
        <v>0</v>
      </c>
      <c r="BQ17" s="7"/>
      <c r="BR17" s="39">
        <f>SUMIF(Rede!$D:$D,Geral!C17,Rede!$BR:$BR)</f>
        <v>1171.8119999999999</v>
      </c>
      <c r="BS17" s="35">
        <f>SUMIF(Rede!$D:$D,Geral!C17,Rede!$BS:$BS)</f>
        <v>2142</v>
      </c>
      <c r="BT17" s="35">
        <f>SUMIF(Rede!$D:$D,Geral!C17,Rede!$BT:$BT)</f>
        <v>902.79300000000012</v>
      </c>
      <c r="BU17" s="35">
        <f>SUMIF(Rede!$D:$D,Geral!C17,Rede!$BU:$BU)</f>
        <v>121</v>
      </c>
      <c r="BV17" s="35">
        <f>SUMIF(Rede!$D:$D,Geral!C17,Rede!$BV:$BV)</f>
        <v>94.542000000000002</v>
      </c>
      <c r="BW17" s="36">
        <f t="shared" ref="BW17" si="42">(BT17+BU17+BV17)/BS17</f>
        <v>0.52209850606909436</v>
      </c>
      <c r="BX17" s="37">
        <f t="shared" ref="BX17" si="43">IFERROR(((BT17+BU17+BV17)/BR17-1),0)</f>
        <v>-4.5636160066631737E-2</v>
      </c>
      <c r="BY17" s="40">
        <f t="shared" ref="BY17" si="44">BS17-BT17-BU17-BV17</f>
        <v>1023.6649999999998</v>
      </c>
      <c r="BZ17" s="67">
        <f>SUMIF(Rede!$D:$D,Geral!C17,Rede!$BZ:$BZ)</f>
        <v>332.06200000000001</v>
      </c>
      <c r="CA17" s="65">
        <f>SUMIF(Rede!$D:$D,Geral!C17,Rede!$CA:$CA)</f>
        <v>284.93700000000001</v>
      </c>
      <c r="CB17" s="65">
        <f>SUMIF(Rede!$D:$D,Geral!C17,Rede!$CB:$CB)</f>
        <v>30.292000000000002</v>
      </c>
      <c r="CC17" s="65">
        <f>SUMIF(Rede!$D:$D,Geral!C17,Rede!$CC:$CC)</f>
        <v>0</v>
      </c>
      <c r="CD17" s="67">
        <f>SUMIF(Rede!$D:$D,Geral!C17,Rede!$CD:$CD)</f>
        <v>121.75</v>
      </c>
      <c r="CE17" s="64">
        <f>SUMIF(Rede!$D:$D,Geral!C17,Rede!$CE:$CE)</f>
        <v>223.751</v>
      </c>
      <c r="CF17" s="64">
        <f>SUMIF(Rede!$D:$D,Geral!C17,Rede!$CF:$CF)</f>
        <v>8.4169999999999998</v>
      </c>
      <c r="CG17" s="64">
        <f>SUMIF(Rede!$D:$D,Geral!C17,Rede!$CG:$CG)</f>
        <v>0</v>
      </c>
      <c r="CH17" s="67">
        <f>SUMIF(Rede!$D:$D,Geral!C17,Rede!$CH:$CH)</f>
        <v>718</v>
      </c>
      <c r="CI17" s="64">
        <f>SUMIF(Rede!$D:$D,Geral!C17,Rede!$CI:$CI)</f>
        <v>394.10500000000002</v>
      </c>
      <c r="CJ17" s="64">
        <f>SUMIF(Rede!$D:$D,Geral!C17,Rede!$CJ:$CJ)</f>
        <v>55.832999999999998</v>
      </c>
      <c r="CK17" s="64">
        <f>SUMIF(Rede!$D:$D,Geral!C17,Rede!$CK:$CK)</f>
        <v>121</v>
      </c>
      <c r="CL17" s="7"/>
      <c r="CM17" s="39">
        <f t="shared" si="27"/>
        <v>8319.366</v>
      </c>
      <c r="CN17" s="35">
        <f t="shared" si="27"/>
        <v>8790.5870786473588</v>
      </c>
      <c r="CO17" s="34">
        <f t="shared" si="27"/>
        <v>5387.7520000000004</v>
      </c>
      <c r="CP17" s="34">
        <f t="shared" si="27"/>
        <v>250.583</v>
      </c>
      <c r="CQ17" s="34">
        <f t="shared" si="27"/>
        <v>94.542000000000002</v>
      </c>
      <c r="CR17" s="36">
        <f t="shared" si="31"/>
        <v>0.65216087943948109</v>
      </c>
      <c r="CS17" s="37">
        <f t="shared" si="32"/>
        <v>-0.31089977289134763</v>
      </c>
      <c r="CT17" s="40">
        <f t="shared" si="33"/>
        <v>3057.7100786473584</v>
      </c>
      <c r="CU17" s="21"/>
    </row>
    <row r="18" spans="2:99" ht="15" customHeight="1" x14ac:dyDescent="0.35">
      <c r="B18" s="161" t="s">
        <v>97</v>
      </c>
      <c r="C18" s="161">
        <v>4066</v>
      </c>
      <c r="D18" s="161" t="s">
        <v>504</v>
      </c>
      <c r="E18" s="54" t="s">
        <v>795</v>
      </c>
      <c r="F18" s="112">
        <f>COUNTIF(Rede!$D:$D,Geral!$C18)</f>
        <v>1</v>
      </c>
      <c r="G18" s="39">
        <f>SUMIF(Rede!$D:$D,Geral!C18,Rede!$G:$G)</f>
        <v>651.25</v>
      </c>
      <c r="H18" s="35">
        <f>SUMIF(Rede!$D:$D,Geral!C18,Rede!$H:$H)</f>
        <v>397.51</v>
      </c>
      <c r="I18" s="35">
        <f>SUMIF(Rede!$D:$D,Geral!C18,Rede!$I:$I)</f>
        <v>396.45800000000003</v>
      </c>
      <c r="J18" s="35">
        <f>SUMIF(Rede!$D:$D,Geral!$C18,Rede!$J:$J)</f>
        <v>12.75</v>
      </c>
      <c r="K18" s="35">
        <f>SUMIF(Rede!$D:$D,Geral!C18,Rede!$K:$K)</f>
        <v>0</v>
      </c>
      <c r="L18" s="36">
        <f t="shared" si="18"/>
        <v>1.0294281904857741</v>
      </c>
      <c r="M18" s="37">
        <f t="shared" ref="M18" si="45">IFERROR(((I18+K18+J18)/G18-1),0)</f>
        <v>-0.37165758157389628</v>
      </c>
      <c r="N18" s="40">
        <f t="shared" ref="N18" si="46">H18-I18-J18-K18</f>
        <v>-11.698000000000036</v>
      </c>
      <c r="O18" s="67">
        <f>SUMIF(Rede!$D:$D,Geral!$C18,Rede!$O:$O)</f>
        <v>75.832999999999998</v>
      </c>
      <c r="P18" s="64">
        <f>SUMIF(Rede!$D:$D,Geral!$C18,Rede!$P:$P)</f>
        <v>145.375</v>
      </c>
      <c r="Q18" s="64">
        <f>SUMIF(Rede!$D:$D,Geral!$C18,Rede!$Q:$Q)</f>
        <v>9.75</v>
      </c>
      <c r="R18" s="64">
        <f>SUMIF(Rede!$D:$D,Geral!$C18,Rede!$R:$R)</f>
        <v>0</v>
      </c>
      <c r="S18" s="67">
        <f>SUMIF(Rede!$D:$D,Geral!$C18,Rede!$S:$S)</f>
        <v>72.75</v>
      </c>
      <c r="T18" s="64">
        <f>SUMIF(Rede!$D:$D,Geral!$C18,Rede!$T:$T)</f>
        <v>259.58300000000003</v>
      </c>
      <c r="U18" s="64">
        <f>SUMIF(Rede!$D:$D,Geral!$C18,Rede!$U:$U)</f>
        <v>3</v>
      </c>
      <c r="V18" s="64">
        <f>SUMIF(Rede!$D:$D,Geral!$C18,Rede!$V:$V)</f>
        <v>0</v>
      </c>
      <c r="W18" s="67">
        <f>SUMIF(Rede!$D:$D,Geral!$C18,Rede!$W:$W)</f>
        <v>502.66699999999997</v>
      </c>
      <c r="X18" s="64">
        <f>SUMIF(Rede!$D:$D,Geral!$C18,Rede!$X:$X)</f>
        <v>-8.5</v>
      </c>
      <c r="Y18" s="64">
        <f>SUMIF(Rede!$D:$D,Geral!$C18,Rede!$Y:$Y)</f>
        <v>0</v>
      </c>
      <c r="Z18" s="64">
        <f>SUMIF(Rede!$D:$D,Geral!$C18,Rede!$Z:$Z)</f>
        <v>0</v>
      </c>
      <c r="AB18" s="39">
        <f>SUMIF(Rede!D:D,Geral!C18,Rede!$AB:$AB)</f>
        <v>179</v>
      </c>
      <c r="AC18" s="35">
        <f>SUMIF(Rede!D:D,Geral!C18,Rede!$AC:$AC)</f>
        <v>340.72555199999999</v>
      </c>
      <c r="AD18" s="35">
        <f>SUMIF(Rede!D:D,Geral!C18,Rede!$AD:$AD)</f>
        <v>113.916</v>
      </c>
      <c r="AE18" s="35">
        <f>SUMIF(Rede!$D:$D,Geral!$C18,Rede!$AE:$AE)</f>
        <v>1.25</v>
      </c>
      <c r="AF18" s="35">
        <f>SUMIF(Rede!D:D,Geral!C18,Rede!$AF:$AF)</f>
        <v>0</v>
      </c>
      <c r="AG18" s="36">
        <f t="shared" ref="AG18" si="47">(AD18+AF18+AE18)/AC18</f>
        <v>0.33800224058335371</v>
      </c>
      <c r="AH18" s="37">
        <f t="shared" ref="AH18" si="48">IFERROR(((AD18+AF18+AE18)/AB18-1),0)</f>
        <v>-0.35661452513966485</v>
      </c>
      <c r="AI18" s="59">
        <f t="shared" ref="AI18" si="49">AC18-AD18-AF18-AE18</f>
        <v>225.559552</v>
      </c>
      <c r="AJ18" s="67">
        <f>SUMIF(Rede!$D:$D,Geral!$C18,Rede!$AJ:$AJ)</f>
        <v>78.5</v>
      </c>
      <c r="AK18" s="64">
        <f>SUMIF(Rede!$D:$D,Geral!$C18,Rede!$AK:$AK)</f>
        <v>25.082999999999998</v>
      </c>
      <c r="AL18" s="64">
        <f>SUMIF(Rede!$D:$D,Geral!$C18,Rede!$AL:$AL)</f>
        <v>0</v>
      </c>
      <c r="AM18" s="64">
        <f>SUMIF(Rede!$D:$D,Geral!$C18,Rede!$AM:$AM)</f>
        <v>0</v>
      </c>
      <c r="AN18" s="67">
        <f>SUMIF(Rede!$D:$D,Geral!$C18,Rede!$AN:$AN)</f>
        <v>58.5</v>
      </c>
      <c r="AO18" s="64">
        <f>SUMIF(Rede!$D:$D,Geral!$C18,Rede!$AO:$AO)</f>
        <v>65</v>
      </c>
      <c r="AP18" s="64">
        <f>SUMIF(Rede!$D:$D,Geral!$C18,Rede!$AP:$AP)</f>
        <v>1.25</v>
      </c>
      <c r="AQ18" s="64">
        <f>SUMIF(Rede!$D:$D,Geral!$C18,Rede!$AQ:$AQ)</f>
        <v>0</v>
      </c>
      <c r="AR18" s="67">
        <f>SUMIF(Rede!$D:$D,Geral!$C18,Rede!$AR:$AR)</f>
        <v>42</v>
      </c>
      <c r="AS18" s="64">
        <f>SUMIF(Rede!$D:$D,Geral!$C18,Rede!$AS:$AS)</f>
        <v>23.832999999999998</v>
      </c>
      <c r="AT18" s="64">
        <f>SUMIF(Rede!$D:$D,Geral!$C18,Rede!$AT:$AT)</f>
        <v>0</v>
      </c>
      <c r="AU18" s="64">
        <f>SUMIF(Rede!$D:$D,Geral!$C18,Rede!$AU:$AU)</f>
        <v>0</v>
      </c>
      <c r="AW18" s="39">
        <f>SUMIF(Rede!$D:$D,Geral!C18,Rede!$AW:$AW)</f>
        <v>358.75</v>
      </c>
      <c r="AX18" s="35">
        <f>SUMIF(Rede!$D:$D,Geral!C18,Rede!$AX:$AX)</f>
        <v>320.46100050924031</v>
      </c>
      <c r="AY18" s="35">
        <f>SUMIF(Rede!$D:$D,Geral!C18,Rede!$AY:$AY)</f>
        <v>373.91700000000003</v>
      </c>
      <c r="AZ18" s="35">
        <f>SUMIF(Rede!$D:$D,Geral!C18,Rede!$AZ:$AZ)</f>
        <v>28.25</v>
      </c>
      <c r="BA18" s="35">
        <f>SUMIF(Rede!$D:$D,Geral!C18,Rede!$BA:$BA)</f>
        <v>0</v>
      </c>
      <c r="BB18" s="36">
        <f t="shared" ref="BB18" si="50">(AY18+AZ18+BA18)/AX18</f>
        <v>1.2549639405759883</v>
      </c>
      <c r="BC18" s="37">
        <f t="shared" ref="BC18" si="51">IFERROR(((AY18+AZ18+BA18)/AW18-1),0)</f>
        <v>0.12102299651567949</v>
      </c>
      <c r="BD18" s="40">
        <f t="shared" ref="BD18" si="52">AX18-AY18-BA18-AZ18</f>
        <v>-81.705999490759723</v>
      </c>
      <c r="BE18" s="67">
        <f>SUMIF(Rede!D:D,Geral!C18,Rede!$BE:$BE)</f>
        <v>38.5</v>
      </c>
      <c r="BF18" s="64">
        <f>SUMIF(Rede!D:D,Geral!C18,Rede!$BF:$BF)</f>
        <v>65.167000000000002</v>
      </c>
      <c r="BG18" s="64">
        <f>SUMIF(Rede!D:D,Geral!C18,Rede!$BG:$BG)</f>
        <v>1.75</v>
      </c>
      <c r="BH18" s="64">
        <f>SUMIF(Rede!D:D,Geral!C18,Rede!$BH:$BH)</f>
        <v>0</v>
      </c>
      <c r="BI18" s="67">
        <f>SUMIF(Rede!$D:$D,Geral!C18,Rede!$BI:$BI)</f>
        <v>152.25</v>
      </c>
      <c r="BJ18" s="64">
        <f>SUMIF(Rede!$D:$D,Geral!C18,Rede!$BJ:$BJ)</f>
        <v>113.417</v>
      </c>
      <c r="BK18" s="64">
        <f>SUMIF(Rede!$D:$D,Geral!C18,Rede!$BK:$BK)</f>
        <v>2.5</v>
      </c>
      <c r="BL18" s="64">
        <f>SUMIF(Rede!$D:$D,Geral!C18,Rede!$BL:$BL)</f>
        <v>0</v>
      </c>
      <c r="BM18" s="67">
        <f>SUMIF(Rede!$D:$D,Geral!C18,Rede!$BM:$BM)</f>
        <v>168</v>
      </c>
      <c r="BN18" s="64">
        <f>SUMIF(Rede!$D:$D,Geral!C18,Rede!$BN:$BN)</f>
        <v>195.333</v>
      </c>
      <c r="BO18" s="64">
        <f>SUMIF(Rede!$D:$D,Geral!C18,Rede!$BO:$BO)</f>
        <v>24</v>
      </c>
      <c r="BP18" s="64">
        <f>SUMIF(Rede!$D:$D,Geral!C18,Rede!$BP:$BP)</f>
        <v>0</v>
      </c>
      <c r="BQ18" s="7"/>
      <c r="BR18" s="39">
        <f>SUMIF(Rede!$D:$D,Geral!C18,Rede!$BR:$BR)</f>
        <v>121.125</v>
      </c>
      <c r="BS18" s="35">
        <f>SUMIF(Rede!$D:$D,Geral!C18,Rede!$BS:$BS)</f>
        <v>342</v>
      </c>
      <c r="BT18" s="35">
        <f>SUMIF(Rede!$D:$D,Geral!C18,Rede!$BT:$BT)</f>
        <v>160.667</v>
      </c>
      <c r="BU18" s="35">
        <f>SUMIF(Rede!$D:$D,Geral!C18,Rede!$BU:$BU)</f>
        <v>45</v>
      </c>
      <c r="BV18" s="35">
        <f>SUMIF(Rede!$D:$D,Geral!C18,Rede!$BV:$BV)</f>
        <v>19.957999999999998</v>
      </c>
      <c r="BW18" s="36">
        <f t="shared" ref="BW18" si="53">(BT18+BU18+BV18)/BS18</f>
        <v>0.65972222222222221</v>
      </c>
      <c r="BX18" s="37">
        <f t="shared" ref="BX18" si="54">IFERROR(((BT18+BU18+BV18)/BR18-1),0)</f>
        <v>0.86274509803921573</v>
      </c>
      <c r="BY18" s="40">
        <f t="shared" ref="BY18" si="55">BS18-BT18-BU18-BV18</f>
        <v>116.375</v>
      </c>
      <c r="BZ18" s="67">
        <f>SUMIF(Rede!$D:$D,Geral!C18,Rede!$BZ:$BZ)</f>
        <v>62.25</v>
      </c>
      <c r="CA18" s="65">
        <f>SUMIF(Rede!$D:$D,Geral!C18,Rede!$CA:$CA)</f>
        <v>26.667000000000002</v>
      </c>
      <c r="CB18" s="65">
        <f>SUMIF(Rede!$D:$D,Geral!C18,Rede!$CB:$CB)</f>
        <v>0.83299999999999996</v>
      </c>
      <c r="CC18" s="65">
        <f>SUMIF(Rede!$D:$D,Geral!C18,Rede!$CC:$CC)</f>
        <v>0</v>
      </c>
      <c r="CD18" s="67">
        <f>SUMIF(Rede!$D:$D,Geral!C18,Rede!$CD:$CD)</f>
        <v>50.875</v>
      </c>
      <c r="CE18" s="64">
        <f>SUMIF(Rede!$D:$D,Geral!C18,Rede!$CE:$CE)</f>
        <v>30.667000000000002</v>
      </c>
      <c r="CF18" s="64">
        <f>SUMIF(Rede!$D:$D,Geral!C18,Rede!$CF:$CF)</f>
        <v>3.1669999999999998</v>
      </c>
      <c r="CG18" s="64">
        <f>SUMIF(Rede!$D:$D,Geral!C18,Rede!$CG:$CG)</f>
        <v>0</v>
      </c>
      <c r="CH18" s="67">
        <f>SUMIF(Rede!$D:$D,Geral!C18,Rede!$CH:$CH)</f>
        <v>8</v>
      </c>
      <c r="CI18" s="64">
        <f>SUMIF(Rede!$D:$D,Geral!C18,Rede!$CI:$CI)</f>
        <v>103.333</v>
      </c>
      <c r="CJ18" s="64">
        <f>SUMIF(Rede!$D:$D,Geral!C18,Rede!$CJ:$CJ)</f>
        <v>15.958</v>
      </c>
      <c r="CK18" s="64">
        <f>SUMIF(Rede!$D:$D,Geral!C18,Rede!$CK:$CK)</f>
        <v>45</v>
      </c>
      <c r="CL18" s="7"/>
      <c r="CM18" s="39">
        <f t="shared" si="27"/>
        <v>1310.125</v>
      </c>
      <c r="CN18" s="35">
        <f t="shared" si="27"/>
        <v>1400.6965525092403</v>
      </c>
      <c r="CO18" s="34">
        <f t="shared" si="27"/>
        <v>1044.9580000000001</v>
      </c>
      <c r="CP18" s="34">
        <f t="shared" si="27"/>
        <v>87.25</v>
      </c>
      <c r="CQ18" s="34">
        <f t="shared" si="27"/>
        <v>19.957999999999998</v>
      </c>
      <c r="CR18" s="36">
        <f t="shared" si="31"/>
        <v>0.82256645662187378</v>
      </c>
      <c r="CS18" s="37">
        <f t="shared" si="32"/>
        <v>-0.12056788474382207</v>
      </c>
      <c r="CT18" s="40">
        <f t="shared" si="33"/>
        <v>248.53055250924024</v>
      </c>
      <c r="CU18" s="21"/>
    </row>
    <row r="19" spans="2:99" ht="15" customHeight="1" x14ac:dyDescent="0.35">
      <c r="B19" s="161" t="s">
        <v>97</v>
      </c>
      <c r="C19" s="161">
        <v>3655</v>
      </c>
      <c r="D19" s="161" t="s">
        <v>77</v>
      </c>
      <c r="E19" s="54" t="s">
        <v>796</v>
      </c>
      <c r="F19" s="112">
        <f>COUNTIF(Rede!$D:$D,Geral!$C19)</f>
        <v>1</v>
      </c>
      <c r="G19" s="39">
        <f>SUMIF(Rede!$D:$D,Geral!C19,Rede!$G:$G)</f>
        <v>1092.75</v>
      </c>
      <c r="H19" s="35">
        <f>SUMIF(Rede!$D:$D,Geral!C19,Rede!$H:$H)</f>
        <v>2551.88</v>
      </c>
      <c r="I19" s="35">
        <f>SUMIF(Rede!$D:$D,Geral!C19,Rede!$I:$I)</f>
        <v>2591.6590000000001</v>
      </c>
      <c r="J19" s="35">
        <f>SUMIF(Rede!$D:$D,Geral!$C19,Rede!$J:$J)</f>
        <v>0.41699999999999998</v>
      </c>
      <c r="K19" s="35">
        <f>SUMIF(Rede!$D:$D,Geral!C19,Rede!$K:$K)</f>
        <v>0</v>
      </c>
      <c r="L19" s="36">
        <f t="shared" si="18"/>
        <v>1.0157515243663495</v>
      </c>
      <c r="M19" s="37">
        <f t="shared" si="28"/>
        <v>1.3720668039350263</v>
      </c>
      <c r="N19" s="40">
        <f t="shared" si="29"/>
        <v>-40.195999999999998</v>
      </c>
      <c r="O19" s="67">
        <f>SUMIF(Rede!$D:$D,Geral!$C19,Rede!$O:$O)</f>
        <v>436.75</v>
      </c>
      <c r="P19" s="64">
        <f>SUMIF(Rede!$D:$D,Geral!$C19,Rede!$P:$P)</f>
        <v>626</v>
      </c>
      <c r="Q19" s="64">
        <f>SUMIF(Rede!$D:$D,Geral!$C19,Rede!$Q:$Q)</f>
        <v>0</v>
      </c>
      <c r="R19" s="64">
        <f>SUMIF(Rede!$D:$D,Geral!$C19,Rede!$R:$R)</f>
        <v>0</v>
      </c>
      <c r="S19" s="67">
        <f>SUMIF(Rede!$D:$D,Geral!$C19,Rede!$S:$S)</f>
        <v>239</v>
      </c>
      <c r="T19" s="64">
        <f>SUMIF(Rede!$D:$D,Geral!$C19,Rede!$T:$T)</f>
        <v>172.667</v>
      </c>
      <c r="U19" s="64">
        <f>SUMIF(Rede!$D:$D,Geral!$C19,Rede!$U:$U)</f>
        <v>0.41699999999999998</v>
      </c>
      <c r="V19" s="64">
        <f>SUMIF(Rede!$D:$D,Geral!$C19,Rede!$V:$V)</f>
        <v>0</v>
      </c>
      <c r="W19" s="67">
        <f>SUMIF(Rede!$D:$D,Geral!$C19,Rede!$W:$W)</f>
        <v>417</v>
      </c>
      <c r="X19" s="64">
        <f>SUMIF(Rede!$D:$D,Geral!$C19,Rede!$X:$X)</f>
        <v>1792.992</v>
      </c>
      <c r="Y19" s="64">
        <f>SUMIF(Rede!$D:$D,Geral!$C19,Rede!$Y:$Y)</f>
        <v>0</v>
      </c>
      <c r="Z19" s="64">
        <f>SUMIF(Rede!$D:$D,Geral!$C19,Rede!$Z:$Z)</f>
        <v>0</v>
      </c>
      <c r="AB19" s="39">
        <f>SUMIF(Rede!D:D,Geral!C19,Rede!$AB:$AB)</f>
        <v>4926.1669999999995</v>
      </c>
      <c r="AC19" s="35">
        <f>SUMIF(Rede!D:D,Geral!C19,Rede!$AC:$AC)</f>
        <v>2187.3286560000001</v>
      </c>
      <c r="AD19" s="35">
        <f>SUMIF(Rede!D:D,Geral!C19,Rede!$AD:$AD)</f>
        <v>2142.8330000000001</v>
      </c>
      <c r="AE19" s="35">
        <f>SUMIF(Rede!$D:$D,Geral!$C19,Rede!$AE:$AE)</f>
        <v>11</v>
      </c>
      <c r="AF19" s="35">
        <f>SUMIF(Rede!D:D,Geral!C19,Rede!$AF:$AF)</f>
        <v>0</v>
      </c>
      <c r="AG19" s="36">
        <f t="shared" si="30"/>
        <v>0.98468650062800622</v>
      </c>
      <c r="AH19" s="37">
        <f t="shared" si="19"/>
        <v>-0.56277710438968054</v>
      </c>
      <c r="AI19" s="59">
        <f t="shared" si="20"/>
        <v>33.495656000000054</v>
      </c>
      <c r="AJ19" s="67">
        <f>SUMIF(Rede!$D:$D,Geral!$C19,Rede!$AJ:$AJ)</f>
        <v>2393.5830000000001</v>
      </c>
      <c r="AK19" s="64">
        <f>SUMIF(Rede!$D:$D,Geral!$C19,Rede!$AK:$AK)</f>
        <v>1159.8330000000001</v>
      </c>
      <c r="AL19" s="64">
        <f>SUMIF(Rede!$D:$D,Geral!$C19,Rede!$AL:$AL)</f>
        <v>0</v>
      </c>
      <c r="AM19" s="64">
        <f>SUMIF(Rede!$D:$D,Geral!$C19,Rede!$AM:$AM)</f>
        <v>0</v>
      </c>
      <c r="AN19" s="67">
        <f>SUMIF(Rede!$D:$D,Geral!$C19,Rede!$AN:$AN)</f>
        <v>1487.9169999999999</v>
      </c>
      <c r="AO19" s="64">
        <f>SUMIF(Rede!$D:$D,Geral!$C19,Rede!$AO:$AO)</f>
        <v>319</v>
      </c>
      <c r="AP19" s="64">
        <f>SUMIF(Rede!$D:$D,Geral!$C19,Rede!$AP:$AP)</f>
        <v>0</v>
      </c>
      <c r="AQ19" s="64">
        <f>SUMIF(Rede!$D:$D,Geral!$C19,Rede!$AQ:$AQ)</f>
        <v>0</v>
      </c>
      <c r="AR19" s="67">
        <f>SUMIF(Rede!$D:$D,Geral!$C19,Rede!$AR:$AR)</f>
        <v>1044.6669999999999</v>
      </c>
      <c r="AS19" s="64">
        <f>SUMIF(Rede!$D:$D,Geral!$C19,Rede!$AS:$AS)</f>
        <v>664</v>
      </c>
      <c r="AT19" s="64">
        <f>SUMIF(Rede!$D:$D,Geral!$C19,Rede!$AT:$AT)</f>
        <v>11</v>
      </c>
      <c r="AU19" s="64">
        <f>SUMIF(Rede!$D:$D,Geral!$C19,Rede!$AU:$AU)</f>
        <v>0</v>
      </c>
      <c r="AW19" s="39">
        <f>SUMIF(Rede!$D:$D,Geral!C19,Rede!$AW:$AW)</f>
        <v>1411.25</v>
      </c>
      <c r="AX19" s="35">
        <f>SUMIF(Rede!$D:$D,Geral!C19,Rede!$AX:$AX)</f>
        <v>2057.2379307328611</v>
      </c>
      <c r="AY19" s="35">
        <f>SUMIF(Rede!$D:$D,Geral!C19,Rede!$AY:$AY)</f>
        <v>3123.9920000000002</v>
      </c>
      <c r="AZ19" s="35">
        <f>SUMIF(Rede!$D:$D,Geral!C19,Rede!$AZ:$AZ)</f>
        <v>11</v>
      </c>
      <c r="BA19" s="35">
        <f>SUMIF(Rede!$D:$D,Geral!C19,Rede!$BA:$BA)</f>
        <v>0</v>
      </c>
      <c r="BB19" s="36">
        <f t="shared" si="21"/>
        <v>1.523884016120199</v>
      </c>
      <c r="BC19" s="37">
        <f t="shared" si="22"/>
        <v>1.2214292294065547</v>
      </c>
      <c r="BD19" s="40">
        <f t="shared" si="23"/>
        <v>-1077.7540692671391</v>
      </c>
      <c r="BE19" s="67">
        <f>SUMIF(Rede!D:D,Geral!C19,Rede!$BE:$BE)</f>
        <v>339</v>
      </c>
      <c r="BF19" s="64">
        <f>SUMIF(Rede!D:D,Geral!C19,Rede!$BF:$BF)</f>
        <v>873</v>
      </c>
      <c r="BG19" s="64">
        <f>SUMIF(Rede!D:D,Geral!C19,Rede!$BG:$BG)</f>
        <v>11</v>
      </c>
      <c r="BH19" s="64">
        <f>SUMIF(Rede!D:D,Geral!C19,Rede!$BH:$BH)</f>
        <v>0</v>
      </c>
      <c r="BI19" s="67">
        <f>SUMIF(Rede!$D:$D,Geral!C19,Rede!$BI:$BI)</f>
        <v>873.66700000000003</v>
      </c>
      <c r="BJ19" s="64">
        <f>SUMIF(Rede!$D:$D,Geral!C19,Rede!$BJ:$BJ)</f>
        <v>1116.992</v>
      </c>
      <c r="BK19" s="64">
        <f>SUMIF(Rede!$D:$D,Geral!C19,Rede!$BK:$BK)</f>
        <v>0</v>
      </c>
      <c r="BL19" s="64">
        <f>SUMIF(Rede!$D:$D,Geral!C19,Rede!$BL:$BL)</f>
        <v>0</v>
      </c>
      <c r="BM19" s="67">
        <f>SUMIF(Rede!$D:$D,Geral!C19,Rede!$BM:$BM)</f>
        <v>198.583</v>
      </c>
      <c r="BN19" s="64">
        <f>SUMIF(Rede!$D:$D,Geral!C19,Rede!$BN:$BN)</f>
        <v>1134</v>
      </c>
      <c r="BO19" s="64">
        <f>SUMIF(Rede!$D:$D,Geral!C19,Rede!$BO:$BO)</f>
        <v>0</v>
      </c>
      <c r="BP19" s="64">
        <f>SUMIF(Rede!$D:$D,Geral!C19,Rede!$BP:$BP)</f>
        <v>0</v>
      </c>
      <c r="BQ19" s="7"/>
      <c r="BR19" s="39">
        <f>SUMIF(Rede!$D:$D,Geral!C19,Rede!$BR:$BR)</f>
        <v>1217.242</v>
      </c>
      <c r="BS19" s="35">
        <f>SUMIF(Rede!$D:$D,Geral!C19,Rede!$BS:$BS)</f>
        <v>2190</v>
      </c>
      <c r="BT19" s="35">
        <f>SUMIF(Rede!$D:$D,Geral!C19,Rede!$BT:$BT)</f>
        <v>1228.5</v>
      </c>
      <c r="BU19" s="35">
        <f>SUMIF(Rede!$D:$D,Geral!C19,Rede!$BU:$BU)</f>
        <v>0</v>
      </c>
      <c r="BV19" s="35">
        <f>SUMIF(Rede!$D:$D,Geral!C19,Rede!$BV:$BV)</f>
        <v>0</v>
      </c>
      <c r="BW19" s="36">
        <f t="shared" si="24"/>
        <v>0.56095890410958904</v>
      </c>
      <c r="BX19" s="37">
        <f t="shared" si="25"/>
        <v>9.2487771535980645E-3</v>
      </c>
      <c r="BY19" s="40">
        <f>BS19-BT19-BU19-BV19</f>
        <v>961.5</v>
      </c>
      <c r="BZ19" s="67">
        <f>SUMIF(Rede!$D:$D,Geral!C19,Rede!$BZ:$BZ)</f>
        <v>326.32499999999999</v>
      </c>
      <c r="CA19" s="65">
        <f>SUMIF(Rede!$D:$D,Geral!C19,Rede!$CA:$CA)</f>
        <v>126</v>
      </c>
      <c r="CB19" s="65">
        <f>SUMIF(Rede!$D:$D,Geral!C19,Rede!$CB:$CB)</f>
        <v>0</v>
      </c>
      <c r="CC19" s="65">
        <f>SUMIF(Rede!$D:$D,Geral!C19,Rede!$CC:$CC)</f>
        <v>0</v>
      </c>
      <c r="CD19" s="67">
        <f>SUMIF(Rede!$D:$D,Geral!C19,Rede!$CD:$CD)</f>
        <v>606</v>
      </c>
      <c r="CE19" s="64">
        <f>SUMIF(Rede!$D:$D,Geral!C19,Rede!$CE:$CE)</f>
        <v>1106.5</v>
      </c>
      <c r="CF19" s="64">
        <f>SUMIF(Rede!$D:$D,Geral!C19,Rede!$CF:$CF)</f>
        <v>0</v>
      </c>
      <c r="CG19" s="64">
        <f>SUMIF(Rede!$D:$D,Geral!C19,Rede!$CG:$CG)</f>
        <v>0</v>
      </c>
      <c r="CH19" s="67">
        <f>SUMIF(Rede!$D:$D,Geral!C19,Rede!$CH:$CH)</f>
        <v>284.91699999999997</v>
      </c>
      <c r="CI19" s="64">
        <f>SUMIF(Rede!$D:$D,Geral!C19,Rede!$CI:$CI)</f>
        <v>-4</v>
      </c>
      <c r="CJ19" s="64">
        <f>SUMIF(Rede!$D:$D,Geral!C19,Rede!$CJ:$CJ)</f>
        <v>0</v>
      </c>
      <c r="CK19" s="64">
        <f>SUMIF(Rede!$D:$D,Geral!C19,Rede!$CK:$CK)</f>
        <v>0</v>
      </c>
      <c r="CL19" s="7"/>
      <c r="CM19" s="39">
        <f t="shared" si="27"/>
        <v>8647.4089999999997</v>
      </c>
      <c r="CN19" s="35">
        <f t="shared" si="27"/>
        <v>8986.4465867328618</v>
      </c>
      <c r="CO19" s="34">
        <f t="shared" si="27"/>
        <v>9086.9840000000004</v>
      </c>
      <c r="CP19" s="34">
        <f t="shared" si="27"/>
        <v>22.417000000000002</v>
      </c>
      <c r="CQ19" s="34">
        <f t="shared" si="27"/>
        <v>0</v>
      </c>
      <c r="CR19" s="36">
        <f t="shared" si="31"/>
        <v>1.0136822059843611</v>
      </c>
      <c r="CS19" s="37">
        <f t="shared" si="32"/>
        <v>5.3425482708173044E-2</v>
      </c>
      <c r="CT19" s="40">
        <f t="shared" si="33"/>
        <v>-122.95441326713862</v>
      </c>
      <c r="CU19" s="21"/>
    </row>
    <row r="20" spans="2:99" ht="15.75" customHeight="1" thickBot="1" x14ac:dyDescent="0.35">
      <c r="B20" s="205" t="s">
        <v>17</v>
      </c>
      <c r="C20" s="206"/>
      <c r="D20" s="206"/>
      <c r="E20" s="207"/>
      <c r="F20" s="113">
        <f>SUM(F12:F19)</f>
        <v>14</v>
      </c>
      <c r="G20" s="55">
        <f>SUBTOTAL(9,G12:G19)</f>
        <v>14339.798999999999</v>
      </c>
      <c r="H20" s="56">
        <f>SUBTOTAL(9,H12:H19)</f>
        <v>12641.68</v>
      </c>
      <c r="I20" s="56">
        <f>SUBTOTAL(9,I12:I19)</f>
        <v>15458.304</v>
      </c>
      <c r="J20" s="56">
        <f>SUBTOTAL(9,J12:J19)</f>
        <v>125.5</v>
      </c>
      <c r="K20" s="56">
        <f>SUBTOTAL(9,K12:K19)</f>
        <v>0</v>
      </c>
      <c r="L20" s="47">
        <f t="shared" si="18"/>
        <v>1.2327320419437922</v>
      </c>
      <c r="M20" s="47">
        <f t="shared" si="28"/>
        <v>8.6751913328771302E-2</v>
      </c>
      <c r="N20" s="57">
        <f t="shared" si="29"/>
        <v>-2942.1239999999998</v>
      </c>
      <c r="O20" s="70">
        <f t="shared" ref="O20:Z20" si="56">SUM(O12:O19)</f>
        <v>1856.1390000000001</v>
      </c>
      <c r="P20" s="71">
        <f t="shared" si="56"/>
        <v>1941.9789999999998</v>
      </c>
      <c r="Q20" s="71">
        <f t="shared" si="56"/>
        <v>54</v>
      </c>
      <c r="R20" s="71">
        <f t="shared" si="56"/>
        <v>0</v>
      </c>
      <c r="S20" s="70">
        <f t="shared" si="56"/>
        <v>4894.183</v>
      </c>
      <c r="T20" s="71">
        <f t="shared" si="56"/>
        <v>5433.9709999999995</v>
      </c>
      <c r="U20" s="71">
        <f t="shared" si="56"/>
        <v>46</v>
      </c>
      <c r="V20" s="71">
        <f t="shared" si="56"/>
        <v>0</v>
      </c>
      <c r="W20" s="70">
        <f t="shared" si="56"/>
        <v>7589.4769999999999</v>
      </c>
      <c r="X20" s="71">
        <f t="shared" si="56"/>
        <v>8082.3540000000003</v>
      </c>
      <c r="Y20" s="71">
        <f t="shared" si="56"/>
        <v>25.5</v>
      </c>
      <c r="Z20" s="71">
        <f t="shared" si="56"/>
        <v>0</v>
      </c>
      <c r="AB20" s="55">
        <f>SUBTOTAL(9,AB12:AB19)</f>
        <v>14332.089999999998</v>
      </c>
      <c r="AC20" s="56">
        <f>SUBTOTAL(9,AC12:AC19)</f>
        <v>10835.718288</v>
      </c>
      <c r="AD20" s="56">
        <f>SUBTOTAL(9,AD12:AD19)</f>
        <v>9451.8379999999997</v>
      </c>
      <c r="AE20" s="56">
        <f>SUBTOTAL(9,AE12:AE19)</f>
        <v>163.958</v>
      </c>
      <c r="AF20" s="56">
        <f>SUBTOTAL(9,AF12:AF19)</f>
        <v>0</v>
      </c>
      <c r="AG20" s="47">
        <f t="shared" si="30"/>
        <v>0.88741657400312812</v>
      </c>
      <c r="AH20" s="47">
        <f t="shared" si="19"/>
        <v>-0.32907231255176317</v>
      </c>
      <c r="AI20" s="60">
        <f>AC20-AD20-AF20-AE20</f>
        <v>1219.9222880000002</v>
      </c>
      <c r="AJ20" s="70">
        <f t="shared" ref="AJ20:AU20" si="57">SUM(AJ12:AJ19)</f>
        <v>6436.7160000000003</v>
      </c>
      <c r="AK20" s="71">
        <f t="shared" si="57"/>
        <v>2867.5240000000003</v>
      </c>
      <c r="AL20" s="71">
        <f t="shared" si="57"/>
        <v>45.125</v>
      </c>
      <c r="AM20" s="71">
        <f t="shared" si="57"/>
        <v>0</v>
      </c>
      <c r="AN20" s="70">
        <f t="shared" si="57"/>
        <v>3615.471</v>
      </c>
      <c r="AO20" s="71">
        <f t="shared" si="57"/>
        <v>2591.3630000000003</v>
      </c>
      <c r="AP20" s="71">
        <f t="shared" si="57"/>
        <v>32.832999999999998</v>
      </c>
      <c r="AQ20" s="71">
        <f t="shared" si="57"/>
        <v>0</v>
      </c>
      <c r="AR20" s="70">
        <f t="shared" si="57"/>
        <v>4279.9030000000002</v>
      </c>
      <c r="AS20" s="71">
        <f t="shared" si="57"/>
        <v>3992.951</v>
      </c>
      <c r="AT20" s="71">
        <f t="shared" si="57"/>
        <v>86</v>
      </c>
      <c r="AU20" s="71">
        <f t="shared" si="57"/>
        <v>0</v>
      </c>
      <c r="AW20" s="55">
        <f>SUBTOTAL(9,AW12:AW19)</f>
        <v>8494.0290000000005</v>
      </c>
      <c r="AX20" s="56">
        <f>SUBTOTAL(9,AX12:AX19)</f>
        <v>10191.267145731274</v>
      </c>
      <c r="AY20" s="56">
        <f>SUBTOTAL(9,AY12:AY19)</f>
        <v>11094.633000000002</v>
      </c>
      <c r="AZ20" s="56">
        <f>SUBTOTAL(9,AZ12:AZ19)</f>
        <v>377.12400000000002</v>
      </c>
      <c r="BA20" s="56">
        <f>SUBTOTAL(9,BA12:BA19)</f>
        <v>0</v>
      </c>
      <c r="BB20" s="47">
        <f t="shared" si="21"/>
        <v>1.1256457941841977</v>
      </c>
      <c r="BC20" s="47">
        <f t="shared" si="22"/>
        <v>0.35056720432671007</v>
      </c>
      <c r="BD20" s="57">
        <f t="shared" si="23"/>
        <v>-1280.4898542687281</v>
      </c>
      <c r="BE20" s="70">
        <f t="shared" ref="BE20:BP20" si="58">SUM(BE12:BE19)</f>
        <v>2064.8469999999998</v>
      </c>
      <c r="BF20" s="71">
        <f t="shared" si="58"/>
        <v>2538.5169999999998</v>
      </c>
      <c r="BG20" s="71">
        <f t="shared" si="58"/>
        <v>60.582999999999998</v>
      </c>
      <c r="BH20" s="71">
        <f t="shared" si="58"/>
        <v>0</v>
      </c>
      <c r="BI20" s="70">
        <f t="shared" si="58"/>
        <v>2460.0509999999999</v>
      </c>
      <c r="BJ20" s="71">
        <f t="shared" si="58"/>
        <v>3092.4920000000002</v>
      </c>
      <c r="BK20" s="71">
        <f t="shared" si="58"/>
        <v>70.332999999999998</v>
      </c>
      <c r="BL20" s="71">
        <f t="shared" si="58"/>
        <v>0</v>
      </c>
      <c r="BM20" s="70">
        <f t="shared" si="58"/>
        <v>3969.1310000000003</v>
      </c>
      <c r="BN20" s="71">
        <f t="shared" si="58"/>
        <v>5463.6239999999998</v>
      </c>
      <c r="BO20" s="71">
        <f t="shared" si="58"/>
        <v>246.208</v>
      </c>
      <c r="BP20" s="71">
        <f t="shared" si="58"/>
        <v>0</v>
      </c>
      <c r="BR20" s="55">
        <f>SUBTOTAL(9,BR12:BR19)</f>
        <v>4968.7020000000002</v>
      </c>
      <c r="BS20" s="56">
        <f>SUBTOTAL(9,BS12:BS19)</f>
        <v>10857</v>
      </c>
      <c r="BT20" s="56">
        <f>SUBTOTAL(9,BT12:BT19)</f>
        <v>5715.7080000000005</v>
      </c>
      <c r="BU20" s="56">
        <f>SUBTOTAL(9,BU12:BU19)</f>
        <v>225</v>
      </c>
      <c r="BV20" s="56">
        <f>SUBTOTAL(9,BV12:BV19)</f>
        <v>199.833</v>
      </c>
      <c r="BW20" s="47">
        <f t="shared" si="24"/>
        <v>0.56558358662613983</v>
      </c>
      <c r="BX20" s="47">
        <f t="shared" si="25"/>
        <v>0.23584408966365866</v>
      </c>
      <c r="BY20" s="57">
        <f t="shared" si="26"/>
        <v>4716.4589999999998</v>
      </c>
      <c r="BZ20" s="70">
        <f t="shared" ref="BZ20:CK20" si="59">SUM(BZ12:BZ19)</f>
        <v>1081.0530000000001</v>
      </c>
      <c r="CA20" s="71">
        <f t="shared" si="59"/>
        <v>1228.0209999999997</v>
      </c>
      <c r="CB20" s="71">
        <f t="shared" si="59"/>
        <v>58.875</v>
      </c>
      <c r="CC20" s="71">
        <f t="shared" si="59"/>
        <v>0</v>
      </c>
      <c r="CD20" s="70">
        <f t="shared" si="59"/>
        <v>2000.0429999999999</v>
      </c>
      <c r="CE20" s="71">
        <f t="shared" si="59"/>
        <v>2880.9309999999996</v>
      </c>
      <c r="CF20" s="71">
        <f t="shared" si="59"/>
        <v>47.667000000000002</v>
      </c>
      <c r="CG20" s="71">
        <f t="shared" si="59"/>
        <v>0</v>
      </c>
      <c r="CH20" s="70">
        <f t="shared" si="59"/>
        <v>1887.6059999999998</v>
      </c>
      <c r="CI20" s="71">
        <f t="shared" si="59"/>
        <v>1606.7560000000001</v>
      </c>
      <c r="CJ20" s="71">
        <f t="shared" si="59"/>
        <v>93.290999999999997</v>
      </c>
      <c r="CK20" s="71">
        <f t="shared" si="59"/>
        <v>225</v>
      </c>
      <c r="CM20" s="55">
        <f>SUBTOTAL(9,CM12:CM19)</f>
        <v>42134.62</v>
      </c>
      <c r="CN20" s="56">
        <f>SUBTOTAL(9,CN12:CN19)</f>
        <v>44525.665433731272</v>
      </c>
      <c r="CO20" s="56">
        <f>SUBTOTAL(9,CO12:CO19)</f>
        <v>41720.482999999993</v>
      </c>
      <c r="CP20" s="56">
        <f>SUBTOTAL(9,CP12:CP19)</f>
        <v>891.58200000000011</v>
      </c>
      <c r="CQ20" s="56">
        <f>SUBTOTAL(9,CQ12:CQ19)</f>
        <v>199.833</v>
      </c>
      <c r="CR20" s="47">
        <f t="shared" ref="CR20" si="60">(CO20+CP20+CQ20)/CN20</f>
        <v>0.96151057110461557</v>
      </c>
      <c r="CS20" s="47">
        <f t="shared" ref="CS20" si="61">IFERROR(((CO20+CP20+CQ20)/CM20-1),0)</f>
        <v>1.6074145204109769E-2</v>
      </c>
      <c r="CT20" s="57">
        <f>CN20-CO20-CQ20-CP20</f>
        <v>1713.767433731279</v>
      </c>
      <c r="CU20" s="21"/>
    </row>
    <row r="21" spans="2:99" x14ac:dyDescent="0.3">
      <c r="D21" s="12"/>
      <c r="E21" s="13"/>
    </row>
    <row r="22" spans="2:99" x14ac:dyDescent="0.3"/>
    <row r="23" spans="2:99" x14ac:dyDescent="0.3"/>
    <row r="24" spans="2:99" x14ac:dyDescent="0.3"/>
    <row r="25" spans="2:99" x14ac:dyDescent="0.3"/>
    <row r="26" spans="2:99" x14ac:dyDescent="0.3"/>
    <row r="27" spans="2:99" x14ac:dyDescent="0.3"/>
    <row r="28" spans="2:99" x14ac:dyDescent="0.3"/>
    <row r="29" spans="2:99" x14ac:dyDescent="0.3"/>
    <row r="30" spans="2:99" x14ac:dyDescent="0.3"/>
    <row r="31" spans="2:99" x14ac:dyDescent="0.3"/>
    <row r="32" spans="2:99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9526" spans="4:5" hidden="1" x14ac:dyDescent="0.3">
      <c r="D9526" s="4"/>
      <c r="E9526" s="4"/>
    </row>
    <row r="10161" spans="4:5" hidden="1" x14ac:dyDescent="0.3">
      <c r="D10161" s="4"/>
      <c r="E10161" s="4"/>
    </row>
    <row r="10163" spans="4:5" hidden="1" x14ac:dyDescent="0.3">
      <c r="D10163" s="4"/>
      <c r="E10163" s="4"/>
    </row>
    <row r="12413" spans="4:5" hidden="1" x14ac:dyDescent="0.3">
      <c r="D12413" s="4"/>
      <c r="E12413" s="4"/>
    </row>
    <row r="12417" spans="4:5" hidden="1" x14ac:dyDescent="0.3">
      <c r="D12417" s="4"/>
      <c r="E12417" s="4"/>
    </row>
    <row r="13531" spans="4:5" hidden="1" x14ac:dyDescent="0.3">
      <c r="D13531" s="4"/>
      <c r="E13531" s="4"/>
    </row>
    <row r="13535" spans="4:5" hidden="1" x14ac:dyDescent="0.3">
      <c r="D13535" s="4"/>
      <c r="E13535" s="4"/>
    </row>
    <row r="13905" spans="4:5" hidden="1" x14ac:dyDescent="0.3">
      <c r="D13905" s="4"/>
      <c r="E13905" s="4"/>
    </row>
    <row r="16902" spans="4:5" hidden="1" x14ac:dyDescent="0.3">
      <c r="D16902" s="4"/>
      <c r="E16902" s="4"/>
    </row>
    <row r="16911" spans="4:5" hidden="1" x14ac:dyDescent="0.3">
      <c r="D16911" s="4"/>
      <c r="E16911" s="4"/>
    </row>
    <row r="17232" spans="4:5" hidden="1" x14ac:dyDescent="0.3">
      <c r="D17232" s="4"/>
      <c r="E17232" s="4"/>
    </row>
    <row r="17256" spans="4:5" hidden="1" x14ac:dyDescent="0.3">
      <c r="D17256" s="4"/>
      <c r="E17256" s="4"/>
    </row>
    <row r="17261" spans="4:5" hidden="1" x14ac:dyDescent="0.3">
      <c r="D17261" s="4"/>
      <c r="E17261" s="4"/>
    </row>
    <row r="17674" spans="4:5" hidden="1" x14ac:dyDescent="0.3">
      <c r="D17674" s="4"/>
      <c r="E17674" s="4"/>
    </row>
    <row r="17690" spans="4:5" hidden="1" x14ac:dyDescent="0.3">
      <c r="D17690" s="4"/>
      <c r="E17690" s="4"/>
    </row>
    <row r="19342" spans="4:5" hidden="1" x14ac:dyDescent="0.3">
      <c r="D19342" s="4"/>
      <c r="E19342" s="4"/>
    </row>
    <row r="21113" spans="4:5" hidden="1" x14ac:dyDescent="0.3">
      <c r="D21113" s="4"/>
      <c r="E21113" s="4"/>
    </row>
    <row r="21114" spans="4:5" hidden="1" x14ac:dyDescent="0.3">
      <c r="D21114" s="4"/>
      <c r="E21114" s="4"/>
    </row>
    <row r="21115" spans="4:5" hidden="1" x14ac:dyDescent="0.3">
      <c r="D21115" s="4"/>
      <c r="E21115" s="4"/>
    </row>
    <row r="21116" spans="4:5" hidden="1" x14ac:dyDescent="0.3">
      <c r="D21116" s="4"/>
      <c r="E21116" s="4"/>
    </row>
    <row r="21118" spans="4:5" hidden="1" x14ac:dyDescent="0.3">
      <c r="D21118" s="4"/>
      <c r="E21118" s="4"/>
    </row>
    <row r="21209" spans="4:5" hidden="1" x14ac:dyDescent="0.3">
      <c r="D21209" s="4"/>
      <c r="E21209" s="4"/>
    </row>
    <row r="21211" spans="4:5" hidden="1" x14ac:dyDescent="0.3">
      <c r="D21211" s="4"/>
      <c r="E21211" s="4"/>
    </row>
    <row r="21212" spans="4:5" hidden="1" x14ac:dyDescent="0.3">
      <c r="D21212" s="4"/>
      <c r="E21212" s="4"/>
    </row>
    <row r="21213" spans="4:5" hidden="1" x14ac:dyDescent="0.3">
      <c r="D21213" s="4"/>
      <c r="E21213" s="4"/>
    </row>
    <row r="21214" spans="4:5" hidden="1" x14ac:dyDescent="0.3">
      <c r="D21214" s="4"/>
      <c r="E21214" s="4"/>
    </row>
    <row r="21655" spans="4:5" hidden="1" x14ac:dyDescent="0.3">
      <c r="D21655" s="4"/>
      <c r="E21655" s="4"/>
    </row>
    <row r="21693" spans="4:5" hidden="1" x14ac:dyDescent="0.3">
      <c r="D21693" s="4"/>
      <c r="E21693" s="4"/>
    </row>
    <row r="21700" spans="4:5" hidden="1" x14ac:dyDescent="0.3">
      <c r="D21700" s="4"/>
      <c r="E21700" s="4"/>
    </row>
    <row r="22388" spans="4:5" hidden="1" x14ac:dyDescent="0.3">
      <c r="D22388" s="4"/>
      <c r="E22388" s="4"/>
    </row>
    <row r="22396" spans="4:5" hidden="1" x14ac:dyDescent="0.3">
      <c r="D22396" s="4"/>
      <c r="E22396" s="4"/>
    </row>
    <row r="22397" spans="4:5" hidden="1" x14ac:dyDescent="0.3">
      <c r="D22397" s="4"/>
      <c r="E22397" s="4"/>
    </row>
    <row r="22398" spans="4:5" hidden="1" x14ac:dyDescent="0.3">
      <c r="D22398" s="4"/>
      <c r="E22398" s="4"/>
    </row>
    <row r="22507" spans="4:5" hidden="1" x14ac:dyDescent="0.3">
      <c r="D22507" s="4"/>
      <c r="E22507" s="4"/>
    </row>
    <row r="22691" spans="4:5" hidden="1" x14ac:dyDescent="0.3">
      <c r="D22691" s="4"/>
      <c r="E22691" s="4"/>
    </row>
    <row r="23050" spans="4:5" hidden="1" x14ac:dyDescent="0.3">
      <c r="D23050" s="4"/>
      <c r="E23050" s="4"/>
    </row>
    <row r="23060" spans="4:5" hidden="1" x14ac:dyDescent="0.3">
      <c r="D23060" s="4"/>
      <c r="E23060" s="4"/>
    </row>
    <row r="23554" spans="4:5" hidden="1" x14ac:dyDescent="0.3">
      <c r="D23554" s="4"/>
      <c r="E23554" s="4"/>
    </row>
    <row r="23556" spans="4:5" hidden="1" x14ac:dyDescent="0.3">
      <c r="D23556" s="4"/>
      <c r="E23556" s="4"/>
    </row>
    <row r="23557" spans="4:5" hidden="1" x14ac:dyDescent="0.3">
      <c r="D23557" s="4"/>
      <c r="E23557" s="4"/>
    </row>
    <row r="23558" spans="4:5" hidden="1" x14ac:dyDescent="0.3">
      <c r="D23558" s="4"/>
      <c r="E23558" s="4"/>
    </row>
    <row r="23942" spans="4:5" hidden="1" x14ac:dyDescent="0.3">
      <c r="D23942" s="4"/>
      <c r="E23942" s="4"/>
    </row>
    <row r="23944" spans="4:5" hidden="1" x14ac:dyDescent="0.3">
      <c r="D23944" s="4"/>
      <c r="E23944" s="4"/>
    </row>
  </sheetData>
  <mergeCells count="37">
    <mergeCell ref="AN10:AQ10"/>
    <mergeCell ref="AR10:AU10"/>
    <mergeCell ref="B20:E20"/>
    <mergeCell ref="B10:E10"/>
    <mergeCell ref="F10:F11"/>
    <mergeCell ref="BM10:BP10"/>
    <mergeCell ref="AW3:BD3"/>
    <mergeCell ref="G3:N3"/>
    <mergeCell ref="G10:N10"/>
    <mergeCell ref="AB3:AI3"/>
    <mergeCell ref="AB10:AI10"/>
    <mergeCell ref="AJ3:AM3"/>
    <mergeCell ref="O10:R10"/>
    <mergeCell ref="S10:V10"/>
    <mergeCell ref="W10:Z10"/>
    <mergeCell ref="AJ10:AM10"/>
    <mergeCell ref="AN3:AQ3"/>
    <mergeCell ref="AR3:AU3"/>
    <mergeCell ref="O3:R3"/>
    <mergeCell ref="S3:V3"/>
    <mergeCell ref="W3:Z3"/>
    <mergeCell ref="F3:F4"/>
    <mergeCell ref="E3:E4"/>
    <mergeCell ref="CM3:CT3"/>
    <mergeCell ref="CM10:CT10"/>
    <mergeCell ref="CD10:CG10"/>
    <mergeCell ref="CH10:CK10"/>
    <mergeCell ref="BR3:BY3"/>
    <mergeCell ref="BR10:BY10"/>
    <mergeCell ref="CD3:CG3"/>
    <mergeCell ref="CH3:CK3"/>
    <mergeCell ref="BI3:BL3"/>
    <mergeCell ref="BM3:BP3"/>
    <mergeCell ref="BE3:BH3"/>
    <mergeCell ref="BE10:BH10"/>
    <mergeCell ref="AW10:BD10"/>
    <mergeCell ref="BI10:BL10"/>
  </mergeCells>
  <phoneticPr fontId="14" type="noConversion"/>
  <conditionalFormatting sqref="L5:L7 AG5:AG7 BB5:BB7 BW5:BW7 CR5:CR7 L12:L20 AG12:AG20 BB12:BB20 BW12:BW20 CR12:CR20">
    <cfRule type="cellIs" dxfId="13" priority="136" operator="greaterThan">
      <formula>1</formula>
    </cfRule>
  </conditionalFormatting>
  <conditionalFormatting sqref="M5:M7 AH5:AH7 BX5:BX7 CS5:CS7 M12:M20 AH12:AH20 BC12:BC20 BX12:BX20 CS12:CS20">
    <cfRule type="cellIs" dxfId="12" priority="224" operator="lessThan">
      <formula>0</formula>
    </cfRule>
  </conditionalFormatting>
  <conditionalFormatting sqref="BC5:BC7">
    <cfRule type="cellIs" dxfId="11" priority="1796" operator="lessThan">
      <formula>0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46" orientation="landscape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793" id="{D33A3A67-D0BD-4D0A-A018-C25ED2579BAC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M5:M7</xm:sqref>
        </x14:conditionalFormatting>
        <x14:conditionalFormatting xmlns:xm="http://schemas.microsoft.com/office/excel/2006/main">
          <x14:cfRule type="iconSet" priority="1621" id="{F78917C3-3E26-4777-A475-E7A990017E08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M12:M20</xm:sqref>
        </x14:conditionalFormatting>
        <x14:conditionalFormatting xmlns:xm="http://schemas.microsoft.com/office/excel/2006/main">
          <x14:cfRule type="iconSet" priority="124" id="{D1A4ED76-AEF3-41D4-BF3C-E130B19A5067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AH5:AH7</xm:sqref>
        </x14:conditionalFormatting>
        <x14:conditionalFormatting xmlns:xm="http://schemas.microsoft.com/office/excel/2006/main">
          <x14:cfRule type="iconSet" priority="1641" id="{F937093F-E5FD-416A-9E41-C1FEEFA94AAC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AH12:AH20</xm:sqref>
        </x14:conditionalFormatting>
        <x14:conditionalFormatting xmlns:xm="http://schemas.microsoft.com/office/excel/2006/main">
          <x14:cfRule type="iconSet" priority="1797" id="{8C219615-CEAD-4C74-8389-69EA7E46BF1C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BC5:BC7</xm:sqref>
        </x14:conditionalFormatting>
        <x14:conditionalFormatting xmlns:xm="http://schemas.microsoft.com/office/excel/2006/main">
          <x14:cfRule type="iconSet" priority="1669" id="{D7555746-2A0E-4ABE-89DE-E1D00A34CE46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BC12:BC20</xm:sqref>
        </x14:conditionalFormatting>
        <x14:conditionalFormatting xmlns:xm="http://schemas.microsoft.com/office/excel/2006/main">
          <x14:cfRule type="iconSet" priority="117" id="{58A23AF9-0E3B-43F4-A9AA-169BB9DC6446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BX5:BX7</xm:sqref>
        </x14:conditionalFormatting>
        <x14:conditionalFormatting xmlns:xm="http://schemas.microsoft.com/office/excel/2006/main">
          <x14:cfRule type="iconSet" priority="1685" id="{01E051E6-E4EF-47AC-BA15-2FED9BAD9F87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BX12:BX20</xm:sqref>
        </x14:conditionalFormatting>
        <x14:conditionalFormatting xmlns:xm="http://schemas.microsoft.com/office/excel/2006/main">
          <x14:cfRule type="iconSet" priority="1801" id="{6987A32D-FB36-44EC-9F11-6D7B8FC06314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CS5:CS6</xm:sqref>
        </x14:conditionalFormatting>
        <x14:conditionalFormatting xmlns:xm="http://schemas.microsoft.com/office/excel/2006/main">
          <x14:cfRule type="iconSet" priority="37" id="{B6182FFC-B6D9-4D23-B42A-99C7798C8B42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CS7</xm:sqref>
        </x14:conditionalFormatting>
        <x14:conditionalFormatting xmlns:xm="http://schemas.microsoft.com/office/excel/2006/main">
          <x14:cfRule type="iconSet" priority="1701" id="{DB73FBC5-6769-4447-9767-870EB0516B26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CS12:CS19</xm:sqref>
        </x14:conditionalFormatting>
        <x14:conditionalFormatting xmlns:xm="http://schemas.microsoft.com/office/excel/2006/main">
          <x14:cfRule type="iconSet" priority="28" id="{A04A4B20-9DF4-4D79-AD16-6C6D1DAFB9D3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14:cfRule type="iconSet" priority="31" id="{2C584E69-F4DC-458F-AC66-0225622FFC0F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CS20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FD57-2A9E-4AD0-8D46-153C1243D1AC}">
  <sheetPr>
    <pageSetUpPr fitToPage="1"/>
  </sheetPr>
  <dimension ref="B1:CX39"/>
  <sheetViews>
    <sheetView showGridLines="0" topLeftCell="C1" zoomScale="80" zoomScaleNormal="80" workbookViewId="0">
      <selection activeCell="CG13" sqref="CG13"/>
    </sheetView>
  </sheetViews>
  <sheetFormatPr defaultRowHeight="14.5" outlineLevelCol="1" x14ac:dyDescent="0.35"/>
  <cols>
    <col min="1" max="1" width="1.26953125" customWidth="1"/>
    <col min="2" max="2" width="0.26953125" customWidth="1"/>
    <col min="3" max="3" width="16.54296875" style="25" bestFit="1" customWidth="1"/>
    <col min="4" max="4" width="10.54296875" style="21" bestFit="1" customWidth="1"/>
    <col min="5" max="5" width="11.453125" style="21" bestFit="1" customWidth="1"/>
    <col min="6" max="6" width="23" style="25" customWidth="1"/>
    <col min="7" max="7" width="8.7265625" style="1" hidden="1" customWidth="1" outlineLevel="1"/>
    <col min="8" max="8" width="11.7265625" style="1" hidden="1" customWidth="1" outlineLevel="1"/>
    <col min="9" max="9" width="9.1796875" style="1" hidden="1" customWidth="1" outlineLevel="1"/>
    <col min="10" max="10" width="8.54296875" style="1" hidden="1" customWidth="1" outlineLevel="1"/>
    <col min="11" max="11" width="7.7265625" style="1" hidden="1" customWidth="1" outlineLevel="1"/>
    <col min="12" max="12" width="8.1796875" style="1" hidden="1" customWidth="1" outlineLevel="1"/>
    <col min="13" max="13" width="8.7265625" style="1" hidden="1" customWidth="1" outlineLevel="1"/>
    <col min="14" max="14" width="9.453125" style="1" hidden="1" customWidth="1" outlineLevel="1"/>
    <col min="15" max="15" width="8.7265625" style="1" hidden="1" customWidth="1" outlineLevel="1"/>
    <col min="16" max="16" width="9.1796875" style="1" hidden="1" customWidth="1" outlineLevel="1"/>
    <col min="17" max="17" width="7.26953125" style="1" hidden="1" customWidth="1" outlineLevel="1"/>
    <col min="18" max="18" width="7.7265625" style="1" hidden="1" customWidth="1" outlineLevel="1"/>
    <col min="19" max="19" width="8.7265625" style="1" hidden="1" customWidth="1" outlineLevel="1" collapsed="1"/>
    <col min="20" max="20" width="9.1796875" style="1" hidden="1" customWidth="1" outlineLevel="1"/>
    <col min="21" max="21" width="8.54296875" style="1" hidden="1" customWidth="1" outlineLevel="1"/>
    <col min="22" max="22" width="7.7265625" style="1" hidden="1" customWidth="1" outlineLevel="1"/>
    <col min="23" max="23" width="8.7265625" style="1" hidden="1" customWidth="1" outlineLevel="1"/>
    <col min="24" max="24" width="9.1796875" style="1" hidden="1" customWidth="1" outlineLevel="1"/>
    <col min="25" max="25" width="8.54296875" style="1" hidden="1" customWidth="1" outlineLevel="1"/>
    <col min="26" max="26" width="7.7265625" style="1" hidden="1" customWidth="1" outlineLevel="1"/>
    <col min="27" max="27" width="2.7265625" style="1" hidden="1" customWidth="1" outlineLevel="1"/>
    <col min="28" max="28" width="8.81640625" style="1" hidden="1" customWidth="1" outlineLevel="1" collapsed="1"/>
    <col min="29" max="29" width="7.54296875" style="1" hidden="1" customWidth="1" outlineLevel="1"/>
    <col min="30" max="30" width="8.7265625" style="1" hidden="1" customWidth="1" outlineLevel="1"/>
    <col min="31" max="31" width="7.26953125" style="1" hidden="1" customWidth="1" outlineLevel="1"/>
    <col min="32" max="32" width="6.81640625" style="1" hidden="1" customWidth="1" outlineLevel="1"/>
    <col min="33" max="33" width="7.7265625" style="1" hidden="1" customWidth="1" outlineLevel="1"/>
    <col min="34" max="34" width="8.54296875" style="1" hidden="1" customWidth="1" outlineLevel="1"/>
    <col min="35" max="35" width="9.7265625" style="1" hidden="1" customWidth="1" outlineLevel="1"/>
    <col min="36" max="36" width="7.7265625" style="1" hidden="1" customWidth="1" outlineLevel="1"/>
    <col min="37" max="37" width="8.7265625" style="1" hidden="1" customWidth="1" outlineLevel="1"/>
    <col min="38" max="38" width="7.26953125" style="1" hidden="1" customWidth="1" outlineLevel="1"/>
    <col min="39" max="39" width="6.81640625" style="1" hidden="1" customWidth="1" outlineLevel="1"/>
    <col min="40" max="40" width="7.7265625" style="1" hidden="1" customWidth="1" outlineLevel="1"/>
    <col min="41" max="41" width="8.7265625" style="1" hidden="1" customWidth="1" outlineLevel="1"/>
    <col min="42" max="42" width="7.26953125" style="1" hidden="1" customWidth="1" outlineLevel="1"/>
    <col min="43" max="43" width="6.81640625" style="1" hidden="1" customWidth="1" outlineLevel="1"/>
    <col min="44" max="44" width="7.7265625" style="1" hidden="1" customWidth="1" outlineLevel="1"/>
    <col min="45" max="45" width="8.7265625" style="1" hidden="1" customWidth="1" outlineLevel="1"/>
    <col min="46" max="46" width="7.26953125" style="1" hidden="1" customWidth="1" outlineLevel="1"/>
    <col min="47" max="47" width="6.81640625" style="1" hidden="1" customWidth="1" outlineLevel="1"/>
    <col min="48" max="48" width="2.7265625" style="1" hidden="1" customWidth="1" outlineLevel="1"/>
    <col min="49" max="49" width="7.81640625" style="1" hidden="1" customWidth="1" outlineLevel="1" collapsed="1"/>
    <col min="50" max="50" width="7.81640625" style="1" hidden="1" customWidth="1" outlineLevel="1"/>
    <col min="51" max="51" width="8.453125" style="1" hidden="1" customWidth="1" outlineLevel="1"/>
    <col min="52" max="52" width="7.26953125" style="1" hidden="1" customWidth="1" outlineLevel="1"/>
    <col min="53" max="53" width="6.81640625" style="1" hidden="1" customWidth="1" outlineLevel="1"/>
    <col min="54" max="54" width="8" style="1" hidden="1" customWidth="1" outlineLevel="1"/>
    <col min="55" max="55" width="8.26953125" style="1" hidden="1" customWidth="1" outlineLevel="1"/>
    <col min="56" max="56" width="9.7265625" style="1" hidden="1" customWidth="1" outlineLevel="1"/>
    <col min="57" max="57" width="7.81640625" style="1" hidden="1" customWidth="1" outlineLevel="1"/>
    <col min="58" max="58" width="8.453125" style="1" hidden="1" customWidth="1" outlineLevel="1"/>
    <col min="59" max="59" width="7.26953125" style="1" hidden="1" customWidth="1" outlineLevel="1"/>
    <col min="60" max="60" width="6.81640625" style="1" hidden="1" customWidth="1" outlineLevel="1"/>
    <col min="61" max="61" width="7.81640625" style="1" hidden="1" customWidth="1" outlineLevel="1"/>
    <col min="62" max="62" width="8.453125" style="1" hidden="1" customWidth="1" outlineLevel="1"/>
    <col min="63" max="63" width="7.26953125" style="1" hidden="1" customWidth="1" outlineLevel="1"/>
    <col min="64" max="64" width="6.81640625" style="1" hidden="1" customWidth="1" outlineLevel="1"/>
    <col min="65" max="65" width="7.81640625" style="1" hidden="1" customWidth="1" outlineLevel="1"/>
    <col min="66" max="66" width="8.453125" style="1" hidden="1" customWidth="1" outlineLevel="1"/>
    <col min="67" max="67" width="7.26953125" style="1" hidden="1" customWidth="1" outlineLevel="1"/>
    <col min="68" max="68" width="6.81640625" style="1" hidden="1" customWidth="1" outlineLevel="1"/>
    <col min="69" max="69" width="2.453125" hidden="1" customWidth="1" outlineLevel="1"/>
    <col min="70" max="70" width="9.453125" style="1" customWidth="1" collapsed="1"/>
    <col min="71" max="71" width="8.26953125" style="1" customWidth="1"/>
    <col min="72" max="72" width="8.7265625" style="1" customWidth="1"/>
    <col min="73" max="73" width="8.54296875" style="1" customWidth="1"/>
    <col min="74" max="74" width="8" style="1" customWidth="1"/>
    <col min="75" max="75" width="8.26953125" style="1" customWidth="1"/>
    <col min="76" max="76" width="8.1796875" style="1" customWidth="1"/>
    <col min="77" max="77" width="9.7265625" style="1" customWidth="1"/>
    <col min="78" max="78" width="9.453125" style="1" customWidth="1"/>
    <col min="79" max="79" width="8.7265625" style="1" customWidth="1"/>
    <col min="80" max="80" width="8.54296875" style="1" customWidth="1"/>
    <col min="81" max="81" width="8" style="1" customWidth="1"/>
    <col min="82" max="82" width="9.453125" style="1" customWidth="1"/>
    <col min="83" max="83" width="8.7265625" style="1" customWidth="1"/>
    <col min="84" max="84" width="8.54296875" style="1" customWidth="1"/>
    <col min="85" max="85" width="8" style="1" customWidth="1"/>
    <col min="86" max="86" width="9.453125" style="1" customWidth="1"/>
    <col min="87" max="87" width="8.7265625" style="1" customWidth="1"/>
    <col min="88" max="88" width="8.54296875" style="1" customWidth="1"/>
    <col min="89" max="89" width="8" style="1" customWidth="1"/>
    <col min="90" max="90" width="2.7265625" customWidth="1"/>
    <col min="91" max="91" width="10.26953125" style="1" customWidth="1"/>
    <col min="92" max="92" width="8.453125" style="1" customWidth="1"/>
    <col min="93" max="93" width="10.54296875" style="1" customWidth="1"/>
    <col min="94" max="94" width="10" style="1" customWidth="1"/>
    <col min="95" max="95" width="8.7265625" style="1" customWidth="1"/>
    <col min="96" max="96" width="7.7265625" style="1" customWidth="1"/>
    <col min="97" max="97" width="8.54296875" style="1" customWidth="1"/>
    <col min="98" max="98" width="15.7265625" style="1" customWidth="1"/>
    <col min="99" max="99" width="6.54296875" customWidth="1"/>
    <col min="100" max="100" width="5.54296875" bestFit="1" customWidth="1"/>
    <col min="101" max="101" width="9.26953125" customWidth="1"/>
    <col min="102" max="102" width="7.81640625" customWidth="1"/>
    <col min="103" max="103" width="9.26953125" customWidth="1"/>
  </cols>
  <sheetData>
    <row r="1" spans="2:102" x14ac:dyDescent="0.35">
      <c r="C1" s="22"/>
      <c r="D1" s="19"/>
      <c r="E1" s="19"/>
      <c r="F1" s="22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M1" s="5"/>
      <c r="CN1" s="5"/>
      <c r="CO1" s="5"/>
      <c r="CP1" s="5"/>
      <c r="CQ1" s="5"/>
      <c r="CR1" s="5"/>
      <c r="CS1" s="5"/>
      <c r="CT1" s="5"/>
    </row>
    <row r="2" spans="2:102" x14ac:dyDescent="0.35">
      <c r="C2" s="22"/>
      <c r="D2" s="19"/>
      <c r="E2" s="19"/>
      <c r="F2" s="22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M2" s="5"/>
      <c r="CN2" s="5"/>
      <c r="CO2" s="5"/>
      <c r="CP2" s="5"/>
      <c r="CQ2" s="5"/>
      <c r="CR2" s="5"/>
      <c r="CS2" s="5"/>
      <c r="CT2" s="5"/>
    </row>
    <row r="3" spans="2:102" x14ac:dyDescent="0.35">
      <c r="C3" s="22"/>
      <c r="D3" s="19"/>
      <c r="E3" s="19"/>
      <c r="F3" s="2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M3" s="5"/>
      <c r="CN3" s="5"/>
      <c r="CO3" s="5"/>
      <c r="CP3" s="5"/>
      <c r="CQ3" s="5"/>
      <c r="CR3" s="5"/>
      <c r="CS3" s="5"/>
      <c r="CT3" s="5"/>
    </row>
    <row r="4" spans="2:102" x14ac:dyDescent="0.35">
      <c r="C4" s="22"/>
      <c r="D4" s="19"/>
      <c r="E4" s="19"/>
      <c r="F4" s="22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M4" s="5"/>
      <c r="CN4" s="5"/>
      <c r="CO4" s="5"/>
      <c r="CP4" s="5"/>
      <c r="CQ4" s="5"/>
      <c r="CR4" s="5"/>
      <c r="CS4" s="5"/>
      <c r="CT4" s="5"/>
    </row>
    <row r="5" spans="2:102" x14ac:dyDescent="0.35">
      <c r="B5" s="10"/>
      <c r="C5" s="22"/>
      <c r="D5" s="19"/>
      <c r="E5" s="19"/>
      <c r="F5" s="2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M5" s="5"/>
      <c r="CN5" s="5"/>
      <c r="CO5" s="5"/>
      <c r="CP5" s="5"/>
      <c r="CQ5" s="5"/>
      <c r="CR5" s="5"/>
      <c r="CS5" s="5"/>
      <c r="CT5" s="5"/>
    </row>
    <row r="6" spans="2:102" ht="18.75" customHeight="1" thickBot="1" x14ac:dyDescent="0.4">
      <c r="C6" s="22"/>
      <c r="D6" s="19"/>
      <c r="E6" s="19"/>
      <c r="F6" s="2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M6" s="5"/>
      <c r="CN6" s="5"/>
      <c r="CO6" s="5"/>
      <c r="CP6" s="5"/>
      <c r="CQ6" s="5"/>
      <c r="CR6" s="5"/>
      <c r="CS6" s="5"/>
      <c r="CT6" s="5"/>
    </row>
    <row r="7" spans="2:102" x14ac:dyDescent="0.35">
      <c r="B7" s="10"/>
      <c r="C7" s="24"/>
      <c r="D7" s="19"/>
      <c r="E7" s="19"/>
      <c r="F7" s="27"/>
      <c r="G7" s="74">
        <f>SUBTOTAL(9,G10:G23)</f>
        <v>14339.799000000001</v>
      </c>
      <c r="H7" s="165">
        <f>SUBTOTAL(9,H10:H23)</f>
        <v>12641.68</v>
      </c>
      <c r="I7" s="75">
        <f>SUBTOTAL(9,I10:I23)</f>
        <v>15458.304</v>
      </c>
      <c r="J7" s="75">
        <f>SUBTOTAL(9,J10:J23)</f>
        <v>125.5</v>
      </c>
      <c r="K7" s="75">
        <f>SUBTOTAL(9,K10:K23)</f>
        <v>0</v>
      </c>
      <c r="L7" s="76">
        <f>IFERROR(((I7+K7+J7)/H7),0)</f>
        <v>1.2327320419437922</v>
      </c>
      <c r="M7" s="77">
        <f>IFERROR(((I7+J7+K7)/G7-1),0)</f>
        <v>8.675191332877108E-2</v>
      </c>
      <c r="N7" s="88">
        <f>H7-I7-J7-K7</f>
        <v>-2942.1239999999998</v>
      </c>
      <c r="O7" s="75">
        <f t="shared" ref="O7:Z7" si="0">SUBTOTAL(9,O10:O23)</f>
        <v>1856.1390000000001</v>
      </c>
      <c r="P7" s="75">
        <f t="shared" si="0"/>
        <v>1941.9789999999998</v>
      </c>
      <c r="Q7" s="75">
        <f t="shared" si="0"/>
        <v>54</v>
      </c>
      <c r="R7" s="75">
        <f t="shared" si="0"/>
        <v>0</v>
      </c>
      <c r="S7" s="75">
        <f t="shared" si="0"/>
        <v>4894.183</v>
      </c>
      <c r="T7" s="75">
        <f t="shared" si="0"/>
        <v>5433.9709999999995</v>
      </c>
      <c r="U7" s="75">
        <f t="shared" si="0"/>
        <v>46</v>
      </c>
      <c r="V7" s="75">
        <f t="shared" si="0"/>
        <v>0</v>
      </c>
      <c r="W7" s="75">
        <f t="shared" si="0"/>
        <v>7589.4769999999999</v>
      </c>
      <c r="X7" s="75">
        <f t="shared" si="0"/>
        <v>8082.3539999999994</v>
      </c>
      <c r="Y7" s="75">
        <f t="shared" si="0"/>
        <v>25.5</v>
      </c>
      <c r="Z7" s="75">
        <f t="shared" si="0"/>
        <v>0</v>
      </c>
      <c r="AA7" s="14"/>
      <c r="AB7" s="74">
        <f>SUBTOTAL(9,AB10:AB23)</f>
        <v>14332.09</v>
      </c>
      <c r="AC7" s="75">
        <f>SUBTOTAL(9,AC10:AC23)</f>
        <v>10835.718288</v>
      </c>
      <c r="AD7" s="75">
        <f>SUBTOTAL(9,AD10:AD23)</f>
        <v>9451.8380000000016</v>
      </c>
      <c r="AE7" s="75">
        <f>SUBTOTAL(9,AE10:AE23)</f>
        <v>163.958</v>
      </c>
      <c r="AF7" s="75">
        <f>SUBTOTAL(9,AF10:AF23)</f>
        <v>0</v>
      </c>
      <c r="AG7" s="76">
        <f>IFERROR(((AD7+AF7+AE7)/AC7),0)</f>
        <v>0.88741657400312823</v>
      </c>
      <c r="AH7" s="77">
        <f>IFERROR(((AD7+AE7+AF7)/AB7-1),0)</f>
        <v>-0.32907231255176306</v>
      </c>
      <c r="AI7" s="78">
        <f>AC7-AD7-AE7-AF7</f>
        <v>1219.9222879999984</v>
      </c>
      <c r="AJ7" s="74">
        <f t="shared" ref="AJ7:AU7" si="1">SUBTOTAL(9,AJ10:AJ23)</f>
        <v>6436.7160000000003</v>
      </c>
      <c r="AK7" s="75">
        <f t="shared" si="1"/>
        <v>2867.5240000000003</v>
      </c>
      <c r="AL7" s="75">
        <f t="shared" si="1"/>
        <v>45.125</v>
      </c>
      <c r="AM7" s="75">
        <f t="shared" si="1"/>
        <v>0</v>
      </c>
      <c r="AN7" s="74">
        <f t="shared" si="1"/>
        <v>3615.471</v>
      </c>
      <c r="AO7" s="75">
        <f t="shared" si="1"/>
        <v>2591.3629999999998</v>
      </c>
      <c r="AP7" s="75">
        <f t="shared" si="1"/>
        <v>32.832999999999998</v>
      </c>
      <c r="AQ7" s="75">
        <f t="shared" si="1"/>
        <v>0</v>
      </c>
      <c r="AR7" s="74">
        <f t="shared" si="1"/>
        <v>4279.9030000000002</v>
      </c>
      <c r="AS7" s="75">
        <f t="shared" si="1"/>
        <v>3992.9509999999996</v>
      </c>
      <c r="AT7" s="75">
        <f t="shared" si="1"/>
        <v>86</v>
      </c>
      <c r="AU7" s="75">
        <f t="shared" si="1"/>
        <v>0</v>
      </c>
      <c r="AV7" s="14"/>
      <c r="AW7" s="74">
        <f>SUBTOTAL(9,AW10:AW23)</f>
        <v>8494.0289999999986</v>
      </c>
      <c r="AX7" s="75">
        <f>SUBTOTAL(9,AX10:AX23)</f>
        <v>10191.267145731274</v>
      </c>
      <c r="AY7" s="75">
        <f>SUBTOTAL(9,AY10:AY23)</f>
        <v>11094.633000000002</v>
      </c>
      <c r="AZ7" s="75">
        <f>SUBTOTAL(9,AZ10:AZ23)</f>
        <v>377.12400000000002</v>
      </c>
      <c r="BA7" s="75">
        <f>SUBTOTAL(9,BA10:BA23)</f>
        <v>0</v>
      </c>
      <c r="BB7" s="93">
        <f>IFERROR(((AY7+BA7+AZ7)/AX7),0)</f>
        <v>1.1256457941841977</v>
      </c>
      <c r="BC7" s="94">
        <f>IFERROR(((AY7+AZ7+BA7)/AW7-1),0)</f>
        <v>0.35056720432671029</v>
      </c>
      <c r="BD7" s="95">
        <f>AX7-AY7-AZ7-BA7</f>
        <v>-1280.4898542687281</v>
      </c>
      <c r="BE7" s="74">
        <f t="shared" ref="BE7:BP7" si="2">SUBTOTAL(9,BE10:BE23)</f>
        <v>2064.8469999999998</v>
      </c>
      <c r="BF7" s="75">
        <f t="shared" si="2"/>
        <v>2538.5169999999998</v>
      </c>
      <c r="BG7" s="75">
        <f t="shared" si="2"/>
        <v>60.582999999999998</v>
      </c>
      <c r="BH7" s="75">
        <f t="shared" si="2"/>
        <v>0</v>
      </c>
      <c r="BI7" s="74">
        <f t="shared" si="2"/>
        <v>2460.0510000000004</v>
      </c>
      <c r="BJ7" s="75">
        <f t="shared" si="2"/>
        <v>3092.4920000000002</v>
      </c>
      <c r="BK7" s="75">
        <f t="shared" si="2"/>
        <v>70.332999999999998</v>
      </c>
      <c r="BL7" s="75">
        <f t="shared" si="2"/>
        <v>0</v>
      </c>
      <c r="BM7" s="74">
        <f t="shared" si="2"/>
        <v>3969.1310000000003</v>
      </c>
      <c r="BN7" s="75">
        <f t="shared" si="2"/>
        <v>5463.6239999999998</v>
      </c>
      <c r="BO7" s="75">
        <f t="shared" si="2"/>
        <v>246.208</v>
      </c>
      <c r="BP7" s="75">
        <f t="shared" si="2"/>
        <v>0</v>
      </c>
      <c r="BR7" s="74">
        <f>SUBTOTAL(9,BR10:BR23)</f>
        <v>4968.7020000000002</v>
      </c>
      <c r="BS7" s="75">
        <f>SUBTOTAL(9,BS10:BS23)</f>
        <v>10857</v>
      </c>
      <c r="BT7" s="75">
        <f>SUBTOTAL(9,BT10:BT23)</f>
        <v>5715.7080000000005</v>
      </c>
      <c r="BU7" s="75">
        <f>SUBTOTAL(9,BU10:BU23)</f>
        <v>225</v>
      </c>
      <c r="BV7" s="75">
        <f>SUBTOTAL(9,BV10:BV23)</f>
        <v>199.833</v>
      </c>
      <c r="BW7" s="76">
        <f>IFERROR(((BT7+BV7+BU7)/BS7),0)</f>
        <v>0.56558358662613983</v>
      </c>
      <c r="BX7" s="77">
        <f>IFERROR(((BT7+BU7+BV7)/BR7-1),0)</f>
        <v>0.23584408966365866</v>
      </c>
      <c r="BY7" s="78">
        <f>BS7-BT7-BU7-BV7</f>
        <v>4716.4589999999998</v>
      </c>
      <c r="BZ7" s="74">
        <f t="shared" ref="BZ7:CK7" si="3">SUBTOTAL(9,BZ10:BZ23)</f>
        <v>1081.0530000000001</v>
      </c>
      <c r="CA7" s="75">
        <f t="shared" si="3"/>
        <v>1228.0209999999997</v>
      </c>
      <c r="CB7" s="75">
        <f t="shared" si="3"/>
        <v>58.875</v>
      </c>
      <c r="CC7" s="75">
        <f t="shared" si="3"/>
        <v>0</v>
      </c>
      <c r="CD7" s="74">
        <f t="shared" si="3"/>
        <v>2000.0429999999999</v>
      </c>
      <c r="CE7" s="75">
        <f t="shared" si="3"/>
        <v>2880.9309999999996</v>
      </c>
      <c r="CF7" s="75">
        <f t="shared" si="3"/>
        <v>47.667000000000002</v>
      </c>
      <c r="CG7" s="75">
        <f t="shared" si="3"/>
        <v>0</v>
      </c>
      <c r="CH7" s="74">
        <f t="shared" si="3"/>
        <v>1887.6059999999998</v>
      </c>
      <c r="CI7" s="75">
        <f t="shared" si="3"/>
        <v>1606.7560000000001</v>
      </c>
      <c r="CJ7" s="75">
        <f t="shared" si="3"/>
        <v>93.290999999999997</v>
      </c>
      <c r="CK7" s="75">
        <f t="shared" si="3"/>
        <v>225</v>
      </c>
      <c r="CM7" s="74">
        <f>SUBTOTAL(9,CM10:CM23)</f>
        <v>42134.619999999995</v>
      </c>
      <c r="CN7" s="75">
        <f>SUBTOTAL(9,CN10:CN23)</f>
        <v>44525.665433731272</v>
      </c>
      <c r="CO7" s="75">
        <f>SUBTOTAL(9,CO10:CO23)</f>
        <v>41720.483</v>
      </c>
      <c r="CP7" s="75">
        <f>SUBTOTAL(9,CP10:CP23)</f>
        <v>891.58200000000011</v>
      </c>
      <c r="CQ7" s="75">
        <f>SUBTOTAL(9,CQ10:CQ23)</f>
        <v>199.833</v>
      </c>
      <c r="CR7" s="76">
        <f>IFERROR(((CO7+CQ7+CP7)/CN7),0)</f>
        <v>0.96151057110461569</v>
      </c>
      <c r="CS7" s="77">
        <f>IFERROR(((CO7+CP7+CQ7)/CM7-1),0)</f>
        <v>1.6074145204110213E-2</v>
      </c>
      <c r="CT7" s="78">
        <f>CN7-CO7-CP7-CQ7</f>
        <v>1713.7674337312717</v>
      </c>
    </row>
    <row r="8" spans="2:102" ht="24" customHeight="1" thickBot="1" x14ac:dyDescent="0.4">
      <c r="F8" s="26"/>
      <c r="G8" s="82" t="s">
        <v>22</v>
      </c>
      <c r="H8" s="166"/>
      <c r="I8" s="83"/>
      <c r="J8" s="83"/>
      <c r="K8" s="83"/>
      <c r="L8" s="83"/>
      <c r="M8" s="83"/>
      <c r="N8" s="89"/>
      <c r="O8" s="92" t="s">
        <v>23</v>
      </c>
      <c r="P8" s="91"/>
      <c r="Q8" s="91"/>
      <c r="R8" s="91"/>
      <c r="S8" s="92" t="s">
        <v>24</v>
      </c>
      <c r="T8" s="91"/>
      <c r="U8" s="91"/>
      <c r="V8" s="91"/>
      <c r="W8" s="92" t="s">
        <v>25</v>
      </c>
      <c r="X8" s="91"/>
      <c r="Y8" s="91"/>
      <c r="Z8" s="91"/>
      <c r="AA8" s="15"/>
      <c r="AB8" s="82" t="s">
        <v>30</v>
      </c>
      <c r="AC8" s="83"/>
      <c r="AD8" s="83"/>
      <c r="AE8" s="83"/>
      <c r="AF8" s="83"/>
      <c r="AG8" s="83"/>
      <c r="AH8" s="83"/>
      <c r="AI8" s="84"/>
      <c r="AJ8" s="92" t="s">
        <v>27</v>
      </c>
      <c r="AK8" s="91"/>
      <c r="AL8" s="91"/>
      <c r="AM8" s="91"/>
      <c r="AN8" s="92" t="s">
        <v>28</v>
      </c>
      <c r="AO8" s="91"/>
      <c r="AP8" s="91"/>
      <c r="AQ8" s="91"/>
      <c r="AR8" s="92" t="s">
        <v>29</v>
      </c>
      <c r="AS8" s="91"/>
      <c r="AT8" s="91"/>
      <c r="AU8" s="91"/>
      <c r="AV8" s="15"/>
      <c r="AW8" s="82" t="s">
        <v>66</v>
      </c>
      <c r="AX8" s="83"/>
      <c r="AY8" s="83"/>
      <c r="AZ8" s="83"/>
      <c r="BA8" s="83"/>
      <c r="BB8" s="83"/>
      <c r="BC8" s="83"/>
      <c r="BD8" s="84"/>
      <c r="BE8" s="92" t="s">
        <v>67</v>
      </c>
      <c r="BF8" s="91"/>
      <c r="BG8" s="91"/>
      <c r="BH8" s="91"/>
      <c r="BI8" s="92" t="s">
        <v>68</v>
      </c>
      <c r="BJ8" s="91"/>
      <c r="BK8" s="91"/>
      <c r="BL8" s="91"/>
      <c r="BM8" s="92" t="s">
        <v>72</v>
      </c>
      <c r="BN8" s="91"/>
      <c r="BO8" s="91"/>
      <c r="BP8" s="91"/>
      <c r="BR8" s="82" t="s">
        <v>73</v>
      </c>
      <c r="BS8" s="83"/>
      <c r="BT8" s="83"/>
      <c r="BU8" s="83"/>
      <c r="BV8" s="83"/>
      <c r="BW8" s="83"/>
      <c r="BX8" s="83"/>
      <c r="BY8" s="84"/>
      <c r="BZ8" s="92" t="s">
        <v>69</v>
      </c>
      <c r="CA8" s="91"/>
      <c r="CB8" s="91"/>
      <c r="CC8" s="91"/>
      <c r="CD8" s="92" t="s">
        <v>70</v>
      </c>
      <c r="CE8" s="91"/>
      <c r="CF8" s="91"/>
      <c r="CG8" s="91"/>
      <c r="CH8" s="92" t="s">
        <v>71</v>
      </c>
      <c r="CI8" s="91"/>
      <c r="CJ8" s="91"/>
      <c r="CK8" s="91"/>
      <c r="CM8" s="82" t="s">
        <v>783</v>
      </c>
      <c r="CN8" s="83"/>
      <c r="CO8" s="83"/>
      <c r="CP8" s="83"/>
      <c r="CQ8" s="83"/>
      <c r="CR8" s="83"/>
      <c r="CS8" s="83"/>
      <c r="CT8" s="84"/>
    </row>
    <row r="9" spans="2:102" s="130" customFormat="1" ht="33" customHeight="1" x14ac:dyDescent="0.35">
      <c r="C9" s="85" t="s">
        <v>0</v>
      </c>
      <c r="D9" s="86" t="s">
        <v>2</v>
      </c>
      <c r="E9" s="86" t="s">
        <v>3</v>
      </c>
      <c r="F9" s="87" t="s">
        <v>15</v>
      </c>
      <c r="G9" s="125" t="s">
        <v>169</v>
      </c>
      <c r="H9" s="167" t="s">
        <v>1</v>
      </c>
      <c r="I9" s="117" t="s">
        <v>170</v>
      </c>
      <c r="J9" s="117" t="s">
        <v>75</v>
      </c>
      <c r="K9" s="117" t="s">
        <v>65</v>
      </c>
      <c r="L9" s="117" t="s">
        <v>173</v>
      </c>
      <c r="M9" s="126" t="s">
        <v>172</v>
      </c>
      <c r="N9" s="118" t="s">
        <v>16</v>
      </c>
      <c r="O9" s="127" t="s">
        <v>169</v>
      </c>
      <c r="P9" s="128" t="s">
        <v>170</v>
      </c>
      <c r="Q9" s="128" t="s">
        <v>75</v>
      </c>
      <c r="R9" s="128" t="s">
        <v>65</v>
      </c>
      <c r="S9" s="127" t="s">
        <v>169</v>
      </c>
      <c r="T9" s="128" t="s">
        <v>170</v>
      </c>
      <c r="U9" s="128" t="s">
        <v>75</v>
      </c>
      <c r="V9" s="128" t="s">
        <v>65</v>
      </c>
      <c r="W9" s="127" t="s">
        <v>169</v>
      </c>
      <c r="X9" s="128" t="s">
        <v>170</v>
      </c>
      <c r="Y9" s="128" t="s">
        <v>75</v>
      </c>
      <c r="Z9" s="128" t="s">
        <v>65</v>
      </c>
      <c r="AA9" s="129"/>
      <c r="AB9" s="125" t="s">
        <v>169</v>
      </c>
      <c r="AC9" s="117" t="s">
        <v>1</v>
      </c>
      <c r="AD9" s="117" t="s">
        <v>170</v>
      </c>
      <c r="AE9" s="117" t="s">
        <v>75</v>
      </c>
      <c r="AF9" s="117" t="s">
        <v>65</v>
      </c>
      <c r="AG9" s="117" t="s">
        <v>173</v>
      </c>
      <c r="AH9" s="126" t="s">
        <v>172</v>
      </c>
      <c r="AI9" s="118" t="s">
        <v>16</v>
      </c>
      <c r="AJ9" s="127" t="s">
        <v>169</v>
      </c>
      <c r="AK9" s="128" t="s">
        <v>170</v>
      </c>
      <c r="AL9" s="128" t="s">
        <v>75</v>
      </c>
      <c r="AM9" s="128" t="s">
        <v>65</v>
      </c>
      <c r="AN9" s="127" t="s">
        <v>169</v>
      </c>
      <c r="AO9" s="128" t="s">
        <v>170</v>
      </c>
      <c r="AP9" s="128" t="s">
        <v>75</v>
      </c>
      <c r="AQ9" s="128" t="s">
        <v>65</v>
      </c>
      <c r="AR9" s="127" t="s">
        <v>169</v>
      </c>
      <c r="AS9" s="128" t="s">
        <v>170</v>
      </c>
      <c r="AT9" s="128" t="s">
        <v>75</v>
      </c>
      <c r="AU9" s="128" t="s">
        <v>65</v>
      </c>
      <c r="AV9" s="129"/>
      <c r="AW9" s="125" t="s">
        <v>169</v>
      </c>
      <c r="AX9" s="117" t="s">
        <v>1</v>
      </c>
      <c r="AY9" s="117" t="s">
        <v>170</v>
      </c>
      <c r="AZ9" s="117" t="s">
        <v>75</v>
      </c>
      <c r="BA9" s="117" t="s">
        <v>65</v>
      </c>
      <c r="BB9" s="117" t="s">
        <v>173</v>
      </c>
      <c r="BC9" s="126" t="s">
        <v>172</v>
      </c>
      <c r="BD9" s="118" t="s">
        <v>16</v>
      </c>
      <c r="BE9" s="127" t="s">
        <v>169</v>
      </c>
      <c r="BF9" s="128" t="s">
        <v>170</v>
      </c>
      <c r="BG9" s="128" t="s">
        <v>75</v>
      </c>
      <c r="BH9" s="128" t="s">
        <v>65</v>
      </c>
      <c r="BI9" s="127" t="s">
        <v>169</v>
      </c>
      <c r="BJ9" s="128" t="s">
        <v>170</v>
      </c>
      <c r="BK9" s="128" t="s">
        <v>75</v>
      </c>
      <c r="BL9" s="128" t="s">
        <v>65</v>
      </c>
      <c r="BM9" s="127" t="s">
        <v>169</v>
      </c>
      <c r="BN9" s="128" t="s">
        <v>170</v>
      </c>
      <c r="BO9" s="128" t="s">
        <v>75</v>
      </c>
      <c r="BP9" s="128" t="s">
        <v>65</v>
      </c>
      <c r="BR9" s="125" t="s">
        <v>169</v>
      </c>
      <c r="BS9" s="117" t="s">
        <v>1</v>
      </c>
      <c r="BT9" s="117" t="s">
        <v>170</v>
      </c>
      <c r="BU9" s="117" t="s">
        <v>75</v>
      </c>
      <c r="BV9" s="117" t="s">
        <v>65</v>
      </c>
      <c r="BW9" s="117" t="s">
        <v>173</v>
      </c>
      <c r="BX9" s="126" t="s">
        <v>172</v>
      </c>
      <c r="BY9" s="118" t="s">
        <v>16</v>
      </c>
      <c r="BZ9" s="127" t="s">
        <v>169</v>
      </c>
      <c r="CA9" s="128" t="s">
        <v>170</v>
      </c>
      <c r="CB9" s="128" t="s">
        <v>75</v>
      </c>
      <c r="CC9" s="128" t="s">
        <v>65</v>
      </c>
      <c r="CD9" s="127" t="s">
        <v>169</v>
      </c>
      <c r="CE9" s="128" t="s">
        <v>170</v>
      </c>
      <c r="CF9" s="128" t="s">
        <v>75</v>
      </c>
      <c r="CG9" s="128" t="s">
        <v>65</v>
      </c>
      <c r="CH9" s="127" t="s">
        <v>169</v>
      </c>
      <c r="CI9" s="128" t="s">
        <v>170</v>
      </c>
      <c r="CJ9" s="128" t="s">
        <v>75</v>
      </c>
      <c r="CK9" s="128" t="s">
        <v>65</v>
      </c>
      <c r="CM9" s="125" t="s">
        <v>169</v>
      </c>
      <c r="CN9" s="117" t="s">
        <v>1</v>
      </c>
      <c r="CO9" s="117" t="s">
        <v>170</v>
      </c>
      <c r="CP9" s="117" t="s">
        <v>75</v>
      </c>
      <c r="CQ9" s="117" t="s">
        <v>65</v>
      </c>
      <c r="CR9" s="117" t="s">
        <v>173</v>
      </c>
      <c r="CS9" s="126" t="s">
        <v>172</v>
      </c>
      <c r="CT9" s="118" t="s">
        <v>16</v>
      </c>
    </row>
    <row r="10" spans="2:102" x14ac:dyDescent="0.35">
      <c r="B10" s="10"/>
      <c r="C10" s="53" t="s">
        <v>402</v>
      </c>
      <c r="D10" s="51">
        <v>771</v>
      </c>
      <c r="E10" s="51" t="s">
        <v>404</v>
      </c>
      <c r="F10" s="81" t="s">
        <v>136</v>
      </c>
      <c r="G10" s="79">
        <f t="shared" ref="G10:G23" si="4">O10+S10+W10</f>
        <v>1650.944</v>
      </c>
      <c r="H10" s="168">
        <f>_xlfn.XLOOKUP($F10,Metas!$B:$B,Metas!Q:Q,0,0,1)</f>
        <v>898.53</v>
      </c>
      <c r="I10" s="73">
        <f t="shared" ref="I10:I23" si="5">P10+T10+X10</f>
        <v>690.57500000000005</v>
      </c>
      <c r="J10" s="73">
        <f t="shared" ref="J10:J23" si="6">Q10+U10+Y10</f>
        <v>0</v>
      </c>
      <c r="K10" s="73">
        <f t="shared" ref="K10:K23" si="7">R10+V10+Z10</f>
        <v>0</v>
      </c>
      <c r="L10" s="37">
        <f>IFERROR(((I10+K10+J10)/H10),0)</f>
        <v>0.76856087164591058</v>
      </c>
      <c r="M10" s="37">
        <f>IFERROR(((I10+J10+K10)/G10-1),0)</f>
        <v>-0.5817090101178477</v>
      </c>
      <c r="N10" s="90">
        <f>H10-I10-J10-K10</f>
        <v>207.95499999999993</v>
      </c>
      <c r="O10" s="79">
        <f>SUMIF(Cliente!$H:$H,Rede!F10,Cliente!$N:$N)</f>
        <v>270.84399999999999</v>
      </c>
      <c r="P10" s="64">
        <f>SUMIF(Cliente!$H:$H,Rede!$F10,Cliente!$O:$O)</f>
        <v>10.707999999999998</v>
      </c>
      <c r="Q10" s="64">
        <f>SUMIF(Cliente!$H:$H,Rede!$F10,Cliente!$P:$P)</f>
        <v>0</v>
      </c>
      <c r="R10" s="64">
        <f>SUMIF(Cliente!$H:$H,Rede!$F10,Cliente!$Q:$Q)</f>
        <v>0</v>
      </c>
      <c r="S10" s="79">
        <f>SUMIF(Cliente!$H:$H,Rede!$F10,Cliente!$R:$R)</f>
        <v>854.55799999999999</v>
      </c>
      <c r="T10" s="64">
        <f>SUMIF(Cliente!$H:$H,Rede!$F10,Cliente!$S:$S)</f>
        <v>803.7</v>
      </c>
      <c r="U10" s="64">
        <f>SUMIF(Cliente!$H:$H,Rede!$F10,Cliente!$T:$T)</f>
        <v>0</v>
      </c>
      <c r="V10" s="64">
        <f>SUMIF(Cliente!$H:$H,Rede!$F10,Cliente!$U:$U)</f>
        <v>0</v>
      </c>
      <c r="W10" s="79">
        <f>SUMIF(Cliente!$H:$H,Rede!$F10,Cliente!$V:$V)</f>
        <v>525.54200000000003</v>
      </c>
      <c r="X10" s="64">
        <f>SUMIF(Cliente!$H:$H,Rede!$F10,Cliente!$W:$W)</f>
        <v>-123.833</v>
      </c>
      <c r="Y10" s="64">
        <f>SUMIF(Cliente!$H:$H,Rede!$F10,Cliente!$X:$X)</f>
        <v>0</v>
      </c>
      <c r="Z10" s="64">
        <f>SUMIF(Cliente!$H:$H,Rede!$F10,Cliente!$Y:$Y)</f>
        <v>0</v>
      </c>
      <c r="AA10" s="16"/>
      <c r="AB10" s="79">
        <f t="shared" ref="AB10:AB23" si="8">AJ10+AN10+AR10</f>
        <v>1068.366</v>
      </c>
      <c r="AC10" s="73">
        <f>_xlfn.XLOOKUP(F10,Metas!B:B,Metas!R:R,0,0,1)</f>
        <v>770.16614400000026</v>
      </c>
      <c r="AD10" s="73">
        <f t="shared" ref="AD10:AD23" si="9">AK10+AO10+AS10</f>
        <v>557.39200000000005</v>
      </c>
      <c r="AE10" s="73">
        <f t="shared" ref="AE10:AE23" si="10">AL10+AP10+AT10</f>
        <v>0</v>
      </c>
      <c r="AF10" s="73">
        <f t="shared" ref="AF10:AF23" si="11">AM10+AQ10+AU10</f>
        <v>0</v>
      </c>
      <c r="AG10" s="37">
        <f>IFERROR(((AD10+AE10+AF10)/AC10),0)</f>
        <v>0.72372955412592099</v>
      </c>
      <c r="AH10" s="37">
        <f>IFERROR(((AD10+AE10+AF10)/AB10-1),0)</f>
        <v>-0.47827617127463806</v>
      </c>
      <c r="AI10" s="80">
        <f>AC10-AD10-AE10-AF10</f>
        <v>212.77414400000021</v>
      </c>
      <c r="AJ10" s="79">
        <f>SUMIF(Cliente!$H:$H,Rede!$F10,Cliente!$AE:$AE)</f>
        <v>814.13300000000004</v>
      </c>
      <c r="AK10" s="64">
        <f>SUMIF(Cliente!$H:$H,Rede!$F10,Cliente!$AF:$AF)</f>
        <v>230.108</v>
      </c>
      <c r="AL10" s="64">
        <f>SUMIF(Cliente!$H:$H,Rede!$F10,Cliente!$AG:$AG)</f>
        <v>0</v>
      </c>
      <c r="AM10" s="64">
        <f>SUMIF(Cliente!$H:$H,Rede!$F10,Cliente!$AH:$AH)</f>
        <v>0</v>
      </c>
      <c r="AN10" s="79">
        <f>SUMIF(Cliente!$H:$H,Rede!$F10,Cliente!$AI:$AI)</f>
        <v>111.858</v>
      </c>
      <c r="AO10" s="64">
        <f>SUMIF(Cliente!$H:$H,Rede!$F10,Cliente!$AJ:$AJ)</f>
        <v>158.5</v>
      </c>
      <c r="AP10" s="64">
        <f>SUMIF(Cliente!$H:$H,Rede!$F10,Cliente!$AK:$AK)</f>
        <v>0</v>
      </c>
      <c r="AQ10" s="64">
        <f>SUMIF(Cliente!$H:$H,Rede!$F10,Cliente!$AL:$AL)</f>
        <v>0</v>
      </c>
      <c r="AR10" s="79">
        <f>SUMIF(Cliente!$H:$H,Rede!$F10,Cliente!$AM:$AM)</f>
        <v>142.375</v>
      </c>
      <c r="AS10" s="64">
        <f>SUMIF(Cliente!$H:$H,Rede!$F10,Cliente!$AN:$AN)</f>
        <v>168.78399999999999</v>
      </c>
      <c r="AT10" s="64">
        <f>SUMIF(Cliente!$H:$H,Rede!$F10,Cliente!$AO:$AO)</f>
        <v>0</v>
      </c>
      <c r="AU10" s="64">
        <f>SUMIF(Cliente!$H:$H,Rede!$F10,Cliente!$AP:$AP)</f>
        <v>0</v>
      </c>
      <c r="AV10" s="16"/>
      <c r="AW10" s="79">
        <f t="shared" ref="AW10:AW23" si="12">BE10+BI10+BM10</f>
        <v>455.59199999999998</v>
      </c>
      <c r="AX10" s="73">
        <f>_xlfn.XLOOKUP(Rede!F10,Metas!B:B,Metas!S:S,0,0,1)</f>
        <v>724.3607402375967</v>
      </c>
      <c r="AY10" s="73">
        <f t="shared" ref="AY10:AY23" si="13">BF10+BJ10+BN10</f>
        <v>761.76700000000005</v>
      </c>
      <c r="AZ10" s="73">
        <f t="shared" ref="AZ10:AZ23" si="14">BG10+BK10+BO10</f>
        <v>0</v>
      </c>
      <c r="BA10" s="73">
        <f t="shared" ref="BA10:BA23" si="15">BH10+BL10+BP10</f>
        <v>0</v>
      </c>
      <c r="BB10" s="37">
        <f>IFERROR(((AY10+AZ10+BA10)/AX10),0)</f>
        <v>1.0516403743114706</v>
      </c>
      <c r="BC10" s="37">
        <f>IFERROR(((AY10+AZ10+BA10)/AW10-1),0)</f>
        <v>0.67203770039860244</v>
      </c>
      <c r="BD10" s="80">
        <f>AX10-AY10-AZ10-BA10</f>
        <v>-37.406259762403351</v>
      </c>
      <c r="BE10" s="79">
        <f>SUMIF(Cliente!$H:$H,Rede!F10,Cliente!$AV:$AV)</f>
        <v>286.55</v>
      </c>
      <c r="BF10" s="64">
        <f>SUMIF(Cliente!$H:$H,Rede!F10,Cliente!$AW:$AW)</f>
        <v>102.017</v>
      </c>
      <c r="BG10" s="64">
        <f>SUMIF(Cliente!$H:$H,Rede!$F10,Cliente!$AX:$AX)</f>
        <v>0</v>
      </c>
      <c r="BH10" s="64">
        <f>SUMIF(Cliente!$H:$H,Rede!$F10,Cliente!$AY:$AY)</f>
        <v>0</v>
      </c>
      <c r="BI10" s="79">
        <f>SUMIF(Cliente!$H:$H,Rede!F10,Cliente!$AZ:$AZ)</f>
        <v>82.959000000000003</v>
      </c>
      <c r="BJ10" s="64">
        <f>SUMIF(Cliente!$H:$H,Rede!F10,Cliente!$BA:$BA)</f>
        <v>68.25</v>
      </c>
      <c r="BK10" s="64">
        <f>SUMIF(Cliente!$H:$H,Rede!$F10,Cliente!$BB:$BB)</f>
        <v>0</v>
      </c>
      <c r="BL10" s="64">
        <f>SUMIF(Cliente!$H:$H,Rede!$F10,Cliente!$BC:$BC)</f>
        <v>0</v>
      </c>
      <c r="BM10" s="79">
        <f>SUMIF(Cliente!$H:$H,Rede!F10,Cliente!$BD:$BD)</f>
        <v>86.082999999999998</v>
      </c>
      <c r="BN10" s="64">
        <f>SUMIF(Cliente!$H:$H,Rede!F10,Cliente!$BE:$BE)</f>
        <v>591.5</v>
      </c>
      <c r="BO10" s="64">
        <f>SUMIF(Cliente!$H:$H,Rede!$F10,Cliente!$BF:$BF)</f>
        <v>0</v>
      </c>
      <c r="BP10" s="64">
        <f>SUMIF(Cliente!$H:$H,Rede!$F10,Cliente!$BG:$BG)</f>
        <v>0</v>
      </c>
      <c r="BR10" s="79">
        <f t="shared" ref="BR10:BR23" si="16">BZ10+CD10+CH10</f>
        <v>151.60500000000002</v>
      </c>
      <c r="BS10" s="73">
        <f>_xlfn.XLOOKUP(Rede!F10,Metas!B:B,Metas!T:T,0,0,1)</f>
        <v>771</v>
      </c>
      <c r="BT10" s="73">
        <f>CA10+CE10+CI10</f>
        <v>79.888999999999996</v>
      </c>
      <c r="BU10" s="73">
        <f>CB10+CF10+CJ10</f>
        <v>0</v>
      </c>
      <c r="BV10" s="73">
        <f>CC10+CG10+CK10</f>
        <v>0</v>
      </c>
      <c r="BW10" s="37">
        <f>IFERROR(((BT10+BV10+BU10)/BS10),0)</f>
        <v>0.10361738002594033</v>
      </c>
      <c r="BX10" s="37">
        <f>IFERROR(((BT10+BU10+BV10)/BR10-1),0)</f>
        <v>-0.47304508426503089</v>
      </c>
      <c r="BY10" s="80">
        <f>BS10-BT10-BU10-BV10</f>
        <v>691.11099999999999</v>
      </c>
      <c r="BZ10" s="79">
        <f>SUMIF(Cliente!$H:$H,Rede!F10,Cliente!$BM:$BM)</f>
        <v>24.082999999999998</v>
      </c>
      <c r="CA10" s="64">
        <f>SUMIF(Cliente!$H:$H,Rede!F10,Cliente!$BN:$BN)</f>
        <v>-121</v>
      </c>
      <c r="CB10" s="64">
        <f>SUMIF(Cliente!$H:$H,Rede!$F10,Cliente!$BO:$BO)</f>
        <v>0</v>
      </c>
      <c r="CC10" s="64">
        <f>SUMIF(Cliente!$H:$H,Rede!$F10,Cliente!$BP:$BP)</f>
        <v>0</v>
      </c>
      <c r="CD10" s="79">
        <f>SUMIF(Cliente!$H:$H,Rede!F10,Cliente!$BQ:$BQ)</f>
        <v>59.867000000000004</v>
      </c>
      <c r="CE10" s="64">
        <f>SUMIF(Cliente!$H:$H,Rede!F10,Cliente!$BR:$BR)</f>
        <v>111.25</v>
      </c>
      <c r="CF10" s="64">
        <f>SUMIF(Cliente!$H:$H,Rede!$F10,Cliente!$BS:$BS)</f>
        <v>0</v>
      </c>
      <c r="CG10" s="64">
        <f>SUMIF(Cliente!$H:$H,Rede!$F10,Cliente!$BT:$BT)</f>
        <v>0</v>
      </c>
      <c r="CH10" s="79">
        <f>SUMIF(Cliente!$H:$H,Rede!$F10,Cliente!$BU:$BU)</f>
        <v>67.655000000000001</v>
      </c>
      <c r="CI10" s="64">
        <f>SUMIF(Cliente!$H:$H,Rede!$F10,Cliente!$BV:$BV)</f>
        <v>89.638999999999996</v>
      </c>
      <c r="CJ10" s="64">
        <f>SUMIF(Cliente!$H:$H,Rede!$F10,Cliente!$BW:$BW)</f>
        <v>0</v>
      </c>
      <c r="CK10" s="64">
        <f>SUMIF(Cliente!$H:$H,Rede!$F10,Cliente!$BX:$BX)</f>
        <v>0</v>
      </c>
      <c r="CM10" s="79">
        <f t="shared" ref="CM10:CM23" si="17">G10+AB10+AW10+BR10</f>
        <v>3326.5070000000001</v>
      </c>
      <c r="CN10" s="73">
        <f t="shared" ref="CN10:CN23" si="18">H10+AC10+AX10+BS10</f>
        <v>3164.0568842375969</v>
      </c>
      <c r="CO10" s="73">
        <f t="shared" ref="CO10:CO23" si="19">I10+AD10+AY10+BT10</f>
        <v>2089.623</v>
      </c>
      <c r="CP10" s="73">
        <f t="shared" ref="CP10:CP23" si="20">J10+AE10+AZ10+BU10</f>
        <v>0</v>
      </c>
      <c r="CQ10" s="73">
        <f t="shared" ref="CQ10:CQ23" si="21">K10+AF10+BA10+BV10</f>
        <v>0</v>
      </c>
      <c r="CR10" s="37">
        <f>IFERROR(((CO10+CQ10+CP10)/CN10),0)</f>
        <v>0.66042523142042375</v>
      </c>
      <c r="CS10" s="37">
        <f>IFERROR(((CO10+CP10+CQ10)/CM10-1),0)</f>
        <v>-0.37182666382484686</v>
      </c>
      <c r="CT10" s="80">
        <f>CN10-CO10-CP10-CQ10</f>
        <v>1074.4338842375969</v>
      </c>
      <c r="CU10" s="139"/>
      <c r="CV10" s="139"/>
      <c r="CW10" s="139"/>
      <c r="CX10" s="142"/>
    </row>
    <row r="11" spans="2:102" x14ac:dyDescent="0.35">
      <c r="B11" s="10"/>
      <c r="C11" s="53" t="s">
        <v>402</v>
      </c>
      <c r="D11" s="51">
        <v>3919</v>
      </c>
      <c r="E11" s="51" t="s">
        <v>434</v>
      </c>
      <c r="F11" s="81" t="s">
        <v>153</v>
      </c>
      <c r="G11" s="79">
        <f t="shared" si="4"/>
        <v>82.917000000000002</v>
      </c>
      <c r="H11" s="168">
        <f>_xlfn.XLOOKUP($F11,Metas!$B:$B,Metas!Q:Q,0,0,1)</f>
        <v>574.64</v>
      </c>
      <c r="I11" s="73">
        <f t="shared" si="5"/>
        <v>1734.9159999999999</v>
      </c>
      <c r="J11" s="73">
        <f t="shared" si="6"/>
        <v>18.332999999999998</v>
      </c>
      <c r="K11" s="73">
        <f t="shared" si="7"/>
        <v>0</v>
      </c>
      <c r="L11" s="37">
        <f t="shared" ref="L11" si="22">IFERROR(((I11+K11+J11)/H11),0)</f>
        <v>3.0510389113183907</v>
      </c>
      <c r="M11" s="37">
        <f t="shared" ref="M11" si="23">IFERROR(((I11+J11+K11)/G11-1),0)</f>
        <v>20.144626554265109</v>
      </c>
      <c r="N11" s="90">
        <f t="shared" ref="N11" si="24">H11-I11-J11-K11</f>
        <v>-1178.6089999999999</v>
      </c>
      <c r="O11" s="79">
        <f>SUMIF(Cliente!$H:$H,Rede!F11,Cliente!$N:$N)</f>
        <v>-1</v>
      </c>
      <c r="P11" s="64">
        <f>SUMIF(Cliente!$H:$H,Rede!$F11,Cliente!$O:$O)</f>
        <v>173</v>
      </c>
      <c r="Q11" s="64">
        <f>SUMIF(Cliente!$H:$H,Rede!$F11,Cliente!$P:$P)</f>
        <v>14.75</v>
      </c>
      <c r="R11" s="64">
        <f>SUMIF(Cliente!$H:$H,Rede!$F11,Cliente!$Q:$Q)</f>
        <v>0</v>
      </c>
      <c r="S11" s="79">
        <f>SUMIF(Cliente!$H:$H,Rede!$F11,Cliente!$R:$R)</f>
        <v>84</v>
      </c>
      <c r="T11" s="64">
        <f>SUMIF(Cliente!$H:$H,Rede!$F11,Cliente!$S:$S)</f>
        <v>788.33299999999997</v>
      </c>
      <c r="U11" s="64">
        <f>SUMIF(Cliente!$H:$H,Rede!$F11,Cliente!$T:$T)</f>
        <v>2.5830000000000002</v>
      </c>
      <c r="V11" s="64">
        <f>SUMIF(Cliente!$H:$H,Rede!$F11,Cliente!$U:$U)</f>
        <v>0</v>
      </c>
      <c r="W11" s="79">
        <f>SUMIF(Cliente!$H:$H,Rede!$F11,Cliente!$V:$V)</f>
        <v>-8.3000000000000004E-2</v>
      </c>
      <c r="X11" s="64">
        <f>SUMIF(Cliente!$H:$H,Rede!$F11,Cliente!$W:$W)</f>
        <v>773.58299999999997</v>
      </c>
      <c r="Y11" s="64">
        <f>SUMIF(Cliente!$H:$H,Rede!$F11,Cliente!$X:$X)</f>
        <v>1</v>
      </c>
      <c r="Z11" s="64">
        <f>SUMIF(Cliente!$H:$H,Rede!$F11,Cliente!$Y:$Y)</f>
        <v>0</v>
      </c>
      <c r="AA11" s="16"/>
      <c r="AB11" s="79">
        <f t="shared" si="8"/>
        <v>1206.354</v>
      </c>
      <c r="AC11" s="73">
        <f>_xlfn.XLOOKUP(F11,Metas!B:B,Metas!R:R,0,0,1)</f>
        <v>492.54739200000012</v>
      </c>
      <c r="AD11" s="73">
        <f t="shared" si="9"/>
        <v>525.93799999999999</v>
      </c>
      <c r="AE11" s="73">
        <f t="shared" si="10"/>
        <v>24.625</v>
      </c>
      <c r="AF11" s="73">
        <f t="shared" si="11"/>
        <v>0</v>
      </c>
      <c r="AG11" s="37">
        <f t="shared" ref="AG11" si="25">IFERROR(((AD11+AE11+AF11)/AC11),0)</f>
        <v>1.1177868545084082</v>
      </c>
      <c r="AH11" s="37">
        <f t="shared" ref="AH11" si="26">IFERROR(((AD11+AE11+AF11)/AB11-1),0)</f>
        <v>-0.54361406353358965</v>
      </c>
      <c r="AI11" s="80">
        <f t="shared" ref="AI11" si="27">AC11-AD11-AE11-AF11</f>
        <v>-58.015607999999872</v>
      </c>
      <c r="AJ11" s="79">
        <f>SUMIF(Cliente!$H:$H,Rede!$F11,Cliente!$AE:$AE)</f>
        <v>1136.604</v>
      </c>
      <c r="AK11" s="64">
        <f>SUMIF(Cliente!$H:$H,Rede!$F11,Cliente!$AF:$AF)</f>
        <v>245.75</v>
      </c>
      <c r="AL11" s="64">
        <f>SUMIF(Cliente!$H:$H,Rede!$F11,Cliente!$AG:$AG)</f>
        <v>9.625</v>
      </c>
      <c r="AM11" s="64">
        <f>SUMIF(Cliente!$H:$H,Rede!$F11,Cliente!$AH:$AH)</f>
        <v>0</v>
      </c>
      <c r="AN11" s="79">
        <f>SUMIF(Cliente!$H:$H,Rede!$F11,Cliente!$AI:$AI)</f>
        <v>60.75</v>
      </c>
      <c r="AO11" s="64">
        <f>SUMIF(Cliente!$H:$H,Rede!$F11,Cliente!$AJ:$AJ)</f>
        <v>194.18799999999999</v>
      </c>
      <c r="AP11" s="64">
        <f>SUMIF(Cliente!$H:$H,Rede!$F11,Cliente!$AK:$AK)</f>
        <v>13</v>
      </c>
      <c r="AQ11" s="64">
        <f>SUMIF(Cliente!$H:$H,Rede!$F11,Cliente!$AL:$AL)</f>
        <v>0</v>
      </c>
      <c r="AR11" s="79">
        <f>SUMIF(Cliente!$H:$H,Rede!$F11,Cliente!$AM:$AM)</f>
        <v>9</v>
      </c>
      <c r="AS11" s="64">
        <f>SUMIF(Cliente!$H:$H,Rede!$F11,Cliente!$AN:$AN)</f>
        <v>86</v>
      </c>
      <c r="AT11" s="64">
        <f>SUMIF(Cliente!$H:$H,Rede!$F11,Cliente!$AO:$AO)</f>
        <v>2</v>
      </c>
      <c r="AU11" s="64">
        <f>SUMIF(Cliente!$H:$H,Rede!$F11,Cliente!$AP:$AP)</f>
        <v>0</v>
      </c>
      <c r="AV11" s="16"/>
      <c r="AW11" s="79">
        <f t="shared" si="12"/>
        <v>393.54200000000003</v>
      </c>
      <c r="AX11" s="73">
        <f>_xlfn.XLOOKUP(Rede!F11,Metas!B:B,Metas!S:S,0,0,1)</f>
        <v>463.25328145197932</v>
      </c>
      <c r="AY11" s="73">
        <f t="shared" si="13"/>
        <v>938</v>
      </c>
      <c r="AZ11" s="73">
        <f t="shared" si="14"/>
        <v>85.082999999999998</v>
      </c>
      <c r="BA11" s="73">
        <f t="shared" si="15"/>
        <v>0</v>
      </c>
      <c r="BB11" s="37">
        <f t="shared" ref="BB11" si="28">IFERROR(((AY11+AZ11+BA11)/AX11),0)</f>
        <v>2.2084743723635176</v>
      </c>
      <c r="BC11" s="37">
        <f t="shared" ref="BC11" si="29">IFERROR(((AY11+AZ11+BA11)/AW11-1),0)</f>
        <v>1.5996793226644166</v>
      </c>
      <c r="BD11" s="80">
        <f t="shared" ref="BD11" si="30">AX11-AY11-AZ11-BA11</f>
        <v>-559.82971854802065</v>
      </c>
      <c r="BE11" s="79">
        <f>SUMIF(Cliente!$H:$H,Rede!F11,Cliente!$AV:$AV)</f>
        <v>211</v>
      </c>
      <c r="BF11" s="64">
        <f>SUMIF(Cliente!$H:$H,Rede!F11,Cliente!$AW:$AW)</f>
        <v>355</v>
      </c>
      <c r="BG11" s="64">
        <f>SUMIF(Cliente!$H:$H,Rede!$F11,Cliente!$AX:$AX)</f>
        <v>24.582999999999998</v>
      </c>
      <c r="BH11" s="64">
        <f>SUMIF(Cliente!$H:$H,Rede!$F11,Cliente!$AY:$AY)</f>
        <v>0</v>
      </c>
      <c r="BI11" s="79">
        <f>SUMIF(Cliente!$H:$H,Rede!F11,Cliente!$AZ:$AZ)</f>
        <v>-2.0830000000000002</v>
      </c>
      <c r="BJ11" s="64">
        <f>SUMIF(Cliente!$H:$H,Rede!F11,Cliente!$BA:$BA)</f>
        <v>307</v>
      </c>
      <c r="BK11" s="64">
        <f>SUMIF(Cliente!$H:$H,Rede!$F11,Cliente!$BB:$BB)</f>
        <v>19.25</v>
      </c>
      <c r="BL11" s="64">
        <f>SUMIF(Cliente!$H:$H,Rede!$F11,Cliente!$BC:$BC)</f>
        <v>0</v>
      </c>
      <c r="BM11" s="79">
        <f>SUMIF(Cliente!$H:$H,Rede!F11,Cliente!$BD:$BD)</f>
        <v>184.625</v>
      </c>
      <c r="BN11" s="64">
        <f>SUMIF(Cliente!$H:$H,Rede!F11,Cliente!$BE:$BE)</f>
        <v>276</v>
      </c>
      <c r="BO11" s="64">
        <f>SUMIF(Cliente!$H:$H,Rede!$F11,Cliente!$BF:$BF)</f>
        <v>41.25</v>
      </c>
      <c r="BP11" s="64">
        <f>SUMIF(Cliente!$H:$H,Rede!$F11,Cliente!$BG:$BG)</f>
        <v>0</v>
      </c>
      <c r="BR11" s="79">
        <f t="shared" si="16"/>
        <v>186.917</v>
      </c>
      <c r="BS11" s="73">
        <f>_xlfn.XLOOKUP(Rede!F11,Metas!B:B,Metas!T:T,0,0,1)</f>
        <v>495</v>
      </c>
      <c r="BT11" s="73">
        <f t="shared" ref="BT11:BT23" si="31">CA11+CE11+CI11</f>
        <v>181</v>
      </c>
      <c r="BU11" s="73">
        <f t="shared" ref="BU11:BU23" si="32">CC11+CG11+CK11</f>
        <v>0</v>
      </c>
      <c r="BV11" s="73">
        <f t="shared" ref="BV11:BV23" si="33">CB11+CF11+CJ11</f>
        <v>23</v>
      </c>
      <c r="BW11" s="37">
        <f t="shared" ref="BW11" si="34">IFERROR(((BT11+BV11+BU11)/BS11),0)</f>
        <v>0.41212121212121211</v>
      </c>
      <c r="BX11" s="37">
        <f t="shared" ref="BX11" si="35">IFERROR(((BT11+BU11+BV11)/BR11-1),0)</f>
        <v>9.1393506208637953E-2</v>
      </c>
      <c r="BY11" s="80">
        <f t="shared" ref="BY11" si="36">BS11-BT11-BU11-BV11</f>
        <v>291</v>
      </c>
      <c r="BZ11" s="79">
        <f>SUMIF(Cliente!$H:$H,Rede!F11,Cliente!$BM:$BM)</f>
        <v>0</v>
      </c>
      <c r="CA11" s="64">
        <f>SUMIF(Cliente!$H:$H,Rede!F11,Cliente!$BN:$BN)</f>
        <v>140</v>
      </c>
      <c r="CB11" s="64">
        <f>SUMIF(Cliente!$H:$H,Rede!$F11,Cliente!$BO:$BO)</f>
        <v>16</v>
      </c>
      <c r="CC11" s="64">
        <f>SUMIF(Cliente!$H:$H,Rede!$F11,Cliente!$BP:$BP)</f>
        <v>0</v>
      </c>
      <c r="CD11" s="79">
        <f>SUMIF(Cliente!$H:$H,Rede!F11,Cliente!$BQ:$BQ)</f>
        <v>102.917</v>
      </c>
      <c r="CE11" s="64">
        <f>SUMIF(Cliente!$H:$H,Rede!F11,Cliente!$BR:$BR)</f>
        <v>41</v>
      </c>
      <c r="CF11" s="64">
        <f>SUMIF(Cliente!$H:$H,Rede!$F11,Cliente!$BS:$BS)</f>
        <v>0</v>
      </c>
      <c r="CG11" s="64">
        <f>SUMIF(Cliente!$H:$H,Rede!$F11,Cliente!$BT:$BT)</f>
        <v>0</v>
      </c>
      <c r="CH11" s="79">
        <f>SUMIF(Cliente!$H:$H,Rede!$F11,Cliente!$BU:$BU)</f>
        <v>84</v>
      </c>
      <c r="CI11" s="64">
        <f>SUMIF(Cliente!$H:$H,Rede!$F11,Cliente!$BV:$BV)</f>
        <v>0</v>
      </c>
      <c r="CJ11" s="64">
        <f>SUMIF(Cliente!$H:$H,Rede!$F11,Cliente!$BW:$BW)</f>
        <v>7</v>
      </c>
      <c r="CK11" s="64">
        <f>SUMIF(Cliente!$H:$H,Rede!$F11,Cliente!$BX:$BX)</f>
        <v>0</v>
      </c>
      <c r="CM11" s="79">
        <f t="shared" si="17"/>
        <v>1869.73</v>
      </c>
      <c r="CN11" s="73">
        <f t="shared" si="18"/>
        <v>2025.4406734519794</v>
      </c>
      <c r="CO11" s="73">
        <f t="shared" si="19"/>
        <v>3379.8539999999998</v>
      </c>
      <c r="CP11" s="73">
        <f t="shared" si="20"/>
        <v>128.041</v>
      </c>
      <c r="CQ11" s="73">
        <f t="shared" si="21"/>
        <v>23</v>
      </c>
      <c r="CR11" s="37">
        <f t="shared" ref="CR11" si="37">IFERROR(((CO11+CQ11+CP11)/CN11),0)</f>
        <v>1.7432724869607064</v>
      </c>
      <c r="CS11" s="37">
        <f t="shared" ref="CS11" si="38">IFERROR(((CO11+CP11+CQ11)/CM11-1),0)</f>
        <v>0.88845180854989758</v>
      </c>
      <c r="CT11" s="80">
        <f>CN11-CO11-CP11-CQ11</f>
        <v>-1505.4543265480204</v>
      </c>
      <c r="CU11" s="139"/>
      <c r="CV11" s="139"/>
      <c r="CW11" s="139"/>
      <c r="CX11" s="142"/>
    </row>
    <row r="12" spans="2:102" x14ac:dyDescent="0.35">
      <c r="B12" s="10"/>
      <c r="C12" s="53" t="s">
        <v>402</v>
      </c>
      <c r="D12" s="51">
        <v>3919</v>
      </c>
      <c r="E12" s="51" t="s">
        <v>434</v>
      </c>
      <c r="F12" s="81" t="s">
        <v>105</v>
      </c>
      <c r="G12" s="79">
        <f t="shared" si="4"/>
        <v>1796.008</v>
      </c>
      <c r="H12" s="168">
        <f>_xlfn.XLOOKUP($F12,Metas!$B:$B,Metas!Q:Q,0,0,1)</f>
        <v>949.44</v>
      </c>
      <c r="I12" s="73">
        <f t="shared" si="5"/>
        <v>1664.1879999999999</v>
      </c>
      <c r="J12" s="73">
        <f t="shared" si="6"/>
        <v>27</v>
      </c>
      <c r="K12" s="73">
        <f t="shared" si="7"/>
        <v>0</v>
      </c>
      <c r="L12" s="37">
        <f>IFERROR(((I12+K12+J12)/H12),0)</f>
        <v>1.7812478934951126</v>
      </c>
      <c r="M12" s="37">
        <f>IFERROR(((I12+J12+K12)/G12-1),0)</f>
        <v>-5.8362768985438906E-2</v>
      </c>
      <c r="N12" s="90">
        <f>H12-I12-J12-K12</f>
        <v>-741.74799999999982</v>
      </c>
      <c r="O12" s="79">
        <f>SUMIF(Cliente!$H:$H,Rede!F12,Cliente!$N:$N)</f>
        <v>97.179000000000002</v>
      </c>
      <c r="P12" s="64">
        <f>SUMIF(Cliente!$H:$H,Rede!$F12,Cliente!$O:$O)</f>
        <v>263.875</v>
      </c>
      <c r="Q12" s="64">
        <f>SUMIF(Cliente!$H:$H,Rede!$F12,Cliente!$P:$P)</f>
        <v>3</v>
      </c>
      <c r="R12" s="64">
        <f>SUMIF(Cliente!$H:$H,Rede!$F12,Cliente!$Q:$Q)</f>
        <v>0</v>
      </c>
      <c r="S12" s="79">
        <f>SUMIF(Cliente!$H:$H,Rede!$F12,Cliente!$R:$R)</f>
        <v>80.521000000000001</v>
      </c>
      <c r="T12" s="64">
        <f>SUMIF(Cliente!$H:$H,Rede!$F12,Cliente!$S:$S)</f>
        <v>85.146000000000001</v>
      </c>
      <c r="U12" s="64">
        <f>SUMIF(Cliente!$H:$H,Rede!$F12,Cliente!$T:$T)</f>
        <v>7</v>
      </c>
      <c r="V12" s="64">
        <f>SUMIF(Cliente!$H:$H,Rede!$F12,Cliente!$U:$U)</f>
        <v>0</v>
      </c>
      <c r="W12" s="79">
        <f>SUMIF(Cliente!$H:$H,Rede!$F12,Cliente!$V:$V)</f>
        <v>1618.308</v>
      </c>
      <c r="X12" s="64">
        <f>SUMIF(Cliente!$H:$H,Rede!$F12,Cliente!$W:$W)</f>
        <v>1315.1669999999999</v>
      </c>
      <c r="Y12" s="64">
        <f>SUMIF(Cliente!$H:$H,Rede!$F12,Cliente!$X:$X)</f>
        <v>17</v>
      </c>
      <c r="Z12" s="64">
        <f>SUMIF(Cliente!$H:$H,Rede!$F12,Cliente!$Y:$Y)</f>
        <v>0</v>
      </c>
      <c r="AA12" s="16"/>
      <c r="AB12" s="79">
        <f t="shared" si="8"/>
        <v>1017.884</v>
      </c>
      <c r="AC12" s="73">
        <f>_xlfn.XLOOKUP(F12,Metas!B:B,Metas!R:R,0,0,1)</f>
        <v>813.80505600000038</v>
      </c>
      <c r="AD12" s="73">
        <f t="shared" si="9"/>
        <v>1064.0549999999998</v>
      </c>
      <c r="AE12" s="73">
        <f t="shared" si="10"/>
        <v>43</v>
      </c>
      <c r="AF12" s="73">
        <f t="shared" si="11"/>
        <v>0</v>
      </c>
      <c r="AG12" s="37">
        <f>IFERROR(((AD12+AE12+AF12)/AC12),0)</f>
        <v>1.3603442149172384</v>
      </c>
      <c r="AH12" s="37">
        <f>IFERROR(((AD12+AE12+AF12)/AB12-1),0)</f>
        <v>8.7604284967638613E-2</v>
      </c>
      <c r="AI12" s="80">
        <f>AC12-AD12-AE12-AF12</f>
        <v>-293.24994399999946</v>
      </c>
      <c r="AJ12" s="79">
        <f>SUMIF(Cliente!$H:$H,Rede!$F12,Cliente!$AE:$AE)</f>
        <v>219.52099999999999</v>
      </c>
      <c r="AK12" s="64">
        <f>SUMIF(Cliente!$H:$H,Rede!$F12,Cliente!$AF:$AF)</f>
        <v>74.082999999999998</v>
      </c>
      <c r="AL12" s="64">
        <f>SUMIF(Cliente!$H:$H,Rede!$F12,Cliente!$AG:$AG)</f>
        <v>31</v>
      </c>
      <c r="AM12" s="64">
        <f>SUMIF(Cliente!$H:$H,Rede!$F12,Cliente!$AH:$AH)</f>
        <v>0</v>
      </c>
      <c r="AN12" s="79">
        <f>SUMIF(Cliente!$H:$H,Rede!$F12,Cliente!$AI:$AI)</f>
        <v>125.863</v>
      </c>
      <c r="AO12" s="64">
        <f>SUMIF(Cliente!$H:$H,Rede!$F12,Cliente!$AJ:$AJ)</f>
        <v>397.76400000000001</v>
      </c>
      <c r="AP12" s="64">
        <f>SUMIF(Cliente!$H:$H,Rede!$F12,Cliente!$AK:$AK)</f>
        <v>2</v>
      </c>
      <c r="AQ12" s="64">
        <f>SUMIF(Cliente!$H:$H,Rede!$F12,Cliente!$AL:$AL)</f>
        <v>0</v>
      </c>
      <c r="AR12" s="79">
        <f>SUMIF(Cliente!$H:$H,Rede!$F12,Cliente!$AM:$AM)</f>
        <v>672.5</v>
      </c>
      <c r="AS12" s="64">
        <f>SUMIF(Cliente!$H:$H,Rede!$F12,Cliente!$AN:$AN)</f>
        <v>592.20799999999997</v>
      </c>
      <c r="AT12" s="64">
        <f>SUMIF(Cliente!$H:$H,Rede!$F12,Cliente!$AO:$AO)</f>
        <v>10</v>
      </c>
      <c r="AU12" s="64">
        <f>SUMIF(Cliente!$H:$H,Rede!$F12,Cliente!$AP:$AP)</f>
        <v>0</v>
      </c>
      <c r="AV12" s="16"/>
      <c r="AW12" s="79">
        <f t="shared" si="12"/>
        <v>135.066</v>
      </c>
      <c r="AX12" s="73">
        <f>_xlfn.XLOOKUP(Rede!F12,Metas!B:B,Metas!S:S,0,0,1)</f>
        <v>765.40424084554263</v>
      </c>
      <c r="AY12" s="73">
        <f t="shared" si="13"/>
        <v>801.85400000000004</v>
      </c>
      <c r="AZ12" s="73">
        <f t="shared" si="14"/>
        <v>47.582999999999998</v>
      </c>
      <c r="BA12" s="73">
        <f t="shared" si="15"/>
        <v>0</v>
      </c>
      <c r="BB12" s="37">
        <f>IFERROR(((AY12+AZ12+BA12)/AX12),0)</f>
        <v>1.109788729497535</v>
      </c>
      <c r="BC12" s="37">
        <f>IFERROR(((AY12+AZ12+BA12)/AW12-1),0)</f>
        <v>5.2890512786341493</v>
      </c>
      <c r="BD12" s="80">
        <f>AX12-AY12-AZ12-BA12</f>
        <v>-84.032759154457409</v>
      </c>
      <c r="BE12" s="79">
        <f>SUMIF(Cliente!$H:$H,Rede!F12,Cliente!$AV:$AV)</f>
        <v>10.396000000000001</v>
      </c>
      <c r="BF12" s="64">
        <f>SUMIF(Cliente!$H:$H,Rede!F12,Cliente!$AW:$AW)</f>
        <v>294.02100000000002</v>
      </c>
      <c r="BG12" s="64">
        <f>SUMIF(Cliente!$H:$H,Rede!$F12,Cliente!$AX:$AX)</f>
        <v>7.75</v>
      </c>
      <c r="BH12" s="64">
        <f>SUMIF(Cliente!$H:$H,Rede!$F12,Cliente!$AY:$AY)</f>
        <v>0</v>
      </c>
      <c r="BI12" s="79">
        <f>SUMIF(Cliente!$H:$H,Rede!F12,Cliente!$AZ:$AZ)</f>
        <v>70.462999999999994</v>
      </c>
      <c r="BJ12" s="64">
        <f>SUMIF(Cliente!$H:$H,Rede!F12,Cliente!$BA:$BA)</f>
        <v>110.583</v>
      </c>
      <c r="BK12" s="64">
        <f>SUMIF(Cliente!$H:$H,Rede!$F12,Cliente!$BB:$BB)</f>
        <v>9.5830000000000002</v>
      </c>
      <c r="BL12" s="64">
        <f>SUMIF(Cliente!$H:$H,Rede!$F12,Cliente!$BC:$BC)</f>
        <v>0</v>
      </c>
      <c r="BM12" s="79">
        <f>SUMIF(Cliente!$H:$H,Rede!F12,Cliente!$BD:$BD)</f>
        <v>54.207000000000001</v>
      </c>
      <c r="BN12" s="64">
        <f>SUMIF(Cliente!$H:$H,Rede!F12,Cliente!$BE:$BE)</f>
        <v>397.25</v>
      </c>
      <c r="BO12" s="64">
        <f>SUMIF(Cliente!$H:$H,Rede!$F12,Cliente!$BF:$BF)</f>
        <v>30.25</v>
      </c>
      <c r="BP12" s="64">
        <f>SUMIF(Cliente!$H:$H,Rede!$F12,Cliente!$BG:$BG)</f>
        <v>0</v>
      </c>
      <c r="BR12" s="79">
        <f t="shared" si="16"/>
        <v>135.58500000000001</v>
      </c>
      <c r="BS12" s="73">
        <f>_xlfn.XLOOKUP(Rede!F12,Metas!B:B,Metas!T:T,0,0,1)</f>
        <v>816</v>
      </c>
      <c r="BT12" s="73">
        <f t="shared" si="31"/>
        <v>427.06700000000001</v>
      </c>
      <c r="BU12" s="73">
        <f t="shared" si="32"/>
        <v>0</v>
      </c>
      <c r="BV12" s="73">
        <f t="shared" si="33"/>
        <v>8.5</v>
      </c>
      <c r="BW12" s="37">
        <f>IFERROR(((BT12+BV12+BU12)/BS12),0)</f>
        <v>0.53378308823529408</v>
      </c>
      <c r="BX12" s="37">
        <f>IFERROR(((BT12+BU12+BV12)/BR12-1),0)</f>
        <v>2.2125013828963378</v>
      </c>
      <c r="BY12" s="80">
        <f>BS12-BT12-BU12-BV12</f>
        <v>380.43299999999999</v>
      </c>
      <c r="BZ12" s="79">
        <f>SUMIF(Cliente!$H:$H,Rede!F12,Cliente!$BM:$BM)</f>
        <v>-3.5830000000000002</v>
      </c>
      <c r="CA12" s="64">
        <f>SUMIF(Cliente!$H:$H,Rede!F12,Cliente!$BN:$BN)</f>
        <v>220.667</v>
      </c>
      <c r="CB12" s="64">
        <f>SUMIF(Cliente!$H:$H,Rede!$F12,Cliente!$BO:$BO)</f>
        <v>4.6669999999999998</v>
      </c>
      <c r="CC12" s="64">
        <f>SUMIF(Cliente!$H:$H,Rede!$F12,Cliente!$BP:$BP)</f>
        <v>0</v>
      </c>
      <c r="CD12" s="79">
        <f>SUMIF(Cliente!$H:$H,Rede!F12,Cliente!$BQ:$BQ)</f>
        <v>154.17500000000001</v>
      </c>
      <c r="CE12" s="64">
        <f>SUMIF(Cliente!$H:$H,Rede!F12,Cliente!$BR:$BR)</f>
        <v>215.179</v>
      </c>
      <c r="CF12" s="64">
        <f>SUMIF(Cliente!$H:$H,Rede!$F12,Cliente!$BS:$BS)</f>
        <v>3.0830000000000002</v>
      </c>
      <c r="CG12" s="64">
        <f>SUMIF(Cliente!$H:$H,Rede!$F12,Cliente!$BT:$BT)</f>
        <v>0</v>
      </c>
      <c r="CH12" s="79">
        <f>SUMIF(Cliente!$H:$H,Rede!$F12,Cliente!$BU:$BU)</f>
        <v>-15.007</v>
      </c>
      <c r="CI12" s="64">
        <f>SUMIF(Cliente!$H:$H,Rede!$F12,Cliente!$BV:$BV)</f>
        <v>-8.7789999999999999</v>
      </c>
      <c r="CJ12" s="64">
        <f>SUMIF(Cliente!$H:$H,Rede!$F12,Cliente!$BW:$BW)</f>
        <v>0.75</v>
      </c>
      <c r="CK12" s="64">
        <f>SUMIF(Cliente!$H:$H,Rede!$F12,Cliente!$BX:$BX)</f>
        <v>0</v>
      </c>
      <c r="CM12" s="79">
        <f t="shared" si="17"/>
        <v>3084.5429999999997</v>
      </c>
      <c r="CN12" s="73">
        <f t="shared" si="18"/>
        <v>3344.6492968455432</v>
      </c>
      <c r="CO12" s="73">
        <f t="shared" si="19"/>
        <v>3957.1639999999998</v>
      </c>
      <c r="CP12" s="73">
        <f t="shared" si="20"/>
        <v>117.583</v>
      </c>
      <c r="CQ12" s="73">
        <f t="shared" si="21"/>
        <v>8.5</v>
      </c>
      <c r="CR12" s="37">
        <f>IFERROR(((CO12+CQ12+CP12)/CN12),0)</f>
        <v>1.2208296408986898</v>
      </c>
      <c r="CS12" s="37">
        <f>IFERROR(((CO12+CP12+CQ12)/CM12-1),0)</f>
        <v>0.32377697441728004</v>
      </c>
      <c r="CT12" s="80">
        <f>CN12-CO12-CP12-CQ12</f>
        <v>-738.59770315445655</v>
      </c>
      <c r="CU12" s="139"/>
      <c r="CV12" s="139"/>
      <c r="CW12" s="139"/>
      <c r="CX12" s="142"/>
    </row>
    <row r="13" spans="2:102" x14ac:dyDescent="0.35">
      <c r="B13" s="10"/>
      <c r="C13" s="53" t="s">
        <v>402</v>
      </c>
      <c r="D13" s="51">
        <v>3919</v>
      </c>
      <c r="E13" s="51" t="s">
        <v>434</v>
      </c>
      <c r="F13" s="81" t="s">
        <v>107</v>
      </c>
      <c r="G13" s="79">
        <f t="shared" si="4"/>
        <v>617.16699999999992</v>
      </c>
      <c r="H13" s="168">
        <f>_xlfn.XLOOKUP($F13,Metas!$B:$B,Metas!Q:Q,0,0,1)</f>
        <v>529.5</v>
      </c>
      <c r="I13" s="73">
        <f t="shared" si="5"/>
        <v>331.25</v>
      </c>
      <c r="J13" s="73">
        <f t="shared" si="6"/>
        <v>14</v>
      </c>
      <c r="K13" s="73">
        <f t="shared" si="7"/>
        <v>0</v>
      </c>
      <c r="L13" s="37">
        <f t="shared" ref="L13:L22" si="39">IFERROR(((I13+K13+J13)/H13),0)</f>
        <v>0.6520302171860245</v>
      </c>
      <c r="M13" s="37">
        <f t="shared" ref="M13:M22" si="40">IFERROR(((I13+J13+K13)/G13-1),0)</f>
        <v>-0.44058901399459138</v>
      </c>
      <c r="N13" s="90">
        <f t="shared" ref="N13:N22" si="41">H13-I13-J13-K13</f>
        <v>184.25</v>
      </c>
      <c r="O13" s="79">
        <f>SUMIF(Cliente!$H:$H,Rede!F13,Cliente!$N:$N)</f>
        <v>-8.3000000000000004E-2</v>
      </c>
      <c r="P13" s="64">
        <f>SUMIF(Cliente!$H:$H,Rede!$F13,Cliente!$O:$O)</f>
        <v>130.708</v>
      </c>
      <c r="Q13" s="64">
        <f>SUMIF(Cliente!$H:$H,Rede!$F13,Cliente!$P:$P)</f>
        <v>12</v>
      </c>
      <c r="R13" s="64">
        <f>SUMIF(Cliente!$H:$H,Rede!$F13,Cliente!$Q:$Q)</f>
        <v>0</v>
      </c>
      <c r="S13" s="79">
        <f>SUMIF(Cliente!$H:$H,Rede!$F13,Cliente!$R:$R)</f>
        <v>120.583</v>
      </c>
      <c r="T13" s="64">
        <f>SUMIF(Cliente!$H:$H,Rede!$F13,Cliente!$S:$S)</f>
        <v>64</v>
      </c>
      <c r="U13" s="64">
        <f>SUMIF(Cliente!$H:$H,Rede!$F13,Cliente!$T:$T)</f>
        <v>2</v>
      </c>
      <c r="V13" s="64">
        <f>SUMIF(Cliente!$H:$H,Rede!$F13,Cliente!$U:$U)</f>
        <v>0</v>
      </c>
      <c r="W13" s="79">
        <f>SUMIF(Cliente!$H:$H,Rede!$F13,Cliente!$V:$V)</f>
        <v>496.66699999999997</v>
      </c>
      <c r="X13" s="64">
        <f>SUMIF(Cliente!$H:$H,Rede!$F13,Cliente!$W:$W)</f>
        <v>136.542</v>
      </c>
      <c r="Y13" s="64">
        <f>SUMIF(Cliente!$H:$H,Rede!$F13,Cliente!$X:$X)</f>
        <v>0</v>
      </c>
      <c r="Z13" s="64">
        <f>SUMIF(Cliente!$H:$H,Rede!$F13,Cliente!$Y:$Y)</f>
        <v>0</v>
      </c>
      <c r="AA13" s="16"/>
      <c r="AB13" s="79">
        <f t="shared" si="8"/>
        <v>407</v>
      </c>
      <c r="AC13" s="73">
        <f>_xlfn.XLOOKUP(F13,Metas!B:B,Metas!R:R,0,0,1)</f>
        <v>453.85468800000001</v>
      </c>
      <c r="AD13" s="73">
        <f t="shared" si="9"/>
        <v>547.41700000000003</v>
      </c>
      <c r="AE13" s="73">
        <f t="shared" si="10"/>
        <v>2</v>
      </c>
      <c r="AF13" s="73">
        <f t="shared" si="11"/>
        <v>0</v>
      </c>
      <c r="AG13" s="37">
        <f t="shared" ref="AG13:AG22" si="42">IFERROR(((AD13+AE13+AF13)/AC13),0)</f>
        <v>1.2105570671113131</v>
      </c>
      <c r="AH13" s="37">
        <f t="shared" ref="AH13:AH22" si="43">IFERROR(((AD13+AE13+AF13)/AB13-1),0)</f>
        <v>0.34991891891891891</v>
      </c>
      <c r="AI13" s="80">
        <f t="shared" ref="AI13:AI22" si="44">AC13-AD13-AE13-AF13</f>
        <v>-95.56231200000002</v>
      </c>
      <c r="AJ13" s="79">
        <f>SUMIF(Cliente!$H:$H,Rede!$F13,Cliente!$AE:$AE)</f>
        <v>117</v>
      </c>
      <c r="AK13" s="64">
        <f>SUMIF(Cliente!$H:$H,Rede!$F13,Cliente!$AF:$AF)</f>
        <v>214</v>
      </c>
      <c r="AL13" s="64">
        <f>SUMIF(Cliente!$H:$H,Rede!$F13,Cliente!$AG:$AG)</f>
        <v>0</v>
      </c>
      <c r="AM13" s="64">
        <f>SUMIF(Cliente!$H:$H,Rede!$F13,Cliente!$AH:$AH)</f>
        <v>0</v>
      </c>
      <c r="AN13" s="79">
        <f>SUMIF(Cliente!$H:$H,Rede!$F13,Cliente!$AI:$AI)</f>
        <v>0</v>
      </c>
      <c r="AO13" s="64">
        <f>SUMIF(Cliente!$H:$H,Rede!$F13,Cliente!$AJ:$AJ)</f>
        <v>204</v>
      </c>
      <c r="AP13" s="64">
        <f>SUMIF(Cliente!$H:$H,Rede!$F13,Cliente!$AK:$AK)</f>
        <v>0</v>
      </c>
      <c r="AQ13" s="64">
        <f>SUMIF(Cliente!$H:$H,Rede!$F13,Cliente!$AL:$AL)</f>
        <v>0</v>
      </c>
      <c r="AR13" s="79">
        <f>SUMIF(Cliente!$H:$H,Rede!$F13,Cliente!$AM:$AM)</f>
        <v>290</v>
      </c>
      <c r="AS13" s="64">
        <f>SUMIF(Cliente!$H:$H,Rede!$F13,Cliente!$AN:$AN)</f>
        <v>129.417</v>
      </c>
      <c r="AT13" s="64">
        <f>SUMIF(Cliente!$H:$H,Rede!$F13,Cliente!$AO:$AO)</f>
        <v>2</v>
      </c>
      <c r="AU13" s="64">
        <f>SUMIF(Cliente!$H:$H,Rede!$F13,Cliente!$AP:$AP)</f>
        <v>0</v>
      </c>
      <c r="AV13" s="16"/>
      <c r="AW13" s="79">
        <f t="shared" si="12"/>
        <v>485.70799999999997</v>
      </c>
      <c r="AX13" s="73">
        <f>_xlfn.XLOOKUP(Rede!F13,Metas!B:B,Metas!S:S,0,0,1)</f>
        <v>426.86181458527392</v>
      </c>
      <c r="AY13" s="73">
        <f t="shared" si="13"/>
        <v>597.64599999999996</v>
      </c>
      <c r="AZ13" s="73">
        <f t="shared" si="14"/>
        <v>0</v>
      </c>
      <c r="BA13" s="73">
        <f t="shared" si="15"/>
        <v>0</v>
      </c>
      <c r="BB13" s="37">
        <f t="shared" ref="BB13:BB22" si="45">IFERROR(((AY13+AZ13+BA13)/AX13),0)</f>
        <v>1.4000924411115452</v>
      </c>
      <c r="BC13" s="37">
        <f t="shared" ref="BC13:BC22" si="46">IFERROR(((AY13+AZ13+BA13)/AW13-1),0)</f>
        <v>0.23046357070503265</v>
      </c>
      <c r="BD13" s="80">
        <f t="shared" ref="BD13:BD22" si="47">AX13-AY13-AZ13-BA13</f>
        <v>-170.78418541472604</v>
      </c>
      <c r="BE13" s="79">
        <f>SUMIF(Cliente!$H:$H,Rede!F13,Cliente!$AV:$AV)</f>
        <v>-8</v>
      </c>
      <c r="BF13" s="64">
        <f>SUMIF(Cliente!$H:$H,Rede!F13,Cliente!$AW:$AW)</f>
        <v>9.9789999999999992</v>
      </c>
      <c r="BG13" s="64">
        <f>SUMIF(Cliente!$H:$H,Rede!$F13,Cliente!$AX:$AX)</f>
        <v>0</v>
      </c>
      <c r="BH13" s="64">
        <f>SUMIF(Cliente!$H:$H,Rede!$F13,Cliente!$AY:$AY)</f>
        <v>0</v>
      </c>
      <c r="BI13" s="79">
        <f>SUMIF(Cliente!$H:$H,Rede!F13,Cliente!$AZ:$AZ)</f>
        <v>215.708</v>
      </c>
      <c r="BJ13" s="64">
        <f>SUMIF(Cliente!$H:$H,Rede!F13,Cliente!$BA:$BA)</f>
        <v>192.167</v>
      </c>
      <c r="BK13" s="64">
        <f>SUMIF(Cliente!$H:$H,Rede!$F13,Cliente!$BB:$BB)</f>
        <v>0</v>
      </c>
      <c r="BL13" s="64">
        <f>SUMIF(Cliente!$H:$H,Rede!$F13,Cliente!$BC:$BC)</f>
        <v>0</v>
      </c>
      <c r="BM13" s="79">
        <f>SUMIF(Cliente!$H:$H,Rede!F13,Cliente!$BD:$BD)</f>
        <v>278</v>
      </c>
      <c r="BN13" s="64">
        <f>SUMIF(Cliente!$H:$H,Rede!F13,Cliente!$BE:$BE)</f>
        <v>395.5</v>
      </c>
      <c r="BO13" s="64">
        <f>SUMIF(Cliente!$H:$H,Rede!$F13,Cliente!$BF:$BF)</f>
        <v>0</v>
      </c>
      <c r="BP13" s="64">
        <f>SUMIF(Cliente!$H:$H,Rede!$F13,Cliente!$BG:$BG)</f>
        <v>0</v>
      </c>
      <c r="BR13" s="79">
        <f t="shared" si="16"/>
        <v>260.625</v>
      </c>
      <c r="BS13" s="73">
        <f>_xlfn.XLOOKUP(Rede!F13,Metas!B:B,Metas!T:T,0,0,1)</f>
        <v>456</v>
      </c>
      <c r="BT13" s="73">
        <f t="shared" si="31"/>
        <v>335.709</v>
      </c>
      <c r="BU13" s="73">
        <f t="shared" si="32"/>
        <v>0</v>
      </c>
      <c r="BV13" s="73">
        <f t="shared" si="33"/>
        <v>0</v>
      </c>
      <c r="BW13" s="37">
        <f t="shared" ref="BW13:BW22" si="48">IFERROR(((BT13+BV13+BU13)/BS13),0)</f>
        <v>0.7362039473684211</v>
      </c>
      <c r="BX13" s="37">
        <f t="shared" ref="BX13:BX22" si="49">IFERROR(((BT13+BU13+BV13)/BR13-1),0)</f>
        <v>0.2880920863309353</v>
      </c>
      <c r="BY13" s="80">
        <f t="shared" ref="BY13:BY22" si="50">BS13-BT13-BU13-BV13</f>
        <v>120.291</v>
      </c>
      <c r="BZ13" s="79">
        <f>SUMIF(Cliente!$H:$H,Rede!F13,Cliente!$BM:$BM)</f>
        <v>32</v>
      </c>
      <c r="CA13" s="64">
        <f>SUMIF(Cliente!$H:$H,Rede!F13,Cliente!$BN:$BN)</f>
        <v>-8.3000000000000004E-2</v>
      </c>
      <c r="CB13" s="64">
        <f>SUMIF(Cliente!$H:$H,Rede!$F13,Cliente!$BO:$BO)</f>
        <v>0</v>
      </c>
      <c r="CC13" s="64">
        <f>SUMIF(Cliente!$H:$H,Rede!$F13,Cliente!$BP:$BP)</f>
        <v>0</v>
      </c>
      <c r="CD13" s="79">
        <f>SUMIF(Cliente!$H:$H,Rede!F13,Cliente!$BQ:$BQ)</f>
        <v>160.792</v>
      </c>
      <c r="CE13" s="64">
        <f>SUMIF(Cliente!$H:$H,Rede!F13,Cliente!$BR:$BR)</f>
        <v>186.167</v>
      </c>
      <c r="CF13" s="64">
        <f>SUMIF(Cliente!$H:$H,Rede!$F13,Cliente!$BS:$BS)</f>
        <v>0</v>
      </c>
      <c r="CG13" s="64">
        <f>SUMIF(Cliente!$H:$H,Rede!$F13,Cliente!$BT:$BT)</f>
        <v>0</v>
      </c>
      <c r="CH13" s="79">
        <f>SUMIF(Cliente!$H:$H,Rede!$F13,Cliente!$BU:$BU)</f>
        <v>67.832999999999998</v>
      </c>
      <c r="CI13" s="64">
        <f>SUMIF(Cliente!$H:$H,Rede!$F13,Cliente!$BV:$BV)</f>
        <v>149.625</v>
      </c>
      <c r="CJ13" s="64">
        <f>SUMIF(Cliente!$H:$H,Rede!$F13,Cliente!$BW:$BW)</f>
        <v>0</v>
      </c>
      <c r="CK13" s="64">
        <f>SUMIF(Cliente!$H:$H,Rede!$F13,Cliente!$BX:$BX)</f>
        <v>0</v>
      </c>
      <c r="CM13" s="79">
        <f t="shared" si="17"/>
        <v>1770.5</v>
      </c>
      <c r="CN13" s="73">
        <f t="shared" si="18"/>
        <v>1866.2165025852739</v>
      </c>
      <c r="CO13" s="73">
        <f t="shared" si="19"/>
        <v>1812.0220000000002</v>
      </c>
      <c r="CP13" s="73">
        <f t="shared" si="20"/>
        <v>16</v>
      </c>
      <c r="CQ13" s="73">
        <f t="shared" si="21"/>
        <v>0</v>
      </c>
      <c r="CR13" s="37">
        <f t="shared" ref="CR13:CR22" si="51">IFERROR(((CO13+CQ13+CP13)/CN13),0)</f>
        <v>0.97953372369585046</v>
      </c>
      <c r="CS13" s="37">
        <f t="shared" ref="CS13:CS22" si="52">IFERROR(((CO13+CP13+CQ13)/CM13-1),0)</f>
        <v>3.2489127365151083E-2</v>
      </c>
      <c r="CT13" s="80">
        <f t="shared" ref="CT13:CT22" si="53">CN13-CO13-CP13-CQ13</f>
        <v>38.194502585273767</v>
      </c>
      <c r="CU13" s="139"/>
      <c r="CV13" s="139"/>
      <c r="CW13" s="139"/>
      <c r="CX13" s="142"/>
    </row>
    <row r="14" spans="2:102" x14ac:dyDescent="0.35">
      <c r="B14" s="10"/>
      <c r="C14" s="53" t="s">
        <v>402</v>
      </c>
      <c r="D14" s="51">
        <v>3919</v>
      </c>
      <c r="E14" s="51" t="s">
        <v>434</v>
      </c>
      <c r="F14" s="81" t="s">
        <v>102</v>
      </c>
      <c r="G14" s="79">
        <f t="shared" si="4"/>
        <v>1055.126</v>
      </c>
      <c r="H14" s="168">
        <f>_xlfn.XLOOKUP($F14,Metas!$B:$B,Metas!Q:Q,0,0,1)</f>
        <v>632.71</v>
      </c>
      <c r="I14" s="73">
        <f t="shared" si="5"/>
        <v>1616.0219999999999</v>
      </c>
      <c r="J14" s="73">
        <f t="shared" si="6"/>
        <v>15.75</v>
      </c>
      <c r="K14" s="73">
        <f t="shared" si="7"/>
        <v>0</v>
      </c>
      <c r="L14" s="37">
        <f t="shared" si="39"/>
        <v>2.5790204042926455</v>
      </c>
      <c r="M14" s="37">
        <f t="shared" si="40"/>
        <v>0.54651861483841735</v>
      </c>
      <c r="N14" s="90">
        <f t="shared" si="41"/>
        <v>-999.0619999999999</v>
      </c>
      <c r="O14" s="79">
        <f>SUMIF(Cliente!$H:$H,Rede!F14,Cliente!$N:$N)</f>
        <v>118.792</v>
      </c>
      <c r="P14" s="64">
        <f>SUMIF(Cliente!$H:$H,Rede!$F14,Cliente!$O:$O)</f>
        <v>182.93799999999999</v>
      </c>
      <c r="Q14" s="64">
        <f>SUMIF(Cliente!$H:$H,Rede!$F14,Cliente!$P:$P)</f>
        <v>1.75</v>
      </c>
      <c r="R14" s="64">
        <f>SUMIF(Cliente!$H:$H,Rede!$F14,Cliente!$Q:$Q)</f>
        <v>0</v>
      </c>
      <c r="S14" s="79">
        <f>SUMIF(Cliente!$H:$H,Rede!$F14,Cliente!$R:$R)</f>
        <v>22.167000000000002</v>
      </c>
      <c r="T14" s="64">
        <f>SUMIF(Cliente!$H:$H,Rede!$F14,Cliente!$S:$S)</f>
        <v>684.04200000000003</v>
      </c>
      <c r="U14" s="64">
        <f>SUMIF(Cliente!$H:$H,Rede!$F14,Cliente!$T:$T)</f>
        <v>11</v>
      </c>
      <c r="V14" s="64">
        <f>SUMIF(Cliente!$H:$H,Rede!$F14,Cliente!$U:$U)</f>
        <v>0</v>
      </c>
      <c r="W14" s="79">
        <f>SUMIF(Cliente!$H:$H,Rede!$F14,Cliente!$V:$V)</f>
        <v>914.16700000000003</v>
      </c>
      <c r="X14" s="64">
        <f>SUMIF(Cliente!$H:$H,Rede!$F14,Cliente!$W:$W)</f>
        <v>749.04200000000003</v>
      </c>
      <c r="Y14" s="64">
        <f>SUMIF(Cliente!$H:$H,Rede!$F14,Cliente!$X:$X)</f>
        <v>3</v>
      </c>
      <c r="Z14" s="64">
        <f>SUMIF(Cliente!$H:$H,Rede!$F14,Cliente!$Y:$Y)</f>
        <v>0</v>
      </c>
      <c r="AA14" s="16"/>
      <c r="AB14" s="79">
        <f t="shared" si="8"/>
        <v>679.33299999999997</v>
      </c>
      <c r="AC14" s="73">
        <f>_xlfn.XLOOKUP(F14,Metas!B:B,Metas!R:R,0,0,1)</f>
        <v>542.31897600000002</v>
      </c>
      <c r="AD14" s="73">
        <f t="shared" si="9"/>
        <v>927.20799999999997</v>
      </c>
      <c r="AE14" s="73">
        <f t="shared" si="10"/>
        <v>20.75</v>
      </c>
      <c r="AF14" s="73">
        <f t="shared" si="11"/>
        <v>0</v>
      </c>
      <c r="AG14" s="37">
        <f t="shared" si="42"/>
        <v>1.7479712898705575</v>
      </c>
      <c r="AH14" s="37">
        <f t="shared" si="43"/>
        <v>0.39542462974711956</v>
      </c>
      <c r="AI14" s="80">
        <f t="shared" si="44"/>
        <v>-405.63902399999995</v>
      </c>
      <c r="AJ14" s="79">
        <f>SUMIF(Cliente!$H:$H,Rede!$F14,Cliente!$AE:$AE)</f>
        <v>102.583</v>
      </c>
      <c r="AK14" s="64">
        <f>SUMIF(Cliente!$H:$H,Rede!$F14,Cliente!$AF:$AF)</f>
        <v>98</v>
      </c>
      <c r="AL14" s="64">
        <f>SUMIF(Cliente!$H:$H,Rede!$F14,Cliente!$AG:$AG)</f>
        <v>1</v>
      </c>
      <c r="AM14" s="64">
        <f>SUMIF(Cliente!$H:$H,Rede!$F14,Cliente!$AH:$AH)</f>
        <v>0</v>
      </c>
      <c r="AN14" s="79">
        <f>SUMIF(Cliente!$H:$H,Rede!$F14,Cliente!$AI:$AI)</f>
        <v>127</v>
      </c>
      <c r="AO14" s="64">
        <f>SUMIF(Cliente!$H:$H,Rede!$F14,Cliente!$AJ:$AJ)</f>
        <v>237</v>
      </c>
      <c r="AP14" s="64">
        <f>SUMIF(Cliente!$H:$H,Rede!$F14,Cliente!$AK:$AK)</f>
        <v>3</v>
      </c>
      <c r="AQ14" s="64">
        <f>SUMIF(Cliente!$H:$H,Rede!$F14,Cliente!$AL:$AL)</f>
        <v>0</v>
      </c>
      <c r="AR14" s="79">
        <f>SUMIF(Cliente!$H:$H,Rede!$F14,Cliente!$AM:$AM)</f>
        <v>449.75</v>
      </c>
      <c r="AS14" s="64">
        <f>SUMIF(Cliente!$H:$H,Rede!$F14,Cliente!$AN:$AN)</f>
        <v>592.20799999999997</v>
      </c>
      <c r="AT14" s="64">
        <f>SUMIF(Cliente!$H:$H,Rede!$F14,Cliente!$AO:$AO)</f>
        <v>16.75</v>
      </c>
      <c r="AU14" s="64">
        <f>SUMIF(Cliente!$H:$H,Rede!$F14,Cliente!$AP:$AP)</f>
        <v>0</v>
      </c>
      <c r="AV14" s="16"/>
      <c r="AW14" s="79">
        <f t="shared" si="12"/>
        <v>258.66300000000001</v>
      </c>
      <c r="AX14" s="73">
        <f>_xlfn.XLOOKUP(Rede!F14,Metas!B:B,Metas!S:S,0,0,1)</f>
        <v>510.06471520547041</v>
      </c>
      <c r="AY14" s="73">
        <f t="shared" si="13"/>
        <v>304.041</v>
      </c>
      <c r="AZ14" s="73">
        <f t="shared" si="14"/>
        <v>35.5</v>
      </c>
      <c r="BA14" s="73">
        <f t="shared" si="15"/>
        <v>0</v>
      </c>
      <c r="BB14" s="37">
        <f t="shared" ref="BB14" si="54">IFERROR(((AY14+AZ14+BA14)/AX14),0)</f>
        <v>0.66568219654876937</v>
      </c>
      <c r="BC14" s="37">
        <f t="shared" ref="BC14" si="55">IFERROR(((AY14+AZ14+BA14)/AW14-1),0)</f>
        <v>0.31267711269103038</v>
      </c>
      <c r="BD14" s="80">
        <f t="shared" ref="BD14" si="56">AX14-AY14-AZ14-BA14</f>
        <v>170.52371520547041</v>
      </c>
      <c r="BE14" s="79">
        <f>SUMIF(Cliente!$H:$H,Rede!F14,Cliente!$AV:$AV)</f>
        <v>-2.8580000000000001</v>
      </c>
      <c r="BF14" s="64">
        <f>SUMIF(Cliente!$H:$H,Rede!F14,Cliente!$AW:$AW)</f>
        <v>5.625</v>
      </c>
      <c r="BG14" s="64">
        <f>SUMIF(Cliente!$H:$H,Rede!$F14,Cliente!$AX:$AX)</f>
        <v>1.5</v>
      </c>
      <c r="BH14" s="64">
        <f>SUMIF(Cliente!$H:$H,Rede!$F14,Cliente!$AY:$AY)</f>
        <v>0</v>
      </c>
      <c r="BI14" s="79">
        <f>SUMIF(Cliente!$H:$H,Rede!F14,Cliente!$AZ:$AZ)</f>
        <v>67.667000000000002</v>
      </c>
      <c r="BJ14" s="64">
        <f>SUMIF(Cliente!$H:$H,Rede!F14,Cliente!$BA:$BA)</f>
        <v>56.832999999999998</v>
      </c>
      <c r="BK14" s="64">
        <f>SUMIF(Cliente!$H:$H,Rede!$F14,Cliente!$BB:$BB)</f>
        <v>2</v>
      </c>
      <c r="BL14" s="64">
        <f>SUMIF(Cliente!$H:$H,Rede!$F14,Cliente!$BC:$BC)</f>
        <v>0</v>
      </c>
      <c r="BM14" s="79">
        <f>SUMIF(Cliente!$H:$H,Rede!F14,Cliente!$BD:$BD)</f>
        <v>193.85400000000001</v>
      </c>
      <c r="BN14" s="64">
        <f>SUMIF(Cliente!$H:$H,Rede!F14,Cliente!$BE:$BE)</f>
        <v>241.583</v>
      </c>
      <c r="BO14" s="64">
        <f>SUMIF(Cliente!$H:$H,Rede!$F14,Cliente!$BF:$BF)</f>
        <v>32</v>
      </c>
      <c r="BP14" s="64">
        <f>SUMIF(Cliente!$H:$H,Rede!$F14,Cliente!$BG:$BG)</f>
        <v>0</v>
      </c>
      <c r="BR14" s="79">
        <f t="shared" si="16"/>
        <v>56.875</v>
      </c>
      <c r="BS14" s="73">
        <f>_xlfn.XLOOKUP(Rede!F14,Metas!B:B,Metas!T:T,0,0,1)</f>
        <v>543</v>
      </c>
      <c r="BT14" s="73">
        <f t="shared" si="31"/>
        <v>549</v>
      </c>
      <c r="BU14" s="73">
        <f t="shared" si="32"/>
        <v>0</v>
      </c>
      <c r="BV14" s="73">
        <f t="shared" si="33"/>
        <v>31.082999999999998</v>
      </c>
      <c r="BW14" s="37">
        <f t="shared" ref="BW14" si="57">IFERROR(((BT14+BV14+BU14)/BS14),0)</f>
        <v>1.0682928176795579</v>
      </c>
      <c r="BX14" s="37">
        <f t="shared" ref="BX14" si="58">IFERROR(((BT14+BU14+BV14)/BR14-1),0)</f>
        <v>9.1992615384615384</v>
      </c>
      <c r="BY14" s="80">
        <f t="shared" ref="BY14" si="59">BS14-BT14-BU14-BV14</f>
        <v>-37.082999999999998</v>
      </c>
      <c r="BZ14" s="79">
        <f>SUMIF(Cliente!$H:$H,Rede!F14,Cliente!$BM:$BM)</f>
        <v>0.54200000000000004</v>
      </c>
      <c r="CA14" s="64">
        <f>SUMIF(Cliente!$H:$H,Rede!F14,Cliente!$BN:$BN)</f>
        <v>44.917000000000002</v>
      </c>
      <c r="CB14" s="64">
        <f>SUMIF(Cliente!$H:$H,Rede!$F14,Cliente!$BO:$BO)</f>
        <v>4.0830000000000002</v>
      </c>
      <c r="CC14" s="64">
        <f>SUMIF(Cliente!$H:$H,Rede!$F14,Cliente!$BP:$BP)</f>
        <v>0</v>
      </c>
      <c r="CD14" s="79">
        <f>SUMIF(Cliente!$H:$H,Rede!F14,Cliente!$BQ:$BQ)</f>
        <v>56.332999999999998</v>
      </c>
      <c r="CE14" s="64">
        <f>SUMIF(Cliente!$H:$H,Rede!F14,Cliente!$BR:$BR)</f>
        <v>193.25</v>
      </c>
      <c r="CF14" s="64">
        <f>SUMIF(Cliente!$H:$H,Rede!$F14,Cliente!$BS:$BS)</f>
        <v>18</v>
      </c>
      <c r="CG14" s="64">
        <f>SUMIF(Cliente!$H:$H,Rede!$F14,Cliente!$BT:$BT)</f>
        <v>0</v>
      </c>
      <c r="CH14" s="79">
        <f>SUMIF(Cliente!$H:$H,Rede!$F14,Cliente!$BU:$BU)</f>
        <v>0</v>
      </c>
      <c r="CI14" s="64">
        <f>SUMIF(Cliente!$H:$H,Rede!$F14,Cliente!$BV:$BV)</f>
        <v>310.83300000000003</v>
      </c>
      <c r="CJ14" s="64">
        <f>SUMIF(Cliente!$H:$H,Rede!$F14,Cliente!$BW:$BW)</f>
        <v>9</v>
      </c>
      <c r="CK14" s="64">
        <f>SUMIF(Cliente!$H:$H,Rede!$F14,Cliente!$BX:$BX)</f>
        <v>0</v>
      </c>
      <c r="CM14" s="79">
        <f t="shared" si="17"/>
        <v>2049.9969999999998</v>
      </c>
      <c r="CN14" s="73">
        <f t="shared" si="18"/>
        <v>2228.0936912054703</v>
      </c>
      <c r="CO14" s="73">
        <f t="shared" si="19"/>
        <v>3396.2710000000002</v>
      </c>
      <c r="CP14" s="73">
        <f t="shared" si="20"/>
        <v>72</v>
      </c>
      <c r="CQ14" s="73">
        <f t="shared" si="21"/>
        <v>31.082999999999998</v>
      </c>
      <c r="CR14" s="37">
        <f t="shared" si="51"/>
        <v>1.5705596285346228</v>
      </c>
      <c r="CS14" s="37">
        <f t="shared" si="52"/>
        <v>0.70700444927480399</v>
      </c>
      <c r="CT14" s="80">
        <f t="shared" si="53"/>
        <v>-1271.2603087945299</v>
      </c>
      <c r="CU14" s="139"/>
      <c r="CV14" s="139"/>
      <c r="CW14" s="139"/>
      <c r="CX14" s="142"/>
    </row>
    <row r="15" spans="2:102" x14ac:dyDescent="0.35">
      <c r="B15" s="10"/>
      <c r="C15" s="53" t="s">
        <v>402</v>
      </c>
      <c r="D15" s="51">
        <v>3956</v>
      </c>
      <c r="E15" s="51" t="s">
        <v>435</v>
      </c>
      <c r="F15" s="81" t="s">
        <v>101</v>
      </c>
      <c r="G15" s="79">
        <f t="shared" si="4"/>
        <v>902.16700000000003</v>
      </c>
      <c r="H15" s="168">
        <f>_xlfn.XLOOKUP($F15,Metas!$B:$B,Metas!Q:Q,0,0,1)</f>
        <v>684.6</v>
      </c>
      <c r="I15" s="73">
        <f t="shared" si="5"/>
        <v>1216.5690000000002</v>
      </c>
      <c r="J15" s="73">
        <f t="shared" si="6"/>
        <v>0</v>
      </c>
      <c r="K15" s="73">
        <f t="shared" si="7"/>
        <v>0</v>
      </c>
      <c r="L15" s="37">
        <f t="shared" si="39"/>
        <v>1.7770508326029801</v>
      </c>
      <c r="M15" s="37">
        <f t="shared" si="40"/>
        <v>0.34849645353908998</v>
      </c>
      <c r="N15" s="90">
        <f t="shared" si="41"/>
        <v>-531.96900000000016</v>
      </c>
      <c r="O15" s="79">
        <f>SUMIF(Cliente!$H:$H,Rede!F15,Cliente!$N:$N)</f>
        <v>44.625</v>
      </c>
      <c r="P15" s="64">
        <f>SUMIF(Cliente!$H:$H,Rede!$F15,Cliente!$O:$O)</f>
        <v>70.832999999999998</v>
      </c>
      <c r="Q15" s="64">
        <f>SUMIF(Cliente!$H:$H,Rede!$F15,Cliente!$P:$P)</f>
        <v>0</v>
      </c>
      <c r="R15" s="64">
        <f>SUMIF(Cliente!$H:$H,Rede!$F15,Cliente!$Q:$Q)</f>
        <v>0</v>
      </c>
      <c r="S15" s="79">
        <f>SUMIF(Cliente!$H:$H,Rede!$F15,Cliente!$R:$R)</f>
        <v>854.875</v>
      </c>
      <c r="T15" s="64">
        <f>SUMIF(Cliente!$H:$H,Rede!$F15,Cliente!$S:$S)</f>
        <v>10.5</v>
      </c>
      <c r="U15" s="64">
        <f>SUMIF(Cliente!$H:$H,Rede!$F15,Cliente!$T:$T)</f>
        <v>0</v>
      </c>
      <c r="V15" s="64">
        <f>SUMIF(Cliente!$H:$H,Rede!$F15,Cliente!$U:$U)</f>
        <v>0</v>
      </c>
      <c r="W15" s="79">
        <f>SUMIF(Cliente!$H:$H,Rede!$F15,Cliente!$V:$V)</f>
        <v>2.6669999999999998</v>
      </c>
      <c r="X15" s="64">
        <f>SUMIF(Cliente!$H:$H,Rede!$F15,Cliente!$W:$W)</f>
        <v>1135.2360000000001</v>
      </c>
      <c r="Y15" s="64">
        <f>SUMIF(Cliente!$H:$H,Rede!$F15,Cliente!$X:$X)</f>
        <v>0</v>
      </c>
      <c r="Z15" s="64">
        <f>SUMIF(Cliente!$H:$H,Rede!$F15,Cliente!$Y:$Y)</f>
        <v>0</v>
      </c>
      <c r="AA15" s="16"/>
      <c r="AB15" s="79">
        <f t="shared" si="8"/>
        <v>468.89599999999996</v>
      </c>
      <c r="AC15" s="73">
        <f>_xlfn.XLOOKUP(F15,Metas!B:B,Metas!R:R,0,0,1)</f>
        <v>586.80028799999991</v>
      </c>
      <c r="AD15" s="73">
        <f t="shared" si="9"/>
        <v>259.11900000000003</v>
      </c>
      <c r="AE15" s="73">
        <f t="shared" si="10"/>
        <v>3.5</v>
      </c>
      <c r="AF15" s="73">
        <f t="shared" si="11"/>
        <v>0</v>
      </c>
      <c r="AG15" s="37">
        <f t="shared" si="42"/>
        <v>0.44754408845825255</v>
      </c>
      <c r="AH15" s="37">
        <f t="shared" si="43"/>
        <v>-0.43992057940353502</v>
      </c>
      <c r="AI15" s="80">
        <f t="shared" si="44"/>
        <v>324.18128799999988</v>
      </c>
      <c r="AJ15" s="79">
        <f>SUMIF(Cliente!$H:$H,Rede!$F15,Cliente!$AE:$AE)</f>
        <v>259.31299999999999</v>
      </c>
      <c r="AK15" s="64">
        <f>SUMIF(Cliente!$H:$H,Rede!$F15,Cliente!$AF:$AF)</f>
        <v>22.167000000000002</v>
      </c>
      <c r="AL15" s="64">
        <f>SUMIF(Cliente!$H:$H,Rede!$F15,Cliente!$AG:$AG)</f>
        <v>3.5</v>
      </c>
      <c r="AM15" s="64">
        <f>SUMIF(Cliente!$H:$H,Rede!$F15,Cliente!$AH:$AH)</f>
        <v>0</v>
      </c>
      <c r="AN15" s="79">
        <f>SUMIF(Cliente!$H:$H,Rede!$F15,Cliente!$AI:$AI)</f>
        <v>15</v>
      </c>
      <c r="AO15" s="64">
        <f>SUMIF(Cliente!$H:$H,Rede!$F15,Cliente!$AJ:$AJ)</f>
        <v>42.285000000000004</v>
      </c>
      <c r="AP15" s="64">
        <f>SUMIF(Cliente!$H:$H,Rede!$F15,Cliente!$AK:$AK)</f>
        <v>0</v>
      </c>
      <c r="AQ15" s="64">
        <f>SUMIF(Cliente!$H:$H,Rede!$F15,Cliente!$AL:$AL)</f>
        <v>0</v>
      </c>
      <c r="AR15" s="79">
        <f>SUMIF(Cliente!$H:$H,Rede!$F15,Cliente!$AM:$AM)</f>
        <v>194.583</v>
      </c>
      <c r="AS15" s="64">
        <f>SUMIF(Cliente!$H:$H,Rede!$F15,Cliente!$AN:$AN)</f>
        <v>194.667</v>
      </c>
      <c r="AT15" s="64">
        <f>SUMIF(Cliente!$H:$H,Rede!$F15,Cliente!$AO:$AO)</f>
        <v>0</v>
      </c>
      <c r="AU15" s="64">
        <f>SUMIF(Cliente!$H:$H,Rede!$F15,Cliente!$AP:$AP)</f>
        <v>0</v>
      </c>
      <c r="AV15" s="16"/>
      <c r="AW15" s="79">
        <f t="shared" si="12"/>
        <v>660.29100000000005</v>
      </c>
      <c r="AX15" s="73">
        <f>_xlfn.XLOOKUP(Rede!F15,Metas!B:B,Metas!S:S,0,0,1)</f>
        <v>551.90051432241967</v>
      </c>
      <c r="AY15" s="73">
        <f t="shared" si="13"/>
        <v>399.25099999999998</v>
      </c>
      <c r="AZ15" s="73">
        <f t="shared" si="14"/>
        <v>6.5830000000000002</v>
      </c>
      <c r="BA15" s="73">
        <f t="shared" si="15"/>
        <v>0</v>
      </c>
      <c r="BB15" s="37">
        <f t="shared" si="45"/>
        <v>0.73533905018778845</v>
      </c>
      <c r="BC15" s="37">
        <f t="shared" si="46"/>
        <v>-0.3853709955156136</v>
      </c>
      <c r="BD15" s="80">
        <f t="shared" si="47"/>
        <v>146.06651432241969</v>
      </c>
      <c r="BE15" s="79">
        <f>SUMIF(Cliente!$H:$H,Rede!F15,Cliente!$AV:$AV)</f>
        <v>281.66700000000003</v>
      </c>
      <c r="BF15" s="64">
        <f>SUMIF(Cliente!$H:$H,Rede!F15,Cliente!$AW:$AW)</f>
        <v>183.667</v>
      </c>
      <c r="BG15" s="64">
        <f>SUMIF(Cliente!$H:$H,Rede!$F15,Cliente!$AX:$AX)</f>
        <v>5</v>
      </c>
      <c r="BH15" s="64">
        <f>SUMIF(Cliente!$H:$H,Rede!$F15,Cliente!$AY:$AY)</f>
        <v>0</v>
      </c>
      <c r="BI15" s="79">
        <f>SUMIF(Cliente!$H:$H,Rede!F15,Cliente!$AZ:$AZ)</f>
        <v>202.666</v>
      </c>
      <c r="BJ15" s="64">
        <f>SUMIF(Cliente!$H:$H,Rede!F15,Cliente!$BA:$BA)</f>
        <v>37.334000000000003</v>
      </c>
      <c r="BK15" s="64">
        <f>SUMIF(Cliente!$H:$H,Rede!$F15,Cliente!$BB:$BB)</f>
        <v>0</v>
      </c>
      <c r="BL15" s="64">
        <f>SUMIF(Cliente!$H:$H,Rede!$F15,Cliente!$BC:$BC)</f>
        <v>0</v>
      </c>
      <c r="BM15" s="79">
        <f>SUMIF(Cliente!$H:$H,Rede!F15,Cliente!$BD:$BD)</f>
        <v>175.958</v>
      </c>
      <c r="BN15" s="64">
        <f>SUMIF(Cliente!$H:$H,Rede!F15,Cliente!$BE:$BE)</f>
        <v>178.25</v>
      </c>
      <c r="BO15" s="64">
        <f>SUMIF(Cliente!$H:$H,Rede!$F15,Cliente!$BF:$BF)</f>
        <v>1.583</v>
      </c>
      <c r="BP15" s="64">
        <f>SUMIF(Cliente!$H:$H,Rede!$F15,Cliente!$BG:$BG)</f>
        <v>0</v>
      </c>
      <c r="BR15" s="79">
        <f t="shared" si="16"/>
        <v>181.833</v>
      </c>
      <c r="BS15" s="73">
        <f>_xlfn.XLOOKUP(Rede!F15,Metas!B:B,Metas!T:T,0,0,1)</f>
        <v>588</v>
      </c>
      <c r="BT15" s="73">
        <f t="shared" si="31"/>
        <v>202.083</v>
      </c>
      <c r="BU15" s="73">
        <f t="shared" si="32"/>
        <v>0</v>
      </c>
      <c r="BV15" s="73">
        <f t="shared" si="33"/>
        <v>4.75</v>
      </c>
      <c r="BW15" s="37">
        <f t="shared" si="48"/>
        <v>0.35175680272108845</v>
      </c>
      <c r="BX15" s="37">
        <f t="shared" si="49"/>
        <v>0.13748879466323505</v>
      </c>
      <c r="BY15" s="80">
        <f t="shared" si="50"/>
        <v>381.16700000000003</v>
      </c>
      <c r="BZ15" s="79">
        <f>SUMIF(Cliente!$H:$H,Rede!F15,Cliente!$BM:$BM)</f>
        <v>50.790999999999997</v>
      </c>
      <c r="CA15" s="64">
        <f>SUMIF(Cliente!$H:$H,Rede!F15,Cliente!$BN:$BN)</f>
        <v>102.458</v>
      </c>
      <c r="CB15" s="64">
        <f>SUMIF(Cliente!$H:$H,Rede!$F15,Cliente!$BO:$BO)</f>
        <v>0</v>
      </c>
      <c r="CC15" s="64">
        <f>SUMIF(Cliente!$H:$H,Rede!$F15,Cliente!$BP:$BP)</f>
        <v>0</v>
      </c>
      <c r="CD15" s="79">
        <f>SUMIF(Cliente!$H:$H,Rede!F15,Cliente!$BQ:$BQ)</f>
        <v>73.334000000000003</v>
      </c>
      <c r="CE15" s="64">
        <f>SUMIF(Cliente!$H:$H,Rede!F15,Cliente!$BR:$BR)</f>
        <v>50.167000000000002</v>
      </c>
      <c r="CF15" s="64">
        <f>SUMIF(Cliente!$H:$H,Rede!$F15,Cliente!$BS:$BS)</f>
        <v>0</v>
      </c>
      <c r="CG15" s="64">
        <f>SUMIF(Cliente!$H:$H,Rede!$F15,Cliente!$BT:$BT)</f>
        <v>0</v>
      </c>
      <c r="CH15" s="79">
        <f>SUMIF(Cliente!$H:$H,Rede!$F15,Cliente!$BU:$BU)</f>
        <v>57.707999999999998</v>
      </c>
      <c r="CI15" s="64">
        <f>SUMIF(Cliente!$H:$H,Rede!$F15,Cliente!$BV:$BV)</f>
        <v>49.457999999999998</v>
      </c>
      <c r="CJ15" s="64">
        <f>SUMIF(Cliente!$H:$H,Rede!$F15,Cliente!$BW:$BW)</f>
        <v>4.75</v>
      </c>
      <c r="CK15" s="64">
        <f>SUMIF(Cliente!$H:$H,Rede!$F15,Cliente!$BX:$BX)</f>
        <v>0</v>
      </c>
      <c r="CM15" s="79">
        <f t="shared" si="17"/>
        <v>2213.1870000000004</v>
      </c>
      <c r="CN15" s="73">
        <f t="shared" si="18"/>
        <v>2411.3008023224193</v>
      </c>
      <c r="CO15" s="73">
        <f t="shared" si="19"/>
        <v>2077.0219999999999</v>
      </c>
      <c r="CP15" s="73">
        <f t="shared" si="20"/>
        <v>10.083</v>
      </c>
      <c r="CQ15" s="73">
        <f t="shared" si="21"/>
        <v>4.75</v>
      </c>
      <c r="CR15" s="37">
        <f t="shared" si="51"/>
        <v>0.86752138015516422</v>
      </c>
      <c r="CS15" s="37">
        <f t="shared" si="52"/>
        <v>-5.4822299245386952E-2</v>
      </c>
      <c r="CT15" s="80">
        <f t="shared" si="53"/>
        <v>319.4458023224193</v>
      </c>
      <c r="CU15" s="139"/>
      <c r="CV15" s="139"/>
      <c r="CW15" s="139"/>
      <c r="CX15" s="142"/>
    </row>
    <row r="16" spans="2:102" x14ac:dyDescent="0.35">
      <c r="B16" s="10"/>
      <c r="C16" s="53" t="s">
        <v>402</v>
      </c>
      <c r="D16" s="51">
        <v>4054</v>
      </c>
      <c r="E16" s="51" t="s">
        <v>436</v>
      </c>
      <c r="F16" s="54" t="s">
        <v>154</v>
      </c>
      <c r="G16" s="79">
        <f t="shared" si="4"/>
        <v>620.375</v>
      </c>
      <c r="H16" s="168">
        <f>_xlfn.XLOOKUP($F16,Metas!$B:$B,Metas!Q:Q,0,0,1)</f>
        <v>419.34</v>
      </c>
      <c r="I16" s="73">
        <f t="shared" si="5"/>
        <v>616</v>
      </c>
      <c r="J16" s="73">
        <f t="shared" si="6"/>
        <v>1</v>
      </c>
      <c r="K16" s="73">
        <f t="shared" si="7"/>
        <v>0</v>
      </c>
      <c r="L16" s="37">
        <f t="shared" si="39"/>
        <v>1.4713597558067439</v>
      </c>
      <c r="M16" s="37">
        <f t="shared" si="40"/>
        <v>-5.440257908523094E-3</v>
      </c>
      <c r="N16" s="90">
        <f t="shared" si="41"/>
        <v>-197.66000000000003</v>
      </c>
      <c r="O16" s="79">
        <f>SUMIF(Cliente!$H:$H,Rede!F16,Cliente!$N:$N)</f>
        <v>73.957999999999998</v>
      </c>
      <c r="P16" s="64">
        <f>SUMIF(Cliente!$H:$H,Rede!$F16,Cliente!$O:$O)</f>
        <v>105.5</v>
      </c>
      <c r="Q16" s="64">
        <f>SUMIF(Cliente!$H:$H,Rede!$F16,Cliente!$P:$P)</f>
        <v>1</v>
      </c>
      <c r="R16" s="64">
        <f>SUMIF(Cliente!$H:$H,Rede!$F16,Cliente!$Q:$Q)</f>
        <v>0</v>
      </c>
      <c r="S16" s="79">
        <f>SUMIF(Cliente!$H:$H,Rede!$F16,Cliente!$R:$R)</f>
        <v>2</v>
      </c>
      <c r="T16" s="64">
        <f>SUMIF(Cliente!$H:$H,Rede!$F16,Cliente!$S:$S)</f>
        <v>70.5</v>
      </c>
      <c r="U16" s="64">
        <f>SUMIF(Cliente!$H:$H,Rede!$F16,Cliente!$T:$T)</f>
        <v>0</v>
      </c>
      <c r="V16" s="64">
        <f>SUMIF(Cliente!$H:$H,Rede!$F16,Cliente!$U:$U)</f>
        <v>0</v>
      </c>
      <c r="W16" s="79">
        <f>SUMIF(Cliente!$H:$H,Rede!$F16,Cliente!$V:$V)</f>
        <v>544.41700000000003</v>
      </c>
      <c r="X16" s="64">
        <f>SUMIF(Cliente!$H:$H,Rede!$F16,Cliente!$W:$W)</f>
        <v>440</v>
      </c>
      <c r="Y16" s="64">
        <f>SUMIF(Cliente!$H:$H,Rede!$F16,Cliente!$X:$X)</f>
        <v>0</v>
      </c>
      <c r="Z16" s="64">
        <f>SUMIF(Cliente!$H:$H,Rede!$F16,Cliente!$Y:$Y)</f>
        <v>0</v>
      </c>
      <c r="AA16" s="16"/>
      <c r="AB16" s="79">
        <f t="shared" si="8"/>
        <v>127.458</v>
      </c>
      <c r="AC16" s="73">
        <f>_xlfn.XLOOKUP(F16,Metas!B:B,Metas!R:R,0,0,1)</f>
        <v>359.43158400000004</v>
      </c>
      <c r="AD16" s="73">
        <f t="shared" si="9"/>
        <v>651.16599999999994</v>
      </c>
      <c r="AE16" s="73">
        <f t="shared" si="10"/>
        <v>12</v>
      </c>
      <c r="AF16" s="73">
        <f t="shared" si="11"/>
        <v>0</v>
      </c>
      <c r="AG16" s="37">
        <f t="shared" si="42"/>
        <v>1.8450409744737397</v>
      </c>
      <c r="AH16" s="37">
        <f t="shared" si="43"/>
        <v>4.2030158954322205</v>
      </c>
      <c r="AI16" s="80">
        <f t="shared" si="44"/>
        <v>-303.7344159999999</v>
      </c>
      <c r="AJ16" s="79">
        <f>SUMIF(Cliente!$H:$H,Rede!$F16,Cliente!$AE:$AE)</f>
        <v>6.3330000000000002</v>
      </c>
      <c r="AK16" s="64">
        <f>SUMIF(Cliente!$H:$H,Rede!$F16,Cliente!$AF:$AF)</f>
        <v>87.332999999999998</v>
      </c>
      <c r="AL16" s="64">
        <f>SUMIF(Cliente!$H:$H,Rede!$F16,Cliente!$AG:$AG)</f>
        <v>0</v>
      </c>
      <c r="AM16" s="64">
        <f>SUMIF(Cliente!$H:$H,Rede!$F16,Cliente!$AH:$AH)</f>
        <v>0</v>
      </c>
      <c r="AN16" s="79">
        <f>SUMIF(Cliente!$H:$H,Rede!$F16,Cliente!$AI:$AI)</f>
        <v>109.5</v>
      </c>
      <c r="AO16" s="64">
        <f>SUMIF(Cliente!$H:$H,Rede!$F16,Cliente!$AJ:$AJ)</f>
        <v>86.832999999999998</v>
      </c>
      <c r="AP16" s="64">
        <f>SUMIF(Cliente!$H:$H,Rede!$F16,Cliente!$AK:$AK)</f>
        <v>0</v>
      </c>
      <c r="AQ16" s="64">
        <f>SUMIF(Cliente!$H:$H,Rede!$F16,Cliente!$AL:$AL)</f>
        <v>0</v>
      </c>
      <c r="AR16" s="79">
        <f>SUMIF(Cliente!$H:$H,Rede!$F16,Cliente!$AM:$AM)</f>
        <v>11.625</v>
      </c>
      <c r="AS16" s="64">
        <f>SUMIF(Cliente!$H:$H,Rede!$F16,Cliente!$AN:$AN)</f>
        <v>477</v>
      </c>
      <c r="AT16" s="64">
        <f>SUMIF(Cliente!$H:$H,Rede!$F16,Cliente!$AO:$AO)</f>
        <v>12</v>
      </c>
      <c r="AU16" s="64">
        <f>SUMIF(Cliente!$H:$H,Rede!$F16,Cliente!$AP:$AP)</f>
        <v>0</v>
      </c>
      <c r="AV16" s="16"/>
      <c r="AW16" s="79">
        <f t="shared" si="12"/>
        <v>327.89600000000002</v>
      </c>
      <c r="AX16" s="73">
        <f>_xlfn.XLOOKUP(Rede!F16,Metas!B:B,Metas!S:S,0,0,1)</f>
        <v>338.05449678532204</v>
      </c>
      <c r="AY16" s="73">
        <f t="shared" si="13"/>
        <v>846</v>
      </c>
      <c r="AZ16" s="73">
        <f t="shared" si="14"/>
        <v>53</v>
      </c>
      <c r="BA16" s="73">
        <f t="shared" si="15"/>
        <v>0</v>
      </c>
      <c r="BB16" s="37">
        <f t="shared" si="45"/>
        <v>2.6593345408770008</v>
      </c>
      <c r="BC16" s="37">
        <f t="shared" si="46"/>
        <v>1.7417229853368141</v>
      </c>
      <c r="BD16" s="80">
        <f t="shared" si="47"/>
        <v>-560.94550321467796</v>
      </c>
      <c r="BE16" s="79">
        <f>SUMIF(Cliente!$H:$H,Rede!F16,Cliente!$AV:$AV)</f>
        <v>161.92500000000001</v>
      </c>
      <c r="BF16" s="64">
        <f>SUMIF(Cliente!$H:$H,Rede!F16,Cliente!$AW:$AW)</f>
        <v>75</v>
      </c>
      <c r="BG16" s="64">
        <f>SUMIF(Cliente!$H:$H,Rede!$F16,Cliente!$AX:$AX)</f>
        <v>0</v>
      </c>
      <c r="BH16" s="64">
        <f>SUMIF(Cliente!$H:$H,Rede!$F16,Cliente!$AY:$AY)</f>
        <v>0</v>
      </c>
      <c r="BI16" s="79">
        <f>SUMIF(Cliente!$H:$H,Rede!F16,Cliente!$AZ:$AZ)</f>
        <v>47.274999999999999</v>
      </c>
      <c r="BJ16" s="64">
        <f>SUMIF(Cliente!$H:$H,Rede!F16,Cliente!$BA:$BA)</f>
        <v>106</v>
      </c>
      <c r="BK16" s="64">
        <f>SUMIF(Cliente!$H:$H,Rede!$F16,Cliente!$BB:$BB)</f>
        <v>0</v>
      </c>
      <c r="BL16" s="64">
        <f>SUMIF(Cliente!$H:$H,Rede!$F16,Cliente!$BC:$BC)</f>
        <v>0</v>
      </c>
      <c r="BM16" s="79">
        <f>SUMIF(Cliente!$H:$H,Rede!F16,Cliente!$BD:$BD)</f>
        <v>118.696</v>
      </c>
      <c r="BN16" s="64">
        <f>SUMIF(Cliente!$H:$H,Rede!F16,Cliente!$BE:$BE)</f>
        <v>665</v>
      </c>
      <c r="BO16" s="64">
        <f>SUMIF(Cliente!$H:$H,Rede!$F16,Cliente!$BF:$BF)</f>
        <v>53</v>
      </c>
      <c r="BP16" s="64">
        <f>SUMIF(Cliente!$H:$H,Rede!$F16,Cliente!$BG:$BG)</f>
        <v>0</v>
      </c>
      <c r="BR16" s="79">
        <f t="shared" si="16"/>
        <v>318.5</v>
      </c>
      <c r="BS16" s="73">
        <f>_xlfn.XLOOKUP(Rede!F16,Metas!B:B,Metas!T:T,0,0,1)</f>
        <v>360</v>
      </c>
      <c r="BT16" s="73">
        <f t="shared" si="31"/>
        <v>349.45799999999997</v>
      </c>
      <c r="BU16" s="73">
        <f t="shared" si="32"/>
        <v>0</v>
      </c>
      <c r="BV16" s="73">
        <f t="shared" si="33"/>
        <v>0</v>
      </c>
      <c r="BW16" s="37">
        <f t="shared" si="48"/>
        <v>0.97071666666666656</v>
      </c>
      <c r="BX16" s="37">
        <f t="shared" si="49"/>
        <v>9.7199372056514743E-2</v>
      </c>
      <c r="BY16" s="80">
        <f t="shared" si="50"/>
        <v>10.54200000000003</v>
      </c>
      <c r="BZ16" s="79">
        <f>SUMIF(Cliente!$H:$H,Rede!F16,Cliente!$BM:$BM)</f>
        <v>34</v>
      </c>
      <c r="CA16" s="64">
        <f>SUMIF(Cliente!$H:$H,Rede!F16,Cliente!$BN:$BN)</f>
        <v>5.4580000000000002</v>
      </c>
      <c r="CB16" s="64">
        <f>SUMIF(Cliente!$H:$H,Rede!$F16,Cliente!$BO:$BO)</f>
        <v>0</v>
      </c>
      <c r="CC16" s="64">
        <f>SUMIF(Cliente!$H:$H,Rede!$F16,Cliente!$BP:$BP)</f>
        <v>0</v>
      </c>
      <c r="CD16" s="79">
        <f>SUMIF(Cliente!$H:$H,Rede!F16,Cliente!$BQ:$BQ)</f>
        <v>101</v>
      </c>
      <c r="CE16" s="64">
        <f>SUMIF(Cliente!$H:$H,Rede!F16,Cliente!$BR:$BR)</f>
        <v>66</v>
      </c>
      <c r="CF16" s="64">
        <f>SUMIF(Cliente!$H:$H,Rede!$F16,Cliente!$BS:$BS)</f>
        <v>0</v>
      </c>
      <c r="CG16" s="64">
        <f>SUMIF(Cliente!$H:$H,Rede!$F16,Cliente!$BT:$BT)</f>
        <v>0</v>
      </c>
      <c r="CH16" s="79">
        <f>SUMIF(Cliente!$H:$H,Rede!$F16,Cliente!$BU:$BU)</f>
        <v>183.5</v>
      </c>
      <c r="CI16" s="64">
        <f>SUMIF(Cliente!$H:$H,Rede!$F16,Cliente!$BV:$BV)</f>
        <v>278</v>
      </c>
      <c r="CJ16" s="64">
        <f>SUMIF(Cliente!$H:$H,Rede!$F16,Cliente!$BW:$BW)</f>
        <v>0</v>
      </c>
      <c r="CK16" s="64">
        <f>SUMIF(Cliente!$H:$H,Rede!$F16,Cliente!$BX:$BX)</f>
        <v>0</v>
      </c>
      <c r="CM16" s="79">
        <f t="shared" si="17"/>
        <v>1394.229</v>
      </c>
      <c r="CN16" s="73">
        <f t="shared" si="18"/>
        <v>1476.8260807853221</v>
      </c>
      <c r="CO16" s="73">
        <f t="shared" si="19"/>
        <v>2462.6240000000003</v>
      </c>
      <c r="CP16" s="73">
        <f t="shared" si="20"/>
        <v>66</v>
      </c>
      <c r="CQ16" s="73">
        <f t="shared" si="21"/>
        <v>0</v>
      </c>
      <c r="CR16" s="37">
        <f t="shared" si="51"/>
        <v>1.7122016145972792</v>
      </c>
      <c r="CS16" s="37">
        <f t="shared" si="52"/>
        <v>0.81363606695887136</v>
      </c>
      <c r="CT16" s="80">
        <f t="shared" si="53"/>
        <v>-1051.7979192146781</v>
      </c>
      <c r="CU16" s="139"/>
      <c r="CV16" s="139"/>
      <c r="CW16" s="139"/>
      <c r="CX16" s="142"/>
    </row>
    <row r="17" spans="2:102" x14ac:dyDescent="0.35">
      <c r="B17" s="10"/>
      <c r="C17" s="53" t="s">
        <v>402</v>
      </c>
      <c r="D17" s="51">
        <v>4054</v>
      </c>
      <c r="E17" s="51" t="s">
        <v>436</v>
      </c>
      <c r="F17" s="81" t="s">
        <v>135</v>
      </c>
      <c r="G17" s="79">
        <f t="shared" si="4"/>
        <v>630.75</v>
      </c>
      <c r="H17" s="168">
        <f>_xlfn.XLOOKUP($F17,Metas!$B:$B,Metas!Q:Q,0,0,1)</f>
        <v>325.91000000000003</v>
      </c>
      <c r="I17" s="73">
        <f t="shared" si="5"/>
        <v>173.375</v>
      </c>
      <c r="J17" s="73">
        <f t="shared" si="6"/>
        <v>0</v>
      </c>
      <c r="K17" s="73">
        <f t="shared" si="7"/>
        <v>0</v>
      </c>
      <c r="L17" s="37">
        <f t="shared" si="39"/>
        <v>0.53197201681445794</v>
      </c>
      <c r="M17" s="37">
        <f t="shared" si="40"/>
        <v>-0.72512881490289338</v>
      </c>
      <c r="N17" s="90">
        <f t="shared" si="41"/>
        <v>152.53500000000003</v>
      </c>
      <c r="O17" s="79">
        <f>SUMIF(Cliente!$H:$H,Rede!F17,Cliente!$N:$N)</f>
        <v>68</v>
      </c>
      <c r="P17" s="64">
        <f>SUMIF(Cliente!$H:$H,Rede!$F17,Cliente!$O:$O)</f>
        <v>28</v>
      </c>
      <c r="Q17" s="64">
        <f>SUMIF(Cliente!$H:$H,Rede!$F17,Cliente!$P:$P)</f>
        <v>0</v>
      </c>
      <c r="R17" s="64">
        <f>SUMIF(Cliente!$H:$H,Rede!$F17,Cliente!$Q:$Q)</f>
        <v>0</v>
      </c>
      <c r="S17" s="79">
        <f>SUMIF(Cliente!$H:$H,Rede!$F17,Cliente!$R:$R)</f>
        <v>512.625</v>
      </c>
      <c r="T17" s="64">
        <f>SUMIF(Cliente!$H:$H,Rede!$F17,Cliente!$S:$S)</f>
        <v>131</v>
      </c>
      <c r="U17" s="64">
        <f>SUMIF(Cliente!$H:$H,Rede!$F17,Cliente!$T:$T)</f>
        <v>0</v>
      </c>
      <c r="V17" s="64">
        <f>SUMIF(Cliente!$H:$H,Rede!$F17,Cliente!$U:$U)</f>
        <v>0</v>
      </c>
      <c r="W17" s="79">
        <f>SUMIF(Cliente!$H:$H,Rede!$F17,Cliente!$V:$V)</f>
        <v>50.125</v>
      </c>
      <c r="X17" s="64">
        <f>SUMIF(Cliente!$H:$H,Rede!$F17,Cliente!$W:$W)</f>
        <v>14.375</v>
      </c>
      <c r="Y17" s="64">
        <f>SUMIF(Cliente!$H:$H,Rede!$F17,Cliente!$X:$X)</f>
        <v>0</v>
      </c>
      <c r="Z17" s="64">
        <f>SUMIF(Cliente!$H:$H,Rede!$F17,Cliente!$Y:$Y)</f>
        <v>0</v>
      </c>
      <c r="AA17" s="16"/>
      <c r="AB17" s="79">
        <f t="shared" si="8"/>
        <v>180.06900000000002</v>
      </c>
      <c r="AC17" s="73">
        <f>_xlfn.XLOOKUP(F17,Metas!B:B,Metas!R:R,0,0,1)</f>
        <v>279.35279999999989</v>
      </c>
      <c r="AD17" s="73">
        <f t="shared" si="9"/>
        <v>132.167</v>
      </c>
      <c r="AE17" s="73">
        <f t="shared" si="10"/>
        <v>15.5</v>
      </c>
      <c r="AF17" s="73">
        <f t="shared" si="11"/>
        <v>0</v>
      </c>
      <c r="AG17" s="37">
        <f t="shared" si="42"/>
        <v>0.52860397318373065</v>
      </c>
      <c r="AH17" s="37">
        <f t="shared" si="43"/>
        <v>-0.17994213329334874</v>
      </c>
      <c r="AI17" s="80">
        <f t="shared" si="44"/>
        <v>131.68579999999989</v>
      </c>
      <c r="AJ17" s="79">
        <f>SUMIF(Cliente!$H:$H,Rede!$F17,Cliente!$AE:$AE)</f>
        <v>34</v>
      </c>
      <c r="AK17" s="64">
        <f>SUMIF(Cliente!$H:$H,Rede!$F17,Cliente!$AF:$AF)</f>
        <v>31.25</v>
      </c>
      <c r="AL17" s="64">
        <f>SUMIF(Cliente!$H:$H,Rede!$F17,Cliente!$AG:$AG)</f>
        <v>0</v>
      </c>
      <c r="AM17" s="64">
        <f>SUMIF(Cliente!$H:$H,Rede!$F17,Cliente!$AH:$AH)</f>
        <v>0</v>
      </c>
      <c r="AN17" s="79">
        <f>SUMIF(Cliente!$H:$H,Rede!$F17,Cliente!$AI:$AI)</f>
        <v>27.582999999999998</v>
      </c>
      <c r="AO17" s="64">
        <f>SUMIF(Cliente!$H:$H,Rede!$F17,Cliente!$AJ:$AJ)</f>
        <v>34.917000000000002</v>
      </c>
      <c r="AP17" s="64">
        <f>SUMIF(Cliente!$H:$H,Rede!$F17,Cliente!$AK:$AK)</f>
        <v>3.25</v>
      </c>
      <c r="AQ17" s="64">
        <f>SUMIF(Cliente!$H:$H,Rede!$F17,Cliente!$AL:$AL)</f>
        <v>0</v>
      </c>
      <c r="AR17" s="79">
        <f>SUMIF(Cliente!$H:$H,Rede!$F17,Cliente!$AM:$AM)</f>
        <v>118.486</v>
      </c>
      <c r="AS17" s="64">
        <f>SUMIF(Cliente!$H:$H,Rede!$F17,Cliente!$AN:$AN)</f>
        <v>66</v>
      </c>
      <c r="AT17" s="64">
        <f>SUMIF(Cliente!$H:$H,Rede!$F17,Cliente!$AO:$AO)</f>
        <v>12.25</v>
      </c>
      <c r="AU17" s="64">
        <f>SUMIF(Cliente!$H:$H,Rede!$F17,Cliente!$AP:$AP)</f>
        <v>0</v>
      </c>
      <c r="AV17" s="16"/>
      <c r="AW17" s="79">
        <f t="shared" si="12"/>
        <v>162.25</v>
      </c>
      <c r="AX17" s="73">
        <f>_xlfn.XLOOKUP(Rede!F17,Metas!B:B,Metas!S:S,0,0,1)</f>
        <v>262.73837479338113</v>
      </c>
      <c r="AY17" s="73">
        <f t="shared" si="13"/>
        <v>136.5</v>
      </c>
      <c r="AZ17" s="73">
        <f t="shared" si="14"/>
        <v>4.125</v>
      </c>
      <c r="BA17" s="73">
        <f t="shared" si="15"/>
        <v>0</v>
      </c>
      <c r="BB17" s="37">
        <f t="shared" si="45"/>
        <v>0.53522824791235102</v>
      </c>
      <c r="BC17" s="37">
        <f t="shared" si="46"/>
        <v>-0.13328197226502314</v>
      </c>
      <c r="BD17" s="80">
        <f t="shared" si="47"/>
        <v>122.11337479338113</v>
      </c>
      <c r="BE17" s="79">
        <f>SUMIF(Cliente!$H:$H,Rede!F17,Cliente!$AV:$AV)</f>
        <v>37.5</v>
      </c>
      <c r="BF17" s="64">
        <f>SUMIF(Cliente!$H:$H,Rede!F17,Cliente!$AW:$AW)</f>
        <v>87.5</v>
      </c>
      <c r="BG17" s="64">
        <f>SUMIF(Cliente!$H:$H,Rede!$F17,Cliente!$AX:$AX)</f>
        <v>0</v>
      </c>
      <c r="BH17" s="64">
        <f>SUMIF(Cliente!$H:$H,Rede!$F17,Cliente!$AY:$AY)</f>
        <v>0</v>
      </c>
      <c r="BI17" s="79">
        <f>SUMIF(Cliente!$H:$H,Rede!F17,Cliente!$AZ:$AZ)</f>
        <v>21</v>
      </c>
      <c r="BJ17" s="64">
        <f>SUMIF(Cliente!$H:$H,Rede!F17,Cliente!$BA:$BA)</f>
        <v>0</v>
      </c>
      <c r="BK17" s="64">
        <f>SUMIF(Cliente!$H:$H,Rede!$F17,Cliente!$BB:$BB)</f>
        <v>0</v>
      </c>
      <c r="BL17" s="64">
        <f>SUMIF(Cliente!$H:$H,Rede!$F17,Cliente!$BC:$BC)</f>
        <v>0</v>
      </c>
      <c r="BM17" s="79">
        <f>SUMIF(Cliente!$H:$H,Rede!F17,Cliente!$BD:$BD)</f>
        <v>103.75</v>
      </c>
      <c r="BN17" s="64">
        <f>SUMIF(Cliente!$H:$H,Rede!F17,Cliente!$BE:$BE)</f>
        <v>49</v>
      </c>
      <c r="BO17" s="64">
        <f>SUMIF(Cliente!$H:$H,Rede!$F17,Cliente!$BF:$BF)</f>
        <v>4.125</v>
      </c>
      <c r="BP17" s="64">
        <f>SUMIF(Cliente!$H:$H,Rede!$F17,Cliente!$BG:$BG)</f>
        <v>0</v>
      </c>
      <c r="BR17" s="79">
        <f t="shared" si="16"/>
        <v>88.332999999999998</v>
      </c>
      <c r="BS17" s="73">
        <f>_xlfn.XLOOKUP(Rede!F17,Metas!B:B,Metas!T:T,0,0,1)</f>
        <v>282</v>
      </c>
      <c r="BT17" s="73">
        <f t="shared" si="31"/>
        <v>212.542</v>
      </c>
      <c r="BU17" s="73">
        <f t="shared" si="32"/>
        <v>0</v>
      </c>
      <c r="BV17" s="73">
        <f t="shared" si="33"/>
        <v>0</v>
      </c>
      <c r="BW17" s="37">
        <f t="shared" si="48"/>
        <v>0.75369503546099292</v>
      </c>
      <c r="BX17" s="37">
        <f t="shared" si="49"/>
        <v>1.4061449288487884</v>
      </c>
      <c r="BY17" s="80">
        <f t="shared" si="50"/>
        <v>69.457999999999998</v>
      </c>
      <c r="BZ17" s="79">
        <f>SUMIF(Cliente!$H:$H,Rede!F17,Cliente!$BM:$BM)</f>
        <v>43.332999999999998</v>
      </c>
      <c r="CA17" s="64">
        <f>SUMIF(Cliente!$H:$H,Rede!F17,Cliente!$BN:$BN)</f>
        <v>33</v>
      </c>
      <c r="CB17" s="64">
        <f>SUMIF(Cliente!$H:$H,Rede!$F17,Cliente!$BO:$BO)</f>
        <v>0</v>
      </c>
      <c r="CC17" s="64">
        <f>SUMIF(Cliente!$H:$H,Rede!$F17,Cliente!$BP:$BP)</f>
        <v>0</v>
      </c>
      <c r="CD17" s="79">
        <f>SUMIF(Cliente!$H:$H,Rede!F17,Cliente!$BQ:$BQ)</f>
        <v>23</v>
      </c>
      <c r="CE17" s="64">
        <f>SUMIF(Cliente!$H:$H,Rede!F17,Cliente!$BR:$BR)</f>
        <v>139</v>
      </c>
      <c r="CF17" s="64">
        <f>SUMIF(Cliente!$H:$H,Rede!$F17,Cliente!$BS:$BS)</f>
        <v>0</v>
      </c>
      <c r="CG17" s="64">
        <f>SUMIF(Cliente!$H:$H,Rede!$F17,Cliente!$BT:$BT)</f>
        <v>0</v>
      </c>
      <c r="CH17" s="79">
        <f>SUMIF(Cliente!$H:$H,Rede!$F17,Cliente!$BU:$BU)</f>
        <v>22</v>
      </c>
      <c r="CI17" s="64">
        <f>SUMIF(Cliente!$H:$H,Rede!$F17,Cliente!$BV:$BV)</f>
        <v>40.542000000000002</v>
      </c>
      <c r="CJ17" s="64">
        <f>SUMIF(Cliente!$H:$H,Rede!$F17,Cliente!$BW:$BW)</f>
        <v>0</v>
      </c>
      <c r="CK17" s="64">
        <f>SUMIF(Cliente!$H:$H,Rede!$F17,Cliente!$BX:$BX)</f>
        <v>0</v>
      </c>
      <c r="CM17" s="79">
        <f t="shared" si="17"/>
        <v>1061.402</v>
      </c>
      <c r="CN17" s="73">
        <f t="shared" si="18"/>
        <v>1150.0011747933811</v>
      </c>
      <c r="CO17" s="73">
        <f t="shared" si="19"/>
        <v>654.58400000000006</v>
      </c>
      <c r="CP17" s="73">
        <f t="shared" si="20"/>
        <v>19.625</v>
      </c>
      <c r="CQ17" s="73">
        <f t="shared" si="21"/>
        <v>0</v>
      </c>
      <c r="CR17" s="37">
        <f t="shared" si="51"/>
        <v>0.58626809674445257</v>
      </c>
      <c r="CS17" s="37">
        <f t="shared" si="52"/>
        <v>-0.36479392350871764</v>
      </c>
      <c r="CT17" s="80">
        <f t="shared" si="53"/>
        <v>475.79217479338104</v>
      </c>
      <c r="CU17" s="139"/>
      <c r="CV17" s="139"/>
      <c r="CW17" s="139"/>
      <c r="CX17" s="142"/>
    </row>
    <row r="18" spans="2:102" x14ac:dyDescent="0.35">
      <c r="B18" s="10"/>
      <c r="C18" s="53" t="s">
        <v>97</v>
      </c>
      <c r="D18" s="51">
        <v>179</v>
      </c>
      <c r="E18" s="51" t="s">
        <v>4</v>
      </c>
      <c r="F18" s="54" t="s">
        <v>99</v>
      </c>
      <c r="G18" s="79">
        <f t="shared" si="4"/>
        <v>1707.9580000000001</v>
      </c>
      <c r="H18" s="168">
        <f>_xlfn.XLOOKUP($F18,Metas!$B:$B,Metas!Q:Q,0,0,1)</f>
        <v>2181.2600000000002</v>
      </c>
      <c r="I18" s="73">
        <f t="shared" si="5"/>
        <v>1828</v>
      </c>
      <c r="J18" s="73">
        <f t="shared" si="6"/>
        <v>15</v>
      </c>
      <c r="K18" s="73">
        <f t="shared" si="7"/>
        <v>0</v>
      </c>
      <c r="L18" s="37">
        <f t="shared" si="39"/>
        <v>0.84492449318283924</v>
      </c>
      <c r="M18" s="37">
        <f t="shared" si="40"/>
        <v>7.9066347064740361E-2</v>
      </c>
      <c r="N18" s="90">
        <f t="shared" si="41"/>
        <v>338.26000000000022</v>
      </c>
      <c r="O18" s="79">
        <f>SUMIF(Cliente!$H:$H,Rede!F18,Cliente!$N:$N)</f>
        <v>504</v>
      </c>
      <c r="P18" s="64">
        <f>SUMIF(Cliente!$H:$H,Rede!$F18,Cliente!$O:$O)</f>
        <v>109</v>
      </c>
      <c r="Q18" s="64">
        <f>SUMIF(Cliente!$H:$H,Rede!$F18,Cliente!$P:$P)</f>
        <v>0</v>
      </c>
      <c r="R18" s="64">
        <f>SUMIF(Cliente!$H:$H,Rede!$F18,Cliente!$Q:$Q)</f>
        <v>0</v>
      </c>
      <c r="S18" s="79">
        <f>SUMIF(Cliente!$H:$H,Rede!$F18,Cliente!$R:$R)</f>
        <v>204.958</v>
      </c>
      <c r="T18" s="64">
        <f>SUMIF(Cliente!$H:$H,Rede!$F18,Cliente!$S:$S)</f>
        <v>1458</v>
      </c>
      <c r="U18" s="64">
        <f>SUMIF(Cliente!$H:$H,Rede!$F18,Cliente!$T:$T)</f>
        <v>15</v>
      </c>
      <c r="V18" s="64">
        <f>SUMIF(Cliente!$H:$H,Rede!$F18,Cliente!$U:$U)</f>
        <v>0</v>
      </c>
      <c r="W18" s="79">
        <f>SUMIF(Cliente!$H:$H,Rede!$F18,Cliente!$V:$V)</f>
        <v>999</v>
      </c>
      <c r="X18" s="64">
        <f>SUMIF(Cliente!$H:$H,Rede!$F18,Cliente!$W:$W)</f>
        <v>261</v>
      </c>
      <c r="Y18" s="64">
        <f>SUMIF(Cliente!$H:$H,Rede!$F18,Cliente!$X:$X)</f>
        <v>0</v>
      </c>
      <c r="Z18" s="64">
        <f>SUMIF(Cliente!$H:$H,Rede!$F18,Cliente!$Y:$Y)</f>
        <v>0</v>
      </c>
      <c r="AA18" s="16"/>
      <c r="AB18" s="79">
        <f t="shared" si="8"/>
        <v>2156</v>
      </c>
      <c r="AC18" s="73">
        <f>_xlfn.XLOOKUP(F18,Metas!B:B,Metas!R:R,0,0,1)</f>
        <v>1869.643296</v>
      </c>
      <c r="AD18" s="73">
        <f t="shared" si="9"/>
        <v>1741.75</v>
      </c>
      <c r="AE18" s="73">
        <f t="shared" si="10"/>
        <v>3</v>
      </c>
      <c r="AF18" s="73">
        <f t="shared" si="11"/>
        <v>0</v>
      </c>
      <c r="AG18" s="37">
        <f t="shared" si="42"/>
        <v>0.93319939890822901</v>
      </c>
      <c r="AH18" s="37">
        <f t="shared" si="43"/>
        <v>-0.19074675324675328</v>
      </c>
      <c r="AI18" s="80">
        <f t="shared" si="44"/>
        <v>124.89329599999996</v>
      </c>
      <c r="AJ18" s="79">
        <f>SUMIF(Cliente!$H:$H,Rede!$F18,Cliente!$AE:$AE)</f>
        <v>624</v>
      </c>
      <c r="AK18" s="64">
        <f>SUMIF(Cliente!$H:$H,Rede!$F18,Cliente!$AF:$AF)</f>
        <v>548.75</v>
      </c>
      <c r="AL18" s="64">
        <f>SUMIF(Cliente!$H:$H,Rede!$F18,Cliente!$AG:$AG)</f>
        <v>0</v>
      </c>
      <c r="AM18" s="64">
        <f>SUMIF(Cliente!$H:$H,Rede!$F18,Cliente!$AH:$AH)</f>
        <v>0</v>
      </c>
      <c r="AN18" s="79">
        <f>SUMIF(Cliente!$H:$H,Rede!$F18,Cliente!$AI:$AI)</f>
        <v>945</v>
      </c>
      <c r="AO18" s="64">
        <f>SUMIF(Cliente!$H:$H,Rede!$F18,Cliente!$AJ:$AJ)</f>
        <v>578</v>
      </c>
      <c r="AP18" s="64">
        <f>SUMIF(Cliente!$H:$H,Rede!$F18,Cliente!$AK:$AK)</f>
        <v>3</v>
      </c>
      <c r="AQ18" s="64">
        <f>SUMIF(Cliente!$H:$H,Rede!$F18,Cliente!$AL:$AL)</f>
        <v>0</v>
      </c>
      <c r="AR18" s="79">
        <f>SUMIF(Cliente!$H:$H,Rede!$F18,Cliente!$AM:$AM)</f>
        <v>587</v>
      </c>
      <c r="AS18" s="64">
        <f>SUMIF(Cliente!$H:$H,Rede!$F18,Cliente!$AN:$AN)</f>
        <v>615</v>
      </c>
      <c r="AT18" s="64">
        <f>SUMIF(Cliente!$H:$H,Rede!$F18,Cliente!$AO:$AO)</f>
        <v>0</v>
      </c>
      <c r="AU18" s="64">
        <f>SUMIF(Cliente!$H:$H,Rede!$F18,Cliente!$AP:$AP)</f>
        <v>0</v>
      </c>
      <c r="AV18" s="16"/>
      <c r="AW18" s="79">
        <f t="shared" si="12"/>
        <v>2145.4169999999999</v>
      </c>
      <c r="AX18" s="73">
        <f>_xlfn.XLOOKUP(Rede!F18,Metas!B:B,Metas!S:S,0,0,1)</f>
        <v>1758.4468136148289</v>
      </c>
      <c r="AY18" s="73">
        <f t="shared" si="13"/>
        <v>1714.875</v>
      </c>
      <c r="AZ18" s="73">
        <f t="shared" si="14"/>
        <v>25</v>
      </c>
      <c r="BA18" s="73">
        <f t="shared" si="15"/>
        <v>0</v>
      </c>
      <c r="BB18" s="37">
        <f t="shared" si="45"/>
        <v>0.98943851274258854</v>
      </c>
      <c r="BC18" s="37">
        <f t="shared" si="46"/>
        <v>-0.18902712153394885</v>
      </c>
      <c r="BD18" s="80">
        <f t="shared" si="47"/>
        <v>18.571813614828898</v>
      </c>
      <c r="BE18" s="79">
        <f>SUMIF(Cliente!$H:$H,Rede!F18,Cliente!$AV:$AV)</f>
        <v>517</v>
      </c>
      <c r="BF18" s="64">
        <f>SUMIF(Cliente!$H:$H,Rede!F18,Cliente!$AW:$AW)</f>
        <v>235.917</v>
      </c>
      <c r="BG18" s="64">
        <f>SUMIF(Cliente!$H:$H,Rede!$F18,Cliente!$AX:$AX)</f>
        <v>0</v>
      </c>
      <c r="BH18" s="64">
        <f>SUMIF(Cliente!$H:$H,Rede!$F18,Cliente!$AY:$AY)</f>
        <v>0</v>
      </c>
      <c r="BI18" s="79">
        <f>SUMIF(Cliente!$H:$H,Rede!F18,Cliente!$AZ:$AZ)</f>
        <v>408</v>
      </c>
      <c r="BJ18" s="64">
        <f>SUMIF(Cliente!$H:$H,Rede!F18,Cliente!$BA:$BA)</f>
        <v>790.95799999999997</v>
      </c>
      <c r="BK18" s="64">
        <f>SUMIF(Cliente!$H:$H,Rede!$F18,Cliente!$BB:$BB)</f>
        <v>12</v>
      </c>
      <c r="BL18" s="64">
        <f>SUMIF(Cliente!$H:$H,Rede!$F18,Cliente!$BC:$BC)</f>
        <v>0</v>
      </c>
      <c r="BM18" s="79">
        <f>SUMIF(Cliente!$H:$H,Rede!F18,Cliente!$BD:$BD)</f>
        <v>1220.4169999999999</v>
      </c>
      <c r="BN18" s="64">
        <f>SUMIF(Cliente!$H:$H,Rede!F18,Cliente!$BE:$BE)</f>
        <v>688</v>
      </c>
      <c r="BO18" s="64">
        <f>SUMIF(Cliente!$H:$H,Rede!$F18,Cliente!$BF:$BF)</f>
        <v>13</v>
      </c>
      <c r="BP18" s="64">
        <f>SUMIF(Cliente!$H:$H,Rede!$F18,Cliente!$BG:$BG)</f>
        <v>0</v>
      </c>
      <c r="BR18" s="79">
        <f t="shared" si="16"/>
        <v>1078.25</v>
      </c>
      <c r="BS18" s="73">
        <f>_xlfn.XLOOKUP(Rede!F18,Metas!B:B,Metas!T:T,0,0,1)</f>
        <v>1872</v>
      </c>
      <c r="BT18" s="73">
        <f t="shared" si="31"/>
        <v>1087</v>
      </c>
      <c r="BU18" s="73">
        <f t="shared" si="32"/>
        <v>59</v>
      </c>
      <c r="BV18" s="73">
        <f t="shared" si="33"/>
        <v>18</v>
      </c>
      <c r="BW18" s="37">
        <f t="shared" si="48"/>
        <v>0.62179487179487181</v>
      </c>
      <c r="BX18" s="37">
        <f t="shared" si="49"/>
        <v>7.9527011361001598E-2</v>
      </c>
      <c r="BY18" s="80">
        <f t="shared" si="50"/>
        <v>708</v>
      </c>
      <c r="BZ18" s="79">
        <f>SUMIF(Cliente!$H:$H,Rede!F18,Cliente!$BM:$BM)</f>
        <v>179.25</v>
      </c>
      <c r="CA18" s="64">
        <f>SUMIF(Cliente!$H:$H,Rede!F18,Cliente!$BN:$BN)</f>
        <v>365</v>
      </c>
      <c r="CB18" s="64">
        <f>SUMIF(Cliente!$H:$H,Rede!$F18,Cliente!$BO:$BO)</f>
        <v>3</v>
      </c>
      <c r="CC18" s="64">
        <f>SUMIF(Cliente!$H:$H,Rede!$F18,Cliente!$BP:$BP)</f>
        <v>0</v>
      </c>
      <c r="CD18" s="79">
        <f>SUMIF(Cliente!$H:$H,Rede!F18,Cliente!$BQ:$BQ)</f>
        <v>490</v>
      </c>
      <c r="CE18" s="64">
        <f>SUMIF(Cliente!$H:$H,Rede!F18,Cliente!$BR:$BR)</f>
        <v>518</v>
      </c>
      <c r="CF18" s="64">
        <f>SUMIF(Cliente!$H:$H,Rede!$F18,Cliente!$BS:$BS)</f>
        <v>15</v>
      </c>
      <c r="CG18" s="64">
        <f>SUMIF(Cliente!$H:$H,Rede!$F18,Cliente!$BT:$BT)</f>
        <v>0</v>
      </c>
      <c r="CH18" s="79">
        <f>SUMIF(Cliente!$H:$H,Rede!$F18,Cliente!$BU:$BU)</f>
        <v>409</v>
      </c>
      <c r="CI18" s="64">
        <f>SUMIF(Cliente!$H:$H,Rede!$F18,Cliente!$BV:$BV)</f>
        <v>204</v>
      </c>
      <c r="CJ18" s="64">
        <f>SUMIF(Cliente!$H:$H,Rede!$F18,Cliente!$BW:$BW)</f>
        <v>0</v>
      </c>
      <c r="CK18" s="64">
        <f>SUMIF(Cliente!$H:$H,Rede!$F18,Cliente!$BX:$BX)</f>
        <v>59</v>
      </c>
      <c r="CM18" s="79">
        <f t="shared" si="17"/>
        <v>7087.625</v>
      </c>
      <c r="CN18" s="73">
        <f t="shared" si="18"/>
        <v>7681.3501096148293</v>
      </c>
      <c r="CO18" s="73">
        <f t="shared" si="19"/>
        <v>6371.625</v>
      </c>
      <c r="CP18" s="73">
        <f t="shared" si="20"/>
        <v>102</v>
      </c>
      <c r="CQ18" s="73">
        <f t="shared" si="21"/>
        <v>18</v>
      </c>
      <c r="CR18" s="37">
        <f t="shared" si="51"/>
        <v>0.84511510442342197</v>
      </c>
      <c r="CS18" s="37">
        <f t="shared" si="52"/>
        <v>-8.4090227685578722E-2</v>
      </c>
      <c r="CT18" s="80">
        <f t="shared" si="53"/>
        <v>1189.7251096148293</v>
      </c>
      <c r="CU18" s="139"/>
      <c r="CV18" s="139"/>
      <c r="CW18" s="139"/>
      <c r="CX18" s="142"/>
    </row>
    <row r="19" spans="2:102" x14ac:dyDescent="0.35">
      <c r="B19" s="10"/>
      <c r="C19" s="53" t="s">
        <v>97</v>
      </c>
      <c r="D19" s="51">
        <v>359</v>
      </c>
      <c r="E19" s="51" t="s">
        <v>489</v>
      </c>
      <c r="F19" s="54" t="s">
        <v>106</v>
      </c>
      <c r="G19" s="79">
        <f t="shared" si="4"/>
        <v>667.10399999999993</v>
      </c>
      <c r="H19" s="168">
        <f>_xlfn.XLOOKUP($F19,Metas!$B:$B,Metas!Q:Q,0,0,1)</f>
        <v>482.46</v>
      </c>
      <c r="I19" s="73">
        <f t="shared" si="5"/>
        <v>350.08299999999997</v>
      </c>
      <c r="J19" s="73">
        <f t="shared" si="6"/>
        <v>13.625</v>
      </c>
      <c r="K19" s="73">
        <f t="shared" si="7"/>
        <v>0</v>
      </c>
      <c r="L19" s="37">
        <f t="shared" si="39"/>
        <v>0.75386146001741072</v>
      </c>
      <c r="M19" s="37">
        <f t="shared" si="40"/>
        <v>-0.45479565405094258</v>
      </c>
      <c r="N19" s="90">
        <f t="shared" si="41"/>
        <v>118.75200000000001</v>
      </c>
      <c r="O19" s="79">
        <f>SUMIF(Cliente!$H:$H,Rede!F19,Cliente!$N:$N)</f>
        <v>28</v>
      </c>
      <c r="P19" s="64">
        <f>SUMIF(Cliente!$H:$H,Rede!$F19,Cliente!$O:$O)</f>
        <v>20.25</v>
      </c>
      <c r="Q19" s="64">
        <f>SUMIF(Cliente!$H:$H,Rede!$F19,Cliente!$P:$P)</f>
        <v>11</v>
      </c>
      <c r="R19" s="64">
        <f>SUMIF(Cliente!$H:$H,Rede!$F19,Cliente!$Q:$Q)</f>
        <v>0</v>
      </c>
      <c r="S19" s="79">
        <f>SUMIF(Cliente!$H:$H,Rede!$F19,Cliente!$R:$R)</f>
        <v>28.021000000000001</v>
      </c>
      <c r="T19" s="64">
        <f>SUMIF(Cliente!$H:$H,Rede!$F19,Cliente!$S:$S)</f>
        <v>285</v>
      </c>
      <c r="U19" s="64">
        <f>SUMIF(Cliente!$H:$H,Rede!$F19,Cliente!$T:$T)</f>
        <v>2.625</v>
      </c>
      <c r="V19" s="64">
        <f>SUMIF(Cliente!$H:$H,Rede!$F19,Cliente!$U:$U)</f>
        <v>0</v>
      </c>
      <c r="W19" s="79">
        <f>SUMIF(Cliente!$H:$H,Rede!$F19,Cliente!$V:$V)</f>
        <v>611.08299999999997</v>
      </c>
      <c r="X19" s="64">
        <f>SUMIF(Cliente!$H:$H,Rede!$F19,Cliente!$W:$W)</f>
        <v>44.832999999999998</v>
      </c>
      <c r="Y19" s="64">
        <f>SUMIF(Cliente!$H:$H,Rede!$F19,Cliente!$X:$X)</f>
        <v>0</v>
      </c>
      <c r="Z19" s="64">
        <f>SUMIF(Cliente!$H:$H,Rede!$F19,Cliente!$Y:$Y)</f>
        <v>0</v>
      </c>
      <c r="AA19" s="16"/>
      <c r="AB19" s="79">
        <f t="shared" si="8"/>
        <v>310.66700000000003</v>
      </c>
      <c r="AC19" s="73">
        <f>_xlfn.XLOOKUP(F19,Metas!B:B,Metas!R:R,0,0,1)</f>
        <v>413.54063999999994</v>
      </c>
      <c r="AD19" s="73">
        <f t="shared" si="9"/>
        <v>132.501</v>
      </c>
      <c r="AE19" s="73">
        <f t="shared" si="10"/>
        <v>0</v>
      </c>
      <c r="AF19" s="73">
        <f t="shared" si="11"/>
        <v>0</v>
      </c>
      <c r="AG19" s="37">
        <f t="shared" si="42"/>
        <v>0.32040623625286263</v>
      </c>
      <c r="AH19" s="37">
        <f t="shared" si="43"/>
        <v>-0.57349509281642397</v>
      </c>
      <c r="AI19" s="80">
        <f t="shared" si="44"/>
        <v>281.03963999999996</v>
      </c>
      <c r="AJ19" s="79">
        <f>SUMIF(Cliente!$H:$H,Rede!$F19,Cliente!$AE:$AE)</f>
        <v>249.625</v>
      </c>
      <c r="AK19" s="64">
        <f>SUMIF(Cliente!$H:$H,Rede!$F19,Cliente!$AF:$AF)</f>
        <v>9.625</v>
      </c>
      <c r="AL19" s="64">
        <f>SUMIF(Cliente!$H:$H,Rede!$F19,Cliente!$AG:$AG)</f>
        <v>0</v>
      </c>
      <c r="AM19" s="64">
        <f>SUMIF(Cliente!$H:$H,Rede!$F19,Cliente!$AH:$AH)</f>
        <v>0</v>
      </c>
      <c r="AN19" s="79">
        <f>SUMIF(Cliente!$H:$H,Rede!$F19,Cliente!$AI:$AI)</f>
        <v>41.042000000000002</v>
      </c>
      <c r="AO19" s="64">
        <f>SUMIF(Cliente!$H:$H,Rede!$F19,Cliente!$AJ:$AJ)</f>
        <v>48.542000000000002</v>
      </c>
      <c r="AP19" s="64">
        <f>SUMIF(Cliente!$H:$H,Rede!$F19,Cliente!$AK:$AK)</f>
        <v>0</v>
      </c>
      <c r="AQ19" s="64">
        <f>SUMIF(Cliente!$H:$H,Rede!$F19,Cliente!$AL:$AL)</f>
        <v>0</v>
      </c>
      <c r="AR19" s="79">
        <f>SUMIF(Cliente!$H:$H,Rede!$F19,Cliente!$AM:$AM)</f>
        <v>20</v>
      </c>
      <c r="AS19" s="64">
        <f>SUMIF(Cliente!$H:$H,Rede!$F19,Cliente!$AN:$AN)</f>
        <v>74.334000000000003</v>
      </c>
      <c r="AT19" s="64">
        <f>SUMIF(Cliente!$H:$H,Rede!$F19,Cliente!$AO:$AO)</f>
        <v>0</v>
      </c>
      <c r="AU19" s="64">
        <f>SUMIF(Cliente!$H:$H,Rede!$F19,Cliente!$AP:$AP)</f>
        <v>0</v>
      </c>
      <c r="AV19" s="16"/>
      <c r="AW19" s="79">
        <f t="shared" si="12"/>
        <v>366.625</v>
      </c>
      <c r="AX19" s="73">
        <f>_xlfn.XLOOKUP(Rede!F19,Metas!B:B,Metas!S:S,0,0,1)</f>
        <v>388.94543267371841</v>
      </c>
      <c r="AY19" s="73">
        <f t="shared" si="13"/>
        <v>332.49900000000002</v>
      </c>
      <c r="AZ19" s="73">
        <f t="shared" si="14"/>
        <v>11</v>
      </c>
      <c r="BA19" s="73">
        <f t="shared" si="15"/>
        <v>0</v>
      </c>
      <c r="BB19" s="37">
        <f t="shared" si="45"/>
        <v>0.8831547336568345</v>
      </c>
      <c r="BC19" s="37">
        <f t="shared" si="46"/>
        <v>-6.3078077054210646E-2</v>
      </c>
      <c r="BD19" s="80">
        <f t="shared" si="47"/>
        <v>45.446432673718391</v>
      </c>
      <c r="BE19" s="79">
        <f>SUMIF(Cliente!$H:$H,Rede!F19,Cliente!$AV:$AV)</f>
        <v>69</v>
      </c>
      <c r="BF19" s="64">
        <f>SUMIF(Cliente!$H:$H,Rede!F19,Cliente!$AW:$AW)</f>
        <v>83.540999999999997</v>
      </c>
      <c r="BG19" s="64">
        <f>SUMIF(Cliente!$H:$H,Rede!$F19,Cliente!$AX:$AX)</f>
        <v>5</v>
      </c>
      <c r="BH19" s="64">
        <f>SUMIF(Cliente!$H:$H,Rede!$F19,Cliente!$AY:$AY)</f>
        <v>0</v>
      </c>
      <c r="BI19" s="79">
        <f>SUMIF(Cliente!$H:$H,Rede!F19,Cliente!$AZ:$AZ)</f>
        <v>75.375</v>
      </c>
      <c r="BJ19" s="64">
        <f>SUMIF(Cliente!$H:$H,Rede!F19,Cliente!$BA:$BA)</f>
        <v>39.5</v>
      </c>
      <c r="BK19" s="64">
        <f>SUMIF(Cliente!$H:$H,Rede!$F19,Cliente!$BB:$BB)</f>
        <v>0</v>
      </c>
      <c r="BL19" s="64">
        <f>SUMIF(Cliente!$H:$H,Rede!$F19,Cliente!$BC:$BC)</f>
        <v>0</v>
      </c>
      <c r="BM19" s="79">
        <f>SUMIF(Cliente!$H:$H,Rede!F19,Cliente!$BD:$BD)</f>
        <v>222.25</v>
      </c>
      <c r="BN19" s="64">
        <f>SUMIF(Cliente!$H:$H,Rede!F19,Cliente!$BE:$BE)</f>
        <v>209.458</v>
      </c>
      <c r="BO19" s="64">
        <f>SUMIF(Cliente!$H:$H,Rede!$F19,Cliente!$BF:$BF)</f>
        <v>6</v>
      </c>
      <c r="BP19" s="64">
        <f>SUMIF(Cliente!$H:$H,Rede!$F19,Cliente!$BG:$BG)</f>
        <v>0</v>
      </c>
      <c r="BR19" s="79">
        <f t="shared" si="16"/>
        <v>236.958</v>
      </c>
      <c r="BS19" s="73">
        <f>_xlfn.XLOOKUP(Rede!F19,Metas!B:B,Metas!T:T,0,0,1)</f>
        <v>414</v>
      </c>
      <c r="BT19" s="73">
        <f t="shared" si="31"/>
        <v>109.917</v>
      </c>
      <c r="BU19" s="73">
        <f t="shared" si="32"/>
        <v>0</v>
      </c>
      <c r="BV19" s="73">
        <f t="shared" si="33"/>
        <v>0</v>
      </c>
      <c r="BW19" s="37">
        <f t="shared" si="48"/>
        <v>0.26550000000000001</v>
      </c>
      <c r="BX19" s="37">
        <f t="shared" si="49"/>
        <v>-0.53613298559238343</v>
      </c>
      <c r="BY19" s="80">
        <f t="shared" si="50"/>
        <v>304.08299999999997</v>
      </c>
      <c r="BZ19" s="79">
        <f>SUMIF(Cliente!$H:$H,Rede!F19,Cliente!$BM:$BM)</f>
        <v>27.957999999999998</v>
      </c>
      <c r="CA19" s="64">
        <f>SUMIF(Cliente!$H:$H,Rede!F19,Cliente!$BN:$BN)</f>
        <v>54.915999999999997</v>
      </c>
      <c r="CB19" s="64">
        <f>SUMIF(Cliente!$H:$H,Rede!$F19,Cliente!$BO:$BO)</f>
        <v>0</v>
      </c>
      <c r="CC19" s="64">
        <f>SUMIF(Cliente!$H:$H,Rede!$F19,Cliente!$BP:$BP)</f>
        <v>0</v>
      </c>
      <c r="CD19" s="79">
        <f>SUMIF(Cliente!$H:$H,Rede!F19,Cliente!$BQ:$BQ)</f>
        <v>6</v>
      </c>
      <c r="CE19" s="64">
        <f>SUMIF(Cliente!$H:$H,Rede!F19,Cliente!$BR:$BR)</f>
        <v>22.917000000000002</v>
      </c>
      <c r="CF19" s="64">
        <f>SUMIF(Cliente!$H:$H,Rede!$F19,Cliente!$BS:$BS)</f>
        <v>0</v>
      </c>
      <c r="CG19" s="64">
        <f>SUMIF(Cliente!$H:$H,Rede!$F19,Cliente!$BT:$BT)</f>
        <v>0</v>
      </c>
      <c r="CH19" s="79">
        <f>SUMIF(Cliente!$H:$H,Rede!$F19,Cliente!$BU:$BU)</f>
        <v>203</v>
      </c>
      <c r="CI19" s="64">
        <f>SUMIF(Cliente!$H:$H,Rede!$F19,Cliente!$BV:$BV)</f>
        <v>32.084000000000003</v>
      </c>
      <c r="CJ19" s="64">
        <f>SUMIF(Cliente!$H:$H,Rede!$F19,Cliente!$BW:$BW)</f>
        <v>0</v>
      </c>
      <c r="CK19" s="64">
        <f>SUMIF(Cliente!$H:$H,Rede!$F19,Cliente!$BX:$BX)</f>
        <v>0</v>
      </c>
      <c r="CM19" s="79">
        <f t="shared" si="17"/>
        <v>1581.354</v>
      </c>
      <c r="CN19" s="73">
        <f t="shared" si="18"/>
        <v>1698.9460726737184</v>
      </c>
      <c r="CO19" s="73">
        <f t="shared" si="19"/>
        <v>925</v>
      </c>
      <c r="CP19" s="73">
        <f t="shared" si="20"/>
        <v>24.625</v>
      </c>
      <c r="CQ19" s="73">
        <f t="shared" si="21"/>
        <v>0</v>
      </c>
      <c r="CR19" s="37">
        <f t="shared" si="51"/>
        <v>0.55894946595069173</v>
      </c>
      <c r="CS19" s="37">
        <f t="shared" si="52"/>
        <v>-0.39948613656398257</v>
      </c>
      <c r="CT19" s="80">
        <f t="shared" si="53"/>
        <v>749.32107267371839</v>
      </c>
      <c r="CU19" s="139"/>
      <c r="CV19" s="139"/>
      <c r="CW19" s="139"/>
      <c r="CX19" s="142"/>
    </row>
    <row r="20" spans="2:102" x14ac:dyDescent="0.35">
      <c r="B20" s="10"/>
      <c r="C20" s="53" t="s">
        <v>97</v>
      </c>
      <c r="D20" s="51">
        <v>359</v>
      </c>
      <c r="E20" s="51" t="s">
        <v>489</v>
      </c>
      <c r="F20" s="81" t="s">
        <v>110</v>
      </c>
      <c r="G20" s="79">
        <f t="shared" si="4"/>
        <v>1600.0749999999998</v>
      </c>
      <c r="H20" s="168">
        <f>_xlfn.XLOOKUP($F20,Metas!$B:$B,Metas!Q:Q,0,0,1)</f>
        <v>985.46</v>
      </c>
      <c r="I20" s="73">
        <f t="shared" si="5"/>
        <v>741.79200000000003</v>
      </c>
      <c r="J20" s="73">
        <f t="shared" si="6"/>
        <v>6.625</v>
      </c>
      <c r="K20" s="73">
        <f t="shared" si="7"/>
        <v>0</v>
      </c>
      <c r="L20" s="37">
        <f t="shared" si="39"/>
        <v>0.75945954173685382</v>
      </c>
      <c r="M20" s="37">
        <f t="shared" si="40"/>
        <v>-0.53226130025155061</v>
      </c>
      <c r="N20" s="90">
        <f t="shared" si="41"/>
        <v>237.04300000000001</v>
      </c>
      <c r="O20" s="79">
        <f>SUMIF(Cliente!$H:$H,Rede!F20,Cliente!$N:$N)</f>
        <v>139.90799999999999</v>
      </c>
      <c r="P20" s="64">
        <f>SUMIF(Cliente!$H:$H,Rede!$F20,Cliente!$O:$O)</f>
        <v>76.792000000000002</v>
      </c>
      <c r="Q20" s="64">
        <f>SUMIF(Cliente!$H:$H,Rede!$F20,Cliente!$P:$P)</f>
        <v>0.75</v>
      </c>
      <c r="R20" s="64">
        <f>SUMIF(Cliente!$H:$H,Rede!$F20,Cliente!$Q:$Q)</f>
        <v>0</v>
      </c>
      <c r="S20" s="79">
        <f>SUMIF(Cliente!$H:$H,Rede!$F20,Cliente!$R:$R)</f>
        <v>1105</v>
      </c>
      <c r="T20" s="64">
        <f>SUMIF(Cliente!$H:$H,Rede!$F20,Cliente!$S:$S)</f>
        <v>379</v>
      </c>
      <c r="U20" s="64">
        <f>SUMIF(Cliente!$H:$H,Rede!$F20,Cliente!$T:$T)</f>
        <v>1.375</v>
      </c>
      <c r="V20" s="64">
        <f>SUMIF(Cliente!$H:$H,Rede!$F20,Cliente!$U:$U)</f>
        <v>0</v>
      </c>
      <c r="W20" s="79">
        <f>SUMIF(Cliente!$H:$H,Rede!$F20,Cliente!$V:$V)</f>
        <v>355.16699999999997</v>
      </c>
      <c r="X20" s="64">
        <f>SUMIF(Cliente!$H:$H,Rede!$F20,Cliente!$W:$W)</f>
        <v>286</v>
      </c>
      <c r="Y20" s="64">
        <f>SUMIF(Cliente!$H:$H,Rede!$F20,Cliente!$X:$X)</f>
        <v>4.5</v>
      </c>
      <c r="Z20" s="64">
        <f>SUMIF(Cliente!$H:$H,Rede!$F20,Cliente!$Y:$Y)</f>
        <v>0</v>
      </c>
      <c r="AA20" s="16"/>
      <c r="AB20" s="79">
        <f t="shared" si="8"/>
        <v>635</v>
      </c>
      <c r="AC20" s="73">
        <f>_xlfn.XLOOKUP(F20,Metas!B:B,Metas!R:R,0,0,1)</f>
        <v>844.67923200000007</v>
      </c>
      <c r="AD20" s="73">
        <f t="shared" si="9"/>
        <v>403.5</v>
      </c>
      <c r="AE20" s="73">
        <f t="shared" si="10"/>
        <v>27.332999999999998</v>
      </c>
      <c r="AF20" s="73">
        <f t="shared" si="11"/>
        <v>0</v>
      </c>
      <c r="AG20" s="37">
        <f t="shared" si="42"/>
        <v>0.51005515902159637</v>
      </c>
      <c r="AH20" s="37">
        <f t="shared" si="43"/>
        <v>-0.32152283464566933</v>
      </c>
      <c r="AI20" s="80">
        <f t="shared" si="44"/>
        <v>413.8462320000001</v>
      </c>
      <c r="AJ20" s="79">
        <f>SUMIF(Cliente!$H:$H,Rede!$F20,Cliente!$AE:$AE)</f>
        <v>142</v>
      </c>
      <c r="AK20" s="64">
        <f>SUMIF(Cliente!$H:$H,Rede!$F20,Cliente!$AF:$AF)</f>
        <v>69</v>
      </c>
      <c r="AL20" s="64">
        <f>SUMIF(Cliente!$H:$H,Rede!$F20,Cliente!$AG:$AG)</f>
        <v>0</v>
      </c>
      <c r="AM20" s="64">
        <f>SUMIF(Cliente!$H:$H,Rede!$F20,Cliente!$AH:$AH)</f>
        <v>0</v>
      </c>
      <c r="AN20" s="79">
        <f>SUMIF(Cliente!$H:$H,Rede!$F20,Cliente!$AI:$AI)</f>
        <v>493</v>
      </c>
      <c r="AO20" s="64">
        <f>SUMIF(Cliente!$H:$H,Rede!$F20,Cliente!$AJ:$AJ)</f>
        <v>107</v>
      </c>
      <c r="AP20" s="64">
        <f>SUMIF(Cliente!$H:$H,Rede!$F20,Cliente!$AK:$AK)</f>
        <v>7.3330000000000002</v>
      </c>
      <c r="AQ20" s="64">
        <f>SUMIF(Cliente!$H:$H,Rede!$F20,Cliente!$AL:$AL)</f>
        <v>0</v>
      </c>
      <c r="AR20" s="79">
        <f>SUMIF(Cliente!$H:$H,Rede!$F20,Cliente!$AM:$AM)</f>
        <v>0</v>
      </c>
      <c r="AS20" s="64">
        <f>SUMIF(Cliente!$H:$H,Rede!$F20,Cliente!$AN:$AN)</f>
        <v>227.5</v>
      </c>
      <c r="AT20" s="64">
        <f>SUMIF(Cliente!$H:$H,Rede!$F20,Cliente!$AO:$AO)</f>
        <v>20</v>
      </c>
      <c r="AU20" s="64">
        <f>SUMIF(Cliente!$H:$H,Rede!$F20,Cliente!$AP:$AP)</f>
        <v>0</v>
      </c>
      <c r="AV20" s="16"/>
      <c r="AW20" s="79">
        <f t="shared" si="12"/>
        <v>641.58300000000008</v>
      </c>
      <c r="AX20" s="73">
        <f>_xlfn.XLOOKUP(Rede!F20,Metas!B:B,Metas!S:S,0,0,1)</f>
        <v>794.44218435398329</v>
      </c>
      <c r="AY20" s="73">
        <f t="shared" si="13"/>
        <v>433.375</v>
      </c>
      <c r="AZ20" s="73">
        <f t="shared" si="14"/>
        <v>67</v>
      </c>
      <c r="BA20" s="73">
        <f t="shared" si="15"/>
        <v>0</v>
      </c>
      <c r="BB20" s="37">
        <f t="shared" si="45"/>
        <v>0.62984444916767612</v>
      </c>
      <c r="BC20" s="37">
        <f t="shared" si="46"/>
        <v>-0.22009311343972648</v>
      </c>
      <c r="BD20" s="80">
        <f t="shared" si="47"/>
        <v>294.06718435398329</v>
      </c>
      <c r="BE20" s="79">
        <f>SUMIF(Cliente!$H:$H,Rede!F20,Cliente!$AV:$AV)</f>
        <v>63</v>
      </c>
      <c r="BF20" s="64">
        <f>SUMIF(Cliente!$H:$H,Rede!F20,Cliente!$AW:$AW)</f>
        <v>107</v>
      </c>
      <c r="BG20" s="64">
        <f>SUMIF(Cliente!$H:$H,Rede!$F20,Cliente!$AX:$AX)</f>
        <v>4</v>
      </c>
      <c r="BH20" s="64">
        <f>SUMIF(Cliente!$H:$H,Rede!$F20,Cliente!$AY:$AY)</f>
        <v>0</v>
      </c>
      <c r="BI20" s="79">
        <f>SUMIF(Cliente!$H:$H,Rede!F20,Cliente!$AZ:$AZ)</f>
        <v>146</v>
      </c>
      <c r="BJ20" s="64">
        <f>SUMIF(Cliente!$H:$H,Rede!F20,Cliente!$BA:$BA)</f>
        <v>83.375</v>
      </c>
      <c r="BK20" s="64">
        <f>SUMIF(Cliente!$H:$H,Rede!$F20,Cliente!$BB:$BB)</f>
        <v>25</v>
      </c>
      <c r="BL20" s="64">
        <f>SUMIF(Cliente!$H:$H,Rede!$F20,Cliente!$BC:$BC)</f>
        <v>0</v>
      </c>
      <c r="BM20" s="79">
        <f>SUMIF(Cliente!$H:$H,Rede!F20,Cliente!$BD:$BD)</f>
        <v>432.58300000000003</v>
      </c>
      <c r="BN20" s="64">
        <f>SUMIF(Cliente!$H:$H,Rede!F20,Cliente!$BE:$BE)</f>
        <v>243</v>
      </c>
      <c r="BO20" s="64">
        <f>SUMIF(Cliente!$H:$H,Rede!$F20,Cliente!$BF:$BF)</f>
        <v>38</v>
      </c>
      <c r="BP20" s="64">
        <f>SUMIF(Cliente!$H:$H,Rede!$F20,Cliente!$BG:$BG)</f>
        <v>0</v>
      </c>
      <c r="BR20" s="79">
        <f t="shared" si="16"/>
        <v>411.77100000000002</v>
      </c>
      <c r="BS20" s="73">
        <f>_xlfn.XLOOKUP(Rede!F20,Metas!B:B,Metas!T:T,0,0,1)</f>
        <v>846</v>
      </c>
      <c r="BT20" s="73">
        <f t="shared" si="31"/>
        <v>555.70900000000006</v>
      </c>
      <c r="BU20" s="73">
        <f t="shared" si="32"/>
        <v>0</v>
      </c>
      <c r="BV20" s="73">
        <f t="shared" si="33"/>
        <v>82.542000000000002</v>
      </c>
      <c r="BW20" s="37">
        <f t="shared" si="48"/>
        <v>0.75443380614657218</v>
      </c>
      <c r="BX20" s="37">
        <f t="shared" si="49"/>
        <v>0.55001444977912506</v>
      </c>
      <c r="BY20" s="80">
        <f t="shared" si="50"/>
        <v>207.74899999999994</v>
      </c>
      <c r="BZ20" s="79">
        <f>SUMIF(Cliente!$H:$H,Rede!F20,Cliente!$BM:$BM)</f>
        <v>116.104</v>
      </c>
      <c r="CA20" s="64">
        <f>SUMIF(Cliente!$H:$H,Rede!F20,Cliente!$BN:$BN)</f>
        <v>149.68799999999999</v>
      </c>
      <c r="CB20" s="64">
        <f>SUMIF(Cliente!$H:$H,Rede!$F20,Cliente!$BO:$BO)</f>
        <v>30.292000000000002</v>
      </c>
      <c r="CC20" s="64">
        <f>SUMIF(Cliente!$H:$H,Rede!$F20,Cliente!$BP:$BP)</f>
        <v>0</v>
      </c>
      <c r="CD20" s="79">
        <f>SUMIF(Cliente!$H:$H,Rede!F20,Cliente!$BQ:$BQ)</f>
        <v>75.667000000000002</v>
      </c>
      <c r="CE20" s="64">
        <f>SUMIF(Cliente!$H:$H,Rede!F20,Cliente!$BR:$BR)</f>
        <v>102</v>
      </c>
      <c r="CF20" s="64">
        <f>SUMIF(Cliente!$H:$H,Rede!$F20,Cliente!$BS:$BS)</f>
        <v>8.4169999999999998</v>
      </c>
      <c r="CG20" s="64">
        <f>SUMIF(Cliente!$H:$H,Rede!$F20,Cliente!$BT:$BT)</f>
        <v>0</v>
      </c>
      <c r="CH20" s="79">
        <f>SUMIF(Cliente!$H:$H,Rede!$F20,Cliente!$BU:$BU)</f>
        <v>220</v>
      </c>
      <c r="CI20" s="64">
        <f>SUMIF(Cliente!$H:$H,Rede!$F20,Cliente!$BV:$BV)</f>
        <v>304.02100000000002</v>
      </c>
      <c r="CJ20" s="64">
        <f>SUMIF(Cliente!$H:$H,Rede!$F20,Cliente!$BW:$BW)</f>
        <v>43.832999999999998</v>
      </c>
      <c r="CK20" s="64">
        <f>SUMIF(Cliente!$H:$H,Rede!$F20,Cliente!$BX:$BX)</f>
        <v>0</v>
      </c>
      <c r="CM20" s="79">
        <f t="shared" si="17"/>
        <v>3288.4290000000001</v>
      </c>
      <c r="CN20" s="73">
        <f t="shared" si="18"/>
        <v>3470.5814163539835</v>
      </c>
      <c r="CO20" s="73">
        <f t="shared" si="19"/>
        <v>2134.3760000000002</v>
      </c>
      <c r="CP20" s="73">
        <f t="shared" si="20"/>
        <v>100.958</v>
      </c>
      <c r="CQ20" s="73">
        <f t="shared" si="21"/>
        <v>82.542000000000002</v>
      </c>
      <c r="CR20" s="37">
        <f t="shared" si="51"/>
        <v>0.66786388847637035</v>
      </c>
      <c r="CS20" s="37">
        <f t="shared" si="52"/>
        <v>-0.29514184432748891</v>
      </c>
      <c r="CT20" s="80">
        <f t="shared" si="53"/>
        <v>1152.7054163539833</v>
      </c>
      <c r="CU20" s="139"/>
      <c r="CV20" s="139"/>
      <c r="CW20" s="139"/>
      <c r="CX20" s="142"/>
    </row>
    <row r="21" spans="2:102" x14ac:dyDescent="0.35">
      <c r="B21" s="10"/>
      <c r="C21" s="53" t="s">
        <v>97</v>
      </c>
      <c r="D21" s="51">
        <v>359</v>
      </c>
      <c r="E21" s="51" t="s">
        <v>489</v>
      </c>
      <c r="F21" s="54" t="s">
        <v>103</v>
      </c>
      <c r="G21" s="79">
        <f t="shared" si="4"/>
        <v>1265.2080000000001</v>
      </c>
      <c r="H21" s="168">
        <f>_xlfn.XLOOKUP($F21,Metas!$B:$B,Metas!Q:Q,0,0,1)</f>
        <v>1028.44</v>
      </c>
      <c r="I21" s="73">
        <f t="shared" si="5"/>
        <v>1507.4169999999999</v>
      </c>
      <c r="J21" s="73">
        <f t="shared" si="6"/>
        <v>1</v>
      </c>
      <c r="K21" s="73">
        <f t="shared" si="7"/>
        <v>0</v>
      </c>
      <c r="L21" s="37">
        <f t="shared" si="39"/>
        <v>1.4667039399478821</v>
      </c>
      <c r="M21" s="37">
        <f t="shared" si="40"/>
        <v>0.19222847152404965</v>
      </c>
      <c r="N21" s="90">
        <f t="shared" si="41"/>
        <v>-479.97699999999986</v>
      </c>
      <c r="O21" s="79">
        <f>SUMIF(Cliente!$H:$H,Rede!F21,Cliente!$N:$N)</f>
        <v>-0.66700000000000004</v>
      </c>
      <c r="P21" s="64">
        <f>SUMIF(Cliente!$H:$H,Rede!$F21,Cliente!$O:$O)</f>
        <v>-1</v>
      </c>
      <c r="Q21" s="64">
        <f>SUMIF(Cliente!$H:$H,Rede!$F21,Cliente!$P:$P)</f>
        <v>0</v>
      </c>
      <c r="R21" s="64">
        <f>SUMIF(Cliente!$H:$H,Rede!$F21,Cliente!$Q:$Q)</f>
        <v>0</v>
      </c>
      <c r="S21" s="79">
        <f>SUMIF(Cliente!$H:$H,Rede!$F21,Cliente!$R:$R)</f>
        <v>713.125</v>
      </c>
      <c r="T21" s="64">
        <f>SUMIF(Cliente!$H:$H,Rede!$F21,Cliente!$S:$S)</f>
        <v>242.5</v>
      </c>
      <c r="U21" s="64">
        <f>SUMIF(Cliente!$H:$H,Rede!$F21,Cliente!$T:$T)</f>
        <v>1</v>
      </c>
      <c r="V21" s="64">
        <f>SUMIF(Cliente!$H:$H,Rede!$F21,Cliente!$U:$U)</f>
        <v>0</v>
      </c>
      <c r="W21" s="79">
        <f>SUMIF(Cliente!$H:$H,Rede!$F21,Cliente!$V:$V)</f>
        <v>552.75</v>
      </c>
      <c r="X21" s="64">
        <f>SUMIF(Cliente!$H:$H,Rede!$F21,Cliente!$W:$W)</f>
        <v>1265.9169999999999</v>
      </c>
      <c r="Y21" s="64">
        <f>SUMIF(Cliente!$H:$H,Rede!$F21,Cliente!$X:$X)</f>
        <v>0</v>
      </c>
      <c r="Z21" s="64">
        <f>SUMIF(Cliente!$H:$H,Rede!$F21,Cliente!$Y:$Y)</f>
        <v>0</v>
      </c>
      <c r="AA21" s="16"/>
      <c r="AB21" s="79">
        <f t="shared" si="8"/>
        <v>969.89599999999996</v>
      </c>
      <c r="AC21" s="73">
        <f>_xlfn.XLOOKUP(F21,Metas!B:B,Metas!R:R,0,0,1)</f>
        <v>881.52398400000027</v>
      </c>
      <c r="AD21" s="73">
        <f t="shared" si="9"/>
        <v>252.876</v>
      </c>
      <c r="AE21" s="73">
        <f t="shared" si="10"/>
        <v>0</v>
      </c>
      <c r="AF21" s="73">
        <f t="shared" si="11"/>
        <v>0</v>
      </c>
      <c r="AG21" s="37">
        <f t="shared" si="42"/>
        <v>0.28686230277314828</v>
      </c>
      <c r="AH21" s="37">
        <f t="shared" si="43"/>
        <v>-0.73927513877776585</v>
      </c>
      <c r="AI21" s="80">
        <f t="shared" si="44"/>
        <v>628.64798400000029</v>
      </c>
      <c r="AJ21" s="79">
        <f>SUMIF(Cliente!$H:$H,Rede!$F21,Cliente!$AE:$AE)</f>
        <v>259.52100000000002</v>
      </c>
      <c r="AK21" s="64">
        <f>SUMIF(Cliente!$H:$H,Rede!$F21,Cliente!$AF:$AF)</f>
        <v>52.542000000000002</v>
      </c>
      <c r="AL21" s="64">
        <f>SUMIF(Cliente!$H:$H,Rede!$F21,Cliente!$AG:$AG)</f>
        <v>0</v>
      </c>
      <c r="AM21" s="64">
        <f>SUMIF(Cliente!$H:$H,Rede!$F21,Cliente!$AH:$AH)</f>
        <v>0</v>
      </c>
      <c r="AN21" s="79">
        <f>SUMIF(Cliente!$H:$H,Rede!$F21,Cliente!$AI:$AI)</f>
        <v>12.457999999999998</v>
      </c>
      <c r="AO21" s="64">
        <f>SUMIF(Cliente!$H:$H,Rede!$F21,Cliente!$AJ:$AJ)</f>
        <v>118.334</v>
      </c>
      <c r="AP21" s="64">
        <f>SUMIF(Cliente!$H:$H,Rede!$F21,Cliente!$AK:$AK)</f>
        <v>0</v>
      </c>
      <c r="AQ21" s="64">
        <f>SUMIF(Cliente!$H:$H,Rede!$F21,Cliente!$AL:$AL)</f>
        <v>0</v>
      </c>
      <c r="AR21" s="79">
        <f>SUMIF(Cliente!$H:$H,Rede!$F21,Cliente!$AM:$AM)</f>
        <v>697.91699999999992</v>
      </c>
      <c r="AS21" s="64">
        <f>SUMIF(Cliente!$H:$H,Rede!$F21,Cliente!$AN:$AN)</f>
        <v>82</v>
      </c>
      <c r="AT21" s="64">
        <f>SUMIF(Cliente!$H:$H,Rede!$F21,Cliente!$AO:$AO)</f>
        <v>0</v>
      </c>
      <c r="AU21" s="64">
        <f>SUMIF(Cliente!$H:$H,Rede!$F21,Cliente!$AP:$AP)</f>
        <v>0</v>
      </c>
      <c r="AV21" s="16"/>
      <c r="AW21" s="79">
        <f t="shared" si="12"/>
        <v>691.39599999999996</v>
      </c>
      <c r="AX21" s="73">
        <f>_xlfn.XLOOKUP(Rede!F21,Metas!B:B,Metas!S:S,0,0,1)</f>
        <v>829.095605619656</v>
      </c>
      <c r="AY21" s="73">
        <f t="shared" si="13"/>
        <v>330.916</v>
      </c>
      <c r="AZ21" s="73">
        <f t="shared" si="14"/>
        <v>3</v>
      </c>
      <c r="BA21" s="73">
        <f t="shared" si="15"/>
        <v>0</v>
      </c>
      <c r="BB21" s="37">
        <f t="shared" si="45"/>
        <v>0.40274727997193427</v>
      </c>
      <c r="BC21" s="37">
        <f t="shared" si="46"/>
        <v>-0.51704088539708071</v>
      </c>
      <c r="BD21" s="80">
        <f t="shared" si="47"/>
        <v>495.179605619656</v>
      </c>
      <c r="BE21" s="79">
        <f>SUMIF(Cliente!$H:$H,Rede!F21,Cliente!$AV:$AV)</f>
        <v>60.167000000000002</v>
      </c>
      <c r="BF21" s="64">
        <f>SUMIF(Cliente!$H:$H,Rede!F21,Cliente!$AW:$AW)</f>
        <v>61.082999999999998</v>
      </c>
      <c r="BG21" s="64">
        <f>SUMIF(Cliente!$H:$H,Rede!$F21,Cliente!$AX:$AX)</f>
        <v>0</v>
      </c>
      <c r="BH21" s="64">
        <f>SUMIF(Cliente!$H:$H,Rede!$F21,Cliente!$AY:$AY)</f>
        <v>0</v>
      </c>
      <c r="BI21" s="79">
        <f>SUMIF(Cliente!$H:$H,Rede!F21,Cliente!$AZ:$AZ)</f>
        <v>99.103999999999999</v>
      </c>
      <c r="BJ21" s="64">
        <f>SUMIF(Cliente!$H:$H,Rede!F21,Cliente!$BA:$BA)</f>
        <v>70.082999999999998</v>
      </c>
      <c r="BK21" s="64">
        <f>SUMIF(Cliente!$H:$H,Rede!$F21,Cliente!$BB:$BB)</f>
        <v>0</v>
      </c>
      <c r="BL21" s="64">
        <f>SUMIF(Cliente!$H:$H,Rede!$F21,Cliente!$BC:$BC)</f>
        <v>0</v>
      </c>
      <c r="BM21" s="79">
        <f>SUMIF(Cliente!$H:$H,Rede!F21,Cliente!$BD:$BD)</f>
        <v>532.125</v>
      </c>
      <c r="BN21" s="64">
        <f>SUMIF(Cliente!$H:$H,Rede!F21,Cliente!$BE:$BE)</f>
        <v>199.75</v>
      </c>
      <c r="BO21" s="64">
        <f>SUMIF(Cliente!$H:$H,Rede!$F21,Cliente!$BF:$BF)</f>
        <v>3</v>
      </c>
      <c r="BP21" s="64">
        <f>SUMIF(Cliente!$H:$H,Rede!$F21,Cliente!$BG:$BG)</f>
        <v>0</v>
      </c>
      <c r="BR21" s="79">
        <f t="shared" si="16"/>
        <v>523.08299999999997</v>
      </c>
      <c r="BS21" s="73">
        <f>_xlfn.XLOOKUP(Rede!F21,Metas!B:B,Metas!T:T,0,0,1)</f>
        <v>882</v>
      </c>
      <c r="BT21" s="73">
        <f t="shared" si="31"/>
        <v>237.167</v>
      </c>
      <c r="BU21" s="73">
        <f t="shared" si="32"/>
        <v>121</v>
      </c>
      <c r="BV21" s="73">
        <f t="shared" si="33"/>
        <v>12</v>
      </c>
      <c r="BW21" s="37">
        <f t="shared" si="48"/>
        <v>0.41969047619047622</v>
      </c>
      <c r="BX21" s="37">
        <f t="shared" si="49"/>
        <v>-0.29233601550805499</v>
      </c>
      <c r="BY21" s="80">
        <f t="shared" si="50"/>
        <v>511.83299999999997</v>
      </c>
      <c r="BZ21" s="79">
        <f>SUMIF(Cliente!$H:$H,Rede!F21,Cliente!$BM:$BM)</f>
        <v>188</v>
      </c>
      <c r="CA21" s="64">
        <f>SUMIF(Cliente!$H:$H,Rede!F21,Cliente!$BN:$BN)</f>
        <v>80.332999999999998</v>
      </c>
      <c r="CB21" s="64">
        <f>SUMIF(Cliente!$H:$H,Rede!$F21,Cliente!$BO:$BO)</f>
        <v>0</v>
      </c>
      <c r="CC21" s="64">
        <f>SUMIF(Cliente!$H:$H,Rede!$F21,Cliente!$BP:$BP)</f>
        <v>0</v>
      </c>
      <c r="CD21" s="79">
        <f>SUMIF(Cliente!$H:$H,Rede!F21,Cliente!$BQ:$BQ)</f>
        <v>40.082999999999998</v>
      </c>
      <c r="CE21" s="64">
        <f>SUMIF(Cliente!$H:$H,Rede!F21,Cliente!$BR:$BR)</f>
        <v>98.834000000000003</v>
      </c>
      <c r="CF21" s="64">
        <f>SUMIF(Cliente!$H:$H,Rede!$F21,Cliente!$BS:$BS)</f>
        <v>0</v>
      </c>
      <c r="CG21" s="64">
        <f>SUMIF(Cliente!$H:$H,Rede!$F21,Cliente!$BT:$BT)</f>
        <v>0</v>
      </c>
      <c r="CH21" s="79">
        <f>SUMIF(Cliente!$H:$H,Rede!$F21,Cliente!$BU:$BU)</f>
        <v>295</v>
      </c>
      <c r="CI21" s="64">
        <f>SUMIF(Cliente!$H:$H,Rede!$F21,Cliente!$BV:$BV)</f>
        <v>58</v>
      </c>
      <c r="CJ21" s="64">
        <f>SUMIF(Cliente!$H:$H,Rede!$F21,Cliente!$BW:$BW)</f>
        <v>12</v>
      </c>
      <c r="CK21" s="64">
        <f>SUMIF(Cliente!$H:$H,Rede!$F21,Cliente!$BX:$BX)</f>
        <v>121</v>
      </c>
      <c r="CM21" s="79">
        <f t="shared" si="17"/>
        <v>3449.5830000000001</v>
      </c>
      <c r="CN21" s="73">
        <f t="shared" si="18"/>
        <v>3621.0595896196564</v>
      </c>
      <c r="CO21" s="73">
        <f t="shared" si="19"/>
        <v>2328.3759999999997</v>
      </c>
      <c r="CP21" s="73">
        <f t="shared" si="20"/>
        <v>125</v>
      </c>
      <c r="CQ21" s="73">
        <f t="shared" si="21"/>
        <v>12</v>
      </c>
      <c r="CR21" s="37">
        <f t="shared" si="51"/>
        <v>0.68084380800232958</v>
      </c>
      <c r="CS21" s="37">
        <f t="shared" si="52"/>
        <v>-0.28531187682685133</v>
      </c>
      <c r="CT21" s="80">
        <f t="shared" si="53"/>
        <v>1155.6835896196567</v>
      </c>
      <c r="CU21" s="139"/>
      <c r="CV21" s="139"/>
      <c r="CW21" s="139"/>
      <c r="CX21" s="142"/>
    </row>
    <row r="22" spans="2:102" x14ac:dyDescent="0.35">
      <c r="B22" s="10"/>
      <c r="C22" s="53" t="s">
        <v>97</v>
      </c>
      <c r="D22" s="51">
        <v>4066</v>
      </c>
      <c r="E22" s="51" t="s">
        <v>504</v>
      </c>
      <c r="F22" s="81" t="s">
        <v>108</v>
      </c>
      <c r="G22" s="79">
        <f t="shared" si="4"/>
        <v>651.25</v>
      </c>
      <c r="H22" s="168">
        <f>_xlfn.XLOOKUP($F22,Metas!$B:$B,Metas!Q:Q,0,0,1)</f>
        <v>397.51</v>
      </c>
      <c r="I22" s="73">
        <f t="shared" si="5"/>
        <v>396.45800000000003</v>
      </c>
      <c r="J22" s="73">
        <f t="shared" si="6"/>
        <v>12.75</v>
      </c>
      <c r="K22" s="73">
        <f t="shared" si="7"/>
        <v>0</v>
      </c>
      <c r="L22" s="37">
        <f t="shared" si="39"/>
        <v>1.0294281904857741</v>
      </c>
      <c r="M22" s="37">
        <f t="shared" si="40"/>
        <v>-0.37165758157389628</v>
      </c>
      <c r="N22" s="90">
        <f t="shared" si="41"/>
        <v>-11.698000000000036</v>
      </c>
      <c r="O22" s="79">
        <f>SUMIF(Cliente!$H:$H,Rede!F22,Cliente!$N:$N)</f>
        <v>75.832999999999998</v>
      </c>
      <c r="P22" s="64">
        <f>SUMIF(Cliente!$H:$H,Rede!$F22,Cliente!$O:$O)</f>
        <v>145.375</v>
      </c>
      <c r="Q22" s="64">
        <f>SUMIF(Cliente!$H:$H,Rede!$F22,Cliente!$P:$P)</f>
        <v>9.75</v>
      </c>
      <c r="R22" s="64">
        <f>SUMIF(Cliente!$H:$H,Rede!$F22,Cliente!$Q:$Q)</f>
        <v>0</v>
      </c>
      <c r="S22" s="79">
        <f>SUMIF(Cliente!$H:$H,Rede!$F22,Cliente!$R:$R)</f>
        <v>72.75</v>
      </c>
      <c r="T22" s="64">
        <f>SUMIF(Cliente!$H:$H,Rede!$F22,Cliente!$S:$S)</f>
        <v>259.58300000000003</v>
      </c>
      <c r="U22" s="64">
        <f>SUMIF(Cliente!$H:$H,Rede!$F22,Cliente!$T:$T)</f>
        <v>3</v>
      </c>
      <c r="V22" s="64">
        <f>SUMIF(Cliente!$H:$H,Rede!$F22,Cliente!$U:$U)</f>
        <v>0</v>
      </c>
      <c r="W22" s="79">
        <f>SUMIF(Cliente!$H:$H,Rede!$F22,Cliente!$V:$V)</f>
        <v>502.66699999999997</v>
      </c>
      <c r="X22" s="64">
        <f>SUMIF(Cliente!$H:$H,Rede!$F22,Cliente!$W:$W)</f>
        <v>-8.5</v>
      </c>
      <c r="Y22" s="64">
        <f>SUMIF(Cliente!$H:$H,Rede!$F22,Cliente!$X:$X)</f>
        <v>0</v>
      </c>
      <c r="Z22" s="64">
        <f>SUMIF(Cliente!$H:$H,Rede!$F22,Cliente!$Y:$Y)</f>
        <v>0</v>
      </c>
      <c r="AA22" s="16"/>
      <c r="AB22" s="79">
        <f t="shared" si="8"/>
        <v>179</v>
      </c>
      <c r="AC22" s="73">
        <f>_xlfn.XLOOKUP(F22,Metas!B:B,Metas!R:R,0,0,1)</f>
        <v>340.72555199999999</v>
      </c>
      <c r="AD22" s="73">
        <f t="shared" si="9"/>
        <v>113.916</v>
      </c>
      <c r="AE22" s="73">
        <f t="shared" si="10"/>
        <v>1.25</v>
      </c>
      <c r="AF22" s="73">
        <f t="shared" si="11"/>
        <v>0</v>
      </c>
      <c r="AG22" s="37">
        <f t="shared" si="42"/>
        <v>0.33800224058335371</v>
      </c>
      <c r="AH22" s="37">
        <f t="shared" si="43"/>
        <v>-0.35661452513966485</v>
      </c>
      <c r="AI22" s="80">
        <f t="shared" si="44"/>
        <v>225.559552</v>
      </c>
      <c r="AJ22" s="79">
        <f>SUMIF(Cliente!$H:$H,Rede!$F22,Cliente!$AE:$AE)</f>
        <v>78.5</v>
      </c>
      <c r="AK22" s="64">
        <f>SUMIF(Cliente!$H:$H,Rede!$F22,Cliente!$AF:$AF)</f>
        <v>25.082999999999998</v>
      </c>
      <c r="AL22" s="64">
        <f>SUMIF(Cliente!$H:$H,Rede!$F22,Cliente!$AG:$AG)</f>
        <v>0</v>
      </c>
      <c r="AM22" s="64">
        <f>SUMIF(Cliente!$H:$H,Rede!$F22,Cliente!$AH:$AH)</f>
        <v>0</v>
      </c>
      <c r="AN22" s="79">
        <f>SUMIF(Cliente!$H:$H,Rede!$F22,Cliente!$AI:$AI)</f>
        <v>58.5</v>
      </c>
      <c r="AO22" s="64">
        <f>SUMIF(Cliente!$H:$H,Rede!$F22,Cliente!$AJ:$AJ)</f>
        <v>65</v>
      </c>
      <c r="AP22" s="64">
        <f>SUMIF(Cliente!$H:$H,Rede!$F22,Cliente!$AK:$AK)</f>
        <v>1.25</v>
      </c>
      <c r="AQ22" s="64">
        <f>SUMIF(Cliente!$H:$H,Rede!$F22,Cliente!$AL:$AL)</f>
        <v>0</v>
      </c>
      <c r="AR22" s="79">
        <f>SUMIF(Cliente!$H:$H,Rede!$F22,Cliente!$AM:$AM)</f>
        <v>42</v>
      </c>
      <c r="AS22" s="64">
        <f>SUMIF(Cliente!$H:$H,Rede!$F22,Cliente!$AN:$AN)</f>
        <v>23.832999999999998</v>
      </c>
      <c r="AT22" s="64">
        <f>SUMIF(Cliente!$H:$H,Rede!$F22,Cliente!$AO:$AO)</f>
        <v>0</v>
      </c>
      <c r="AU22" s="64">
        <f>SUMIF(Cliente!$H:$H,Rede!$F22,Cliente!$AP:$AP)</f>
        <v>0</v>
      </c>
      <c r="AV22" s="16"/>
      <c r="AW22" s="79">
        <f t="shared" si="12"/>
        <v>358.75</v>
      </c>
      <c r="AX22" s="73">
        <f>_xlfn.XLOOKUP(Rede!F22,Metas!B:B,Metas!S:S,0,0,1)</f>
        <v>320.46100050924031</v>
      </c>
      <c r="AY22" s="73">
        <f t="shared" si="13"/>
        <v>373.91700000000003</v>
      </c>
      <c r="AZ22" s="73">
        <f t="shared" si="14"/>
        <v>28.25</v>
      </c>
      <c r="BA22" s="73">
        <f t="shared" si="15"/>
        <v>0</v>
      </c>
      <c r="BB22" s="37">
        <f t="shared" si="45"/>
        <v>1.2549639405759883</v>
      </c>
      <c r="BC22" s="37">
        <f t="shared" si="46"/>
        <v>0.12102299651567949</v>
      </c>
      <c r="BD22" s="80">
        <f t="shared" si="47"/>
        <v>-81.705999490759723</v>
      </c>
      <c r="BE22" s="79">
        <f>SUMIF(Cliente!$H:$H,Rede!F22,Cliente!$AV:$AV)</f>
        <v>38.5</v>
      </c>
      <c r="BF22" s="64">
        <f>SUMIF(Cliente!$H:$H,Rede!F22,Cliente!$AW:$AW)</f>
        <v>65.167000000000002</v>
      </c>
      <c r="BG22" s="64">
        <f>SUMIF(Cliente!$H:$H,Rede!$F22,Cliente!$AX:$AX)</f>
        <v>1.75</v>
      </c>
      <c r="BH22" s="64">
        <f>SUMIF(Cliente!$H:$H,Rede!$F22,Cliente!$AY:$AY)</f>
        <v>0</v>
      </c>
      <c r="BI22" s="79">
        <f>SUMIF(Cliente!$H:$H,Rede!F22,Cliente!$AZ:$AZ)</f>
        <v>152.25</v>
      </c>
      <c r="BJ22" s="64">
        <f>SUMIF(Cliente!$H:$H,Rede!F22,Cliente!$BA:$BA)</f>
        <v>113.417</v>
      </c>
      <c r="BK22" s="64">
        <f>SUMIF(Cliente!$H:$H,Rede!$F22,Cliente!$BB:$BB)</f>
        <v>2.5</v>
      </c>
      <c r="BL22" s="64">
        <f>SUMIF(Cliente!$H:$H,Rede!$F22,Cliente!$BC:$BC)</f>
        <v>0</v>
      </c>
      <c r="BM22" s="79">
        <f>SUMIF(Cliente!$H:$H,Rede!F22,Cliente!$BD:$BD)</f>
        <v>168</v>
      </c>
      <c r="BN22" s="64">
        <f>SUMIF(Cliente!$H:$H,Rede!F22,Cliente!$BE:$BE)</f>
        <v>195.333</v>
      </c>
      <c r="BO22" s="64">
        <f>SUMIF(Cliente!$H:$H,Rede!$F22,Cliente!$BF:$BF)</f>
        <v>24</v>
      </c>
      <c r="BP22" s="64">
        <f>SUMIF(Cliente!$H:$H,Rede!$F22,Cliente!$BG:$BG)</f>
        <v>0</v>
      </c>
      <c r="BR22" s="79">
        <f t="shared" si="16"/>
        <v>121.125</v>
      </c>
      <c r="BS22" s="73">
        <f>_xlfn.XLOOKUP(Rede!F22,Metas!B:B,Metas!T:T,0,0,1)</f>
        <v>342</v>
      </c>
      <c r="BT22" s="73">
        <f t="shared" si="31"/>
        <v>160.667</v>
      </c>
      <c r="BU22" s="73">
        <f t="shared" si="32"/>
        <v>45</v>
      </c>
      <c r="BV22" s="73">
        <f t="shared" si="33"/>
        <v>19.957999999999998</v>
      </c>
      <c r="BW22" s="37">
        <f t="shared" si="48"/>
        <v>0.65972222222222221</v>
      </c>
      <c r="BX22" s="37">
        <f t="shared" si="49"/>
        <v>0.86274509803921573</v>
      </c>
      <c r="BY22" s="80">
        <f t="shared" si="50"/>
        <v>116.375</v>
      </c>
      <c r="BZ22" s="79">
        <f>SUMIF(Cliente!$H:$H,Rede!F22,Cliente!$BM:$BM)</f>
        <v>62.25</v>
      </c>
      <c r="CA22" s="64">
        <f>SUMIF(Cliente!$H:$H,Rede!F22,Cliente!$BN:$BN)</f>
        <v>26.667000000000002</v>
      </c>
      <c r="CB22" s="64">
        <f>SUMIF(Cliente!$H:$H,Rede!$F22,Cliente!$BO:$BO)</f>
        <v>0.83299999999999996</v>
      </c>
      <c r="CC22" s="64">
        <f>SUMIF(Cliente!$H:$H,Rede!$F22,Cliente!$BP:$BP)</f>
        <v>0</v>
      </c>
      <c r="CD22" s="79">
        <f>SUMIF(Cliente!$H:$H,Rede!F22,Cliente!$BQ:$BQ)</f>
        <v>50.875</v>
      </c>
      <c r="CE22" s="64">
        <f>SUMIF(Cliente!$H:$H,Rede!F22,Cliente!$BR:$BR)</f>
        <v>30.667000000000002</v>
      </c>
      <c r="CF22" s="64">
        <f>SUMIF(Cliente!$H:$H,Rede!$F22,Cliente!$BS:$BS)</f>
        <v>3.1669999999999998</v>
      </c>
      <c r="CG22" s="64">
        <f>SUMIF(Cliente!$H:$H,Rede!$F22,Cliente!$BT:$BT)</f>
        <v>0</v>
      </c>
      <c r="CH22" s="79">
        <f>SUMIF(Cliente!$H:$H,Rede!$F22,Cliente!$BU:$BU)</f>
        <v>8</v>
      </c>
      <c r="CI22" s="64">
        <f>SUMIF(Cliente!$H:$H,Rede!$F22,Cliente!$BV:$BV)</f>
        <v>103.333</v>
      </c>
      <c r="CJ22" s="64">
        <f>SUMIF(Cliente!$H:$H,Rede!$F22,Cliente!$BW:$BW)</f>
        <v>15.958</v>
      </c>
      <c r="CK22" s="64">
        <f>SUMIF(Cliente!$H:$H,Rede!$F22,Cliente!$BX:$BX)</f>
        <v>45</v>
      </c>
      <c r="CM22" s="79">
        <f t="shared" si="17"/>
        <v>1310.125</v>
      </c>
      <c r="CN22" s="73">
        <f t="shared" si="18"/>
        <v>1400.6965525092403</v>
      </c>
      <c r="CO22" s="73">
        <f t="shared" si="19"/>
        <v>1044.9580000000001</v>
      </c>
      <c r="CP22" s="73">
        <f t="shared" si="20"/>
        <v>87.25</v>
      </c>
      <c r="CQ22" s="73">
        <f t="shared" si="21"/>
        <v>19.957999999999998</v>
      </c>
      <c r="CR22" s="37">
        <f t="shared" si="51"/>
        <v>0.82256645662187378</v>
      </c>
      <c r="CS22" s="37">
        <f t="shared" si="52"/>
        <v>-0.12056788474382207</v>
      </c>
      <c r="CT22" s="80">
        <f t="shared" si="53"/>
        <v>248.53055250924021</v>
      </c>
      <c r="CU22" s="139"/>
      <c r="CV22" s="139"/>
      <c r="CW22" s="139"/>
      <c r="CX22" s="142"/>
    </row>
    <row r="23" spans="2:102" x14ac:dyDescent="0.35">
      <c r="B23" s="10"/>
      <c r="C23" s="53" t="s">
        <v>97</v>
      </c>
      <c r="D23" s="144">
        <v>3655</v>
      </c>
      <c r="E23" s="144" t="s">
        <v>77</v>
      </c>
      <c r="F23" s="145" t="s">
        <v>134</v>
      </c>
      <c r="G23" s="79">
        <f t="shared" si="4"/>
        <v>1092.75</v>
      </c>
      <c r="H23" s="168">
        <f>_xlfn.XLOOKUP($F23,Metas!$B:$B,Metas!Q:Q,0,0,1)</f>
        <v>2551.88</v>
      </c>
      <c r="I23" s="73">
        <f t="shared" si="5"/>
        <v>2591.6590000000001</v>
      </c>
      <c r="J23" s="73">
        <f t="shared" si="6"/>
        <v>0.41699999999999998</v>
      </c>
      <c r="K23" s="73">
        <f t="shared" si="7"/>
        <v>0</v>
      </c>
      <c r="L23" s="37">
        <f t="shared" ref="L23" si="60">IFERROR(((I23+K23+J23)/H23),0)</f>
        <v>1.0157515243663495</v>
      </c>
      <c r="M23" s="37">
        <f t="shared" ref="M23" si="61">IFERROR(((I23+J23+K23)/G23-1),0)</f>
        <v>1.3720668039350263</v>
      </c>
      <c r="N23" s="90">
        <f t="shared" ref="N23" si="62">H23-I23-J23-K23</f>
        <v>-40.195999999999998</v>
      </c>
      <c r="O23" s="79">
        <f>SUMIF(Cliente!$H:$H,Rede!F23,Cliente!$N:$N)</f>
        <v>436.75</v>
      </c>
      <c r="P23" s="64">
        <f>SUMIF(Cliente!$H:$H,Rede!$F23,Cliente!$O:$O)</f>
        <v>626</v>
      </c>
      <c r="Q23" s="64">
        <f>SUMIF(Cliente!$H:$H,Rede!$F23,Cliente!$P:$P)</f>
        <v>0</v>
      </c>
      <c r="R23" s="64">
        <f>SUMIF(Cliente!$H:$H,Rede!$F23,Cliente!$Q:$Q)</f>
        <v>0</v>
      </c>
      <c r="S23" s="79">
        <f>SUMIF(Cliente!$H:$H,Rede!$F23,Cliente!$R:$R)</f>
        <v>239</v>
      </c>
      <c r="T23" s="64">
        <f>SUMIF(Cliente!$H:$H,Rede!$F23,Cliente!$S:$S)</f>
        <v>172.667</v>
      </c>
      <c r="U23" s="64">
        <f>SUMIF(Cliente!$H:$H,Rede!$F23,Cliente!$T:$T)</f>
        <v>0.41699999999999998</v>
      </c>
      <c r="V23" s="64">
        <f>SUMIF(Cliente!$H:$H,Rede!$F23,Cliente!$U:$U)</f>
        <v>0</v>
      </c>
      <c r="W23" s="79">
        <f>SUMIF(Cliente!$H:$H,Rede!$F23,Cliente!$V:$V)</f>
        <v>417</v>
      </c>
      <c r="X23" s="64">
        <f>SUMIF(Cliente!$H:$H,Rede!$F23,Cliente!$W:$W)</f>
        <v>1792.992</v>
      </c>
      <c r="Y23" s="64">
        <f>SUMIF(Cliente!$H:$H,Rede!$F23,Cliente!$X:$X)</f>
        <v>0</v>
      </c>
      <c r="Z23" s="64">
        <f>SUMIF(Cliente!$H:$H,Rede!$F23,Cliente!$Y:$Y)</f>
        <v>0</v>
      </c>
      <c r="AA23" s="16"/>
      <c r="AB23" s="79">
        <f t="shared" si="8"/>
        <v>4926.1669999999995</v>
      </c>
      <c r="AC23" s="73">
        <f>_xlfn.XLOOKUP(F23,Metas!B:B,Metas!R:R,0,0,1)</f>
        <v>2187.3286560000001</v>
      </c>
      <c r="AD23" s="73">
        <f t="shared" si="9"/>
        <v>2142.8330000000001</v>
      </c>
      <c r="AE23" s="73">
        <f t="shared" si="10"/>
        <v>11</v>
      </c>
      <c r="AF23" s="73">
        <f t="shared" si="11"/>
        <v>0</v>
      </c>
      <c r="AG23" s="37">
        <f t="shared" ref="AG23" si="63">IFERROR(((AD23+AE23+AF23)/AC23),0)</f>
        <v>0.98468650062800622</v>
      </c>
      <c r="AH23" s="37">
        <f t="shared" ref="AH23" si="64">IFERROR(((AD23+AE23+AF23)/AB23-1),0)</f>
        <v>-0.56277710438968054</v>
      </c>
      <c r="AI23" s="80">
        <f t="shared" ref="AI23" si="65">AC23-AD23-AE23-AF23</f>
        <v>33.495656000000054</v>
      </c>
      <c r="AJ23" s="79">
        <f>SUMIF(Cliente!$H:$H,Rede!$F23,Cliente!$AE:$AE)</f>
        <v>2393.5830000000001</v>
      </c>
      <c r="AK23" s="64">
        <f>SUMIF(Cliente!$H:$H,Rede!$F23,Cliente!$AF:$AF)</f>
        <v>1159.8330000000001</v>
      </c>
      <c r="AL23" s="64">
        <f>SUMIF(Cliente!$H:$H,Rede!$F23,Cliente!$AG:$AG)</f>
        <v>0</v>
      </c>
      <c r="AM23" s="64">
        <f>SUMIF(Cliente!$H:$H,Rede!$F23,Cliente!$AH:$AH)</f>
        <v>0</v>
      </c>
      <c r="AN23" s="79">
        <f>SUMIF(Cliente!$H:$H,Rede!$F23,Cliente!$AI:$AI)</f>
        <v>1487.9169999999999</v>
      </c>
      <c r="AO23" s="64">
        <f>SUMIF(Cliente!$H:$H,Rede!$F23,Cliente!$AJ:$AJ)</f>
        <v>319</v>
      </c>
      <c r="AP23" s="64">
        <f>SUMIF(Cliente!$H:$H,Rede!$F23,Cliente!$AK:$AK)</f>
        <v>0</v>
      </c>
      <c r="AQ23" s="64">
        <f>SUMIF(Cliente!$H:$H,Rede!$F23,Cliente!$AL:$AL)</f>
        <v>0</v>
      </c>
      <c r="AR23" s="79">
        <f>SUMIF(Cliente!$H:$H,Rede!$F23,Cliente!$AM:$AM)</f>
        <v>1044.6669999999999</v>
      </c>
      <c r="AS23" s="64">
        <f>SUMIF(Cliente!$H:$H,Rede!$F23,Cliente!$AN:$AN)</f>
        <v>664</v>
      </c>
      <c r="AT23" s="64">
        <f>SUMIF(Cliente!$H:$H,Rede!$F23,Cliente!$AO:$AO)</f>
        <v>11</v>
      </c>
      <c r="AU23" s="64">
        <f>SUMIF(Cliente!$H:$H,Rede!$F23,Cliente!$AP:$AP)</f>
        <v>0</v>
      </c>
      <c r="AV23" s="16"/>
      <c r="AW23" s="79">
        <f t="shared" si="12"/>
        <v>1411.25</v>
      </c>
      <c r="AX23" s="73">
        <f>_xlfn.XLOOKUP(Rede!F23,Metas!B:B,Metas!S:S,0,0,1)</f>
        <v>2057.2379307328611</v>
      </c>
      <c r="AY23" s="73">
        <f t="shared" si="13"/>
        <v>3123.9920000000002</v>
      </c>
      <c r="AZ23" s="73">
        <f t="shared" si="14"/>
        <v>11</v>
      </c>
      <c r="BA23" s="73">
        <f t="shared" si="15"/>
        <v>0</v>
      </c>
      <c r="BB23" s="37">
        <f t="shared" ref="BB23" si="66">IFERROR(((AY23+AZ23+BA23)/AX23),0)</f>
        <v>1.523884016120199</v>
      </c>
      <c r="BC23" s="37">
        <f t="shared" ref="BC23" si="67">IFERROR(((AY23+AZ23+BA23)/AW23-1),0)</f>
        <v>1.2214292294065547</v>
      </c>
      <c r="BD23" s="80">
        <f t="shared" ref="BD23" si="68">AX23-AY23-AZ23-BA23</f>
        <v>-1077.7540692671391</v>
      </c>
      <c r="BE23" s="79">
        <f>SUMIF(Cliente!$H:$H,Rede!F23,Cliente!$AV:$AV)</f>
        <v>339</v>
      </c>
      <c r="BF23" s="64">
        <f>SUMIF(Cliente!$H:$H,Rede!F23,Cliente!$AW:$AW)</f>
        <v>873</v>
      </c>
      <c r="BG23" s="64">
        <f>SUMIF(Cliente!$H:$H,Rede!$F23,Cliente!$AX:$AX)</f>
        <v>11</v>
      </c>
      <c r="BH23" s="64">
        <f>SUMIF(Cliente!$H:$H,Rede!$F23,Cliente!$AY:$AY)</f>
        <v>0</v>
      </c>
      <c r="BI23" s="79">
        <f>SUMIF(Cliente!$H:$H,Rede!F23,Cliente!$AZ:$AZ)</f>
        <v>873.66700000000003</v>
      </c>
      <c r="BJ23" s="64">
        <f>SUMIF(Cliente!$H:$H,Rede!F23,Cliente!$BA:$BA)</f>
        <v>1116.992</v>
      </c>
      <c r="BK23" s="64">
        <f>SUMIF(Cliente!$H:$H,Rede!$F23,Cliente!$BB:$BB)</f>
        <v>0</v>
      </c>
      <c r="BL23" s="64">
        <f>SUMIF(Cliente!$H:$H,Rede!$F23,Cliente!$BC:$BC)</f>
        <v>0</v>
      </c>
      <c r="BM23" s="79">
        <f>SUMIF(Cliente!$H:$H,Rede!F23,Cliente!$BD:$BD)</f>
        <v>198.583</v>
      </c>
      <c r="BN23" s="64">
        <f>SUMIF(Cliente!$H:$H,Rede!F23,Cliente!$BE:$BE)</f>
        <v>1134</v>
      </c>
      <c r="BO23" s="64">
        <f>SUMIF(Cliente!$H:$H,Rede!$F23,Cliente!$BF:$BF)</f>
        <v>0</v>
      </c>
      <c r="BP23" s="64">
        <f>SUMIF(Cliente!$H:$H,Rede!$F23,Cliente!$BG:$BG)</f>
        <v>0</v>
      </c>
      <c r="BR23" s="79">
        <f t="shared" si="16"/>
        <v>1217.242</v>
      </c>
      <c r="BS23" s="73">
        <f>_xlfn.XLOOKUP(Rede!F23,Metas!B:B,Metas!T:T,0,0,1)</f>
        <v>2190</v>
      </c>
      <c r="BT23" s="73">
        <f t="shared" si="31"/>
        <v>1228.5</v>
      </c>
      <c r="BU23" s="73">
        <f t="shared" si="32"/>
        <v>0</v>
      </c>
      <c r="BV23" s="73">
        <f t="shared" si="33"/>
        <v>0</v>
      </c>
      <c r="BW23" s="37">
        <f t="shared" ref="BW23" si="69">IFERROR(((BT23+BV23+BU23)/BS23),0)</f>
        <v>0.56095890410958904</v>
      </c>
      <c r="BX23" s="37">
        <f t="shared" ref="BX23" si="70">IFERROR(((BT23+BU23+BV23)/BR23-1),0)</f>
        <v>9.2487771535980645E-3</v>
      </c>
      <c r="BY23" s="80">
        <f t="shared" ref="BY23" si="71">BS23-BT23-BU23-BV23</f>
        <v>961.5</v>
      </c>
      <c r="BZ23" s="79">
        <f>SUMIF(Cliente!$H:$H,Rede!F23,Cliente!$BM:$BM)</f>
        <v>326.32499999999999</v>
      </c>
      <c r="CA23" s="64">
        <f>SUMIF(Cliente!$H:$H,Rede!F23,Cliente!$BN:$BN)</f>
        <v>126</v>
      </c>
      <c r="CB23" s="64">
        <f>SUMIF(Cliente!$H:$H,Rede!$F23,Cliente!$BO:$BO)</f>
        <v>0</v>
      </c>
      <c r="CC23" s="64">
        <f>SUMIF(Cliente!$H:$H,Rede!$F23,Cliente!$BP:$BP)</f>
        <v>0</v>
      </c>
      <c r="CD23" s="79">
        <f>SUMIF(Cliente!$H:$H,Rede!F23,Cliente!$BQ:$BQ)</f>
        <v>606</v>
      </c>
      <c r="CE23" s="64">
        <f>SUMIF(Cliente!$H:$H,Rede!F23,Cliente!$BR:$BR)</f>
        <v>1106.5</v>
      </c>
      <c r="CF23" s="64">
        <f>SUMIF(Cliente!$H:$H,Rede!$F23,Cliente!$BS:$BS)</f>
        <v>0</v>
      </c>
      <c r="CG23" s="64">
        <f>SUMIF(Cliente!$H:$H,Rede!$F23,Cliente!$BT:$BT)</f>
        <v>0</v>
      </c>
      <c r="CH23" s="79">
        <f>SUMIF(Cliente!$H:$H,Rede!$F23,Cliente!$BU:$BU)</f>
        <v>284.91699999999997</v>
      </c>
      <c r="CI23" s="64">
        <f>SUMIF(Cliente!$H:$H,Rede!$F23,Cliente!$BV:$BV)</f>
        <v>-4</v>
      </c>
      <c r="CJ23" s="64">
        <f>SUMIF(Cliente!$H:$H,Rede!$F23,Cliente!$BW:$BW)</f>
        <v>0</v>
      </c>
      <c r="CK23" s="64">
        <f>SUMIF(Cliente!$H:$H,Rede!$F23,Cliente!$BX:$BX)</f>
        <v>0</v>
      </c>
      <c r="CM23" s="79">
        <f t="shared" si="17"/>
        <v>8647.4089999999997</v>
      </c>
      <c r="CN23" s="73">
        <f t="shared" si="18"/>
        <v>8986.4465867328618</v>
      </c>
      <c r="CO23" s="73">
        <f t="shared" si="19"/>
        <v>9086.9840000000004</v>
      </c>
      <c r="CP23" s="73">
        <f t="shared" si="20"/>
        <v>22.417000000000002</v>
      </c>
      <c r="CQ23" s="73">
        <f t="shared" si="21"/>
        <v>0</v>
      </c>
      <c r="CR23" s="37">
        <f t="shared" ref="CR23" si="72">IFERROR(((CO23+CQ23+CP23)/CN23),0)</f>
        <v>1.0136822059843611</v>
      </c>
      <c r="CS23" s="37">
        <f t="shared" ref="CS23" si="73">IFERROR(((CO23+CP23+CQ23)/CM23-1),0)</f>
        <v>5.3425482708173044E-2</v>
      </c>
      <c r="CT23" s="80">
        <f>CN23-CO23-CP23-CQ23</f>
        <v>-122.95441326713862</v>
      </c>
      <c r="CU23" s="139"/>
      <c r="CV23" s="139"/>
      <c r="CW23" s="139"/>
      <c r="CX23" s="142"/>
    </row>
    <row r="25" spans="2:102" x14ac:dyDescent="0.35">
      <c r="B25" s="10"/>
    </row>
    <row r="26" spans="2:102" x14ac:dyDescent="0.35">
      <c r="B26" s="10"/>
    </row>
    <row r="27" spans="2:102" x14ac:dyDescent="0.35">
      <c r="B27" s="10"/>
    </row>
    <row r="28" spans="2:102" x14ac:dyDescent="0.35">
      <c r="B28" s="10"/>
    </row>
    <row r="29" spans="2:102" x14ac:dyDescent="0.35">
      <c r="B29" s="10"/>
    </row>
    <row r="30" spans="2:102" x14ac:dyDescent="0.35">
      <c r="B30" s="10"/>
    </row>
    <row r="31" spans="2:102" x14ac:dyDescent="0.35">
      <c r="B31" s="10"/>
    </row>
    <row r="32" spans="2:102" x14ac:dyDescent="0.35">
      <c r="B32" s="10"/>
    </row>
    <row r="33" spans="2:2" x14ac:dyDescent="0.35">
      <c r="B33" s="10"/>
    </row>
    <row r="34" spans="2:2" x14ac:dyDescent="0.35">
      <c r="B34" s="10"/>
    </row>
    <row r="35" spans="2:2" x14ac:dyDescent="0.35">
      <c r="B35" s="10"/>
    </row>
    <row r="36" spans="2:2" x14ac:dyDescent="0.35">
      <c r="B36" s="10"/>
    </row>
    <row r="37" spans="2:2" x14ac:dyDescent="0.35">
      <c r="B37" s="10"/>
    </row>
    <row r="38" spans="2:2" x14ac:dyDescent="0.35">
      <c r="B38" s="10"/>
    </row>
    <row r="39" spans="2:2" x14ac:dyDescent="0.35">
      <c r="B39" s="10"/>
    </row>
  </sheetData>
  <autoFilter ref="B9:CT23" xr:uid="{CFE6FD57-2A9E-4AD0-8D46-153C1243D1AC}"/>
  <sortState xmlns:xlrd2="http://schemas.microsoft.com/office/spreadsheetml/2017/richdata2" ref="C10:F23">
    <sortCondition ref="C10:C23"/>
    <sortCondition ref="D10:D23"/>
    <sortCondition ref="F10:F23"/>
  </sortState>
  <phoneticPr fontId="14" type="noConversion"/>
  <conditionalFormatting sqref="F10:F23">
    <cfRule type="duplicateValues" dxfId="10" priority="1"/>
    <cfRule type="duplicateValues" dxfId="9" priority="1757"/>
  </conditionalFormatting>
  <conditionalFormatting sqref="L7 L10:L23 AG10:AG23 BB10:BB23 BW10:BW23 CR10:CR23">
    <cfRule type="cellIs" dxfId="8" priority="72" operator="greaterThan">
      <formula>1</formula>
    </cfRule>
  </conditionalFormatting>
  <conditionalFormatting sqref="M7">
    <cfRule type="cellIs" dxfId="7" priority="146" operator="lessThan">
      <formula>0</formula>
    </cfRule>
  </conditionalFormatting>
  <conditionalFormatting sqref="M10:M23 AH10:AH23 BC10:BC23 BX10:BX23 CS10:CS23">
    <cfRule type="cellIs" dxfId="6" priority="159" operator="lessThan">
      <formula>0</formula>
    </cfRule>
  </conditionalFormatting>
  <conditionalFormatting sqref="AH7">
    <cfRule type="cellIs" dxfId="5" priority="44" operator="lessThan">
      <formula>0</formula>
    </cfRule>
  </conditionalFormatting>
  <conditionalFormatting sqref="BC7">
    <cfRule type="cellIs" dxfId="4" priority="32" operator="lessThan">
      <formula>0</formula>
    </cfRule>
  </conditionalFormatting>
  <conditionalFormatting sqref="BX7">
    <cfRule type="cellIs" dxfId="3" priority="84" operator="lessThan">
      <formula>0</formula>
    </cfRule>
  </conditionalFormatting>
  <conditionalFormatting sqref="CS7">
    <cfRule type="cellIs" dxfId="2" priority="6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scale="32" orientation="landscape" horizontalDpi="4294967293" r:id="rId1"/>
  <ignoredErrors>
    <ignoredError sqref="H10:H23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45" id="{E493458A-6939-4747-9307-07AB9780A2DB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M7</xm:sqref>
        </x14:conditionalFormatting>
        <x14:conditionalFormatting xmlns:xm="http://schemas.microsoft.com/office/excel/2006/main">
          <x14:cfRule type="iconSet" priority="1758" id="{7765FCE4-A243-4DB8-8208-A190ABA807A9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M10:M23</xm:sqref>
        </x14:conditionalFormatting>
        <x14:conditionalFormatting xmlns:xm="http://schemas.microsoft.com/office/excel/2006/main">
          <x14:cfRule type="iconSet" priority="43" id="{94E9C0E7-3978-4B9E-8669-53B0022E705C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AH7</xm:sqref>
        </x14:conditionalFormatting>
        <x14:conditionalFormatting xmlns:xm="http://schemas.microsoft.com/office/excel/2006/main">
          <x14:cfRule type="iconSet" priority="1762" id="{F9A92F30-4D7D-4E0D-B609-16AAF7D7FF2F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AH10:AH23</xm:sqref>
        </x14:conditionalFormatting>
        <x14:conditionalFormatting xmlns:xm="http://schemas.microsoft.com/office/excel/2006/main">
          <x14:cfRule type="iconSet" priority="31" id="{DE3076A8-E35E-4D43-A561-841483DDFA83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BC7</xm:sqref>
        </x14:conditionalFormatting>
        <x14:conditionalFormatting xmlns:xm="http://schemas.microsoft.com/office/excel/2006/main">
          <x14:cfRule type="iconSet" priority="1766" id="{3C5C20A1-067F-4885-91B6-FE41E5E0A96D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BC10:BC23</xm:sqref>
        </x14:conditionalFormatting>
        <x14:conditionalFormatting xmlns:xm="http://schemas.microsoft.com/office/excel/2006/main">
          <x14:cfRule type="iconSet" priority="83" id="{E5050693-D5FD-40F9-80F7-F44315E37018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BX7</xm:sqref>
        </x14:conditionalFormatting>
        <x14:conditionalFormatting xmlns:xm="http://schemas.microsoft.com/office/excel/2006/main">
          <x14:cfRule type="iconSet" priority="1770" id="{1DD587AB-BAE0-4268-B20B-A7FFC04D110B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BX10:BX23</xm:sqref>
        </x14:conditionalFormatting>
        <x14:conditionalFormatting xmlns:xm="http://schemas.microsoft.com/office/excel/2006/main">
          <x14:cfRule type="iconSet" priority="5" id="{BEE11818-7432-489F-92A6-CD49AF9CF776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CS7</xm:sqref>
        </x14:conditionalFormatting>
        <x14:conditionalFormatting xmlns:xm="http://schemas.microsoft.com/office/excel/2006/main">
          <x14:cfRule type="iconSet" priority="1774" id="{51645C84-223D-4F37-B988-74679F38482D}">
            <x14:iconSet iconSet="3Arrows" custom="1">
              <x14:cfvo type="percent">
                <xm:f>0</xm:f>
              </x14:cfvo>
              <x14:cfvo type="num" gte="0">
                <xm:f>0.01</xm:f>
              </x14:cfvo>
              <x14:cfvo type="num" gte="0">
                <xm:f>0.01</xm:f>
              </x14:cfvo>
              <x14:cfIcon iconSet="3Arrows" iconId="0"/>
              <x14:cfIcon iconSet="3Arrows" iconId="2"/>
              <x14:cfIcon iconSet="3Arrows" iconId="2"/>
            </x14:iconSet>
          </x14:cfRule>
          <xm:sqref>CS10:CS23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6A5A-3C96-4417-A445-09149A5CF12A}">
  <dimension ref="A1:J15"/>
  <sheetViews>
    <sheetView showGridLines="0" workbookViewId="0">
      <selection activeCell="F14" sqref="F14"/>
    </sheetView>
  </sheetViews>
  <sheetFormatPr defaultRowHeight="14.5" x14ac:dyDescent="0.35"/>
  <cols>
    <col min="1" max="1" width="16.26953125" bestFit="1" customWidth="1"/>
    <col min="2" max="2" width="6" bestFit="1" customWidth="1"/>
    <col min="3" max="3" width="10.7265625" bestFit="1" customWidth="1"/>
    <col min="5" max="5" width="19" bestFit="1" customWidth="1"/>
    <col min="7" max="7" width="16.26953125" bestFit="1" customWidth="1"/>
    <col min="8" max="8" width="6" bestFit="1" customWidth="1"/>
    <col min="9" max="9" width="10.7265625" bestFit="1" customWidth="1"/>
    <col min="10" max="10" width="19" bestFit="1" customWidth="1"/>
  </cols>
  <sheetData>
    <row r="1" spans="1:10" x14ac:dyDescent="0.35">
      <c r="A1" s="160" t="s">
        <v>0</v>
      </c>
      <c r="B1" s="160" t="s">
        <v>508</v>
      </c>
      <c r="C1" s="160" t="s">
        <v>509</v>
      </c>
      <c r="E1" s="160" t="s">
        <v>15</v>
      </c>
      <c r="G1" s="164" t="s">
        <v>0</v>
      </c>
      <c r="H1" s="164" t="s">
        <v>508</v>
      </c>
      <c r="I1" s="164" t="s">
        <v>509</v>
      </c>
      <c r="J1" s="164" t="s">
        <v>15</v>
      </c>
    </row>
    <row r="2" spans="1:10" x14ac:dyDescent="0.35">
      <c r="A2" s="161" t="s">
        <v>402</v>
      </c>
      <c r="B2" s="161">
        <v>771</v>
      </c>
      <c r="C2" s="161" t="s">
        <v>404</v>
      </c>
      <c r="E2" s="161" t="s">
        <v>136</v>
      </c>
      <c r="G2" s="161" t="s">
        <v>402</v>
      </c>
      <c r="H2" s="161">
        <v>771</v>
      </c>
      <c r="I2" s="161" t="s">
        <v>404</v>
      </c>
      <c r="J2" s="161" t="s">
        <v>136</v>
      </c>
    </row>
    <row r="3" spans="1:10" x14ac:dyDescent="0.35">
      <c r="A3" s="161" t="s">
        <v>402</v>
      </c>
      <c r="B3" s="161">
        <v>3919</v>
      </c>
      <c r="C3" s="161" t="s">
        <v>434</v>
      </c>
      <c r="E3" s="161" t="s">
        <v>153</v>
      </c>
      <c r="G3" s="161" t="s">
        <v>402</v>
      </c>
      <c r="H3" s="161">
        <v>3919</v>
      </c>
      <c r="I3" s="161" t="s">
        <v>434</v>
      </c>
      <c r="J3" s="161" t="s">
        <v>153</v>
      </c>
    </row>
    <row r="4" spans="1:10" x14ac:dyDescent="0.35">
      <c r="A4" s="161" t="s">
        <v>402</v>
      </c>
      <c r="B4" s="161">
        <v>3956</v>
      </c>
      <c r="C4" s="161" t="s">
        <v>435</v>
      </c>
      <c r="E4" s="161" t="s">
        <v>105</v>
      </c>
      <c r="G4" s="161" t="s">
        <v>402</v>
      </c>
      <c r="H4" s="161">
        <v>3919</v>
      </c>
      <c r="I4" s="161" t="s">
        <v>434</v>
      </c>
      <c r="J4" s="161" t="s">
        <v>105</v>
      </c>
    </row>
    <row r="5" spans="1:10" x14ac:dyDescent="0.35">
      <c r="A5" s="161" t="s">
        <v>402</v>
      </c>
      <c r="B5" s="161">
        <v>4054</v>
      </c>
      <c r="C5" s="161" t="s">
        <v>436</v>
      </c>
      <c r="E5" s="161" t="s">
        <v>107</v>
      </c>
      <c r="G5" s="161" t="s">
        <v>402</v>
      </c>
      <c r="H5" s="161">
        <v>3919</v>
      </c>
      <c r="I5" s="161" t="s">
        <v>434</v>
      </c>
      <c r="J5" s="161" t="s">
        <v>107</v>
      </c>
    </row>
    <row r="6" spans="1:10" x14ac:dyDescent="0.35">
      <c r="A6" s="161" t="s">
        <v>97</v>
      </c>
      <c r="B6" s="161">
        <v>179</v>
      </c>
      <c r="C6" s="161" t="s">
        <v>4</v>
      </c>
      <c r="E6" s="161" t="s">
        <v>102</v>
      </c>
      <c r="G6" s="161" t="s">
        <v>402</v>
      </c>
      <c r="H6" s="161">
        <v>3919</v>
      </c>
      <c r="I6" s="161" t="s">
        <v>434</v>
      </c>
      <c r="J6" s="161" t="s">
        <v>102</v>
      </c>
    </row>
    <row r="7" spans="1:10" x14ac:dyDescent="0.35">
      <c r="A7" s="161" t="s">
        <v>97</v>
      </c>
      <c r="B7" s="161">
        <v>359</v>
      </c>
      <c r="C7" s="161" t="s">
        <v>489</v>
      </c>
      <c r="E7" s="161" t="s">
        <v>101</v>
      </c>
      <c r="G7" s="161" t="s">
        <v>402</v>
      </c>
      <c r="H7" s="161">
        <v>3956</v>
      </c>
      <c r="I7" s="161" t="s">
        <v>435</v>
      </c>
      <c r="J7" s="161" t="s">
        <v>101</v>
      </c>
    </row>
    <row r="8" spans="1:10" x14ac:dyDescent="0.35">
      <c r="A8" s="161" t="s">
        <v>97</v>
      </c>
      <c r="B8" s="161">
        <v>4066</v>
      </c>
      <c r="C8" s="161" t="s">
        <v>504</v>
      </c>
      <c r="E8" s="161" t="s">
        <v>154</v>
      </c>
      <c r="G8" s="161" t="s">
        <v>402</v>
      </c>
      <c r="H8" s="161">
        <v>4054</v>
      </c>
      <c r="I8" s="161" t="s">
        <v>436</v>
      </c>
      <c r="J8" s="161" t="s">
        <v>154</v>
      </c>
    </row>
    <row r="9" spans="1:10" x14ac:dyDescent="0.35">
      <c r="A9" s="161" t="s">
        <v>98</v>
      </c>
      <c r="B9" s="161">
        <v>3655</v>
      </c>
      <c r="C9" s="161" t="s">
        <v>77</v>
      </c>
      <c r="E9" s="161" t="s">
        <v>135</v>
      </c>
      <c r="G9" s="161" t="s">
        <v>402</v>
      </c>
      <c r="H9" s="161">
        <v>4054</v>
      </c>
      <c r="I9" s="161" t="s">
        <v>436</v>
      </c>
      <c r="J9" s="161" t="s">
        <v>135</v>
      </c>
    </row>
    <row r="10" spans="1:10" x14ac:dyDescent="0.35">
      <c r="E10" s="161" t="s">
        <v>99</v>
      </c>
      <c r="G10" s="161" t="s">
        <v>97</v>
      </c>
      <c r="H10" s="161">
        <v>179</v>
      </c>
      <c r="I10" s="161" t="s">
        <v>4</v>
      </c>
      <c r="J10" s="161" t="s">
        <v>99</v>
      </c>
    </row>
    <row r="11" spans="1:10" x14ac:dyDescent="0.35">
      <c r="E11" s="161" t="s">
        <v>106</v>
      </c>
      <c r="G11" s="161" t="s">
        <v>97</v>
      </c>
      <c r="H11" s="161">
        <v>359</v>
      </c>
      <c r="I11" s="161" t="s">
        <v>489</v>
      </c>
      <c r="J11" s="161" t="s">
        <v>106</v>
      </c>
    </row>
    <row r="12" spans="1:10" x14ac:dyDescent="0.35">
      <c r="E12" s="161" t="s">
        <v>110</v>
      </c>
      <c r="G12" s="161" t="s">
        <v>97</v>
      </c>
      <c r="H12" s="161">
        <v>359</v>
      </c>
      <c r="I12" s="161" t="s">
        <v>489</v>
      </c>
      <c r="J12" s="161" t="s">
        <v>110</v>
      </c>
    </row>
    <row r="13" spans="1:10" x14ac:dyDescent="0.35">
      <c r="E13" s="161" t="s">
        <v>103</v>
      </c>
      <c r="G13" s="161" t="s">
        <v>97</v>
      </c>
      <c r="H13" s="161">
        <v>359</v>
      </c>
      <c r="I13" s="161" t="s">
        <v>489</v>
      </c>
      <c r="J13" s="161" t="s">
        <v>103</v>
      </c>
    </row>
    <row r="14" spans="1:10" x14ac:dyDescent="0.35">
      <c r="E14" s="161" t="s">
        <v>108</v>
      </c>
      <c r="G14" s="161" t="s">
        <v>97</v>
      </c>
      <c r="H14" s="161">
        <v>4066</v>
      </c>
      <c r="I14" s="161" t="s">
        <v>504</v>
      </c>
      <c r="J14" s="161" t="s">
        <v>108</v>
      </c>
    </row>
    <row r="15" spans="1:10" x14ac:dyDescent="0.35">
      <c r="E15" s="161" t="s">
        <v>134</v>
      </c>
      <c r="G15" s="161" t="s">
        <v>98</v>
      </c>
      <c r="H15" s="161">
        <v>3655</v>
      </c>
      <c r="I15" s="161" t="s">
        <v>77</v>
      </c>
      <c r="J15" s="161" t="s">
        <v>134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D0EF-BEB3-48FE-B5EB-2A3D5B006E56}">
  <dimension ref="B1:BX107"/>
  <sheetViews>
    <sheetView showGridLines="0" zoomScale="85" zoomScaleNormal="85" workbookViewId="0">
      <selection activeCell="B9" sqref="B9"/>
    </sheetView>
  </sheetViews>
  <sheetFormatPr defaultRowHeight="14.5" outlineLevelCol="1" x14ac:dyDescent="0.35"/>
  <cols>
    <col min="1" max="1" width="1.7265625" customWidth="1"/>
    <col min="2" max="2" width="18.7265625" style="25" bestFit="1" customWidth="1"/>
    <col min="3" max="3" width="10.26953125" style="21" bestFit="1" customWidth="1"/>
    <col min="4" max="4" width="11" style="21" bestFit="1" customWidth="1"/>
    <col min="5" max="5" width="10.7265625" style="21" bestFit="1" customWidth="1"/>
    <col min="6" max="6" width="18.7265625" style="21" bestFit="1" customWidth="1"/>
    <col min="7" max="7" width="39.7265625" style="25" customWidth="1"/>
    <col min="8" max="8" width="16.81640625" style="25" bestFit="1" customWidth="1" collapsed="1"/>
    <col min="9" max="9" width="12.54296875" style="25" customWidth="1"/>
    <col min="10" max="11" width="8" style="1" hidden="1" customWidth="1" outlineLevel="1"/>
    <col min="12" max="12" width="9.26953125" style="1" hidden="1" customWidth="1" outlineLevel="1"/>
    <col min="13" max="13" width="8.26953125" style="1" hidden="1" customWidth="1" outlineLevel="1"/>
    <col min="14" max="14" width="8" style="1" hidden="1" customWidth="1" outlineLevel="1"/>
    <col min="15" max="17" width="7.7265625" style="1" hidden="1" customWidth="1" outlineLevel="1"/>
    <col min="18" max="18" width="8" style="1" hidden="1" customWidth="1" outlineLevel="1"/>
    <col min="19" max="22" width="7.7265625" style="1" hidden="1" customWidth="1" outlineLevel="1"/>
    <col min="23" max="24" width="7.26953125" style="1" hidden="1" customWidth="1" outlineLevel="1"/>
    <col min="25" max="25" width="7.7265625" style="1" hidden="1" customWidth="1" outlineLevel="1"/>
    <col min="26" max="26" width="0.7265625" hidden="1" customWidth="1" outlineLevel="1" collapsed="1"/>
    <col min="27" max="27" width="8" style="1" hidden="1" customWidth="1" outlineLevel="1" collapsed="1"/>
    <col min="28" max="28" width="8" style="1" hidden="1" customWidth="1" outlineLevel="1"/>
    <col min="29" max="29" width="8.7265625" style="1" hidden="1" customWidth="1" outlineLevel="1"/>
    <col min="30" max="30" width="9.26953125" style="1" hidden="1" customWidth="1" outlineLevel="1"/>
    <col min="31" max="31" width="8" style="1" hidden="1" customWidth="1" outlineLevel="1"/>
    <col min="32" max="34" width="7.7265625" style="1" hidden="1" customWidth="1" outlineLevel="1"/>
    <col min="35" max="35" width="8" style="1" hidden="1" customWidth="1" outlineLevel="1"/>
    <col min="36" max="39" width="7.7265625" style="1" hidden="1" customWidth="1" outlineLevel="1"/>
    <col min="40" max="41" width="7.26953125" style="1" hidden="1" customWidth="1" outlineLevel="1"/>
    <col min="42" max="42" width="7.7265625" style="1" hidden="1" customWidth="1" outlineLevel="1"/>
    <col min="43" max="43" width="0.7265625" hidden="1" customWidth="1" outlineLevel="1" collapsed="1"/>
    <col min="44" max="44" width="8" style="1" hidden="1" customWidth="1" outlineLevel="1" collapsed="1"/>
    <col min="45" max="45" width="8" style="1" hidden="1" customWidth="1" outlineLevel="1"/>
    <col min="46" max="46" width="9" style="1" hidden="1" customWidth="1" outlineLevel="1"/>
    <col min="47" max="47" width="9.26953125" style="1" hidden="1" customWidth="1" outlineLevel="1"/>
    <col min="48" max="48" width="8" style="1" hidden="1" customWidth="1" outlineLevel="1"/>
    <col min="49" max="51" width="7.7265625" style="1" hidden="1" customWidth="1" outlineLevel="1"/>
    <col min="52" max="52" width="8" style="1" hidden="1" customWidth="1" outlineLevel="1"/>
    <col min="53" max="54" width="7.54296875" style="1" hidden="1" customWidth="1" outlineLevel="1"/>
    <col min="55" max="55" width="7.7265625" style="1" hidden="1" customWidth="1" outlineLevel="1"/>
    <col min="56" max="56" width="8.453125" style="1" hidden="1" customWidth="1" outlineLevel="1" collapsed="1"/>
    <col min="57" max="57" width="8.26953125" style="1" hidden="1" customWidth="1" outlineLevel="1"/>
    <col min="58" max="58" width="9" style="1" hidden="1" customWidth="1" outlineLevel="1"/>
    <col min="59" max="59" width="7.7265625" style="1" hidden="1" customWidth="1" outlineLevel="1"/>
    <col min="60" max="60" width="1.26953125" hidden="1" customWidth="1" outlineLevel="1"/>
    <col min="61" max="61" width="8" style="1" customWidth="1" collapsed="1"/>
    <col min="62" max="62" width="8" style="1" customWidth="1"/>
    <col min="63" max="63" width="8.7265625" style="1" customWidth="1"/>
    <col min="64" max="65" width="8" style="1" customWidth="1"/>
    <col min="66" max="66" width="7.7265625" style="1" customWidth="1"/>
    <col min="67" max="67" width="9" style="1" customWidth="1"/>
    <col min="68" max="68" width="7.7265625" style="1" customWidth="1"/>
    <col min="69" max="69" width="8" style="1" customWidth="1"/>
    <col min="70" max="73" width="7.7265625" style="1" customWidth="1"/>
    <col min="74" max="75" width="7.26953125" style="1" customWidth="1"/>
    <col min="76" max="76" width="7.7265625" style="1" customWidth="1"/>
  </cols>
  <sheetData>
    <row r="1" spans="2:76" x14ac:dyDescent="0.35">
      <c r="B1" s="22"/>
      <c r="C1" s="19"/>
      <c r="D1" s="19"/>
      <c r="E1" s="19"/>
      <c r="F1" s="19"/>
      <c r="G1" s="22"/>
      <c r="H1" s="22"/>
      <c r="I1" s="22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</row>
    <row r="2" spans="2:76" x14ac:dyDescent="0.35">
      <c r="B2" s="22"/>
      <c r="C2" s="19"/>
      <c r="D2" s="19"/>
      <c r="E2" s="19"/>
      <c r="F2" s="19"/>
      <c r="G2" s="22"/>
      <c r="H2" s="22"/>
      <c r="I2" s="22"/>
      <c r="J2" s="5"/>
      <c r="K2" s="5"/>
      <c r="L2"/>
      <c r="M2"/>
      <c r="N2"/>
      <c r="O2"/>
      <c r="P2"/>
      <c r="Q2"/>
      <c r="R2"/>
      <c r="S2"/>
      <c r="T2"/>
      <c r="U2"/>
      <c r="V2"/>
      <c r="W2"/>
      <c r="X2" s="5"/>
      <c r="Y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</row>
    <row r="3" spans="2:76" x14ac:dyDescent="0.35">
      <c r="B3" s="22"/>
      <c r="C3" s="19"/>
      <c r="D3" s="19"/>
      <c r="E3" s="19"/>
      <c r="F3" s="19"/>
      <c r="G3" s="22"/>
      <c r="H3" s="22"/>
      <c r="I3" s="22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</row>
    <row r="4" spans="2:76" x14ac:dyDescent="0.35">
      <c r="B4" s="22"/>
      <c r="C4" s="19"/>
      <c r="D4" s="19"/>
      <c r="E4" s="19"/>
      <c r="F4" s="19"/>
      <c r="G4" s="22"/>
      <c r="H4" s="22"/>
      <c r="I4" s="2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</row>
    <row r="5" spans="2:76" x14ac:dyDescent="0.35">
      <c r="B5" s="22"/>
      <c r="C5" s="19"/>
      <c r="D5" s="19"/>
      <c r="E5" s="19"/>
      <c r="F5" s="19"/>
      <c r="G5" s="22"/>
      <c r="H5" s="22"/>
      <c r="I5" s="2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</row>
    <row r="6" spans="2:76" s="18" customFormat="1" ht="15" thickBot="1" x14ac:dyDescent="0.4">
      <c r="B6" s="23"/>
      <c r="C6" s="20"/>
      <c r="D6" s="20"/>
      <c r="E6" s="20"/>
      <c r="F6" s="20"/>
      <c r="G6" s="23"/>
      <c r="H6" s="23"/>
      <c r="I6" s="23"/>
      <c r="J6" s="17"/>
      <c r="K6" s="17"/>
      <c r="L6" s="17"/>
      <c r="M6" s="17"/>
      <c r="N6" s="18" t="s">
        <v>157</v>
      </c>
      <c r="O6" s="18" t="s">
        <v>512</v>
      </c>
      <c r="P6" s="17"/>
      <c r="Q6" s="17"/>
      <c r="R6" s="18" t="s">
        <v>158</v>
      </c>
      <c r="S6" s="18" t="s">
        <v>773</v>
      </c>
      <c r="T6" s="17"/>
      <c r="U6" s="17"/>
      <c r="V6" s="17" t="s">
        <v>159</v>
      </c>
      <c r="W6" s="17" t="s">
        <v>772</v>
      </c>
      <c r="X6" s="17"/>
      <c r="Y6" s="17"/>
      <c r="AA6" s="17"/>
      <c r="AB6" s="17"/>
      <c r="AC6" s="17"/>
      <c r="AD6" s="17"/>
      <c r="AE6" s="18" t="s">
        <v>160</v>
      </c>
      <c r="AF6" s="17" t="s">
        <v>774</v>
      </c>
      <c r="AG6" s="17"/>
      <c r="AH6" s="17"/>
      <c r="AI6" s="18" t="s">
        <v>161</v>
      </c>
      <c r="AJ6" s="17" t="s">
        <v>775</v>
      </c>
      <c r="AK6" s="17"/>
      <c r="AL6" s="17"/>
      <c r="AM6" s="18" t="s">
        <v>162</v>
      </c>
      <c r="AN6" s="17" t="s">
        <v>776</v>
      </c>
      <c r="AO6" s="17"/>
      <c r="AP6" s="17"/>
      <c r="AR6" s="17"/>
      <c r="AS6" s="17"/>
      <c r="AT6" s="17"/>
      <c r="AU6" s="17"/>
      <c r="AV6" s="18" t="s">
        <v>163</v>
      </c>
      <c r="AW6" s="17" t="s">
        <v>777</v>
      </c>
      <c r="AX6" s="17"/>
      <c r="AY6" s="17"/>
      <c r="AZ6" s="18" t="s">
        <v>164</v>
      </c>
      <c r="BA6" s="17" t="s">
        <v>778</v>
      </c>
      <c r="BB6" s="17"/>
      <c r="BC6" s="17"/>
      <c r="BD6" s="18" t="s">
        <v>165</v>
      </c>
      <c r="BE6" s="17" t="s">
        <v>779</v>
      </c>
      <c r="BF6" s="17"/>
      <c r="BG6" s="17"/>
      <c r="BI6" s="17"/>
      <c r="BJ6" s="17"/>
      <c r="BK6" s="17"/>
      <c r="BL6" s="17"/>
      <c r="BM6" s="18" t="s">
        <v>166</v>
      </c>
      <c r="BN6" s="17" t="s">
        <v>780</v>
      </c>
      <c r="BO6" s="17"/>
      <c r="BP6" s="17"/>
      <c r="BQ6" s="18" t="s">
        <v>167</v>
      </c>
      <c r="BR6" s="17" t="s">
        <v>781</v>
      </c>
      <c r="BS6" s="17"/>
      <c r="BT6" s="17"/>
      <c r="BU6" s="18" t="s">
        <v>168</v>
      </c>
      <c r="BV6" s="17" t="s">
        <v>782</v>
      </c>
      <c r="BW6" s="17"/>
      <c r="BX6" s="17"/>
    </row>
    <row r="7" spans="2:76" ht="15" thickBot="1" x14ac:dyDescent="0.4">
      <c r="B7" s="24"/>
      <c r="C7" s="19"/>
      <c r="D7" s="19"/>
      <c r="E7" s="19"/>
      <c r="F7" s="19"/>
      <c r="G7" s="22"/>
      <c r="I7" s="110" t="s">
        <v>171</v>
      </c>
      <c r="J7" s="74">
        <f>SUBTOTAL(9,J10:J107)</f>
        <v>14339.799000000001</v>
      </c>
      <c r="K7" s="75">
        <f t="shared" ref="K7:BV7" si="0">SUBTOTAL(9,K10:K107)</f>
        <v>15458.304</v>
      </c>
      <c r="L7" s="75">
        <f t="shared" si="0"/>
        <v>125.5</v>
      </c>
      <c r="M7" s="78">
        <f t="shared" si="0"/>
        <v>0</v>
      </c>
      <c r="N7" s="74">
        <f t="shared" si="0"/>
        <v>1856.1390000000001</v>
      </c>
      <c r="O7" s="75">
        <f t="shared" si="0"/>
        <v>1941.9789999999998</v>
      </c>
      <c r="P7" s="75">
        <f t="shared" si="0"/>
        <v>54</v>
      </c>
      <c r="Q7" s="78">
        <f t="shared" si="0"/>
        <v>0</v>
      </c>
      <c r="R7" s="74">
        <f t="shared" si="0"/>
        <v>4894.183</v>
      </c>
      <c r="S7" s="75">
        <f t="shared" si="0"/>
        <v>5433.9709999999995</v>
      </c>
      <c r="T7" s="75">
        <f t="shared" si="0"/>
        <v>46</v>
      </c>
      <c r="U7" s="78">
        <f t="shared" si="0"/>
        <v>0</v>
      </c>
      <c r="V7" s="74">
        <f t="shared" si="0"/>
        <v>7589.4769999999999</v>
      </c>
      <c r="W7" s="75">
        <f t="shared" si="0"/>
        <v>8082.3539999999994</v>
      </c>
      <c r="X7" s="75">
        <f t="shared" si="0"/>
        <v>25.5</v>
      </c>
      <c r="Y7" s="78">
        <f t="shared" si="0"/>
        <v>0</v>
      </c>
      <c r="Z7">
        <f t="shared" si="0"/>
        <v>0</v>
      </c>
      <c r="AA7" s="74">
        <f t="shared" si="0"/>
        <v>14332.09</v>
      </c>
      <c r="AB7" s="75">
        <f t="shared" si="0"/>
        <v>9451.8379999999997</v>
      </c>
      <c r="AC7" s="75">
        <f t="shared" si="0"/>
        <v>163.958</v>
      </c>
      <c r="AD7" s="78">
        <f t="shared" si="0"/>
        <v>0</v>
      </c>
      <c r="AE7" s="74">
        <f t="shared" si="0"/>
        <v>6436.7160000000003</v>
      </c>
      <c r="AF7" s="75">
        <f t="shared" si="0"/>
        <v>2867.5240000000003</v>
      </c>
      <c r="AG7" s="75">
        <f t="shared" si="0"/>
        <v>45.125</v>
      </c>
      <c r="AH7" s="88">
        <f t="shared" si="0"/>
        <v>0</v>
      </c>
      <c r="AI7" s="74">
        <f t="shared" si="0"/>
        <v>3615.471</v>
      </c>
      <c r="AJ7" s="75">
        <f t="shared" si="0"/>
        <v>2591.3629999999994</v>
      </c>
      <c r="AK7" s="75">
        <f t="shared" si="0"/>
        <v>32.832999999999998</v>
      </c>
      <c r="AL7" s="88">
        <f t="shared" si="0"/>
        <v>0</v>
      </c>
      <c r="AM7" s="74">
        <f t="shared" si="0"/>
        <v>4279.9030000000002</v>
      </c>
      <c r="AN7" s="75">
        <f t="shared" si="0"/>
        <v>3992.9509999999996</v>
      </c>
      <c r="AO7" s="75">
        <f t="shared" si="0"/>
        <v>86</v>
      </c>
      <c r="AP7" s="78">
        <f t="shared" si="0"/>
        <v>0</v>
      </c>
      <c r="AQ7">
        <f t="shared" si="0"/>
        <v>0</v>
      </c>
      <c r="AR7" s="74">
        <f t="shared" si="0"/>
        <v>8494.0289999999986</v>
      </c>
      <c r="AS7" s="75">
        <f t="shared" si="0"/>
        <v>11094.633</v>
      </c>
      <c r="AT7" s="75">
        <f t="shared" si="0"/>
        <v>377.12400000000002</v>
      </c>
      <c r="AU7" s="78">
        <f t="shared" si="0"/>
        <v>0</v>
      </c>
      <c r="AV7" s="74">
        <f t="shared" si="0"/>
        <v>2064.8469999999998</v>
      </c>
      <c r="AW7" s="75">
        <f t="shared" si="0"/>
        <v>2538.5170000000003</v>
      </c>
      <c r="AX7" s="75">
        <f t="shared" si="0"/>
        <v>60.582999999999998</v>
      </c>
      <c r="AY7" s="78">
        <f>SUBTOTAL(9,AY10:AY107)</f>
        <v>0</v>
      </c>
      <c r="AZ7" s="74">
        <f t="shared" si="0"/>
        <v>2460.0509999999999</v>
      </c>
      <c r="BA7" s="75">
        <f t="shared" si="0"/>
        <v>3092.4920000000002</v>
      </c>
      <c r="BB7" s="75">
        <f t="shared" si="0"/>
        <v>70.332999999999998</v>
      </c>
      <c r="BC7" s="78">
        <f>SUBTOTAL(9,BC10:BC107)</f>
        <v>0</v>
      </c>
      <c r="BD7" s="74">
        <f t="shared" si="0"/>
        <v>3969.1309999999999</v>
      </c>
      <c r="BE7" s="75">
        <f t="shared" si="0"/>
        <v>5463.6239999999998</v>
      </c>
      <c r="BF7" s="75">
        <f t="shared" si="0"/>
        <v>246.208</v>
      </c>
      <c r="BG7" s="78">
        <f t="shared" si="0"/>
        <v>0</v>
      </c>
      <c r="BH7">
        <f t="shared" si="0"/>
        <v>0</v>
      </c>
      <c r="BI7" s="74">
        <f t="shared" si="0"/>
        <v>4968.7020000000002</v>
      </c>
      <c r="BJ7" s="75">
        <f t="shared" si="0"/>
        <v>5715.7080000000014</v>
      </c>
      <c r="BK7" s="75">
        <f t="shared" si="0"/>
        <v>199.833</v>
      </c>
      <c r="BL7" s="78">
        <f t="shared" si="0"/>
        <v>225</v>
      </c>
      <c r="BM7" s="74">
        <f t="shared" si="0"/>
        <v>1081.0530000000001</v>
      </c>
      <c r="BN7" s="75">
        <f t="shared" si="0"/>
        <v>1228.0209999999997</v>
      </c>
      <c r="BO7" s="75">
        <f t="shared" si="0"/>
        <v>58.875</v>
      </c>
      <c r="BP7" s="78">
        <f t="shared" si="0"/>
        <v>0</v>
      </c>
      <c r="BQ7" s="74">
        <f t="shared" si="0"/>
        <v>2000.0430000000001</v>
      </c>
      <c r="BR7" s="75">
        <f t="shared" si="0"/>
        <v>2880.9309999999996</v>
      </c>
      <c r="BS7" s="75">
        <f t="shared" si="0"/>
        <v>47.667000000000002</v>
      </c>
      <c r="BT7" s="78">
        <f t="shared" si="0"/>
        <v>0</v>
      </c>
      <c r="BU7" s="74">
        <f t="shared" si="0"/>
        <v>1887.6059999999998</v>
      </c>
      <c r="BV7" s="75">
        <f t="shared" si="0"/>
        <v>1606.7559999999999</v>
      </c>
      <c r="BW7" s="75">
        <f t="shared" ref="BW7:BX7" si="1">SUBTOTAL(9,BW10:BW107)</f>
        <v>93.290999999999997</v>
      </c>
      <c r="BX7" s="78">
        <f t="shared" si="1"/>
        <v>225</v>
      </c>
    </row>
    <row r="8" spans="2:76" ht="24" customHeight="1" thickBot="1" x14ac:dyDescent="0.4">
      <c r="H8" s="26"/>
      <c r="J8" s="211" t="s">
        <v>22</v>
      </c>
      <c r="K8" s="212"/>
      <c r="L8" s="212"/>
      <c r="M8" s="213"/>
      <c r="N8" s="106" t="s">
        <v>23</v>
      </c>
      <c r="O8" s="100"/>
      <c r="P8" s="100"/>
      <c r="Q8" s="107"/>
      <c r="R8" s="106" t="s">
        <v>24</v>
      </c>
      <c r="S8" s="100"/>
      <c r="T8" s="100"/>
      <c r="U8" s="107"/>
      <c r="V8" s="106" t="s">
        <v>25</v>
      </c>
      <c r="W8" s="102"/>
      <c r="X8" s="102"/>
      <c r="Y8" s="107"/>
      <c r="AA8" s="82" t="s">
        <v>30</v>
      </c>
      <c r="AB8" s="83"/>
      <c r="AC8" s="83"/>
      <c r="AD8" s="84"/>
      <c r="AE8" s="106" t="s">
        <v>27</v>
      </c>
      <c r="AF8" s="100"/>
      <c r="AG8" s="100"/>
      <c r="AH8" s="103"/>
      <c r="AI8" s="106" t="s">
        <v>28</v>
      </c>
      <c r="AJ8" s="100"/>
      <c r="AK8" s="100"/>
      <c r="AL8" s="103"/>
      <c r="AM8" s="106" t="s">
        <v>29</v>
      </c>
      <c r="AN8" s="102"/>
      <c r="AO8" s="102"/>
      <c r="AP8" s="107"/>
      <c r="AR8" s="82" t="s">
        <v>66</v>
      </c>
      <c r="AS8" s="83"/>
      <c r="AT8" s="83"/>
      <c r="AU8" s="84"/>
      <c r="AV8" s="106" t="s">
        <v>67</v>
      </c>
      <c r="AW8" s="100"/>
      <c r="AX8" s="100"/>
      <c r="AY8" s="107"/>
      <c r="AZ8" s="106" t="s">
        <v>68</v>
      </c>
      <c r="BA8" s="100"/>
      <c r="BB8" s="100"/>
      <c r="BC8" s="107"/>
      <c r="BD8" s="106" t="s">
        <v>72</v>
      </c>
      <c r="BE8" s="102"/>
      <c r="BF8" s="102"/>
      <c r="BG8" s="107"/>
      <c r="BI8" s="211" t="s">
        <v>73</v>
      </c>
      <c r="BJ8" s="212"/>
      <c r="BK8" s="212"/>
      <c r="BL8" s="213"/>
      <c r="BM8" s="106" t="s">
        <v>69</v>
      </c>
      <c r="BN8" s="100"/>
      <c r="BO8" s="100"/>
      <c r="BP8" s="107"/>
      <c r="BQ8" s="106" t="s">
        <v>70</v>
      </c>
      <c r="BR8" s="100"/>
      <c r="BS8" s="100"/>
      <c r="BT8" s="107"/>
      <c r="BU8" s="106" t="s">
        <v>71</v>
      </c>
      <c r="BV8" s="102"/>
      <c r="BW8" s="102"/>
      <c r="BX8" s="107"/>
    </row>
    <row r="9" spans="2:76" s="122" customFormat="1" ht="30" customHeight="1" x14ac:dyDescent="0.35">
      <c r="B9" s="85" t="s">
        <v>0</v>
      </c>
      <c r="C9" s="86" t="s">
        <v>2</v>
      </c>
      <c r="D9" s="86" t="s">
        <v>3</v>
      </c>
      <c r="E9" s="86" t="s">
        <v>5</v>
      </c>
      <c r="F9" s="86" t="s">
        <v>82</v>
      </c>
      <c r="G9" s="86" t="s">
        <v>6</v>
      </c>
      <c r="H9" s="97" t="s">
        <v>15</v>
      </c>
      <c r="I9" s="97" t="s">
        <v>145</v>
      </c>
      <c r="J9" s="116" t="s">
        <v>169</v>
      </c>
      <c r="K9" s="117" t="s">
        <v>170</v>
      </c>
      <c r="L9" s="117" t="s">
        <v>75</v>
      </c>
      <c r="M9" s="119" t="s">
        <v>65</v>
      </c>
      <c r="N9" s="116" t="s">
        <v>169</v>
      </c>
      <c r="O9" s="120" t="s">
        <v>170</v>
      </c>
      <c r="P9" s="120" t="s">
        <v>75</v>
      </c>
      <c r="Q9" s="121" t="s">
        <v>65</v>
      </c>
      <c r="R9" s="116" t="s">
        <v>169</v>
      </c>
      <c r="S9" s="120" t="s">
        <v>170</v>
      </c>
      <c r="T9" s="120" t="s">
        <v>75</v>
      </c>
      <c r="U9" s="121" t="s">
        <v>65</v>
      </c>
      <c r="V9" s="116" t="s">
        <v>169</v>
      </c>
      <c r="W9" s="120" t="s">
        <v>170</v>
      </c>
      <c r="X9" s="120" t="s">
        <v>75</v>
      </c>
      <c r="Y9" s="121" t="s">
        <v>65</v>
      </c>
      <c r="AA9" s="116" t="s">
        <v>169</v>
      </c>
      <c r="AB9" s="117" t="s">
        <v>170</v>
      </c>
      <c r="AC9" s="117" t="s">
        <v>75</v>
      </c>
      <c r="AD9" s="119" t="s">
        <v>65</v>
      </c>
      <c r="AE9" s="116" t="s">
        <v>169</v>
      </c>
      <c r="AF9" s="120" t="s">
        <v>170</v>
      </c>
      <c r="AG9" s="120" t="s">
        <v>75</v>
      </c>
      <c r="AH9" s="123" t="s">
        <v>65</v>
      </c>
      <c r="AI9" s="116" t="s">
        <v>169</v>
      </c>
      <c r="AJ9" s="120" t="s">
        <v>170</v>
      </c>
      <c r="AK9" s="120" t="s">
        <v>75</v>
      </c>
      <c r="AL9" s="123" t="s">
        <v>65</v>
      </c>
      <c r="AM9" s="116" t="s">
        <v>169</v>
      </c>
      <c r="AN9" s="120" t="s">
        <v>170</v>
      </c>
      <c r="AO9" s="120" t="s">
        <v>75</v>
      </c>
      <c r="AP9" s="121" t="s">
        <v>65</v>
      </c>
      <c r="AR9" s="116" t="s">
        <v>169</v>
      </c>
      <c r="AS9" s="117" t="s">
        <v>170</v>
      </c>
      <c r="AT9" s="117" t="s">
        <v>75</v>
      </c>
      <c r="AU9" s="119" t="s">
        <v>65</v>
      </c>
      <c r="AV9" s="116" t="s">
        <v>169</v>
      </c>
      <c r="AW9" s="120" t="s">
        <v>170</v>
      </c>
      <c r="AX9" s="120" t="s">
        <v>75</v>
      </c>
      <c r="AY9" s="121" t="s">
        <v>65</v>
      </c>
      <c r="AZ9" s="116" t="s">
        <v>169</v>
      </c>
      <c r="BA9" s="120" t="s">
        <v>170</v>
      </c>
      <c r="BB9" s="120" t="s">
        <v>75</v>
      </c>
      <c r="BC9" s="121" t="s">
        <v>65</v>
      </c>
      <c r="BD9" s="116" t="s">
        <v>169</v>
      </c>
      <c r="BE9" s="120" t="s">
        <v>170</v>
      </c>
      <c r="BF9" s="120" t="s">
        <v>75</v>
      </c>
      <c r="BG9" s="121" t="s">
        <v>65</v>
      </c>
      <c r="BI9" s="116" t="s">
        <v>169</v>
      </c>
      <c r="BJ9" s="117" t="s">
        <v>170</v>
      </c>
      <c r="BK9" s="117" t="s">
        <v>75</v>
      </c>
      <c r="BL9" s="119" t="s">
        <v>65</v>
      </c>
      <c r="BM9" s="116" t="s">
        <v>169</v>
      </c>
      <c r="BN9" s="120" t="s">
        <v>170</v>
      </c>
      <c r="BO9" s="120" t="s">
        <v>75</v>
      </c>
      <c r="BP9" s="121" t="s">
        <v>65</v>
      </c>
      <c r="BQ9" s="116" t="s">
        <v>169</v>
      </c>
      <c r="BR9" s="120" t="s">
        <v>170</v>
      </c>
      <c r="BS9" s="120" t="s">
        <v>75</v>
      </c>
      <c r="BT9" s="121" t="s">
        <v>65</v>
      </c>
      <c r="BU9" s="116" t="s">
        <v>169</v>
      </c>
      <c r="BV9" s="120" t="s">
        <v>170</v>
      </c>
      <c r="BW9" s="120" t="s">
        <v>75</v>
      </c>
      <c r="BX9" s="121" t="s">
        <v>65</v>
      </c>
    </row>
    <row r="10" spans="2:76" x14ac:dyDescent="0.35">
      <c r="B10" s="53" t="s">
        <v>402</v>
      </c>
      <c r="C10" s="51">
        <v>771</v>
      </c>
      <c r="D10" s="51" t="s">
        <v>404</v>
      </c>
      <c r="E10" s="51">
        <v>142393</v>
      </c>
      <c r="F10" s="96" t="s">
        <v>406</v>
      </c>
      <c r="G10" s="42" t="s">
        <v>141</v>
      </c>
      <c r="H10" s="98" t="s">
        <v>136</v>
      </c>
      <c r="I10" s="143" t="s">
        <v>144</v>
      </c>
      <c r="J10" s="104">
        <f>N10+R10+V10</f>
        <v>1650.944</v>
      </c>
      <c r="K10" s="99">
        <f>O10+S10+W10</f>
        <v>-134.05000000000001</v>
      </c>
      <c r="L10" s="99">
        <f>P10+T10+X10</f>
        <v>0</v>
      </c>
      <c r="M10" s="105">
        <f>Q10+U10+Y10</f>
        <v>0</v>
      </c>
      <c r="N10" s="108">
        <f>IFERROR(VLOOKUP($E10&amp;N$6,Base!$A:$E,5,0),0)</f>
        <v>270.84399999999999</v>
      </c>
      <c r="O10" s="101">
        <v>7.875</v>
      </c>
      <c r="P10" s="101">
        <v>0</v>
      </c>
      <c r="Q10" s="101"/>
      <c r="R10" s="108">
        <f>IFERROR(VLOOKUP($E10&amp;R$6,Base!$A:$E,5,0),0)</f>
        <v>854.55799999999999</v>
      </c>
      <c r="S10" s="101">
        <f>IFERROR(VLOOKUP($E10&amp;S$6,Base!$G:$K,5,0),0)</f>
        <v>-1.0920000000000001</v>
      </c>
      <c r="T10" s="101">
        <f>IFERROR(VLOOKUP($E10&amp;S$6,Base!$M:$Q,5,0),0)</f>
        <v>0</v>
      </c>
      <c r="U10" s="109"/>
      <c r="V10" s="108">
        <f>IFERROR(VLOOKUP($E10&amp;V$6,Base!$A:$E,5,0),0)</f>
        <v>525.54200000000003</v>
      </c>
      <c r="W10" s="101">
        <f>IFERROR(VLOOKUP($E10&amp;W$6,Base!$G:$K,5,0),0)</f>
        <v>-140.833</v>
      </c>
      <c r="X10" s="101">
        <f>IFERROR(VLOOKUP($E10&amp;W$6,Base!$M:$Q,5,0),0)</f>
        <v>0</v>
      </c>
      <c r="Y10" s="109"/>
      <c r="AA10" s="104">
        <f>AE10+AI10+AM10</f>
        <v>993.40800000000002</v>
      </c>
      <c r="AB10" s="99">
        <f>AF10+AJ10+AN10</f>
        <v>-4.6079999999999997</v>
      </c>
      <c r="AC10" s="99">
        <f>AG10+AK10+AO10</f>
        <v>0</v>
      </c>
      <c r="AD10" s="105">
        <f>AH10+AL10+AP10</f>
        <v>0</v>
      </c>
      <c r="AE10" s="108">
        <f>IFERROR(VLOOKUP($E10&amp;AE$6,Base!$A:$E,5,0),0)</f>
        <v>814.13300000000004</v>
      </c>
      <c r="AF10" s="101">
        <f>IFERROR(VLOOKUP($E10&amp;AF$6,Base!$G:$K,5,0),0)</f>
        <v>-4.2249999999999996</v>
      </c>
      <c r="AG10" s="101">
        <f>IFERROR(VLOOKUP($E10&amp;AF$6,Base!$M:$Q,5,0),0)</f>
        <v>0</v>
      </c>
      <c r="AH10" s="109"/>
      <c r="AI10" s="108">
        <f>IFERROR(VLOOKUP($E10&amp;AI$6,Base!$A:$E,5,0),0)</f>
        <v>79.108000000000004</v>
      </c>
      <c r="AJ10" s="101">
        <f>IFERROR(VLOOKUP($E10&amp;AJ$6,Base!$G:$K,5,0),0)</f>
        <v>0</v>
      </c>
      <c r="AK10" s="101">
        <f>IFERROR(VLOOKUP($E10&amp;AJ$6,Base!$M:$Q,5,0),0)</f>
        <v>0</v>
      </c>
      <c r="AL10" s="109">
        <v>0</v>
      </c>
      <c r="AM10" s="108">
        <f>IFERROR(VLOOKUP($E10&amp;AM$6,Base!$A:$E,5,0),0)</f>
        <v>100.167</v>
      </c>
      <c r="AN10" s="101">
        <f>IFERROR(VLOOKUP($E10&amp;AN$6,Base!$G:$K,5,0),0)</f>
        <v>-0.38300000000000001</v>
      </c>
      <c r="AO10" s="101">
        <f>IFERROR(VLOOKUP($E10&amp;AN$6,Base!$M:$Q,5,0),0)</f>
        <v>0</v>
      </c>
      <c r="AP10" s="109"/>
      <c r="AR10" s="104">
        <f>AV10+AZ10+BD10</f>
        <v>281.404</v>
      </c>
      <c r="AS10" s="99">
        <f>AW10+BA10+BE10</f>
        <v>-0.60799999999999998</v>
      </c>
      <c r="AT10" s="99">
        <f>AX10+BB10+BF10</f>
        <v>0</v>
      </c>
      <c r="AU10" s="105">
        <f>AY10+BC10+BG10</f>
        <v>0</v>
      </c>
      <c r="AV10" s="108">
        <f>IFERROR(VLOOKUP($E10&amp;AV$6,Base!$A:$E,5,0),0)</f>
        <v>180.779</v>
      </c>
      <c r="AW10" s="101">
        <f>IFERROR(VLOOKUP($E10&amp;AW$6,Base!$G:$K,5,0),0)</f>
        <v>-0.60799999999999998</v>
      </c>
      <c r="AX10" s="101">
        <f>IFERROR(VLOOKUP($E10&amp;AW$6,Base!$M:$Q,5,0),0)</f>
        <v>0</v>
      </c>
      <c r="AY10" s="109">
        <v>0</v>
      </c>
      <c r="AZ10" s="108">
        <f>IFERROR(VLOOKUP($E10&amp;AZ$6,Base!$A:$E,5,0),0)</f>
        <v>47.792000000000002</v>
      </c>
      <c r="BA10" s="101">
        <f>IFERROR(VLOOKUP($E10&amp;BA$6,Base!$G:$K,5,0),0)</f>
        <v>0</v>
      </c>
      <c r="BB10" s="101">
        <f>IFERROR(VLOOKUP($E10&amp;BA$6,Base!$M:$Q,5,0),0)</f>
        <v>0</v>
      </c>
      <c r="BC10" s="109">
        <v>0</v>
      </c>
      <c r="BD10" s="108">
        <f>IFERROR(VLOOKUP($E10&amp;BD$6,Base!$A:$E,5,0),0)</f>
        <v>52.832999999999998</v>
      </c>
      <c r="BE10" s="101">
        <f>IFERROR(VLOOKUP($E10&amp;BE$6,Base!$G:$K,5,0),0)</f>
        <v>0</v>
      </c>
      <c r="BF10" s="101">
        <f>IFERROR(VLOOKUP($E10&amp;BE$6,Base!$M:$Q,5,0),0)</f>
        <v>0</v>
      </c>
      <c r="BG10" s="109">
        <v>0</v>
      </c>
      <c r="BI10" s="104">
        <f>BM10+BQ10+BU10</f>
        <v>44.396000000000001</v>
      </c>
      <c r="BJ10" s="99">
        <f>BN10+BR10+BV10</f>
        <v>-1</v>
      </c>
      <c r="BK10" s="99">
        <f>BO10+BS10+BW10</f>
        <v>0</v>
      </c>
      <c r="BL10" s="111">
        <f>BP10+BT10+BX10</f>
        <v>0</v>
      </c>
      <c r="BM10" s="108">
        <f>IFERROR(VLOOKUP($E10&amp;BM$6,Base!$A:$E,5,0),0)</f>
        <v>14.333</v>
      </c>
      <c r="BN10" s="101">
        <f>IFERROR(VLOOKUP($E10&amp;BN$6,Base!$G:$K,5,0),0)</f>
        <v>-0.16700000000000001</v>
      </c>
      <c r="BO10" s="101">
        <f>IFERROR(VLOOKUP($E10&amp;BN$6,Base!$M:$Q,5,0),0)</f>
        <v>0</v>
      </c>
      <c r="BP10" s="109">
        <v>0</v>
      </c>
      <c r="BQ10" s="108">
        <f>IFERROR(VLOOKUP($E10&amp;BQ$6,Base!$A:$E,5,0),0)</f>
        <v>14.824999999999999</v>
      </c>
      <c r="BR10" s="101">
        <f>IFERROR(VLOOKUP($E10&amp;BR$6,Base!$G:$K,5,0),0)</f>
        <v>0</v>
      </c>
      <c r="BS10" s="101">
        <f>IFERROR(VLOOKUP($E10&amp;BR$6,Base!$M:$Q,5,0),0)</f>
        <v>0</v>
      </c>
      <c r="BT10" s="109">
        <v>0</v>
      </c>
      <c r="BU10" s="108">
        <f>IFERROR(VLOOKUP($E10&amp;BU$6,Base!$A:$E,5,0),0)</f>
        <v>15.238</v>
      </c>
      <c r="BV10" s="101">
        <f>IFERROR(VLOOKUP($E10&amp;BV$6,Base!$G:$K,5,0),0)</f>
        <v>-0.83299999999999996</v>
      </c>
      <c r="BW10" s="101">
        <f>IFERROR(VLOOKUP($E10&amp;BV$6,Base!$M:$Q,5,0),0)</f>
        <v>0</v>
      </c>
      <c r="BX10" s="109">
        <f>IFERROR(VLOOKUP($E10,Base!$U:$W,3,0),0)</f>
        <v>0</v>
      </c>
    </row>
    <row r="11" spans="2:76" x14ac:dyDescent="0.35">
      <c r="B11" s="53" t="s">
        <v>402</v>
      </c>
      <c r="C11" s="51">
        <v>771</v>
      </c>
      <c r="D11" s="51" t="s">
        <v>404</v>
      </c>
      <c r="E11" s="51">
        <v>55070</v>
      </c>
      <c r="F11" s="96" t="s">
        <v>408</v>
      </c>
      <c r="G11" s="42" t="s">
        <v>12</v>
      </c>
      <c r="H11" s="98" t="s">
        <v>136</v>
      </c>
      <c r="I11" s="143" t="s">
        <v>144</v>
      </c>
      <c r="J11" s="104">
        <f t="shared" ref="J11:J33" si="2">N11+R11+V11</f>
        <v>0</v>
      </c>
      <c r="K11" s="99">
        <f t="shared" ref="K11:K33" si="3">O11+S11+W11</f>
        <v>0</v>
      </c>
      <c r="L11" s="99">
        <f t="shared" ref="L11:L33" si="4">P11+T11+X11</f>
        <v>0</v>
      </c>
      <c r="M11" s="105">
        <f t="shared" ref="M11:M33" si="5">Q11+U11+Y11</f>
        <v>0</v>
      </c>
      <c r="N11" s="108">
        <f>IFERROR(VLOOKUP($E11&amp;N$6,Base!$A:$E,5,0),0)</f>
        <v>0</v>
      </c>
      <c r="O11" s="101">
        <v>0</v>
      </c>
      <c r="P11" s="101">
        <v>0</v>
      </c>
      <c r="Q11" s="101"/>
      <c r="R11" s="108">
        <f>IFERROR(VLOOKUP($E11&amp;R$6,Base!$A:$E,5,0),0)</f>
        <v>0</v>
      </c>
      <c r="S11" s="101">
        <f>IFERROR(VLOOKUP($E11&amp;S$6,Base!$G:$K,5,0),0)</f>
        <v>0</v>
      </c>
      <c r="T11" s="101">
        <f>IFERROR(VLOOKUP($E11&amp;S$6,Base!$M:$Q,5,0),0)</f>
        <v>0</v>
      </c>
      <c r="U11" s="109"/>
      <c r="V11" s="108">
        <f>IFERROR(VLOOKUP($E11&amp;V$6,Base!$A:$E,5,0),0)</f>
        <v>0</v>
      </c>
      <c r="W11" s="101">
        <f>IFERROR(VLOOKUP($E11&amp;W$6,Base!$G:$K,5,0),0)</f>
        <v>0</v>
      </c>
      <c r="X11" s="101">
        <f>IFERROR(VLOOKUP($E11&amp;W$6,Base!$M:$Q,5,0),0)</f>
        <v>0</v>
      </c>
      <c r="Y11" s="109"/>
      <c r="AA11" s="104">
        <f t="shared" ref="AA11:AA33" si="6">AE11+AI11+AM11</f>
        <v>0</v>
      </c>
      <c r="AB11" s="99">
        <f t="shared" ref="AB11:AB33" si="7">AF11+AJ11+AN11</f>
        <v>0</v>
      </c>
      <c r="AC11" s="99">
        <f t="shared" ref="AC11:AC33" si="8">AG11+AK11+AO11</f>
        <v>0</v>
      </c>
      <c r="AD11" s="105">
        <f t="shared" ref="AD11:AD33" si="9">AH11+AL11+AP11</f>
        <v>0</v>
      </c>
      <c r="AE11" s="108">
        <f>IFERROR(VLOOKUP($E11&amp;AE$6,Base!$A:$E,5,0),0)</f>
        <v>0</v>
      </c>
      <c r="AF11" s="101">
        <f>IFERROR(VLOOKUP($E11&amp;AF$6,Base!$G:$K,5,0),0)</f>
        <v>0</v>
      </c>
      <c r="AG11" s="101">
        <f>IFERROR(VLOOKUP($E11&amp;AF$6,Base!$M:$Q,5,0),0)</f>
        <v>0</v>
      </c>
      <c r="AH11" s="109"/>
      <c r="AI11" s="108">
        <f>IFERROR(VLOOKUP($E11&amp;AI$6,Base!$A:$E,5,0),0)</f>
        <v>0</v>
      </c>
      <c r="AJ11" s="101">
        <f>IFERROR(VLOOKUP($E11&amp;AJ$6,Base!$G:$K,5,0),0)</f>
        <v>0</v>
      </c>
      <c r="AK11" s="101">
        <f>IFERROR(VLOOKUP($E11&amp;AJ$6,Base!$M:$Q,5,0),0)</f>
        <v>0</v>
      </c>
      <c r="AL11" s="109">
        <v>0</v>
      </c>
      <c r="AM11" s="108">
        <f>IFERROR(VLOOKUP($E11&amp;AM$6,Base!$A:$E,5,0),0)</f>
        <v>0</v>
      </c>
      <c r="AN11" s="101">
        <f>IFERROR(VLOOKUP($E11&amp;AN$6,Base!$G:$K,5,0),0)</f>
        <v>0</v>
      </c>
      <c r="AO11" s="101">
        <f>IFERROR(VLOOKUP($E11&amp;AN$6,Base!$M:$Q,5,0),0)</f>
        <v>0</v>
      </c>
      <c r="AP11" s="109"/>
      <c r="AR11" s="104">
        <f t="shared" ref="AR11:AR33" si="10">AV11+AZ11+BD11</f>
        <v>0</v>
      </c>
      <c r="AS11" s="99">
        <f t="shared" ref="AS11:AS33" si="11">AW11+BA11+BE11</f>
        <v>0</v>
      </c>
      <c r="AT11" s="99">
        <f t="shared" ref="AT11:AT33" si="12">AX11+BB11+BF11</f>
        <v>0</v>
      </c>
      <c r="AU11" s="105">
        <f t="shared" ref="AU11:AU42" si="13">AY11+BC11+BG11</f>
        <v>0</v>
      </c>
      <c r="AV11" s="108">
        <f>IFERROR(VLOOKUP($E11&amp;AV$6,Base!$A:$E,5,0),0)</f>
        <v>0</v>
      </c>
      <c r="AW11" s="101">
        <f>IFERROR(VLOOKUP($E11&amp;AW$6,Base!$G:$K,5,0),0)</f>
        <v>0</v>
      </c>
      <c r="AX11" s="101">
        <f>IFERROR(VLOOKUP($E11&amp;AW$6,Base!$M:$Q,5,0),0)</f>
        <v>0</v>
      </c>
      <c r="AY11" s="109">
        <v>0</v>
      </c>
      <c r="AZ11" s="108">
        <f>IFERROR(VLOOKUP($E11&amp;AZ$6,Base!$A:$E,5,0),0)</f>
        <v>0</v>
      </c>
      <c r="BA11" s="101">
        <f>IFERROR(VLOOKUP($E11&amp;BA$6,Base!$G:$K,5,0),0)</f>
        <v>0</v>
      </c>
      <c r="BB11" s="101">
        <f>IFERROR(VLOOKUP($E11&amp;BA$6,Base!$M:$Q,5,0),0)</f>
        <v>0</v>
      </c>
      <c r="BC11" s="109">
        <v>0</v>
      </c>
      <c r="BD11" s="108">
        <f>IFERROR(VLOOKUP($E11&amp;BD$6,Base!$A:$E,5,0),0)</f>
        <v>0</v>
      </c>
      <c r="BE11" s="101">
        <f>IFERROR(VLOOKUP($E11&amp;BE$6,Base!$G:$K,5,0),0)</f>
        <v>0</v>
      </c>
      <c r="BF11" s="101">
        <f>IFERROR(VLOOKUP($E11&amp;BE$6,Base!$M:$Q,5,0),0)</f>
        <v>0</v>
      </c>
      <c r="BG11" s="109">
        <v>0</v>
      </c>
      <c r="BI11" s="104">
        <f t="shared" ref="BI11:BI33" si="14">BM11+BQ11+BU11</f>
        <v>0</v>
      </c>
      <c r="BJ11" s="99">
        <f t="shared" ref="BJ11:BJ33" si="15">BN11+BR11+BV11</f>
        <v>0</v>
      </c>
      <c r="BK11" s="99">
        <f t="shared" ref="BK11:BK33" si="16">BO11+BS11+BW11</f>
        <v>0</v>
      </c>
      <c r="BL11" s="111">
        <f t="shared" ref="BL11:BL33" si="17">BP11+BT11+BX11</f>
        <v>0</v>
      </c>
      <c r="BM11" s="108">
        <f>IFERROR(VLOOKUP($E11&amp;BM$6,Base!$A:$E,5,0),0)</f>
        <v>0</v>
      </c>
      <c r="BN11" s="101">
        <f>IFERROR(VLOOKUP($E11&amp;BN$6,Base!$G:$K,5,0),0)</f>
        <v>0</v>
      </c>
      <c r="BO11" s="101">
        <f>IFERROR(VLOOKUP($E11&amp;BN$6,Base!$M:$Q,5,0),0)</f>
        <v>0</v>
      </c>
      <c r="BP11" s="109">
        <v>0</v>
      </c>
      <c r="BQ11" s="108">
        <f>IFERROR(VLOOKUP($E11&amp;BQ$6,Base!$A:$E,5,0),0)</f>
        <v>0</v>
      </c>
      <c r="BR11" s="101">
        <f>IFERROR(VLOOKUP($E11&amp;BR$6,Base!$G:$K,5,0),0)</f>
        <v>0</v>
      </c>
      <c r="BS11" s="101">
        <f>IFERROR(VLOOKUP($E11&amp;BR$6,Base!$M:$Q,5,0),0)</f>
        <v>0</v>
      </c>
      <c r="BT11" s="109">
        <v>0</v>
      </c>
      <c r="BU11" s="108">
        <f>IFERROR(VLOOKUP($E11&amp;BU$6,Base!$A:$E,5,0),0)</f>
        <v>0</v>
      </c>
      <c r="BV11" s="101">
        <f>IFERROR(VLOOKUP($E11&amp;BV$6,Base!$G:$K,5,0),0)</f>
        <v>0</v>
      </c>
      <c r="BW11" s="101">
        <f>IFERROR(VLOOKUP($E11&amp;BV$6,Base!$M:$Q,5,0),0)</f>
        <v>0</v>
      </c>
      <c r="BX11" s="109">
        <f>IFERROR(VLOOKUP($E11,Base!$U:$W,3,0),0)</f>
        <v>0</v>
      </c>
    </row>
    <row r="12" spans="2:76" x14ac:dyDescent="0.35">
      <c r="B12" s="53" t="s">
        <v>402</v>
      </c>
      <c r="C12" s="51">
        <v>771</v>
      </c>
      <c r="D12" s="51" t="s">
        <v>404</v>
      </c>
      <c r="E12" s="51">
        <v>69413</v>
      </c>
      <c r="F12" s="96" t="s">
        <v>410</v>
      </c>
      <c r="G12" s="42" t="s">
        <v>78</v>
      </c>
      <c r="H12" s="98" t="s">
        <v>136</v>
      </c>
      <c r="I12" s="143" t="s">
        <v>144</v>
      </c>
      <c r="J12" s="104">
        <f t="shared" si="2"/>
        <v>0</v>
      </c>
      <c r="K12" s="99">
        <f t="shared" si="3"/>
        <v>0</v>
      </c>
      <c r="L12" s="99">
        <f t="shared" si="4"/>
        <v>0</v>
      </c>
      <c r="M12" s="105">
        <f t="shared" si="5"/>
        <v>0</v>
      </c>
      <c r="N12" s="108">
        <f>IFERROR(VLOOKUP($E12&amp;N$6,Base!$A:$E,5,0),0)</f>
        <v>0</v>
      </c>
      <c r="O12" s="101">
        <v>0</v>
      </c>
      <c r="P12" s="101">
        <v>0</v>
      </c>
      <c r="Q12" s="101"/>
      <c r="R12" s="108">
        <f>IFERROR(VLOOKUP($E12&amp;R$6,Base!$A:$E,5,0),0)</f>
        <v>0</v>
      </c>
      <c r="S12" s="101">
        <f>IFERROR(VLOOKUP($E12&amp;S$6,Base!$G:$K,5,0),0)</f>
        <v>0</v>
      </c>
      <c r="T12" s="101">
        <f>IFERROR(VLOOKUP($E12&amp;S$6,Base!$M:$Q,5,0),0)</f>
        <v>0</v>
      </c>
      <c r="U12" s="109"/>
      <c r="V12" s="108">
        <f>IFERROR(VLOOKUP($E12&amp;V$6,Base!$A:$E,5,0),0)</f>
        <v>0</v>
      </c>
      <c r="W12" s="101">
        <f>IFERROR(VLOOKUP($E12&amp;W$6,Base!$G:$K,5,0),0)</f>
        <v>0</v>
      </c>
      <c r="X12" s="101">
        <f>IFERROR(VLOOKUP($E12&amp;W$6,Base!$M:$Q,5,0),0)</f>
        <v>0</v>
      </c>
      <c r="Y12" s="109"/>
      <c r="AA12" s="104">
        <f t="shared" si="6"/>
        <v>0</v>
      </c>
      <c r="AB12" s="99">
        <f t="shared" si="7"/>
        <v>0</v>
      </c>
      <c r="AC12" s="99">
        <f t="shared" si="8"/>
        <v>0</v>
      </c>
      <c r="AD12" s="105">
        <f t="shared" si="9"/>
        <v>0</v>
      </c>
      <c r="AE12" s="108">
        <f>IFERROR(VLOOKUP($E12&amp;AE$6,Base!$A:$E,5,0),0)</f>
        <v>0</v>
      </c>
      <c r="AF12" s="101">
        <f>IFERROR(VLOOKUP($E12&amp;AF$6,Base!$G:$K,5,0),0)</f>
        <v>0</v>
      </c>
      <c r="AG12" s="101">
        <f>IFERROR(VLOOKUP($E12&amp;AF$6,Base!$M:$Q,5,0),0)</f>
        <v>0</v>
      </c>
      <c r="AH12" s="109"/>
      <c r="AI12" s="108">
        <f>IFERROR(VLOOKUP($E12&amp;AI$6,Base!$A:$E,5,0),0)</f>
        <v>0</v>
      </c>
      <c r="AJ12" s="101">
        <f>IFERROR(VLOOKUP($E12&amp;AJ$6,Base!$G:$K,5,0),0)</f>
        <v>0</v>
      </c>
      <c r="AK12" s="101">
        <f>IFERROR(VLOOKUP($E12&amp;AJ$6,Base!$M:$Q,5,0),0)</f>
        <v>0</v>
      </c>
      <c r="AL12" s="109">
        <v>0</v>
      </c>
      <c r="AM12" s="108">
        <f>IFERROR(VLOOKUP($E12&amp;AM$6,Base!$A:$E,5,0),0)</f>
        <v>0</v>
      </c>
      <c r="AN12" s="101">
        <f>IFERROR(VLOOKUP($E12&amp;AN$6,Base!$G:$K,5,0),0)</f>
        <v>0</v>
      </c>
      <c r="AO12" s="101">
        <f>IFERROR(VLOOKUP($E12&amp;AN$6,Base!$M:$Q,5,0),0)</f>
        <v>0</v>
      </c>
      <c r="AP12" s="109"/>
      <c r="AR12" s="104">
        <f t="shared" si="10"/>
        <v>0</v>
      </c>
      <c r="AS12" s="99">
        <f t="shared" si="11"/>
        <v>0</v>
      </c>
      <c r="AT12" s="99">
        <f t="shared" si="12"/>
        <v>0</v>
      </c>
      <c r="AU12" s="105">
        <f t="shared" si="13"/>
        <v>0</v>
      </c>
      <c r="AV12" s="108">
        <f>IFERROR(VLOOKUP($E12&amp;AV$6,Base!$A:$E,5,0),0)</f>
        <v>0</v>
      </c>
      <c r="AW12" s="101">
        <f>IFERROR(VLOOKUP($E12&amp;AW$6,Base!$G:$K,5,0),0)</f>
        <v>0</v>
      </c>
      <c r="AX12" s="101">
        <f>IFERROR(VLOOKUP($E12&amp;AW$6,Base!$M:$Q,5,0),0)</f>
        <v>0</v>
      </c>
      <c r="AY12" s="109">
        <v>0</v>
      </c>
      <c r="AZ12" s="108">
        <f>IFERROR(VLOOKUP($E12&amp;AZ$6,Base!$A:$E,5,0),0)</f>
        <v>0</v>
      </c>
      <c r="BA12" s="101">
        <f>IFERROR(VLOOKUP($E12&amp;BA$6,Base!$G:$K,5,0),0)</f>
        <v>0</v>
      </c>
      <c r="BB12" s="101">
        <f>IFERROR(VLOOKUP($E12&amp;BA$6,Base!$M:$Q,5,0),0)</f>
        <v>0</v>
      </c>
      <c r="BC12" s="109">
        <v>0</v>
      </c>
      <c r="BD12" s="108">
        <f>IFERROR(VLOOKUP($E12&amp;BD$6,Base!$A:$E,5,0),0)</f>
        <v>0</v>
      </c>
      <c r="BE12" s="101">
        <f>IFERROR(VLOOKUP($E12&amp;BE$6,Base!$G:$K,5,0),0)</f>
        <v>0</v>
      </c>
      <c r="BF12" s="101">
        <f>IFERROR(VLOOKUP($E12&amp;BE$6,Base!$M:$Q,5,0),0)</f>
        <v>0</v>
      </c>
      <c r="BG12" s="109">
        <v>0</v>
      </c>
      <c r="BI12" s="104">
        <f t="shared" si="14"/>
        <v>0</v>
      </c>
      <c r="BJ12" s="99">
        <f>BN12+BR12+BV12</f>
        <v>0</v>
      </c>
      <c r="BK12" s="99">
        <f t="shared" si="16"/>
        <v>0</v>
      </c>
      <c r="BL12" s="111">
        <f t="shared" si="17"/>
        <v>0</v>
      </c>
      <c r="BM12" s="108">
        <f>IFERROR(VLOOKUP($E12&amp;BM$6,Base!$A:$E,5,0),0)</f>
        <v>0</v>
      </c>
      <c r="BN12" s="101">
        <f>IFERROR(VLOOKUP($E12&amp;BN$6,Base!$G:$K,5,0),0)</f>
        <v>0</v>
      </c>
      <c r="BO12" s="101">
        <f>IFERROR(VLOOKUP($E12&amp;BN$6,Base!$M:$Q,5,0),0)</f>
        <v>0</v>
      </c>
      <c r="BP12" s="109">
        <v>0</v>
      </c>
      <c r="BQ12" s="108">
        <f>IFERROR(VLOOKUP($E12&amp;BQ$6,Base!$A:$E,5,0),0)</f>
        <v>0</v>
      </c>
      <c r="BR12" s="101">
        <f>IFERROR(VLOOKUP($E12&amp;BR$6,Base!$G:$K,5,0),0)</f>
        <v>0</v>
      </c>
      <c r="BS12" s="101">
        <f>IFERROR(VLOOKUP($E12&amp;BR$6,Base!$M:$Q,5,0),0)</f>
        <v>0</v>
      </c>
      <c r="BT12" s="109">
        <v>0</v>
      </c>
      <c r="BU12" s="108">
        <f>IFERROR(VLOOKUP($E12&amp;BU$6,Base!$A:$E,5,0),0)</f>
        <v>0</v>
      </c>
      <c r="BV12" s="101">
        <f>IFERROR(VLOOKUP($E12&amp;BV$6,Base!$G:$K,5,0),0)</f>
        <v>0</v>
      </c>
      <c r="BW12" s="101">
        <f>IFERROR(VLOOKUP($E12&amp;BV$6,Base!$M:$Q,5,0),0)</f>
        <v>0</v>
      </c>
      <c r="BX12" s="109">
        <f>IFERROR(VLOOKUP($E12,Base!$U:$W,3,0),0)</f>
        <v>0</v>
      </c>
    </row>
    <row r="13" spans="2:76" x14ac:dyDescent="0.35">
      <c r="B13" s="53" t="s">
        <v>402</v>
      </c>
      <c r="C13" s="51">
        <v>771</v>
      </c>
      <c r="D13" s="51" t="s">
        <v>404</v>
      </c>
      <c r="E13" s="51">
        <v>116011</v>
      </c>
      <c r="F13" s="96" t="s">
        <v>413</v>
      </c>
      <c r="G13" s="42" t="s">
        <v>78</v>
      </c>
      <c r="H13" s="98" t="s">
        <v>136</v>
      </c>
      <c r="I13" s="143" t="s">
        <v>144</v>
      </c>
      <c r="J13" s="104">
        <f t="shared" si="2"/>
        <v>0</v>
      </c>
      <c r="K13" s="99">
        <f t="shared" si="3"/>
        <v>0</v>
      </c>
      <c r="L13" s="99">
        <f t="shared" si="4"/>
        <v>0</v>
      </c>
      <c r="M13" s="105">
        <f t="shared" si="5"/>
        <v>0</v>
      </c>
      <c r="N13" s="108">
        <f>IFERROR(VLOOKUP($E13&amp;N$6,Base!$A:$E,5,0),0)</f>
        <v>0</v>
      </c>
      <c r="O13" s="101">
        <v>0</v>
      </c>
      <c r="P13" s="101">
        <v>0</v>
      </c>
      <c r="Q13" s="101"/>
      <c r="R13" s="108">
        <f>IFERROR(VLOOKUP($E13&amp;R$6,Base!$A:$E,5,0),0)</f>
        <v>0</v>
      </c>
      <c r="S13" s="101">
        <f>IFERROR(VLOOKUP($E13&amp;S$6,Base!$G:$K,5,0),0)</f>
        <v>0</v>
      </c>
      <c r="T13" s="101">
        <f>IFERROR(VLOOKUP($E13&amp;S$6,Base!$M:$Q,5,0),0)</f>
        <v>0</v>
      </c>
      <c r="U13" s="109"/>
      <c r="V13" s="108">
        <f>IFERROR(VLOOKUP($E13&amp;V$6,Base!$A:$E,5,0),0)</f>
        <v>0</v>
      </c>
      <c r="W13" s="101">
        <f>IFERROR(VLOOKUP($E13&amp;W$6,Base!$G:$K,5,0),0)</f>
        <v>0</v>
      </c>
      <c r="X13" s="101">
        <f>IFERROR(VLOOKUP($E13&amp;W$6,Base!$M:$Q,5,0),0)</f>
        <v>0</v>
      </c>
      <c r="Y13" s="109"/>
      <c r="AA13" s="104">
        <f t="shared" si="6"/>
        <v>0</v>
      </c>
      <c r="AB13" s="99">
        <f t="shared" si="7"/>
        <v>0</v>
      </c>
      <c r="AC13" s="99">
        <f t="shared" si="8"/>
        <v>0</v>
      </c>
      <c r="AD13" s="105">
        <f t="shared" si="9"/>
        <v>0</v>
      </c>
      <c r="AE13" s="108">
        <f>IFERROR(VLOOKUP($E13&amp;AE$6,Base!$A:$E,5,0),0)</f>
        <v>0</v>
      </c>
      <c r="AF13" s="101">
        <f>IFERROR(VLOOKUP($E13&amp;AF$6,Base!$G:$K,5,0),0)</f>
        <v>0</v>
      </c>
      <c r="AG13" s="101">
        <f>IFERROR(VLOOKUP($E13&amp;AF$6,Base!$M:$Q,5,0),0)</f>
        <v>0</v>
      </c>
      <c r="AH13" s="109"/>
      <c r="AI13" s="108">
        <f>IFERROR(VLOOKUP($E13&amp;AI$6,Base!$A:$E,5,0),0)</f>
        <v>0</v>
      </c>
      <c r="AJ13" s="101">
        <f>IFERROR(VLOOKUP($E13&amp;AJ$6,Base!$G:$K,5,0),0)</f>
        <v>0</v>
      </c>
      <c r="AK13" s="101">
        <f>IFERROR(VLOOKUP($E13&amp;AJ$6,Base!$M:$Q,5,0),0)</f>
        <v>0</v>
      </c>
      <c r="AL13" s="109">
        <v>0</v>
      </c>
      <c r="AM13" s="108">
        <f>IFERROR(VLOOKUP($E13&amp;AM$6,Base!$A:$E,5,0),0)</f>
        <v>0</v>
      </c>
      <c r="AN13" s="101">
        <f>IFERROR(VLOOKUP($E13&amp;AN$6,Base!$G:$K,5,0),0)</f>
        <v>0</v>
      </c>
      <c r="AO13" s="101">
        <f>IFERROR(VLOOKUP($E13&amp;AN$6,Base!$M:$Q,5,0),0)</f>
        <v>0</v>
      </c>
      <c r="AP13" s="109"/>
      <c r="AR13" s="104">
        <f t="shared" si="10"/>
        <v>0</v>
      </c>
      <c r="AS13" s="99">
        <f t="shared" si="11"/>
        <v>0</v>
      </c>
      <c r="AT13" s="99">
        <f t="shared" si="12"/>
        <v>0</v>
      </c>
      <c r="AU13" s="105">
        <f t="shared" si="13"/>
        <v>0</v>
      </c>
      <c r="AV13" s="108">
        <f>IFERROR(VLOOKUP($E13&amp;AV$6,Base!$A:$E,5,0),0)</f>
        <v>0</v>
      </c>
      <c r="AW13" s="101">
        <f>IFERROR(VLOOKUP($E13&amp;AW$6,Base!$G:$K,5,0),0)</f>
        <v>0</v>
      </c>
      <c r="AX13" s="101">
        <f>IFERROR(VLOOKUP($E13&amp;AW$6,Base!$M:$Q,5,0),0)</f>
        <v>0</v>
      </c>
      <c r="AY13" s="109">
        <v>0</v>
      </c>
      <c r="AZ13" s="108">
        <f>IFERROR(VLOOKUP($E13&amp;AZ$6,Base!$A:$E,5,0),0)</f>
        <v>0</v>
      </c>
      <c r="BA13" s="101">
        <f>IFERROR(VLOOKUP($E13&amp;BA$6,Base!$G:$K,5,0),0)</f>
        <v>0</v>
      </c>
      <c r="BB13" s="101">
        <f>IFERROR(VLOOKUP($E13&amp;BA$6,Base!$M:$Q,5,0),0)</f>
        <v>0</v>
      </c>
      <c r="BC13" s="109">
        <v>0</v>
      </c>
      <c r="BD13" s="108">
        <f>IFERROR(VLOOKUP($E13&amp;BD$6,Base!$A:$E,5,0),0)</f>
        <v>0</v>
      </c>
      <c r="BE13" s="101">
        <f>IFERROR(VLOOKUP($E13&amp;BE$6,Base!$G:$K,5,0),0)</f>
        <v>0</v>
      </c>
      <c r="BF13" s="101">
        <f>IFERROR(VLOOKUP($E13&amp;BE$6,Base!$M:$Q,5,0),0)</f>
        <v>0</v>
      </c>
      <c r="BG13" s="109">
        <v>0</v>
      </c>
      <c r="BI13" s="104">
        <f t="shared" si="14"/>
        <v>0</v>
      </c>
      <c r="BJ13" s="99">
        <f t="shared" si="15"/>
        <v>0</v>
      </c>
      <c r="BK13" s="99">
        <f t="shared" si="16"/>
        <v>0</v>
      </c>
      <c r="BL13" s="111">
        <f t="shared" si="17"/>
        <v>0</v>
      </c>
      <c r="BM13" s="108">
        <f>IFERROR(VLOOKUP($E13&amp;BM$6,Base!$A:$E,5,0),0)</f>
        <v>0</v>
      </c>
      <c r="BN13" s="101">
        <f>IFERROR(VLOOKUP($E13&amp;BN$6,Base!$G:$K,5,0),0)</f>
        <v>0</v>
      </c>
      <c r="BO13" s="101">
        <f>IFERROR(VLOOKUP($E13&amp;BN$6,Base!$M:$Q,5,0),0)</f>
        <v>0</v>
      </c>
      <c r="BP13" s="109">
        <v>0</v>
      </c>
      <c r="BQ13" s="108">
        <f>IFERROR(VLOOKUP($E13&amp;BQ$6,Base!$A:$E,5,0),0)</f>
        <v>0</v>
      </c>
      <c r="BR13" s="101">
        <f>IFERROR(VLOOKUP($E13&amp;BR$6,Base!$G:$K,5,0),0)</f>
        <v>0</v>
      </c>
      <c r="BS13" s="101">
        <f>IFERROR(VLOOKUP($E13&amp;BR$6,Base!$M:$Q,5,0),0)</f>
        <v>0</v>
      </c>
      <c r="BT13" s="109">
        <v>0</v>
      </c>
      <c r="BU13" s="108">
        <f>IFERROR(VLOOKUP($E13&amp;BU$6,Base!$A:$E,5,0),0)</f>
        <v>0</v>
      </c>
      <c r="BV13" s="101">
        <f>IFERROR(VLOOKUP($E13&amp;BV$6,Base!$G:$K,5,0),0)</f>
        <v>0</v>
      </c>
      <c r="BW13" s="101">
        <f>IFERROR(VLOOKUP($E13&amp;BV$6,Base!$M:$Q,5,0),0)</f>
        <v>0</v>
      </c>
      <c r="BX13" s="109">
        <f>IFERROR(VLOOKUP($E13,Base!$U:$W,3,0),0)</f>
        <v>0</v>
      </c>
    </row>
    <row r="14" spans="2:76" x14ac:dyDescent="0.35">
      <c r="B14" s="53" t="s">
        <v>402</v>
      </c>
      <c r="C14" s="51">
        <v>771</v>
      </c>
      <c r="D14" s="51" t="s">
        <v>404</v>
      </c>
      <c r="E14" s="51">
        <v>143128</v>
      </c>
      <c r="F14" s="96" t="s">
        <v>415</v>
      </c>
      <c r="G14" s="42" t="s">
        <v>141</v>
      </c>
      <c r="H14" s="98" t="s">
        <v>136</v>
      </c>
      <c r="I14" s="143" t="s">
        <v>144</v>
      </c>
      <c r="J14" s="104">
        <f t="shared" si="2"/>
        <v>0</v>
      </c>
      <c r="K14" s="99">
        <f t="shared" si="3"/>
        <v>0</v>
      </c>
      <c r="L14" s="99">
        <f t="shared" si="4"/>
        <v>0</v>
      </c>
      <c r="M14" s="105">
        <f t="shared" si="5"/>
        <v>0</v>
      </c>
      <c r="N14" s="108">
        <f>IFERROR(VLOOKUP($E14&amp;N$6,Base!$A:$E,5,0),0)</f>
        <v>0</v>
      </c>
      <c r="O14" s="101">
        <v>0</v>
      </c>
      <c r="P14" s="101">
        <v>0</v>
      </c>
      <c r="Q14" s="101"/>
      <c r="R14" s="108">
        <f>IFERROR(VLOOKUP($E14&amp;R$6,Base!$A:$E,5,0),0)</f>
        <v>0</v>
      </c>
      <c r="S14" s="101">
        <f>IFERROR(VLOOKUP($E14&amp;S$6,Base!$G:$K,5,0),0)</f>
        <v>0</v>
      </c>
      <c r="T14" s="101">
        <f>IFERROR(VLOOKUP($E14&amp;S$6,Base!$M:$Q,5,0),0)</f>
        <v>0</v>
      </c>
      <c r="U14" s="109"/>
      <c r="V14" s="108">
        <f>IFERROR(VLOOKUP($E14&amp;V$6,Base!$A:$E,5,0),0)</f>
        <v>0</v>
      </c>
      <c r="W14" s="101">
        <f>IFERROR(VLOOKUP($E14&amp;W$6,Base!$G:$K,5,0),0)</f>
        <v>0</v>
      </c>
      <c r="X14" s="101">
        <f>IFERROR(VLOOKUP($E14&amp;W$6,Base!$M:$Q,5,0),0)</f>
        <v>0</v>
      </c>
      <c r="Y14" s="109"/>
      <c r="AA14" s="104">
        <f t="shared" si="6"/>
        <v>0</v>
      </c>
      <c r="AB14" s="99">
        <f t="shared" si="7"/>
        <v>0</v>
      </c>
      <c r="AC14" s="99">
        <f t="shared" si="8"/>
        <v>0</v>
      </c>
      <c r="AD14" s="105">
        <f t="shared" si="9"/>
        <v>0</v>
      </c>
      <c r="AE14" s="108">
        <f>IFERROR(VLOOKUP($E14&amp;AE$6,Base!$A:$E,5,0),0)</f>
        <v>0</v>
      </c>
      <c r="AF14" s="101">
        <f>IFERROR(VLOOKUP($E14&amp;AF$6,Base!$G:$K,5,0),0)</f>
        <v>0</v>
      </c>
      <c r="AG14" s="101">
        <f>IFERROR(VLOOKUP($E14&amp;AF$6,Base!$M:$Q,5,0),0)</f>
        <v>0</v>
      </c>
      <c r="AH14" s="109"/>
      <c r="AI14" s="108">
        <f>IFERROR(VLOOKUP($E14&amp;AI$6,Base!$A:$E,5,0),0)</f>
        <v>0</v>
      </c>
      <c r="AJ14" s="101">
        <f>IFERROR(VLOOKUP($E14&amp;AJ$6,Base!$G:$K,5,0),0)</f>
        <v>0</v>
      </c>
      <c r="AK14" s="101">
        <f>IFERROR(VLOOKUP($E14&amp;AJ$6,Base!$M:$Q,5,0),0)</f>
        <v>0</v>
      </c>
      <c r="AL14" s="109">
        <v>0</v>
      </c>
      <c r="AM14" s="108">
        <f>IFERROR(VLOOKUP($E14&amp;AM$6,Base!$A:$E,5,0),0)</f>
        <v>0</v>
      </c>
      <c r="AN14" s="101">
        <f>IFERROR(VLOOKUP($E14&amp;AN$6,Base!$G:$K,5,0),0)</f>
        <v>0</v>
      </c>
      <c r="AO14" s="101">
        <f>IFERROR(VLOOKUP($E14&amp;AN$6,Base!$M:$Q,5,0),0)</f>
        <v>0</v>
      </c>
      <c r="AP14" s="109"/>
      <c r="AR14" s="104">
        <f t="shared" si="10"/>
        <v>0</v>
      </c>
      <c r="AS14" s="99">
        <f t="shared" si="11"/>
        <v>0</v>
      </c>
      <c r="AT14" s="99">
        <f t="shared" si="12"/>
        <v>0</v>
      </c>
      <c r="AU14" s="105">
        <f t="shared" si="13"/>
        <v>0</v>
      </c>
      <c r="AV14" s="108">
        <f>IFERROR(VLOOKUP($E14&amp;AV$6,Base!$A:$E,5,0),0)</f>
        <v>0</v>
      </c>
      <c r="AW14" s="101">
        <f>IFERROR(VLOOKUP($E14&amp;AW$6,Base!$G:$K,5,0),0)</f>
        <v>0</v>
      </c>
      <c r="AX14" s="101">
        <f>IFERROR(VLOOKUP($E14&amp;AW$6,Base!$M:$Q,5,0),0)</f>
        <v>0</v>
      </c>
      <c r="AY14" s="109">
        <v>0</v>
      </c>
      <c r="AZ14" s="108">
        <f>IFERROR(VLOOKUP($E14&amp;AZ$6,Base!$A:$E,5,0),0)</f>
        <v>0</v>
      </c>
      <c r="BA14" s="101">
        <f>IFERROR(VLOOKUP($E14&amp;BA$6,Base!$G:$K,5,0),0)</f>
        <v>0</v>
      </c>
      <c r="BB14" s="101">
        <f>IFERROR(VLOOKUP($E14&amp;BA$6,Base!$M:$Q,5,0),0)</f>
        <v>0</v>
      </c>
      <c r="BC14" s="109">
        <v>0</v>
      </c>
      <c r="BD14" s="108">
        <f>IFERROR(VLOOKUP($E14&amp;BD$6,Base!$A:$E,5,0),0)</f>
        <v>0</v>
      </c>
      <c r="BE14" s="101">
        <f>IFERROR(VLOOKUP($E14&amp;BE$6,Base!$G:$K,5,0),0)</f>
        <v>0</v>
      </c>
      <c r="BF14" s="101">
        <f>IFERROR(VLOOKUP($E14&amp;BE$6,Base!$M:$Q,5,0),0)</f>
        <v>0</v>
      </c>
      <c r="BG14" s="109">
        <v>0</v>
      </c>
      <c r="BI14" s="104">
        <f t="shared" si="14"/>
        <v>0</v>
      </c>
      <c r="BJ14" s="99">
        <f t="shared" si="15"/>
        <v>0</v>
      </c>
      <c r="BK14" s="99">
        <f t="shared" si="16"/>
        <v>0</v>
      </c>
      <c r="BL14" s="111">
        <f t="shared" si="17"/>
        <v>0</v>
      </c>
      <c r="BM14" s="108">
        <f>IFERROR(VLOOKUP($E14&amp;BM$6,Base!$A:$E,5,0),0)</f>
        <v>0</v>
      </c>
      <c r="BN14" s="101">
        <f>IFERROR(VLOOKUP($E14&amp;BN$6,Base!$G:$K,5,0),0)</f>
        <v>0</v>
      </c>
      <c r="BO14" s="101">
        <f>IFERROR(VLOOKUP($E14&amp;BN$6,Base!$M:$Q,5,0),0)</f>
        <v>0</v>
      </c>
      <c r="BP14" s="109">
        <v>0</v>
      </c>
      <c r="BQ14" s="108">
        <f>IFERROR(VLOOKUP($E14&amp;BQ$6,Base!$A:$E,5,0),0)</f>
        <v>0</v>
      </c>
      <c r="BR14" s="101">
        <f>IFERROR(VLOOKUP($E14&amp;BR$6,Base!$G:$K,5,0),0)</f>
        <v>0</v>
      </c>
      <c r="BS14" s="101">
        <f>IFERROR(VLOOKUP($E14&amp;BR$6,Base!$M:$Q,5,0),0)</f>
        <v>0</v>
      </c>
      <c r="BT14" s="109">
        <v>0</v>
      </c>
      <c r="BU14" s="108">
        <f>IFERROR(VLOOKUP($E14&amp;BU$6,Base!$A:$E,5,0),0)</f>
        <v>0</v>
      </c>
      <c r="BV14" s="101">
        <f>IFERROR(VLOOKUP($E14&amp;BV$6,Base!$G:$K,5,0),0)</f>
        <v>0</v>
      </c>
      <c r="BW14" s="101">
        <f>IFERROR(VLOOKUP($E14&amp;BV$6,Base!$M:$Q,5,0),0)</f>
        <v>0</v>
      </c>
      <c r="BX14" s="109">
        <f>IFERROR(VLOOKUP($E14,Base!$U:$W,3,0),0)</f>
        <v>0</v>
      </c>
    </row>
    <row r="15" spans="2:76" x14ac:dyDescent="0.35">
      <c r="B15" s="53" t="s">
        <v>402</v>
      </c>
      <c r="C15" s="51">
        <v>771</v>
      </c>
      <c r="D15" s="51" t="s">
        <v>404</v>
      </c>
      <c r="E15" s="51">
        <v>171117</v>
      </c>
      <c r="F15" s="96" t="s">
        <v>417</v>
      </c>
      <c r="G15" s="42" t="s">
        <v>78</v>
      </c>
      <c r="H15" s="98" t="s">
        <v>136</v>
      </c>
      <c r="I15" s="143" t="s">
        <v>144</v>
      </c>
      <c r="J15" s="104">
        <f t="shared" si="2"/>
        <v>0</v>
      </c>
      <c r="K15" s="99">
        <f t="shared" si="3"/>
        <v>0</v>
      </c>
      <c r="L15" s="99">
        <f t="shared" si="4"/>
        <v>0</v>
      </c>
      <c r="M15" s="105">
        <f t="shared" si="5"/>
        <v>0</v>
      </c>
      <c r="N15" s="108">
        <f>IFERROR(VLOOKUP($E15&amp;N$6,Base!$A:$E,5,0),0)</f>
        <v>0</v>
      </c>
      <c r="O15" s="101">
        <v>0</v>
      </c>
      <c r="P15" s="101">
        <v>0</v>
      </c>
      <c r="Q15" s="101"/>
      <c r="R15" s="108">
        <f>IFERROR(VLOOKUP($E15&amp;R$6,Base!$A:$E,5,0),0)</f>
        <v>0</v>
      </c>
      <c r="S15" s="101">
        <f>IFERROR(VLOOKUP($E15&amp;S$6,Base!$G:$K,5,0),0)</f>
        <v>0</v>
      </c>
      <c r="T15" s="101">
        <f>IFERROR(VLOOKUP($E15&amp;S$6,Base!$M:$Q,5,0),0)</f>
        <v>0</v>
      </c>
      <c r="U15" s="109"/>
      <c r="V15" s="108">
        <f>IFERROR(VLOOKUP($E15&amp;V$6,Base!$A:$E,5,0),0)</f>
        <v>0</v>
      </c>
      <c r="W15" s="101">
        <f>IFERROR(VLOOKUP($E15&amp;W$6,Base!$G:$K,5,0),0)</f>
        <v>0</v>
      </c>
      <c r="X15" s="101">
        <f>IFERROR(VLOOKUP($E15&amp;W$6,Base!$M:$Q,5,0),0)</f>
        <v>0</v>
      </c>
      <c r="Y15" s="109"/>
      <c r="AA15" s="104">
        <f t="shared" si="6"/>
        <v>0</v>
      </c>
      <c r="AB15" s="99">
        <f t="shared" si="7"/>
        <v>0</v>
      </c>
      <c r="AC15" s="99">
        <f t="shared" si="8"/>
        <v>0</v>
      </c>
      <c r="AD15" s="105">
        <f t="shared" si="9"/>
        <v>0</v>
      </c>
      <c r="AE15" s="108">
        <f>IFERROR(VLOOKUP($E15&amp;AE$6,Base!$A:$E,5,0),0)</f>
        <v>0</v>
      </c>
      <c r="AF15" s="101">
        <f>IFERROR(VLOOKUP($E15&amp;AF$6,Base!$G:$K,5,0),0)</f>
        <v>0</v>
      </c>
      <c r="AG15" s="101">
        <f>IFERROR(VLOOKUP($E15&amp;AF$6,Base!$M:$Q,5,0),0)</f>
        <v>0</v>
      </c>
      <c r="AH15" s="109"/>
      <c r="AI15" s="108">
        <f>IFERROR(VLOOKUP($E15&amp;AI$6,Base!$A:$E,5,0),0)</f>
        <v>0</v>
      </c>
      <c r="AJ15" s="101">
        <f>IFERROR(VLOOKUP($E15&amp;AJ$6,Base!$G:$K,5,0),0)</f>
        <v>0</v>
      </c>
      <c r="AK15" s="101">
        <f>IFERROR(VLOOKUP($E15&amp;AJ$6,Base!$M:$Q,5,0),0)</f>
        <v>0</v>
      </c>
      <c r="AL15" s="109">
        <v>0</v>
      </c>
      <c r="AM15" s="108">
        <f>IFERROR(VLOOKUP($E15&amp;AM$6,Base!$A:$E,5,0),0)</f>
        <v>0</v>
      </c>
      <c r="AN15" s="101">
        <f>IFERROR(VLOOKUP($E15&amp;AN$6,Base!$G:$K,5,0),0)</f>
        <v>0</v>
      </c>
      <c r="AO15" s="101">
        <f>IFERROR(VLOOKUP($E15&amp;AN$6,Base!$M:$Q,5,0),0)</f>
        <v>0</v>
      </c>
      <c r="AP15" s="109"/>
      <c r="AR15" s="104">
        <f t="shared" si="10"/>
        <v>0</v>
      </c>
      <c r="AS15" s="99">
        <f t="shared" si="11"/>
        <v>0</v>
      </c>
      <c r="AT15" s="99">
        <f t="shared" si="12"/>
        <v>0</v>
      </c>
      <c r="AU15" s="105">
        <f t="shared" si="13"/>
        <v>0</v>
      </c>
      <c r="AV15" s="108">
        <f>IFERROR(VLOOKUP($E15&amp;AV$6,Base!$A:$E,5,0),0)</f>
        <v>0</v>
      </c>
      <c r="AW15" s="101">
        <f>IFERROR(VLOOKUP($E15&amp;AW$6,Base!$G:$K,5,0),0)</f>
        <v>0</v>
      </c>
      <c r="AX15" s="101">
        <f>IFERROR(VLOOKUP($E15&amp;AW$6,Base!$M:$Q,5,0),0)</f>
        <v>0</v>
      </c>
      <c r="AY15" s="109">
        <v>0</v>
      </c>
      <c r="AZ15" s="108">
        <f>IFERROR(VLOOKUP($E15&amp;AZ$6,Base!$A:$E,5,0),0)</f>
        <v>0</v>
      </c>
      <c r="BA15" s="101">
        <f>IFERROR(VLOOKUP($E15&amp;BA$6,Base!$G:$K,5,0),0)</f>
        <v>0</v>
      </c>
      <c r="BB15" s="101">
        <f>IFERROR(VLOOKUP($E15&amp;BA$6,Base!$M:$Q,5,0),0)</f>
        <v>0</v>
      </c>
      <c r="BC15" s="109">
        <v>0</v>
      </c>
      <c r="BD15" s="108">
        <f>IFERROR(VLOOKUP($E15&amp;BD$6,Base!$A:$E,5,0),0)</f>
        <v>0</v>
      </c>
      <c r="BE15" s="101">
        <f>IFERROR(VLOOKUP($E15&amp;BE$6,Base!$G:$K,5,0),0)</f>
        <v>0</v>
      </c>
      <c r="BF15" s="101">
        <f>IFERROR(VLOOKUP($E15&amp;BE$6,Base!$M:$Q,5,0),0)</f>
        <v>0</v>
      </c>
      <c r="BG15" s="109">
        <v>0</v>
      </c>
      <c r="BI15" s="104">
        <f t="shared" si="14"/>
        <v>0</v>
      </c>
      <c r="BJ15" s="99">
        <f t="shared" si="15"/>
        <v>0</v>
      </c>
      <c r="BK15" s="99">
        <f t="shared" si="16"/>
        <v>0</v>
      </c>
      <c r="BL15" s="111">
        <f t="shared" si="17"/>
        <v>0</v>
      </c>
      <c r="BM15" s="108">
        <f>IFERROR(VLOOKUP($E15&amp;BM$6,Base!$A:$E,5,0),0)</f>
        <v>0</v>
      </c>
      <c r="BN15" s="101">
        <f>IFERROR(VLOOKUP($E15&amp;BN$6,Base!$G:$K,5,0),0)</f>
        <v>0</v>
      </c>
      <c r="BO15" s="101">
        <f>IFERROR(VLOOKUP($E15&amp;BN$6,Base!$M:$Q,5,0),0)</f>
        <v>0</v>
      </c>
      <c r="BP15" s="109">
        <v>0</v>
      </c>
      <c r="BQ15" s="108">
        <f>IFERROR(VLOOKUP($E15&amp;BQ$6,Base!$A:$E,5,0),0)</f>
        <v>0</v>
      </c>
      <c r="BR15" s="101">
        <f>IFERROR(VLOOKUP($E15&amp;BR$6,Base!$G:$K,5,0),0)</f>
        <v>0</v>
      </c>
      <c r="BS15" s="101">
        <f>IFERROR(VLOOKUP($E15&amp;BR$6,Base!$M:$Q,5,0),0)</f>
        <v>0</v>
      </c>
      <c r="BT15" s="109">
        <v>0</v>
      </c>
      <c r="BU15" s="108">
        <f>IFERROR(VLOOKUP($E15&amp;BU$6,Base!$A:$E,5,0),0)</f>
        <v>0</v>
      </c>
      <c r="BV15" s="101">
        <f>IFERROR(VLOOKUP($E15&amp;BV$6,Base!$G:$K,5,0),0)</f>
        <v>0</v>
      </c>
      <c r="BW15" s="101">
        <f>IFERROR(VLOOKUP($E15&amp;BV$6,Base!$M:$Q,5,0),0)</f>
        <v>0</v>
      </c>
      <c r="BX15" s="109">
        <f>IFERROR(VLOOKUP($E15,Base!$U:$W,3,0),0)</f>
        <v>0</v>
      </c>
    </row>
    <row r="16" spans="2:76" x14ac:dyDescent="0.35">
      <c r="B16" s="53" t="s">
        <v>402</v>
      </c>
      <c r="C16" s="51">
        <v>771</v>
      </c>
      <c r="D16" s="51" t="s">
        <v>404</v>
      </c>
      <c r="E16" s="51">
        <v>184604</v>
      </c>
      <c r="F16" s="96" t="s">
        <v>419</v>
      </c>
      <c r="G16" s="42" t="s">
        <v>141</v>
      </c>
      <c r="H16" s="98" t="s">
        <v>136</v>
      </c>
      <c r="I16" s="143" t="s">
        <v>144</v>
      </c>
      <c r="J16" s="104">
        <f t="shared" si="2"/>
        <v>0</v>
      </c>
      <c r="K16" s="99">
        <f t="shared" si="3"/>
        <v>0</v>
      </c>
      <c r="L16" s="99">
        <f t="shared" si="4"/>
        <v>0</v>
      </c>
      <c r="M16" s="105">
        <f t="shared" si="5"/>
        <v>0</v>
      </c>
      <c r="N16" s="108">
        <f>IFERROR(VLOOKUP($E16&amp;N$6,Base!$A:$E,5,0),0)</f>
        <v>0</v>
      </c>
      <c r="O16" s="101">
        <v>0</v>
      </c>
      <c r="P16" s="101">
        <v>0</v>
      </c>
      <c r="Q16" s="101"/>
      <c r="R16" s="108">
        <f>IFERROR(VLOOKUP($E16&amp;R$6,Base!$A:$E,5,0),0)</f>
        <v>0</v>
      </c>
      <c r="S16" s="101">
        <f>IFERROR(VLOOKUP($E16&amp;S$6,Base!$G:$K,5,0),0)</f>
        <v>0</v>
      </c>
      <c r="T16" s="101">
        <f>IFERROR(VLOOKUP($E16&amp;S$6,Base!$M:$Q,5,0),0)</f>
        <v>0</v>
      </c>
      <c r="U16" s="109"/>
      <c r="V16" s="108">
        <f>IFERROR(VLOOKUP($E16&amp;V$6,Base!$A:$E,5,0),0)</f>
        <v>0</v>
      </c>
      <c r="W16" s="101">
        <f>IFERROR(VLOOKUP($E16&amp;W$6,Base!$G:$K,5,0),0)</f>
        <v>0</v>
      </c>
      <c r="X16" s="101">
        <f>IFERROR(VLOOKUP($E16&amp;W$6,Base!$M:$Q,5,0),0)</f>
        <v>0</v>
      </c>
      <c r="Y16" s="109"/>
      <c r="AA16" s="104">
        <f t="shared" si="6"/>
        <v>0</v>
      </c>
      <c r="AB16" s="99">
        <f t="shared" si="7"/>
        <v>0</v>
      </c>
      <c r="AC16" s="99">
        <f t="shared" si="8"/>
        <v>0</v>
      </c>
      <c r="AD16" s="105">
        <f t="shared" si="9"/>
        <v>0</v>
      </c>
      <c r="AE16" s="108">
        <f>IFERROR(VLOOKUP($E16&amp;AE$6,Base!$A:$E,5,0),0)</f>
        <v>0</v>
      </c>
      <c r="AF16" s="101">
        <f>IFERROR(VLOOKUP($E16&amp;AF$6,Base!$G:$K,5,0),0)</f>
        <v>0</v>
      </c>
      <c r="AG16" s="101">
        <f>IFERROR(VLOOKUP($E16&amp;AF$6,Base!$M:$Q,5,0),0)</f>
        <v>0</v>
      </c>
      <c r="AH16" s="109"/>
      <c r="AI16" s="108">
        <f>IFERROR(VLOOKUP($E16&amp;AI$6,Base!$A:$E,5,0),0)</f>
        <v>0</v>
      </c>
      <c r="AJ16" s="101">
        <f>IFERROR(VLOOKUP($E16&amp;AJ$6,Base!$G:$K,5,0),0)</f>
        <v>0</v>
      </c>
      <c r="AK16" s="101">
        <f>IFERROR(VLOOKUP($E16&amp;AJ$6,Base!$M:$Q,5,0),0)</f>
        <v>0</v>
      </c>
      <c r="AL16" s="109">
        <v>0</v>
      </c>
      <c r="AM16" s="108">
        <f>IFERROR(VLOOKUP($E16&amp;AM$6,Base!$A:$E,5,0),0)</f>
        <v>0</v>
      </c>
      <c r="AN16" s="101">
        <f>IFERROR(VLOOKUP($E16&amp;AN$6,Base!$G:$K,5,0),0)</f>
        <v>0</v>
      </c>
      <c r="AO16" s="101">
        <f>IFERROR(VLOOKUP($E16&amp;AN$6,Base!$M:$Q,5,0),0)</f>
        <v>0</v>
      </c>
      <c r="AP16" s="109"/>
      <c r="AR16" s="104">
        <f t="shared" si="10"/>
        <v>0</v>
      </c>
      <c r="AS16" s="99">
        <f t="shared" si="11"/>
        <v>0</v>
      </c>
      <c r="AT16" s="99">
        <f t="shared" si="12"/>
        <v>0</v>
      </c>
      <c r="AU16" s="105">
        <f t="shared" si="13"/>
        <v>0</v>
      </c>
      <c r="AV16" s="108">
        <f>IFERROR(VLOOKUP($E16&amp;AV$6,Base!$A:$E,5,0),0)</f>
        <v>0</v>
      </c>
      <c r="AW16" s="101">
        <f>IFERROR(VLOOKUP($E16&amp;AW$6,Base!$G:$K,5,0),0)</f>
        <v>0</v>
      </c>
      <c r="AX16" s="101">
        <f>IFERROR(VLOOKUP($E16&amp;AW$6,Base!$M:$Q,5,0),0)</f>
        <v>0</v>
      </c>
      <c r="AY16" s="109">
        <v>0</v>
      </c>
      <c r="AZ16" s="108">
        <f>IFERROR(VLOOKUP($E16&amp;AZ$6,Base!$A:$E,5,0),0)</f>
        <v>0</v>
      </c>
      <c r="BA16" s="101">
        <f>IFERROR(VLOOKUP($E16&amp;BA$6,Base!$G:$K,5,0),0)</f>
        <v>0</v>
      </c>
      <c r="BB16" s="101">
        <f>IFERROR(VLOOKUP($E16&amp;BA$6,Base!$M:$Q,5,0),0)</f>
        <v>0</v>
      </c>
      <c r="BC16" s="109">
        <v>0</v>
      </c>
      <c r="BD16" s="108">
        <f>IFERROR(VLOOKUP($E16&amp;BD$6,Base!$A:$E,5,0),0)</f>
        <v>0</v>
      </c>
      <c r="BE16" s="101">
        <f>IFERROR(VLOOKUP($E16&amp;BE$6,Base!$G:$K,5,0),0)</f>
        <v>0</v>
      </c>
      <c r="BF16" s="101">
        <f>IFERROR(VLOOKUP($E16&amp;BE$6,Base!$M:$Q,5,0),0)</f>
        <v>0</v>
      </c>
      <c r="BG16" s="109">
        <v>0</v>
      </c>
      <c r="BI16" s="104">
        <f t="shared" si="14"/>
        <v>0</v>
      </c>
      <c r="BJ16" s="99">
        <f t="shared" si="15"/>
        <v>0</v>
      </c>
      <c r="BK16" s="99">
        <f t="shared" si="16"/>
        <v>0</v>
      </c>
      <c r="BL16" s="111">
        <f t="shared" si="17"/>
        <v>0</v>
      </c>
      <c r="BM16" s="108">
        <f>IFERROR(VLOOKUP($E16&amp;BM$6,Base!$A:$E,5,0),0)</f>
        <v>0</v>
      </c>
      <c r="BN16" s="101">
        <f>IFERROR(VLOOKUP($E16&amp;BN$6,Base!$G:$K,5,0),0)</f>
        <v>0</v>
      </c>
      <c r="BO16" s="101">
        <f>IFERROR(VLOOKUP($E16&amp;BN$6,Base!$M:$Q,5,0),0)</f>
        <v>0</v>
      </c>
      <c r="BP16" s="109">
        <v>0</v>
      </c>
      <c r="BQ16" s="108">
        <f>IFERROR(VLOOKUP($E16&amp;BQ$6,Base!$A:$E,5,0),0)</f>
        <v>0</v>
      </c>
      <c r="BR16" s="101">
        <f>IFERROR(VLOOKUP($E16&amp;BR$6,Base!$G:$K,5,0),0)</f>
        <v>0</v>
      </c>
      <c r="BS16" s="101">
        <f>IFERROR(VLOOKUP($E16&amp;BR$6,Base!$M:$Q,5,0),0)</f>
        <v>0</v>
      </c>
      <c r="BT16" s="109">
        <v>0</v>
      </c>
      <c r="BU16" s="108">
        <f>IFERROR(VLOOKUP($E16&amp;BU$6,Base!$A:$E,5,0),0)</f>
        <v>0</v>
      </c>
      <c r="BV16" s="101">
        <f>IFERROR(VLOOKUP($E16&amp;BV$6,Base!$G:$K,5,0),0)</f>
        <v>0</v>
      </c>
      <c r="BW16" s="101">
        <f>IFERROR(VLOOKUP($E16&amp;BV$6,Base!$M:$Q,5,0),0)</f>
        <v>0</v>
      </c>
      <c r="BX16" s="109">
        <f>IFERROR(VLOOKUP($E16,Base!$U:$W,3,0),0)</f>
        <v>0</v>
      </c>
    </row>
    <row r="17" spans="2:76" x14ac:dyDescent="0.35">
      <c r="B17" s="53" t="s">
        <v>402</v>
      </c>
      <c r="C17" s="51">
        <v>771</v>
      </c>
      <c r="D17" s="51" t="s">
        <v>404</v>
      </c>
      <c r="E17" s="51">
        <v>185710</v>
      </c>
      <c r="F17" s="96" t="s">
        <v>421</v>
      </c>
      <c r="G17" s="42" t="s">
        <v>12</v>
      </c>
      <c r="H17" s="98" t="s">
        <v>136</v>
      </c>
      <c r="I17" s="143" t="s">
        <v>144</v>
      </c>
      <c r="J17" s="104">
        <f t="shared" si="2"/>
        <v>0</v>
      </c>
      <c r="K17" s="99">
        <f t="shared" si="3"/>
        <v>0</v>
      </c>
      <c r="L17" s="99">
        <f t="shared" si="4"/>
        <v>0</v>
      </c>
      <c r="M17" s="105">
        <f t="shared" si="5"/>
        <v>0</v>
      </c>
      <c r="N17" s="108">
        <f>IFERROR(VLOOKUP($E17&amp;N$6,Base!$A:$E,5,0),0)</f>
        <v>0</v>
      </c>
      <c r="O17" s="101">
        <v>0</v>
      </c>
      <c r="P17" s="101">
        <v>0</v>
      </c>
      <c r="Q17" s="101"/>
      <c r="R17" s="108">
        <f>IFERROR(VLOOKUP($E17&amp;R$6,Base!$A:$E,5,0),0)</f>
        <v>0</v>
      </c>
      <c r="S17" s="101">
        <f>IFERROR(VLOOKUP($E17&amp;S$6,Base!$G:$K,5,0),0)</f>
        <v>0</v>
      </c>
      <c r="T17" s="101">
        <f>IFERROR(VLOOKUP($E17&amp;S$6,Base!$M:$Q,5,0),0)</f>
        <v>0</v>
      </c>
      <c r="U17" s="109"/>
      <c r="V17" s="108">
        <f>IFERROR(VLOOKUP($E17&amp;V$6,Base!$A:$E,5,0),0)</f>
        <v>0</v>
      </c>
      <c r="W17" s="101">
        <f>IFERROR(VLOOKUP($E17&amp;W$6,Base!$G:$K,5,0),0)</f>
        <v>0</v>
      </c>
      <c r="X17" s="101">
        <f>IFERROR(VLOOKUP($E17&amp;W$6,Base!$M:$Q,5,0),0)</f>
        <v>0</v>
      </c>
      <c r="Y17" s="109"/>
      <c r="AA17" s="104">
        <f t="shared" si="6"/>
        <v>0</v>
      </c>
      <c r="AB17" s="99">
        <f t="shared" si="7"/>
        <v>0</v>
      </c>
      <c r="AC17" s="99">
        <f t="shared" si="8"/>
        <v>0</v>
      </c>
      <c r="AD17" s="105">
        <f t="shared" si="9"/>
        <v>0</v>
      </c>
      <c r="AE17" s="108">
        <f>IFERROR(VLOOKUP($E17&amp;AE$6,Base!$A:$E,5,0),0)</f>
        <v>0</v>
      </c>
      <c r="AF17" s="101">
        <f>IFERROR(VLOOKUP($E17&amp;AF$6,Base!$G:$K,5,0),0)</f>
        <v>0</v>
      </c>
      <c r="AG17" s="101">
        <f>IFERROR(VLOOKUP($E17&amp;AF$6,Base!$M:$Q,5,0),0)</f>
        <v>0</v>
      </c>
      <c r="AH17" s="109"/>
      <c r="AI17" s="108">
        <f>IFERROR(VLOOKUP($E17&amp;AI$6,Base!$A:$E,5,0),0)</f>
        <v>0</v>
      </c>
      <c r="AJ17" s="101">
        <f>IFERROR(VLOOKUP($E17&amp;AJ$6,Base!$G:$K,5,0),0)</f>
        <v>0</v>
      </c>
      <c r="AK17" s="101">
        <f>IFERROR(VLOOKUP($E17&amp;AJ$6,Base!$M:$Q,5,0),0)</f>
        <v>0</v>
      </c>
      <c r="AL17" s="109">
        <v>0</v>
      </c>
      <c r="AM17" s="108">
        <f>IFERROR(VLOOKUP($E17&amp;AM$6,Base!$A:$E,5,0),0)</f>
        <v>0</v>
      </c>
      <c r="AN17" s="101">
        <f>IFERROR(VLOOKUP($E17&amp;AN$6,Base!$G:$K,5,0),0)</f>
        <v>0</v>
      </c>
      <c r="AO17" s="101">
        <f>IFERROR(VLOOKUP($E17&amp;AN$6,Base!$M:$Q,5,0),0)</f>
        <v>0</v>
      </c>
      <c r="AP17" s="109"/>
      <c r="AR17" s="104">
        <f t="shared" si="10"/>
        <v>0</v>
      </c>
      <c r="AS17" s="99">
        <f t="shared" si="11"/>
        <v>0</v>
      </c>
      <c r="AT17" s="99">
        <f t="shared" si="12"/>
        <v>0</v>
      </c>
      <c r="AU17" s="105">
        <f t="shared" si="13"/>
        <v>0</v>
      </c>
      <c r="AV17" s="108">
        <f>IFERROR(VLOOKUP($E17&amp;AV$6,Base!$A:$E,5,0),0)</f>
        <v>0</v>
      </c>
      <c r="AW17" s="101">
        <f>IFERROR(VLOOKUP($E17&amp;AW$6,Base!$G:$K,5,0),0)</f>
        <v>0</v>
      </c>
      <c r="AX17" s="101">
        <f>IFERROR(VLOOKUP($E17&amp;AW$6,Base!$M:$Q,5,0),0)</f>
        <v>0</v>
      </c>
      <c r="AY17" s="109">
        <v>0</v>
      </c>
      <c r="AZ17" s="108">
        <f>IFERROR(VLOOKUP($E17&amp;AZ$6,Base!$A:$E,5,0),0)</f>
        <v>0</v>
      </c>
      <c r="BA17" s="101">
        <f>IFERROR(VLOOKUP($E17&amp;BA$6,Base!$G:$K,5,0),0)</f>
        <v>0</v>
      </c>
      <c r="BB17" s="101">
        <f>IFERROR(VLOOKUP($E17&amp;BA$6,Base!$M:$Q,5,0),0)</f>
        <v>0</v>
      </c>
      <c r="BC17" s="109">
        <v>0</v>
      </c>
      <c r="BD17" s="108">
        <f>IFERROR(VLOOKUP($E17&amp;BD$6,Base!$A:$E,5,0),0)</f>
        <v>0</v>
      </c>
      <c r="BE17" s="101">
        <f>IFERROR(VLOOKUP($E17&amp;BE$6,Base!$G:$K,5,0),0)</f>
        <v>0</v>
      </c>
      <c r="BF17" s="101">
        <f>IFERROR(VLOOKUP($E17&amp;BE$6,Base!$M:$Q,5,0),0)</f>
        <v>0</v>
      </c>
      <c r="BG17" s="109">
        <v>0</v>
      </c>
      <c r="BI17" s="104">
        <f t="shared" si="14"/>
        <v>0</v>
      </c>
      <c r="BJ17" s="99">
        <f t="shared" si="15"/>
        <v>0</v>
      </c>
      <c r="BK17" s="99">
        <f t="shared" si="16"/>
        <v>0</v>
      </c>
      <c r="BL17" s="111">
        <f t="shared" si="17"/>
        <v>0</v>
      </c>
      <c r="BM17" s="108">
        <f>IFERROR(VLOOKUP($E17&amp;BM$6,Base!$A:$E,5,0),0)</f>
        <v>0</v>
      </c>
      <c r="BN17" s="101">
        <f>IFERROR(VLOOKUP($E17&amp;BN$6,Base!$G:$K,5,0),0)</f>
        <v>0</v>
      </c>
      <c r="BO17" s="101">
        <f>IFERROR(VLOOKUP($E17&amp;BN$6,Base!$M:$Q,5,0),0)</f>
        <v>0</v>
      </c>
      <c r="BP17" s="109">
        <v>0</v>
      </c>
      <c r="BQ17" s="108">
        <f>IFERROR(VLOOKUP($E17&amp;BQ$6,Base!$A:$E,5,0),0)</f>
        <v>0</v>
      </c>
      <c r="BR17" s="101">
        <f>IFERROR(VLOOKUP($E17&amp;BR$6,Base!$G:$K,5,0),0)</f>
        <v>0</v>
      </c>
      <c r="BS17" s="101">
        <f>IFERROR(VLOOKUP($E17&amp;BR$6,Base!$M:$Q,5,0),0)</f>
        <v>0</v>
      </c>
      <c r="BT17" s="109">
        <v>0</v>
      </c>
      <c r="BU17" s="108">
        <f>IFERROR(VLOOKUP($E17&amp;BU$6,Base!$A:$E,5,0),0)</f>
        <v>0</v>
      </c>
      <c r="BV17" s="101">
        <f>IFERROR(VLOOKUP($E17&amp;BV$6,Base!$G:$K,5,0),0)</f>
        <v>0</v>
      </c>
      <c r="BW17" s="101">
        <f>IFERROR(VLOOKUP($E17&amp;BV$6,Base!$M:$Q,5,0),0)</f>
        <v>0</v>
      </c>
      <c r="BX17" s="109">
        <f>IFERROR(VLOOKUP($E17,Base!$U:$W,3,0),0)</f>
        <v>0</v>
      </c>
    </row>
    <row r="18" spans="2:76" x14ac:dyDescent="0.35">
      <c r="B18" s="53" t="s">
        <v>402</v>
      </c>
      <c r="C18" s="51">
        <v>771</v>
      </c>
      <c r="D18" s="51" t="s">
        <v>404</v>
      </c>
      <c r="E18" s="51">
        <v>185711</v>
      </c>
      <c r="F18" s="96" t="s">
        <v>423</v>
      </c>
      <c r="G18" s="42" t="s">
        <v>12</v>
      </c>
      <c r="H18" s="98" t="s">
        <v>136</v>
      </c>
      <c r="I18" s="143" t="s">
        <v>144</v>
      </c>
      <c r="J18" s="104">
        <f t="shared" si="2"/>
        <v>0</v>
      </c>
      <c r="K18" s="99">
        <f t="shared" si="3"/>
        <v>0</v>
      </c>
      <c r="L18" s="99">
        <f t="shared" si="4"/>
        <v>0</v>
      </c>
      <c r="M18" s="105">
        <f t="shared" si="5"/>
        <v>0</v>
      </c>
      <c r="N18" s="108">
        <f>IFERROR(VLOOKUP($E18&amp;N$6,Base!$A:$E,5,0),0)</f>
        <v>0</v>
      </c>
      <c r="O18" s="101">
        <v>0</v>
      </c>
      <c r="P18" s="101">
        <v>0</v>
      </c>
      <c r="Q18" s="101"/>
      <c r="R18" s="108">
        <f>IFERROR(VLOOKUP($E18&amp;R$6,Base!$A:$E,5,0),0)</f>
        <v>0</v>
      </c>
      <c r="S18" s="101">
        <f>IFERROR(VLOOKUP($E18&amp;S$6,Base!$G:$K,5,0),0)</f>
        <v>0</v>
      </c>
      <c r="T18" s="101">
        <f>IFERROR(VLOOKUP($E18&amp;S$6,Base!$M:$Q,5,0),0)</f>
        <v>0</v>
      </c>
      <c r="U18" s="109"/>
      <c r="V18" s="108">
        <f>IFERROR(VLOOKUP($E18&amp;V$6,Base!$A:$E,5,0),0)</f>
        <v>0</v>
      </c>
      <c r="W18" s="101">
        <f>IFERROR(VLOOKUP($E18&amp;W$6,Base!$G:$K,5,0),0)</f>
        <v>0</v>
      </c>
      <c r="X18" s="101">
        <f>IFERROR(VLOOKUP($E18&amp;W$6,Base!$M:$Q,5,0),0)</f>
        <v>0</v>
      </c>
      <c r="Y18" s="109"/>
      <c r="AA18" s="104">
        <f t="shared" si="6"/>
        <v>0</v>
      </c>
      <c r="AB18" s="99">
        <f t="shared" si="7"/>
        <v>0</v>
      </c>
      <c r="AC18" s="99">
        <f t="shared" si="8"/>
        <v>0</v>
      </c>
      <c r="AD18" s="105">
        <f t="shared" si="9"/>
        <v>0</v>
      </c>
      <c r="AE18" s="108">
        <f>IFERROR(VLOOKUP($E18&amp;AE$6,Base!$A:$E,5,0),0)</f>
        <v>0</v>
      </c>
      <c r="AF18" s="101">
        <f>IFERROR(VLOOKUP($E18&amp;AF$6,Base!$G:$K,5,0),0)</f>
        <v>0</v>
      </c>
      <c r="AG18" s="101">
        <f>IFERROR(VLOOKUP($E18&amp;AF$6,Base!$M:$Q,5,0),0)</f>
        <v>0</v>
      </c>
      <c r="AH18" s="109"/>
      <c r="AI18" s="108">
        <f>IFERROR(VLOOKUP($E18&amp;AI$6,Base!$A:$E,5,0),0)</f>
        <v>0</v>
      </c>
      <c r="AJ18" s="101">
        <f>IFERROR(VLOOKUP($E18&amp;AJ$6,Base!$G:$K,5,0),0)</f>
        <v>0</v>
      </c>
      <c r="AK18" s="101">
        <f>IFERROR(VLOOKUP($E18&amp;AJ$6,Base!$M:$Q,5,0),0)</f>
        <v>0</v>
      </c>
      <c r="AL18" s="109">
        <v>0</v>
      </c>
      <c r="AM18" s="108">
        <f>IFERROR(VLOOKUP($E18&amp;AM$6,Base!$A:$E,5,0),0)</f>
        <v>0</v>
      </c>
      <c r="AN18" s="101">
        <f>IFERROR(VLOOKUP($E18&amp;AN$6,Base!$G:$K,5,0),0)</f>
        <v>0</v>
      </c>
      <c r="AO18" s="101">
        <f>IFERROR(VLOOKUP($E18&amp;AN$6,Base!$M:$Q,5,0),0)</f>
        <v>0</v>
      </c>
      <c r="AP18" s="109"/>
      <c r="AR18" s="104">
        <f t="shared" si="10"/>
        <v>0</v>
      </c>
      <c r="AS18" s="99">
        <f t="shared" si="11"/>
        <v>0</v>
      </c>
      <c r="AT18" s="99">
        <f t="shared" si="12"/>
        <v>0</v>
      </c>
      <c r="AU18" s="105">
        <f t="shared" si="13"/>
        <v>0</v>
      </c>
      <c r="AV18" s="108">
        <f>IFERROR(VLOOKUP($E18&amp;AV$6,Base!$A:$E,5,0),0)</f>
        <v>0</v>
      </c>
      <c r="AW18" s="101">
        <f>IFERROR(VLOOKUP($E18&amp;AW$6,Base!$G:$K,5,0),0)</f>
        <v>0</v>
      </c>
      <c r="AX18" s="101">
        <f>IFERROR(VLOOKUP($E18&amp;AW$6,Base!$M:$Q,5,0),0)</f>
        <v>0</v>
      </c>
      <c r="AY18" s="109">
        <v>0</v>
      </c>
      <c r="AZ18" s="108">
        <f>IFERROR(VLOOKUP($E18&amp;AZ$6,Base!$A:$E,5,0),0)</f>
        <v>0</v>
      </c>
      <c r="BA18" s="101">
        <f>IFERROR(VLOOKUP($E18&amp;BA$6,Base!$G:$K,5,0),0)</f>
        <v>0</v>
      </c>
      <c r="BB18" s="101">
        <f>IFERROR(VLOOKUP($E18&amp;BA$6,Base!$M:$Q,5,0),0)</f>
        <v>0</v>
      </c>
      <c r="BC18" s="109">
        <v>0</v>
      </c>
      <c r="BD18" s="108">
        <f>IFERROR(VLOOKUP($E18&amp;BD$6,Base!$A:$E,5,0),0)</f>
        <v>0</v>
      </c>
      <c r="BE18" s="101">
        <f>IFERROR(VLOOKUP($E18&amp;BE$6,Base!$G:$K,5,0),0)</f>
        <v>0</v>
      </c>
      <c r="BF18" s="101">
        <f>IFERROR(VLOOKUP($E18&amp;BE$6,Base!$M:$Q,5,0),0)</f>
        <v>0</v>
      </c>
      <c r="BG18" s="109">
        <v>0</v>
      </c>
      <c r="BI18" s="104">
        <f t="shared" si="14"/>
        <v>0</v>
      </c>
      <c r="BJ18" s="99">
        <f t="shared" si="15"/>
        <v>0</v>
      </c>
      <c r="BK18" s="99">
        <f t="shared" si="16"/>
        <v>0</v>
      </c>
      <c r="BL18" s="111">
        <f t="shared" si="17"/>
        <v>0</v>
      </c>
      <c r="BM18" s="108">
        <f>IFERROR(VLOOKUP($E18&amp;BM$6,Base!$A:$E,5,0),0)</f>
        <v>0</v>
      </c>
      <c r="BN18" s="101">
        <f>IFERROR(VLOOKUP($E18&amp;BN$6,Base!$G:$K,5,0),0)</f>
        <v>0</v>
      </c>
      <c r="BO18" s="101">
        <f>IFERROR(VLOOKUP($E18&amp;BN$6,Base!$M:$Q,5,0),0)</f>
        <v>0</v>
      </c>
      <c r="BP18" s="109">
        <v>0</v>
      </c>
      <c r="BQ18" s="108">
        <f>IFERROR(VLOOKUP($E18&amp;BQ$6,Base!$A:$E,5,0),0)</f>
        <v>0</v>
      </c>
      <c r="BR18" s="101">
        <f>IFERROR(VLOOKUP($E18&amp;BR$6,Base!$G:$K,5,0),0)</f>
        <v>0</v>
      </c>
      <c r="BS18" s="101">
        <f>IFERROR(VLOOKUP($E18&amp;BR$6,Base!$M:$Q,5,0),0)</f>
        <v>0</v>
      </c>
      <c r="BT18" s="109">
        <v>0</v>
      </c>
      <c r="BU18" s="108">
        <f>IFERROR(VLOOKUP($E18&amp;BU$6,Base!$A:$E,5,0),0)</f>
        <v>0</v>
      </c>
      <c r="BV18" s="101">
        <f>IFERROR(VLOOKUP($E18&amp;BV$6,Base!$G:$K,5,0),0)</f>
        <v>0</v>
      </c>
      <c r="BW18" s="101">
        <f>IFERROR(VLOOKUP($E18&amp;BV$6,Base!$M:$Q,5,0),0)</f>
        <v>0</v>
      </c>
      <c r="BX18" s="109">
        <f>IFERROR(VLOOKUP($E18,Base!$U:$W,3,0),0)</f>
        <v>0</v>
      </c>
    </row>
    <row r="19" spans="2:76" x14ac:dyDescent="0.35">
      <c r="B19" s="53" t="s">
        <v>402</v>
      </c>
      <c r="C19" s="51">
        <v>771</v>
      </c>
      <c r="D19" s="51" t="s">
        <v>404</v>
      </c>
      <c r="E19" s="51">
        <v>185712</v>
      </c>
      <c r="F19" s="96" t="s">
        <v>425</v>
      </c>
      <c r="G19" s="42" t="s">
        <v>12</v>
      </c>
      <c r="H19" s="98" t="s">
        <v>136</v>
      </c>
      <c r="I19" s="143" t="s">
        <v>144</v>
      </c>
      <c r="J19" s="104">
        <f t="shared" si="2"/>
        <v>0</v>
      </c>
      <c r="K19" s="99">
        <f t="shared" si="3"/>
        <v>0</v>
      </c>
      <c r="L19" s="99">
        <f t="shared" si="4"/>
        <v>0</v>
      </c>
      <c r="M19" s="105">
        <f t="shared" si="5"/>
        <v>0</v>
      </c>
      <c r="N19" s="108">
        <f>IFERROR(VLOOKUP($E19&amp;N$6,Base!$A:$E,5,0),0)</f>
        <v>0</v>
      </c>
      <c r="O19" s="101">
        <v>0</v>
      </c>
      <c r="P19" s="101">
        <v>0</v>
      </c>
      <c r="Q19" s="101"/>
      <c r="R19" s="108">
        <f>IFERROR(VLOOKUP($E19&amp;R$6,Base!$A:$E,5,0),0)</f>
        <v>0</v>
      </c>
      <c r="S19" s="101">
        <f>IFERROR(VLOOKUP($E19&amp;S$6,Base!$G:$K,5,0),0)</f>
        <v>0</v>
      </c>
      <c r="T19" s="101">
        <f>IFERROR(VLOOKUP($E19&amp;S$6,Base!$M:$Q,5,0),0)</f>
        <v>0</v>
      </c>
      <c r="U19" s="109"/>
      <c r="V19" s="108">
        <f>IFERROR(VLOOKUP($E19&amp;V$6,Base!$A:$E,5,0),0)</f>
        <v>0</v>
      </c>
      <c r="W19" s="101">
        <f>IFERROR(VLOOKUP($E19&amp;W$6,Base!$G:$K,5,0),0)</f>
        <v>0</v>
      </c>
      <c r="X19" s="101">
        <f>IFERROR(VLOOKUP($E19&amp;W$6,Base!$M:$Q,5,0),0)</f>
        <v>0</v>
      </c>
      <c r="Y19" s="109"/>
      <c r="AA19" s="104">
        <f t="shared" si="6"/>
        <v>0</v>
      </c>
      <c r="AB19" s="99">
        <f t="shared" si="7"/>
        <v>0</v>
      </c>
      <c r="AC19" s="99">
        <f t="shared" si="8"/>
        <v>0</v>
      </c>
      <c r="AD19" s="105">
        <f t="shared" si="9"/>
        <v>0</v>
      </c>
      <c r="AE19" s="108">
        <f>IFERROR(VLOOKUP($E19&amp;AE$6,Base!$A:$E,5,0),0)</f>
        <v>0</v>
      </c>
      <c r="AF19" s="101">
        <f>IFERROR(VLOOKUP($E19&amp;AF$6,Base!$G:$K,5,0),0)</f>
        <v>0</v>
      </c>
      <c r="AG19" s="101">
        <f>IFERROR(VLOOKUP($E19&amp;AF$6,Base!$M:$Q,5,0),0)</f>
        <v>0</v>
      </c>
      <c r="AH19" s="109"/>
      <c r="AI19" s="108">
        <f>IFERROR(VLOOKUP($E19&amp;AI$6,Base!$A:$E,5,0),0)</f>
        <v>0</v>
      </c>
      <c r="AJ19" s="101">
        <f>IFERROR(VLOOKUP($E19&amp;AJ$6,Base!$G:$K,5,0),0)</f>
        <v>0</v>
      </c>
      <c r="AK19" s="101">
        <f>IFERROR(VLOOKUP($E19&amp;AJ$6,Base!$M:$Q,5,0),0)</f>
        <v>0</v>
      </c>
      <c r="AL19" s="109">
        <v>0</v>
      </c>
      <c r="AM19" s="108">
        <f>IFERROR(VLOOKUP($E19&amp;AM$6,Base!$A:$E,5,0),0)</f>
        <v>0</v>
      </c>
      <c r="AN19" s="101">
        <f>IFERROR(VLOOKUP($E19&amp;AN$6,Base!$G:$K,5,0),0)</f>
        <v>0</v>
      </c>
      <c r="AO19" s="101">
        <f>IFERROR(VLOOKUP($E19&amp;AN$6,Base!$M:$Q,5,0),0)</f>
        <v>0</v>
      </c>
      <c r="AP19" s="109"/>
      <c r="AR19" s="104">
        <f t="shared" si="10"/>
        <v>0</v>
      </c>
      <c r="AS19" s="99">
        <f t="shared" si="11"/>
        <v>0</v>
      </c>
      <c r="AT19" s="99">
        <f t="shared" si="12"/>
        <v>0</v>
      </c>
      <c r="AU19" s="105">
        <f t="shared" si="13"/>
        <v>0</v>
      </c>
      <c r="AV19" s="108">
        <f>IFERROR(VLOOKUP($E19&amp;AV$6,Base!$A:$E,5,0),0)</f>
        <v>0</v>
      </c>
      <c r="AW19" s="101">
        <f>IFERROR(VLOOKUP($E19&amp;AW$6,Base!$G:$K,5,0),0)</f>
        <v>0</v>
      </c>
      <c r="AX19" s="101">
        <f>IFERROR(VLOOKUP($E19&amp;AW$6,Base!$M:$Q,5,0),0)</f>
        <v>0</v>
      </c>
      <c r="AY19" s="109">
        <v>0</v>
      </c>
      <c r="AZ19" s="108">
        <f>IFERROR(VLOOKUP($E19&amp;AZ$6,Base!$A:$E,5,0),0)</f>
        <v>0</v>
      </c>
      <c r="BA19" s="101">
        <f>IFERROR(VLOOKUP($E19&amp;BA$6,Base!$G:$K,5,0),0)</f>
        <v>0</v>
      </c>
      <c r="BB19" s="101">
        <f>IFERROR(VLOOKUP($E19&amp;BA$6,Base!$M:$Q,5,0),0)</f>
        <v>0</v>
      </c>
      <c r="BC19" s="109">
        <v>0</v>
      </c>
      <c r="BD19" s="108">
        <f>IFERROR(VLOOKUP($E19&amp;BD$6,Base!$A:$E,5,0),0)</f>
        <v>0</v>
      </c>
      <c r="BE19" s="101">
        <f>IFERROR(VLOOKUP($E19&amp;BE$6,Base!$G:$K,5,0),0)</f>
        <v>0</v>
      </c>
      <c r="BF19" s="101">
        <f>IFERROR(VLOOKUP($E19&amp;BE$6,Base!$M:$Q,5,0),0)</f>
        <v>0</v>
      </c>
      <c r="BG19" s="109">
        <v>0</v>
      </c>
      <c r="BI19" s="104">
        <f t="shared" si="14"/>
        <v>0</v>
      </c>
      <c r="BJ19" s="99">
        <f t="shared" si="15"/>
        <v>0</v>
      </c>
      <c r="BK19" s="99">
        <f t="shared" si="16"/>
        <v>0</v>
      </c>
      <c r="BL19" s="111">
        <f t="shared" si="17"/>
        <v>0</v>
      </c>
      <c r="BM19" s="108">
        <f>IFERROR(VLOOKUP($E19&amp;BM$6,Base!$A:$E,5,0),0)</f>
        <v>0</v>
      </c>
      <c r="BN19" s="101">
        <f>IFERROR(VLOOKUP($E19&amp;BN$6,Base!$G:$K,5,0),0)</f>
        <v>0</v>
      </c>
      <c r="BO19" s="101">
        <f>IFERROR(VLOOKUP($E19&amp;BN$6,Base!$M:$Q,5,0),0)</f>
        <v>0</v>
      </c>
      <c r="BP19" s="109">
        <v>0</v>
      </c>
      <c r="BQ19" s="108">
        <f>IFERROR(VLOOKUP($E19&amp;BQ$6,Base!$A:$E,5,0),0)</f>
        <v>0</v>
      </c>
      <c r="BR19" s="101">
        <f>IFERROR(VLOOKUP($E19&amp;BR$6,Base!$G:$K,5,0),0)</f>
        <v>0</v>
      </c>
      <c r="BS19" s="101">
        <f>IFERROR(VLOOKUP($E19&amp;BR$6,Base!$M:$Q,5,0),0)</f>
        <v>0</v>
      </c>
      <c r="BT19" s="109">
        <v>0</v>
      </c>
      <c r="BU19" s="108">
        <f>IFERROR(VLOOKUP($E19&amp;BU$6,Base!$A:$E,5,0),0)</f>
        <v>0</v>
      </c>
      <c r="BV19" s="101">
        <f>IFERROR(VLOOKUP($E19&amp;BV$6,Base!$G:$K,5,0),0)</f>
        <v>0</v>
      </c>
      <c r="BW19" s="101">
        <f>IFERROR(VLOOKUP($E19&amp;BV$6,Base!$M:$Q,5,0),0)</f>
        <v>0</v>
      </c>
      <c r="BX19" s="109">
        <f>IFERROR(VLOOKUP($E19,Base!$U:$W,3,0),0)</f>
        <v>0</v>
      </c>
    </row>
    <row r="20" spans="2:76" x14ac:dyDescent="0.35">
      <c r="B20" s="53" t="s">
        <v>402</v>
      </c>
      <c r="C20" s="51">
        <v>771</v>
      </c>
      <c r="D20" s="51" t="s">
        <v>404</v>
      </c>
      <c r="E20" s="51">
        <v>185713</v>
      </c>
      <c r="F20" s="96" t="s">
        <v>427</v>
      </c>
      <c r="G20" s="42" t="s">
        <v>12</v>
      </c>
      <c r="H20" s="98" t="s">
        <v>136</v>
      </c>
      <c r="I20" s="143" t="s">
        <v>144</v>
      </c>
      <c r="J20" s="104">
        <f t="shared" si="2"/>
        <v>0</v>
      </c>
      <c r="K20" s="99">
        <f t="shared" si="3"/>
        <v>0</v>
      </c>
      <c r="L20" s="99">
        <f t="shared" si="4"/>
        <v>0</v>
      </c>
      <c r="M20" s="105">
        <f t="shared" si="5"/>
        <v>0</v>
      </c>
      <c r="N20" s="108">
        <f>IFERROR(VLOOKUP($E20&amp;N$6,Base!$A:$E,5,0),0)</f>
        <v>0</v>
      </c>
      <c r="O20" s="101">
        <v>0</v>
      </c>
      <c r="P20" s="101">
        <v>0</v>
      </c>
      <c r="Q20" s="101"/>
      <c r="R20" s="108">
        <f>IFERROR(VLOOKUP($E20&amp;R$6,Base!$A:$E,5,0),0)</f>
        <v>0</v>
      </c>
      <c r="S20" s="101">
        <f>IFERROR(VLOOKUP($E20&amp;S$6,Base!$G:$K,5,0),0)</f>
        <v>0</v>
      </c>
      <c r="T20" s="101">
        <f>IFERROR(VLOOKUP($E20&amp;S$6,Base!$M:$Q,5,0),0)</f>
        <v>0</v>
      </c>
      <c r="U20" s="109"/>
      <c r="V20" s="108">
        <f>IFERROR(VLOOKUP($E20&amp;V$6,Base!$A:$E,5,0),0)</f>
        <v>0</v>
      </c>
      <c r="W20" s="101">
        <f>IFERROR(VLOOKUP($E20&amp;W$6,Base!$G:$K,5,0),0)</f>
        <v>0</v>
      </c>
      <c r="X20" s="101">
        <f>IFERROR(VLOOKUP($E20&amp;W$6,Base!$M:$Q,5,0),0)</f>
        <v>0</v>
      </c>
      <c r="Y20" s="109"/>
      <c r="AA20" s="104">
        <f t="shared" si="6"/>
        <v>0</v>
      </c>
      <c r="AB20" s="99">
        <f t="shared" si="7"/>
        <v>0</v>
      </c>
      <c r="AC20" s="99">
        <f t="shared" si="8"/>
        <v>0</v>
      </c>
      <c r="AD20" s="105">
        <f t="shared" si="9"/>
        <v>0</v>
      </c>
      <c r="AE20" s="108">
        <f>IFERROR(VLOOKUP($E20&amp;AE$6,Base!$A:$E,5,0),0)</f>
        <v>0</v>
      </c>
      <c r="AF20" s="101">
        <f>IFERROR(VLOOKUP($E20&amp;AF$6,Base!$G:$K,5,0),0)</f>
        <v>0</v>
      </c>
      <c r="AG20" s="101">
        <f>IFERROR(VLOOKUP($E20&amp;AF$6,Base!$M:$Q,5,0),0)</f>
        <v>0</v>
      </c>
      <c r="AH20" s="109"/>
      <c r="AI20" s="108">
        <f>IFERROR(VLOOKUP($E20&amp;AI$6,Base!$A:$E,5,0),0)</f>
        <v>0</v>
      </c>
      <c r="AJ20" s="101">
        <f>IFERROR(VLOOKUP($E20&amp;AJ$6,Base!$G:$K,5,0),0)</f>
        <v>0</v>
      </c>
      <c r="AK20" s="101">
        <f>IFERROR(VLOOKUP($E20&amp;AJ$6,Base!$M:$Q,5,0),0)</f>
        <v>0</v>
      </c>
      <c r="AL20" s="109">
        <v>0</v>
      </c>
      <c r="AM20" s="108">
        <f>IFERROR(VLOOKUP($E20&amp;AM$6,Base!$A:$E,5,0),0)</f>
        <v>0</v>
      </c>
      <c r="AN20" s="101">
        <f>IFERROR(VLOOKUP($E20&amp;AN$6,Base!$G:$K,5,0),0)</f>
        <v>0</v>
      </c>
      <c r="AO20" s="101">
        <f>IFERROR(VLOOKUP($E20&amp;AN$6,Base!$M:$Q,5,0),0)</f>
        <v>0</v>
      </c>
      <c r="AP20" s="109"/>
      <c r="AR20" s="104">
        <f t="shared" si="10"/>
        <v>0</v>
      </c>
      <c r="AS20" s="99">
        <f t="shared" si="11"/>
        <v>0</v>
      </c>
      <c r="AT20" s="99">
        <f t="shared" si="12"/>
        <v>0</v>
      </c>
      <c r="AU20" s="105">
        <f t="shared" si="13"/>
        <v>0</v>
      </c>
      <c r="AV20" s="108">
        <f>IFERROR(VLOOKUP($E20&amp;AV$6,Base!$A:$E,5,0),0)</f>
        <v>0</v>
      </c>
      <c r="AW20" s="101">
        <f>IFERROR(VLOOKUP($E20&amp;AW$6,Base!$G:$K,5,0),0)</f>
        <v>0</v>
      </c>
      <c r="AX20" s="101">
        <f>IFERROR(VLOOKUP($E20&amp;AW$6,Base!$M:$Q,5,0),0)</f>
        <v>0</v>
      </c>
      <c r="AY20" s="109">
        <v>0</v>
      </c>
      <c r="AZ20" s="108">
        <f>IFERROR(VLOOKUP($E20&amp;AZ$6,Base!$A:$E,5,0),0)</f>
        <v>0</v>
      </c>
      <c r="BA20" s="101">
        <f>IFERROR(VLOOKUP($E20&amp;BA$6,Base!$G:$K,5,0),0)</f>
        <v>0</v>
      </c>
      <c r="BB20" s="101">
        <f>IFERROR(VLOOKUP($E20&amp;BA$6,Base!$M:$Q,5,0),0)</f>
        <v>0</v>
      </c>
      <c r="BC20" s="109">
        <v>0</v>
      </c>
      <c r="BD20" s="108">
        <f>IFERROR(VLOOKUP($E20&amp;BD$6,Base!$A:$E,5,0),0)</f>
        <v>0</v>
      </c>
      <c r="BE20" s="101">
        <f>IFERROR(VLOOKUP($E20&amp;BE$6,Base!$G:$K,5,0),0)</f>
        <v>0</v>
      </c>
      <c r="BF20" s="101">
        <f>IFERROR(VLOOKUP($E20&amp;BE$6,Base!$M:$Q,5,0),0)</f>
        <v>0</v>
      </c>
      <c r="BG20" s="109">
        <v>0</v>
      </c>
      <c r="BI20" s="104">
        <f t="shared" si="14"/>
        <v>0</v>
      </c>
      <c r="BJ20" s="99">
        <f t="shared" si="15"/>
        <v>0</v>
      </c>
      <c r="BK20" s="99">
        <f t="shared" si="16"/>
        <v>0</v>
      </c>
      <c r="BL20" s="111">
        <f t="shared" si="17"/>
        <v>0</v>
      </c>
      <c r="BM20" s="108">
        <f>IFERROR(VLOOKUP($E20&amp;BM$6,Base!$A:$E,5,0),0)</f>
        <v>0</v>
      </c>
      <c r="BN20" s="101">
        <f>IFERROR(VLOOKUP($E20&amp;BN$6,Base!$G:$K,5,0),0)</f>
        <v>0</v>
      </c>
      <c r="BO20" s="101">
        <f>IFERROR(VLOOKUP($E20&amp;BN$6,Base!$M:$Q,5,0),0)</f>
        <v>0</v>
      </c>
      <c r="BP20" s="109">
        <v>0</v>
      </c>
      <c r="BQ20" s="108">
        <f>IFERROR(VLOOKUP($E20&amp;BQ$6,Base!$A:$E,5,0),0)</f>
        <v>0</v>
      </c>
      <c r="BR20" s="101">
        <f>IFERROR(VLOOKUP($E20&amp;BR$6,Base!$G:$K,5,0),0)</f>
        <v>0</v>
      </c>
      <c r="BS20" s="101">
        <f>IFERROR(VLOOKUP($E20&amp;BR$6,Base!$M:$Q,5,0),0)</f>
        <v>0</v>
      </c>
      <c r="BT20" s="109">
        <v>0</v>
      </c>
      <c r="BU20" s="108">
        <f>IFERROR(VLOOKUP($E20&amp;BU$6,Base!$A:$E,5,0),0)</f>
        <v>0</v>
      </c>
      <c r="BV20" s="101">
        <f>IFERROR(VLOOKUP($E20&amp;BV$6,Base!$G:$K,5,0),0)</f>
        <v>0</v>
      </c>
      <c r="BW20" s="101">
        <f>IFERROR(VLOOKUP($E20&amp;BV$6,Base!$M:$Q,5,0),0)</f>
        <v>0</v>
      </c>
      <c r="BX20" s="109">
        <f>IFERROR(VLOOKUP($E20,Base!$U:$W,3,0),0)</f>
        <v>0</v>
      </c>
    </row>
    <row r="21" spans="2:76" x14ac:dyDescent="0.35">
      <c r="B21" s="53" t="s">
        <v>402</v>
      </c>
      <c r="C21" s="51">
        <v>771</v>
      </c>
      <c r="D21" s="51" t="s">
        <v>404</v>
      </c>
      <c r="E21" s="51">
        <v>185714</v>
      </c>
      <c r="F21" s="96" t="s">
        <v>429</v>
      </c>
      <c r="G21" s="42" t="s">
        <v>12</v>
      </c>
      <c r="H21" s="98" t="s">
        <v>136</v>
      </c>
      <c r="I21" s="143" t="s">
        <v>144</v>
      </c>
      <c r="J21" s="104">
        <f t="shared" si="2"/>
        <v>0</v>
      </c>
      <c r="K21" s="99">
        <f t="shared" si="3"/>
        <v>0</v>
      </c>
      <c r="L21" s="99">
        <f t="shared" si="4"/>
        <v>0</v>
      </c>
      <c r="M21" s="105">
        <f t="shared" si="5"/>
        <v>0</v>
      </c>
      <c r="N21" s="108">
        <f>IFERROR(VLOOKUP($E21&amp;N$6,Base!$A:$E,5,0),0)</f>
        <v>0</v>
      </c>
      <c r="O21" s="101">
        <v>0</v>
      </c>
      <c r="P21" s="101">
        <v>0</v>
      </c>
      <c r="Q21" s="101"/>
      <c r="R21" s="108">
        <f>IFERROR(VLOOKUP($E21&amp;R$6,Base!$A:$E,5,0),0)</f>
        <v>0</v>
      </c>
      <c r="S21" s="101">
        <f>IFERROR(VLOOKUP($E21&amp;S$6,Base!$G:$K,5,0),0)</f>
        <v>0</v>
      </c>
      <c r="T21" s="101">
        <f>IFERROR(VLOOKUP($E21&amp;S$6,Base!$M:$Q,5,0),0)</f>
        <v>0</v>
      </c>
      <c r="U21" s="109"/>
      <c r="V21" s="108">
        <f>IFERROR(VLOOKUP($E21&amp;V$6,Base!$A:$E,5,0),0)</f>
        <v>0</v>
      </c>
      <c r="W21" s="101">
        <f>IFERROR(VLOOKUP($E21&amp;W$6,Base!$G:$K,5,0),0)</f>
        <v>0</v>
      </c>
      <c r="X21" s="101">
        <f>IFERROR(VLOOKUP($E21&amp;W$6,Base!$M:$Q,5,0),0)</f>
        <v>0</v>
      </c>
      <c r="Y21" s="109"/>
      <c r="AA21" s="104">
        <f t="shared" si="6"/>
        <v>0</v>
      </c>
      <c r="AB21" s="99">
        <f t="shared" si="7"/>
        <v>0</v>
      </c>
      <c r="AC21" s="99">
        <f t="shared" si="8"/>
        <v>0</v>
      </c>
      <c r="AD21" s="105">
        <f t="shared" si="9"/>
        <v>0</v>
      </c>
      <c r="AE21" s="108">
        <f>IFERROR(VLOOKUP($E21&amp;AE$6,Base!$A:$E,5,0),0)</f>
        <v>0</v>
      </c>
      <c r="AF21" s="101">
        <f>IFERROR(VLOOKUP($E21&amp;AF$6,Base!$G:$K,5,0),0)</f>
        <v>0</v>
      </c>
      <c r="AG21" s="101">
        <f>IFERROR(VLOOKUP($E21&amp;AF$6,Base!$M:$Q,5,0),0)</f>
        <v>0</v>
      </c>
      <c r="AH21" s="109"/>
      <c r="AI21" s="108">
        <f>IFERROR(VLOOKUP($E21&amp;AI$6,Base!$A:$E,5,0),0)</f>
        <v>0</v>
      </c>
      <c r="AJ21" s="101">
        <f>IFERROR(VLOOKUP($E21&amp;AJ$6,Base!$G:$K,5,0),0)</f>
        <v>0</v>
      </c>
      <c r="AK21" s="101">
        <f>IFERROR(VLOOKUP($E21&amp;AJ$6,Base!$M:$Q,5,0),0)</f>
        <v>0</v>
      </c>
      <c r="AL21" s="109">
        <v>0</v>
      </c>
      <c r="AM21" s="108">
        <f>IFERROR(VLOOKUP($E21&amp;AM$6,Base!$A:$E,5,0),0)</f>
        <v>0</v>
      </c>
      <c r="AN21" s="101">
        <f>IFERROR(VLOOKUP($E21&amp;AN$6,Base!$G:$K,5,0),0)</f>
        <v>0</v>
      </c>
      <c r="AO21" s="101">
        <f>IFERROR(VLOOKUP($E21&amp;AN$6,Base!$M:$Q,5,0),0)</f>
        <v>0</v>
      </c>
      <c r="AP21" s="109"/>
      <c r="AR21" s="104">
        <f t="shared" si="10"/>
        <v>0</v>
      </c>
      <c r="AS21" s="99">
        <f t="shared" si="11"/>
        <v>0</v>
      </c>
      <c r="AT21" s="99">
        <f t="shared" si="12"/>
        <v>0</v>
      </c>
      <c r="AU21" s="105">
        <f t="shared" si="13"/>
        <v>0</v>
      </c>
      <c r="AV21" s="108">
        <f>IFERROR(VLOOKUP($E21&amp;AV$6,Base!$A:$E,5,0),0)</f>
        <v>0</v>
      </c>
      <c r="AW21" s="101">
        <f>IFERROR(VLOOKUP($E21&amp;AW$6,Base!$G:$K,5,0),0)</f>
        <v>0</v>
      </c>
      <c r="AX21" s="101">
        <f>IFERROR(VLOOKUP($E21&amp;AW$6,Base!$M:$Q,5,0),0)</f>
        <v>0</v>
      </c>
      <c r="AY21" s="109">
        <v>0</v>
      </c>
      <c r="AZ21" s="108">
        <f>IFERROR(VLOOKUP($E21&amp;AZ$6,Base!$A:$E,5,0),0)</f>
        <v>0</v>
      </c>
      <c r="BA21" s="101">
        <f>IFERROR(VLOOKUP($E21&amp;BA$6,Base!$G:$K,5,0),0)</f>
        <v>0</v>
      </c>
      <c r="BB21" s="101">
        <f>IFERROR(VLOOKUP($E21&amp;BA$6,Base!$M:$Q,5,0),0)</f>
        <v>0</v>
      </c>
      <c r="BC21" s="109">
        <v>0</v>
      </c>
      <c r="BD21" s="108">
        <f>IFERROR(VLOOKUP($E21&amp;BD$6,Base!$A:$E,5,0),0)</f>
        <v>0</v>
      </c>
      <c r="BE21" s="101">
        <f>IFERROR(VLOOKUP($E21&amp;BE$6,Base!$G:$K,5,0),0)</f>
        <v>0</v>
      </c>
      <c r="BF21" s="101">
        <f>IFERROR(VLOOKUP($E21&amp;BE$6,Base!$M:$Q,5,0),0)</f>
        <v>0</v>
      </c>
      <c r="BG21" s="109">
        <v>0</v>
      </c>
      <c r="BI21" s="104">
        <f t="shared" si="14"/>
        <v>0</v>
      </c>
      <c r="BJ21" s="99">
        <f t="shared" si="15"/>
        <v>0</v>
      </c>
      <c r="BK21" s="99">
        <f t="shared" si="16"/>
        <v>0</v>
      </c>
      <c r="BL21" s="111">
        <f t="shared" si="17"/>
        <v>0</v>
      </c>
      <c r="BM21" s="108">
        <f>IFERROR(VLOOKUP($E21&amp;BM$6,Base!$A:$E,5,0),0)</f>
        <v>0</v>
      </c>
      <c r="BN21" s="101">
        <f>IFERROR(VLOOKUP($E21&amp;BN$6,Base!$G:$K,5,0),0)</f>
        <v>0</v>
      </c>
      <c r="BO21" s="101">
        <f>IFERROR(VLOOKUP($E21&amp;BN$6,Base!$M:$Q,5,0),0)</f>
        <v>0</v>
      </c>
      <c r="BP21" s="109">
        <v>0</v>
      </c>
      <c r="BQ21" s="108">
        <f>IFERROR(VLOOKUP($E21&amp;BQ$6,Base!$A:$E,5,0),0)</f>
        <v>0</v>
      </c>
      <c r="BR21" s="101">
        <f>IFERROR(VLOOKUP($E21&amp;BR$6,Base!$G:$K,5,0),0)</f>
        <v>0</v>
      </c>
      <c r="BS21" s="101">
        <f>IFERROR(VLOOKUP($E21&amp;BR$6,Base!$M:$Q,5,0),0)</f>
        <v>0</v>
      </c>
      <c r="BT21" s="109">
        <v>0</v>
      </c>
      <c r="BU21" s="108">
        <f>IFERROR(VLOOKUP($E21&amp;BU$6,Base!$A:$E,5,0),0)</f>
        <v>0</v>
      </c>
      <c r="BV21" s="101">
        <f>IFERROR(VLOOKUP($E21&amp;BV$6,Base!$G:$K,5,0),0)</f>
        <v>0</v>
      </c>
      <c r="BW21" s="101">
        <f>IFERROR(VLOOKUP($E21&amp;BV$6,Base!$M:$Q,5,0),0)</f>
        <v>0</v>
      </c>
      <c r="BX21" s="109">
        <f>IFERROR(VLOOKUP($E21,Base!$U:$W,3,0),0)</f>
        <v>0</v>
      </c>
    </row>
    <row r="22" spans="2:76" x14ac:dyDescent="0.35">
      <c r="B22" s="53" t="s">
        <v>402</v>
      </c>
      <c r="C22" s="51">
        <v>771</v>
      </c>
      <c r="D22" s="51" t="s">
        <v>404</v>
      </c>
      <c r="E22" s="51">
        <v>188239</v>
      </c>
      <c r="F22" s="96" t="s">
        <v>431</v>
      </c>
      <c r="G22" s="42" t="s">
        <v>141</v>
      </c>
      <c r="H22" s="98" t="s">
        <v>136</v>
      </c>
      <c r="I22" s="143" t="s">
        <v>144</v>
      </c>
      <c r="J22" s="104">
        <f t="shared" ref="J22" si="18">N22+R22+V22</f>
        <v>0</v>
      </c>
      <c r="K22" s="99">
        <f t="shared" ref="K22" si="19">O22+S22+W22</f>
        <v>737.08299999999997</v>
      </c>
      <c r="L22" s="99">
        <f t="shared" ref="L22" si="20">P22+T22+X22</f>
        <v>0</v>
      </c>
      <c r="M22" s="105">
        <f t="shared" ref="M22" si="21">Q22+U22+Y22</f>
        <v>0</v>
      </c>
      <c r="N22" s="108">
        <f>IFERROR(VLOOKUP($E22&amp;N$6,Base!$A:$E,5,0),0)</f>
        <v>0</v>
      </c>
      <c r="O22" s="101">
        <v>-26.917000000000002</v>
      </c>
      <c r="P22" s="101">
        <v>0</v>
      </c>
      <c r="Q22" s="101"/>
      <c r="R22" s="108">
        <f>IFERROR(VLOOKUP($E22&amp;R$6,Base!$A:$E,5,0),0)</f>
        <v>0</v>
      </c>
      <c r="S22" s="101">
        <f>IFERROR(VLOOKUP($E22&amp;S$6,Base!$G:$K,5,0),0)</f>
        <v>747</v>
      </c>
      <c r="T22" s="101">
        <f>IFERROR(VLOOKUP($E22&amp;S$6,Base!$M:$Q,5,0),0)</f>
        <v>0</v>
      </c>
      <c r="U22" s="109"/>
      <c r="V22" s="108">
        <f>IFERROR(VLOOKUP($E22&amp;V$6,Base!$A:$E,5,0),0)</f>
        <v>0</v>
      </c>
      <c r="W22" s="101">
        <f>IFERROR(VLOOKUP($E22&amp;W$6,Base!$G:$K,5,0),0)</f>
        <v>17</v>
      </c>
      <c r="X22" s="101">
        <f>IFERROR(VLOOKUP($E22&amp;W$6,Base!$M:$Q,5,0),0)</f>
        <v>0</v>
      </c>
      <c r="Y22" s="109"/>
      <c r="AA22" s="104">
        <f t="shared" ref="AA22" si="22">AE22+AI22+AM22</f>
        <v>74.957999999999998</v>
      </c>
      <c r="AB22" s="99">
        <f t="shared" ref="AB22" si="23">AF22+AJ22+AN22</f>
        <v>67.5</v>
      </c>
      <c r="AC22" s="99">
        <f t="shared" ref="AC22" si="24">AG22+AK22+AO22</f>
        <v>0</v>
      </c>
      <c r="AD22" s="105">
        <f t="shared" ref="AD22" si="25">AH22+AL22+AP22</f>
        <v>0</v>
      </c>
      <c r="AE22" s="108">
        <f>IFERROR(VLOOKUP($E22&amp;AE$6,Base!$A:$E,5,0),0)</f>
        <v>0</v>
      </c>
      <c r="AF22" s="101">
        <f>IFERROR(VLOOKUP($E22&amp;AF$6,Base!$G:$K,5,0),0)</f>
        <v>67.5</v>
      </c>
      <c r="AG22" s="101">
        <f>IFERROR(VLOOKUP($E22&amp;AF$6,Base!$M:$Q,5,0),0)</f>
        <v>0</v>
      </c>
      <c r="AH22" s="109"/>
      <c r="AI22" s="108">
        <f>IFERROR(VLOOKUP($E22&amp;AI$6,Base!$A:$E,5,0),0)</f>
        <v>32.75</v>
      </c>
      <c r="AJ22" s="101">
        <f>IFERROR(VLOOKUP($E22&amp;AJ$6,Base!$G:$K,5,0),0)</f>
        <v>0</v>
      </c>
      <c r="AK22" s="101">
        <f>IFERROR(VLOOKUP($E22&amp;AJ$6,Base!$M:$Q,5,0),0)</f>
        <v>0</v>
      </c>
      <c r="AL22" s="109">
        <v>0</v>
      </c>
      <c r="AM22" s="108">
        <f>IFERROR(VLOOKUP($E22&amp;AM$6,Base!$A:$E,5,0),0)</f>
        <v>42.207999999999998</v>
      </c>
      <c r="AN22" s="101">
        <f>IFERROR(VLOOKUP($E22&amp;AN$6,Base!$G:$K,5,0),0)</f>
        <v>0</v>
      </c>
      <c r="AO22" s="101">
        <f>IFERROR(VLOOKUP($E22&amp;AN$6,Base!$M:$Q,5,0),0)</f>
        <v>0</v>
      </c>
      <c r="AP22" s="109"/>
      <c r="AR22" s="104">
        <f t="shared" ref="AR22" si="26">AV22+AZ22+BD22</f>
        <v>174.18799999999999</v>
      </c>
      <c r="AS22" s="99">
        <f t="shared" ref="AS22" si="27">AW22+BA22+BE22</f>
        <v>0</v>
      </c>
      <c r="AT22" s="99">
        <f t="shared" ref="AT22" si="28">AX22+BB22+BF22</f>
        <v>0</v>
      </c>
      <c r="AU22" s="105">
        <f t="shared" si="13"/>
        <v>0</v>
      </c>
      <c r="AV22" s="108">
        <f>IFERROR(VLOOKUP($E22&amp;AV$6,Base!$A:$E,5,0),0)</f>
        <v>105.771</v>
      </c>
      <c r="AW22" s="101">
        <f>IFERROR(VLOOKUP($E22&amp;AW$6,Base!$G:$K,5,0),0)</f>
        <v>0</v>
      </c>
      <c r="AX22" s="101">
        <f>IFERROR(VLOOKUP($E22&amp;AW$6,Base!$M:$Q,5,0),0)</f>
        <v>0</v>
      </c>
      <c r="AY22" s="109">
        <v>0</v>
      </c>
      <c r="AZ22" s="108">
        <f>IFERROR(VLOOKUP($E22&amp;AZ$6,Base!$A:$E,5,0),0)</f>
        <v>35.167000000000002</v>
      </c>
      <c r="BA22" s="101">
        <f>IFERROR(VLOOKUP($E22&amp;BA$6,Base!$G:$K,5,0),0)</f>
        <v>0</v>
      </c>
      <c r="BB22" s="101">
        <f>IFERROR(VLOOKUP($E22&amp;BA$6,Base!$M:$Q,5,0),0)</f>
        <v>0</v>
      </c>
      <c r="BC22" s="109">
        <v>0</v>
      </c>
      <c r="BD22" s="108">
        <f>IFERROR(VLOOKUP($E22&amp;BD$6,Base!$A:$E,5,0),0)</f>
        <v>33.25</v>
      </c>
      <c r="BE22" s="101">
        <f>IFERROR(VLOOKUP($E22&amp;BE$6,Base!$G:$K,5,0),0)</f>
        <v>0</v>
      </c>
      <c r="BF22" s="101">
        <f>IFERROR(VLOOKUP($E22&amp;BE$6,Base!$M:$Q,5,0),0)</f>
        <v>0</v>
      </c>
      <c r="BG22" s="109">
        <v>0</v>
      </c>
      <c r="BI22" s="104">
        <f t="shared" ref="BI22" si="29">BM22+BQ22+BU22</f>
        <v>107.209</v>
      </c>
      <c r="BJ22" s="99">
        <f t="shared" ref="BJ22" si="30">BN22+BR22+BV22</f>
        <v>0</v>
      </c>
      <c r="BK22" s="99">
        <f t="shared" ref="BK22" si="31">BO22+BS22+BW22</f>
        <v>0</v>
      </c>
      <c r="BL22" s="111">
        <f t="shared" ref="BL22" si="32">BP22+BT22+BX22</f>
        <v>0</v>
      </c>
      <c r="BM22" s="108">
        <f>IFERROR(VLOOKUP($E22&amp;BM$6,Base!$A:$E,5,0),0)</f>
        <v>9.75</v>
      </c>
      <c r="BN22" s="101">
        <f>IFERROR(VLOOKUP($E22&amp;BN$6,Base!$G:$K,5,0),0)</f>
        <v>0</v>
      </c>
      <c r="BO22" s="101">
        <f>IFERROR(VLOOKUP($E22&amp;BN$6,Base!$M:$Q,5,0),0)</f>
        <v>0</v>
      </c>
      <c r="BP22" s="109">
        <v>0</v>
      </c>
      <c r="BQ22" s="108">
        <f>IFERROR(VLOOKUP($E22&amp;BQ$6,Base!$A:$E,5,0),0)</f>
        <v>45.042000000000002</v>
      </c>
      <c r="BR22" s="101">
        <f>IFERROR(VLOOKUP($E22&amp;BR$6,Base!$G:$K,5,0),0)</f>
        <v>0</v>
      </c>
      <c r="BS22" s="101">
        <f>IFERROR(VLOOKUP($E22&amp;BR$6,Base!$M:$Q,5,0),0)</f>
        <v>0</v>
      </c>
      <c r="BT22" s="109">
        <v>0</v>
      </c>
      <c r="BU22" s="108">
        <f>IFERROR(VLOOKUP($E22&amp;BU$6,Base!$A:$E,5,0),0)</f>
        <v>52.417000000000002</v>
      </c>
      <c r="BV22" s="101">
        <f>IFERROR(VLOOKUP($E22&amp;BV$6,Base!$G:$K,5,0),0)</f>
        <v>0</v>
      </c>
      <c r="BW22" s="101">
        <f>IFERROR(VLOOKUP($E22&amp;BV$6,Base!$M:$Q,5,0),0)</f>
        <v>0</v>
      </c>
      <c r="BX22" s="109">
        <f>IFERROR(VLOOKUP($E22,Base!$U:$W,3,0),0)</f>
        <v>0</v>
      </c>
    </row>
    <row r="23" spans="2:76" x14ac:dyDescent="0.35">
      <c r="B23" s="53" t="s">
        <v>402</v>
      </c>
      <c r="C23" s="51">
        <v>771</v>
      </c>
      <c r="D23" s="51" t="s">
        <v>404</v>
      </c>
      <c r="E23" s="51">
        <v>189860</v>
      </c>
      <c r="F23" s="96" t="s">
        <v>433</v>
      </c>
      <c r="G23" s="42" t="s">
        <v>141</v>
      </c>
      <c r="H23" s="98" t="s">
        <v>136</v>
      </c>
      <c r="I23" s="143" t="s">
        <v>144</v>
      </c>
      <c r="J23" s="104">
        <f t="shared" si="2"/>
        <v>0</v>
      </c>
      <c r="K23" s="99">
        <f t="shared" si="3"/>
        <v>87.542000000000002</v>
      </c>
      <c r="L23" s="99">
        <f t="shared" si="4"/>
        <v>0</v>
      </c>
      <c r="M23" s="105">
        <f t="shared" si="5"/>
        <v>0</v>
      </c>
      <c r="N23" s="108">
        <f>IFERROR(VLOOKUP($E23&amp;N$6,Base!$A:$E,5,0),0)</f>
        <v>0</v>
      </c>
      <c r="O23" s="101">
        <v>29.75</v>
      </c>
      <c r="P23" s="101">
        <v>0</v>
      </c>
      <c r="Q23" s="101"/>
      <c r="R23" s="108">
        <f>IFERROR(VLOOKUP($E23&amp;R$6,Base!$A:$E,5,0),0)</f>
        <v>0</v>
      </c>
      <c r="S23" s="101">
        <f>IFERROR(VLOOKUP($E23&amp;S$6,Base!$G:$K,5,0),0)</f>
        <v>57.792000000000002</v>
      </c>
      <c r="T23" s="101">
        <f>IFERROR(VLOOKUP($E23&amp;S$6,Base!$M:$Q,5,0),0)</f>
        <v>0</v>
      </c>
      <c r="U23" s="109"/>
      <c r="V23" s="108">
        <f>IFERROR(VLOOKUP($E23&amp;V$6,Base!$A:$E,5,0),0)</f>
        <v>0</v>
      </c>
      <c r="W23" s="101">
        <f>IFERROR(VLOOKUP($E23&amp;W$6,Base!$G:$K,5,0),0)</f>
        <v>0</v>
      </c>
      <c r="X23" s="101">
        <f>IFERROR(VLOOKUP($E23&amp;W$6,Base!$M:$Q,5,0),0)</f>
        <v>0</v>
      </c>
      <c r="Y23" s="109"/>
      <c r="AA23" s="104">
        <f t="shared" si="6"/>
        <v>0</v>
      </c>
      <c r="AB23" s="99">
        <f t="shared" si="7"/>
        <v>494.5</v>
      </c>
      <c r="AC23" s="99">
        <f t="shared" si="8"/>
        <v>0</v>
      </c>
      <c r="AD23" s="105">
        <f t="shared" si="9"/>
        <v>0</v>
      </c>
      <c r="AE23" s="108">
        <f>IFERROR(VLOOKUP($E23&amp;AE$6,Base!$A:$E,5,0),0)</f>
        <v>0</v>
      </c>
      <c r="AF23" s="101">
        <f>IFERROR(VLOOKUP($E23&amp;AF$6,Base!$G:$K,5,0),0)</f>
        <v>166.833</v>
      </c>
      <c r="AG23" s="101">
        <f>IFERROR(VLOOKUP($E23&amp;AF$6,Base!$M:$Q,5,0),0)</f>
        <v>0</v>
      </c>
      <c r="AH23" s="109"/>
      <c r="AI23" s="108">
        <f>IFERROR(VLOOKUP($E23&amp;AI$6,Base!$A:$E,5,0),0)</f>
        <v>0</v>
      </c>
      <c r="AJ23" s="101">
        <f>IFERROR(VLOOKUP($E23&amp;AJ$6,Base!$G:$K,5,0),0)</f>
        <v>158.5</v>
      </c>
      <c r="AK23" s="101">
        <f>IFERROR(VLOOKUP($E23&amp;AJ$6,Base!$M:$Q,5,0),0)</f>
        <v>0</v>
      </c>
      <c r="AL23" s="109">
        <v>0</v>
      </c>
      <c r="AM23" s="108">
        <f>IFERROR(VLOOKUP($E23&amp;AM$6,Base!$A:$E,5,0),0)</f>
        <v>0</v>
      </c>
      <c r="AN23" s="101">
        <f>IFERROR(VLOOKUP($E23&amp;AN$6,Base!$G:$K,5,0),0)</f>
        <v>169.167</v>
      </c>
      <c r="AO23" s="101">
        <f>IFERROR(VLOOKUP($E23&amp;AN$6,Base!$M:$Q,5,0),0)</f>
        <v>0</v>
      </c>
      <c r="AP23" s="109"/>
      <c r="AR23" s="104">
        <f t="shared" si="10"/>
        <v>0</v>
      </c>
      <c r="AS23" s="99">
        <f t="shared" si="11"/>
        <v>762.375</v>
      </c>
      <c r="AT23" s="99">
        <f t="shared" si="12"/>
        <v>0</v>
      </c>
      <c r="AU23" s="105">
        <f t="shared" si="13"/>
        <v>0</v>
      </c>
      <c r="AV23" s="108">
        <f>IFERROR(VLOOKUP($E23&amp;AV$6,Base!$A:$E,5,0),0)</f>
        <v>0</v>
      </c>
      <c r="AW23" s="101">
        <f>IFERROR(VLOOKUP($E23&amp;AW$6,Base!$G:$K,5,0),0)</f>
        <v>102.625</v>
      </c>
      <c r="AX23" s="101">
        <f>IFERROR(VLOOKUP($E23&amp;AW$6,Base!$M:$Q,5,0),0)</f>
        <v>0</v>
      </c>
      <c r="AY23" s="109">
        <v>0</v>
      </c>
      <c r="AZ23" s="108">
        <f>IFERROR(VLOOKUP($E23&amp;AZ$6,Base!$A:$E,5,0),0)</f>
        <v>0</v>
      </c>
      <c r="BA23" s="101">
        <f>IFERROR(VLOOKUP($E23&amp;BA$6,Base!$G:$K,5,0),0)</f>
        <v>68.25</v>
      </c>
      <c r="BB23" s="101">
        <f>IFERROR(VLOOKUP($E23&amp;BA$6,Base!$M:$Q,5,0),0)</f>
        <v>0</v>
      </c>
      <c r="BC23" s="109">
        <v>0</v>
      </c>
      <c r="BD23" s="108">
        <f>IFERROR(VLOOKUP($E23&amp;BD$6,Base!$A:$E,5,0),0)</f>
        <v>0</v>
      </c>
      <c r="BE23" s="101">
        <f>IFERROR(VLOOKUP($E23&amp;BE$6,Base!$G:$K,5,0),0)</f>
        <v>591.5</v>
      </c>
      <c r="BF23" s="101">
        <f>IFERROR(VLOOKUP($E23&amp;BE$6,Base!$M:$Q,5,0),0)</f>
        <v>0</v>
      </c>
      <c r="BG23" s="109">
        <v>0</v>
      </c>
      <c r="BI23" s="104">
        <f t="shared" si="14"/>
        <v>0</v>
      </c>
      <c r="BJ23" s="99">
        <f t="shared" si="15"/>
        <v>80.888999999999996</v>
      </c>
      <c r="BK23" s="99">
        <f t="shared" si="16"/>
        <v>0</v>
      </c>
      <c r="BL23" s="111">
        <f t="shared" si="17"/>
        <v>0</v>
      </c>
      <c r="BM23" s="108">
        <f>IFERROR(VLOOKUP($E23&amp;BM$6,Base!$A:$E,5,0),0)</f>
        <v>0</v>
      </c>
      <c r="BN23" s="101">
        <f>IFERROR(VLOOKUP($E23&amp;BN$6,Base!$G:$K,5,0),0)</f>
        <v>-120.833</v>
      </c>
      <c r="BO23" s="101">
        <f>IFERROR(VLOOKUP($E23&amp;BN$6,Base!$M:$Q,5,0),0)</f>
        <v>0</v>
      </c>
      <c r="BP23" s="109">
        <v>0</v>
      </c>
      <c r="BQ23" s="108">
        <f>IFERROR(VLOOKUP($E23&amp;BQ$6,Base!$A:$E,5,0),0)</f>
        <v>0</v>
      </c>
      <c r="BR23" s="101">
        <f>IFERROR(VLOOKUP($E23&amp;BR$6,Base!$G:$K,5,0),0)</f>
        <v>111.25</v>
      </c>
      <c r="BS23" s="101">
        <f>IFERROR(VLOOKUP($E23&amp;BR$6,Base!$M:$Q,5,0),0)</f>
        <v>0</v>
      </c>
      <c r="BT23" s="109">
        <v>0</v>
      </c>
      <c r="BU23" s="108">
        <f>IFERROR(VLOOKUP($E23&amp;BU$6,Base!$A:$E,5,0),0)</f>
        <v>0</v>
      </c>
      <c r="BV23" s="101">
        <f>IFERROR(VLOOKUP($E23&amp;BV$6,Base!$G:$K,5,0),0)</f>
        <v>90.471999999999994</v>
      </c>
      <c r="BW23" s="101">
        <f>IFERROR(VLOOKUP($E23&amp;BV$6,Base!$M:$Q,5,0),0)</f>
        <v>0</v>
      </c>
      <c r="BX23" s="109">
        <f>IFERROR(VLOOKUP($E23,Base!$U:$W,3,0),0)</f>
        <v>0</v>
      </c>
    </row>
    <row r="24" spans="2:76" x14ac:dyDescent="0.35">
      <c r="B24" s="53" t="s">
        <v>402</v>
      </c>
      <c r="C24" s="51">
        <v>3919</v>
      </c>
      <c r="D24" s="51" t="s">
        <v>434</v>
      </c>
      <c r="E24" s="51">
        <v>53405</v>
      </c>
      <c r="F24" s="96" t="s">
        <v>322</v>
      </c>
      <c r="G24" s="42" t="s">
        <v>148</v>
      </c>
      <c r="H24" s="98" t="s">
        <v>153</v>
      </c>
      <c r="I24" s="143" t="s">
        <v>144</v>
      </c>
      <c r="J24" s="104">
        <f t="shared" si="2"/>
        <v>0</v>
      </c>
      <c r="K24" s="99">
        <f t="shared" si="3"/>
        <v>0</v>
      </c>
      <c r="L24" s="99">
        <f t="shared" si="4"/>
        <v>0</v>
      </c>
      <c r="M24" s="105">
        <f t="shared" si="5"/>
        <v>0</v>
      </c>
      <c r="N24" s="108">
        <f>IFERROR(VLOOKUP($E24&amp;N$6,Base!$A:$E,5,0),0)</f>
        <v>0</v>
      </c>
      <c r="O24" s="101">
        <v>0</v>
      </c>
      <c r="P24" s="101">
        <v>0</v>
      </c>
      <c r="Q24" s="101"/>
      <c r="R24" s="108">
        <f>IFERROR(VLOOKUP($E24&amp;R$6,Base!$A:$E,5,0),0)</f>
        <v>0</v>
      </c>
      <c r="S24" s="101">
        <f>IFERROR(VLOOKUP($E24&amp;S$6,Base!$G:$K,5,0),0)</f>
        <v>0</v>
      </c>
      <c r="T24" s="101">
        <f>IFERROR(VLOOKUP($E24&amp;S$6,Base!$M:$Q,5,0),0)</f>
        <v>0</v>
      </c>
      <c r="U24" s="109"/>
      <c r="V24" s="108">
        <f>IFERROR(VLOOKUP($E24&amp;V$6,Base!$A:$E,5,0),0)</f>
        <v>0</v>
      </c>
      <c r="W24" s="101">
        <f>IFERROR(VLOOKUP($E24&amp;W$6,Base!$G:$K,5,0),0)</f>
        <v>0</v>
      </c>
      <c r="X24" s="101">
        <f>IFERROR(VLOOKUP($E24&amp;W$6,Base!$M:$Q,5,0),0)</f>
        <v>0</v>
      </c>
      <c r="Y24" s="109"/>
      <c r="AA24" s="104">
        <f t="shared" si="6"/>
        <v>5.875</v>
      </c>
      <c r="AB24" s="99">
        <f t="shared" si="7"/>
        <v>5.875</v>
      </c>
      <c r="AC24" s="99">
        <f t="shared" si="8"/>
        <v>0.25</v>
      </c>
      <c r="AD24" s="105">
        <f t="shared" si="9"/>
        <v>0</v>
      </c>
      <c r="AE24" s="108">
        <f>IFERROR(VLOOKUP($E24&amp;AE$6,Base!$A:$E,5,0),0)</f>
        <v>5.875</v>
      </c>
      <c r="AF24" s="101">
        <f>IFERROR(VLOOKUP($E24&amp;AF$6,Base!$G:$K,5,0),0)</f>
        <v>5.875</v>
      </c>
      <c r="AG24" s="101">
        <f>IFERROR(VLOOKUP($E24&amp;AF$6,Base!$M:$Q,5,0),0)</f>
        <v>0.25</v>
      </c>
      <c r="AH24" s="109"/>
      <c r="AI24" s="108">
        <f>IFERROR(VLOOKUP($E24&amp;AI$6,Base!$A:$E,5,0),0)</f>
        <v>0</v>
      </c>
      <c r="AJ24" s="101">
        <f>IFERROR(VLOOKUP($E24&amp;AJ$6,Base!$G:$K,5,0),0)</f>
        <v>0</v>
      </c>
      <c r="AK24" s="101">
        <f>IFERROR(VLOOKUP($E24&amp;AJ$6,Base!$M:$Q,5,0),0)</f>
        <v>0</v>
      </c>
      <c r="AL24" s="109">
        <v>0</v>
      </c>
      <c r="AM24" s="108">
        <f>IFERROR(VLOOKUP($E24&amp;AM$6,Base!$A:$E,5,0),0)</f>
        <v>0</v>
      </c>
      <c r="AN24" s="101">
        <f>IFERROR(VLOOKUP($E24&amp;AN$6,Base!$G:$K,5,0),0)</f>
        <v>0</v>
      </c>
      <c r="AO24" s="101">
        <f>IFERROR(VLOOKUP($E24&amp;AN$6,Base!$M:$Q,5,0),0)</f>
        <v>0</v>
      </c>
      <c r="AP24" s="109"/>
      <c r="AR24" s="104">
        <f t="shared" si="10"/>
        <v>0</v>
      </c>
      <c r="AS24" s="99">
        <f t="shared" si="11"/>
        <v>3</v>
      </c>
      <c r="AT24" s="99">
        <f t="shared" si="12"/>
        <v>0</v>
      </c>
      <c r="AU24" s="105">
        <f t="shared" si="13"/>
        <v>0</v>
      </c>
      <c r="AV24" s="108">
        <f>IFERROR(VLOOKUP($E24&amp;AV$6,Base!$A:$E,5,0),0)</f>
        <v>0</v>
      </c>
      <c r="AW24" s="101">
        <f>IFERROR(VLOOKUP($E24&amp;AW$6,Base!$G:$K,5,0),0)</f>
        <v>0</v>
      </c>
      <c r="AX24" s="101">
        <f>IFERROR(VLOOKUP($E24&amp;AW$6,Base!$M:$Q,5,0),0)</f>
        <v>0</v>
      </c>
      <c r="AY24" s="109">
        <v>0</v>
      </c>
      <c r="AZ24" s="108">
        <f>IFERROR(VLOOKUP($E24&amp;AZ$6,Base!$A:$E,5,0),0)</f>
        <v>0</v>
      </c>
      <c r="BA24" s="101">
        <f>IFERROR(VLOOKUP($E24&amp;BA$6,Base!$G:$K,5,0),0)</f>
        <v>3</v>
      </c>
      <c r="BB24" s="101">
        <f>IFERROR(VLOOKUP($E24&amp;BA$6,Base!$M:$Q,5,0),0)</f>
        <v>0</v>
      </c>
      <c r="BC24" s="109">
        <v>0</v>
      </c>
      <c r="BD24" s="108">
        <f>IFERROR(VLOOKUP($E24&amp;BD$6,Base!$A:$E,5,0),0)</f>
        <v>0</v>
      </c>
      <c r="BE24" s="101">
        <f>IFERROR(VLOOKUP($E24&amp;BE$6,Base!$G:$K,5,0),0)</f>
        <v>0</v>
      </c>
      <c r="BF24" s="101">
        <f>IFERROR(VLOOKUP($E24&amp;BE$6,Base!$M:$Q,5,0),0)</f>
        <v>0</v>
      </c>
      <c r="BG24" s="109">
        <v>0</v>
      </c>
      <c r="BI24" s="104">
        <f t="shared" si="14"/>
        <v>0</v>
      </c>
      <c r="BJ24" s="99">
        <f t="shared" si="15"/>
        <v>0</v>
      </c>
      <c r="BK24" s="99">
        <f t="shared" si="16"/>
        <v>0</v>
      </c>
      <c r="BL24" s="111">
        <f t="shared" si="17"/>
        <v>0</v>
      </c>
      <c r="BM24" s="108">
        <f>IFERROR(VLOOKUP($E24&amp;BM$6,Base!$A:$E,5,0),0)</f>
        <v>0</v>
      </c>
      <c r="BN24" s="101">
        <f>IFERROR(VLOOKUP($E24&amp;BN$6,Base!$G:$K,5,0),0)</f>
        <v>0</v>
      </c>
      <c r="BO24" s="101">
        <f>IFERROR(VLOOKUP($E24&amp;BN$6,Base!$M:$Q,5,0),0)</f>
        <v>0</v>
      </c>
      <c r="BP24" s="109">
        <v>0</v>
      </c>
      <c r="BQ24" s="108">
        <f>IFERROR(VLOOKUP($E24&amp;BQ$6,Base!$A:$E,5,0),0)</f>
        <v>0</v>
      </c>
      <c r="BR24" s="101">
        <f>IFERROR(VLOOKUP($E24&amp;BR$6,Base!$G:$K,5,0),0)</f>
        <v>0</v>
      </c>
      <c r="BS24" s="101">
        <f>IFERROR(VLOOKUP($E24&amp;BR$6,Base!$M:$Q,5,0),0)</f>
        <v>0</v>
      </c>
      <c r="BT24" s="109">
        <v>0</v>
      </c>
      <c r="BU24" s="108">
        <f>IFERROR(VLOOKUP($E24&amp;BU$6,Base!$A:$E,5,0),0)</f>
        <v>0</v>
      </c>
      <c r="BV24" s="101">
        <f>IFERROR(VLOOKUP($E24&amp;BV$6,Base!$G:$K,5,0),0)</f>
        <v>0</v>
      </c>
      <c r="BW24" s="101">
        <f>IFERROR(VLOOKUP($E24&amp;BV$6,Base!$M:$Q,5,0),0)</f>
        <v>0</v>
      </c>
      <c r="BX24" s="109">
        <f>IFERROR(VLOOKUP($E24,Base!$U:$W,3,0),0)</f>
        <v>0</v>
      </c>
    </row>
    <row r="25" spans="2:76" x14ac:dyDescent="0.35">
      <c r="B25" s="53" t="s">
        <v>402</v>
      </c>
      <c r="C25" s="51">
        <v>3919</v>
      </c>
      <c r="D25" s="51" t="s">
        <v>434</v>
      </c>
      <c r="E25" s="51">
        <v>53461</v>
      </c>
      <c r="F25" s="96" t="s">
        <v>325</v>
      </c>
      <c r="G25" s="42" t="s">
        <v>57</v>
      </c>
      <c r="H25" s="98" t="s">
        <v>105</v>
      </c>
      <c r="I25" s="143" t="s">
        <v>144</v>
      </c>
      <c r="J25" s="104">
        <f t="shared" si="2"/>
        <v>5.875</v>
      </c>
      <c r="K25" s="99">
        <f t="shared" si="3"/>
        <v>5.875</v>
      </c>
      <c r="L25" s="99">
        <f t="shared" si="4"/>
        <v>0.25</v>
      </c>
      <c r="M25" s="105">
        <f t="shared" si="5"/>
        <v>0</v>
      </c>
      <c r="N25" s="108">
        <f>IFERROR(VLOOKUP($E25&amp;N$6,Base!$A:$E,5,0),0)</f>
        <v>0</v>
      </c>
      <c r="O25" s="101">
        <v>0</v>
      </c>
      <c r="P25" s="101">
        <v>0</v>
      </c>
      <c r="Q25" s="101"/>
      <c r="R25" s="108">
        <f>IFERROR(VLOOKUP($E25&amp;R$6,Base!$A:$E,5,0),0)</f>
        <v>5.875</v>
      </c>
      <c r="S25" s="101">
        <f>IFERROR(VLOOKUP($E25&amp;S$6,Base!$G:$K,5,0),0)</f>
        <v>5.875</v>
      </c>
      <c r="T25" s="101">
        <f>IFERROR(VLOOKUP($E25&amp;S$6,Base!$M:$Q,5,0),0)</f>
        <v>0.25</v>
      </c>
      <c r="U25" s="109"/>
      <c r="V25" s="108">
        <f>IFERROR(VLOOKUP($E25&amp;V$6,Base!$A:$E,5,0),0)</f>
        <v>0</v>
      </c>
      <c r="W25" s="101">
        <f>IFERROR(VLOOKUP($E25&amp;W$6,Base!$G:$K,5,0),0)</f>
        <v>0</v>
      </c>
      <c r="X25" s="101">
        <f>IFERROR(VLOOKUP($E25&amp;W$6,Base!$M:$Q,5,0),0)</f>
        <v>0</v>
      </c>
      <c r="Y25" s="109"/>
      <c r="AA25" s="104">
        <f t="shared" si="6"/>
        <v>0</v>
      </c>
      <c r="AB25" s="99">
        <f t="shared" si="7"/>
        <v>0</v>
      </c>
      <c r="AC25" s="99">
        <f t="shared" si="8"/>
        <v>0</v>
      </c>
      <c r="AD25" s="105">
        <f t="shared" si="9"/>
        <v>0</v>
      </c>
      <c r="AE25" s="108">
        <f>IFERROR(VLOOKUP($E25&amp;AE$6,Base!$A:$E,5,0),0)</f>
        <v>0</v>
      </c>
      <c r="AF25" s="101">
        <f>IFERROR(VLOOKUP($E25&amp;AF$6,Base!$G:$K,5,0),0)</f>
        <v>0</v>
      </c>
      <c r="AG25" s="101">
        <f>IFERROR(VLOOKUP($E25&amp;AF$6,Base!$M:$Q,5,0),0)</f>
        <v>0</v>
      </c>
      <c r="AH25" s="109"/>
      <c r="AI25" s="108">
        <f>IFERROR(VLOOKUP($E25&amp;AI$6,Base!$A:$E,5,0),0)</f>
        <v>0</v>
      </c>
      <c r="AJ25" s="101">
        <f>IFERROR(VLOOKUP($E25&amp;AJ$6,Base!$G:$K,5,0),0)</f>
        <v>0</v>
      </c>
      <c r="AK25" s="101">
        <f>IFERROR(VLOOKUP($E25&amp;AJ$6,Base!$M:$Q,5,0),0)</f>
        <v>0</v>
      </c>
      <c r="AL25" s="109">
        <v>0</v>
      </c>
      <c r="AM25" s="108">
        <f>IFERROR(VLOOKUP($E25&amp;AM$6,Base!$A:$E,5,0),0)</f>
        <v>0</v>
      </c>
      <c r="AN25" s="101">
        <f>IFERROR(VLOOKUP($E25&amp;AN$6,Base!$G:$K,5,0),0)</f>
        <v>0</v>
      </c>
      <c r="AO25" s="101">
        <f>IFERROR(VLOOKUP($E25&amp;AN$6,Base!$M:$Q,5,0),0)</f>
        <v>0</v>
      </c>
      <c r="AP25" s="109"/>
      <c r="AR25" s="104">
        <f t="shared" si="10"/>
        <v>0</v>
      </c>
      <c r="AS25" s="99">
        <f t="shared" si="11"/>
        <v>3</v>
      </c>
      <c r="AT25" s="99">
        <f t="shared" si="12"/>
        <v>0</v>
      </c>
      <c r="AU25" s="105">
        <f t="shared" si="13"/>
        <v>0</v>
      </c>
      <c r="AV25" s="108">
        <f>IFERROR(VLOOKUP($E25&amp;AV$6,Base!$A:$E,5,0),0)</f>
        <v>0</v>
      </c>
      <c r="AW25" s="101">
        <f>IFERROR(VLOOKUP($E25&amp;AW$6,Base!$G:$K,5,0),0)</f>
        <v>0</v>
      </c>
      <c r="AX25" s="101">
        <f>IFERROR(VLOOKUP($E25&amp;AW$6,Base!$M:$Q,5,0),0)</f>
        <v>0</v>
      </c>
      <c r="AY25" s="109">
        <v>0</v>
      </c>
      <c r="AZ25" s="108">
        <f>IFERROR(VLOOKUP($E25&amp;AZ$6,Base!$A:$E,5,0),0)</f>
        <v>0</v>
      </c>
      <c r="BA25" s="101">
        <f>IFERROR(VLOOKUP($E25&amp;BA$6,Base!$G:$K,5,0),0)</f>
        <v>3</v>
      </c>
      <c r="BB25" s="101">
        <f>IFERROR(VLOOKUP($E25&amp;BA$6,Base!$M:$Q,5,0),0)</f>
        <v>0</v>
      </c>
      <c r="BC25" s="109">
        <v>0</v>
      </c>
      <c r="BD25" s="108">
        <f>IFERROR(VLOOKUP($E25&amp;BD$6,Base!$A:$E,5,0),0)</f>
        <v>0</v>
      </c>
      <c r="BE25" s="101">
        <f>IFERROR(VLOOKUP($E25&amp;BE$6,Base!$G:$K,5,0),0)</f>
        <v>0</v>
      </c>
      <c r="BF25" s="101">
        <f>IFERROR(VLOOKUP($E25&amp;BE$6,Base!$M:$Q,5,0),0)</f>
        <v>0</v>
      </c>
      <c r="BG25" s="109">
        <v>0</v>
      </c>
      <c r="BI25" s="104">
        <f t="shared" si="14"/>
        <v>0</v>
      </c>
      <c r="BJ25" s="99">
        <f t="shared" si="15"/>
        <v>0</v>
      </c>
      <c r="BK25" s="99">
        <f t="shared" si="16"/>
        <v>0</v>
      </c>
      <c r="BL25" s="111">
        <f t="shared" si="17"/>
        <v>0</v>
      </c>
      <c r="BM25" s="108">
        <f>IFERROR(VLOOKUP($E25&amp;BM$6,Base!$A:$E,5,0),0)</f>
        <v>0</v>
      </c>
      <c r="BN25" s="101">
        <f>IFERROR(VLOOKUP($E25&amp;BN$6,Base!$G:$K,5,0),0)</f>
        <v>0</v>
      </c>
      <c r="BO25" s="101">
        <f>IFERROR(VLOOKUP($E25&amp;BN$6,Base!$M:$Q,5,0),0)</f>
        <v>0</v>
      </c>
      <c r="BP25" s="109">
        <v>0</v>
      </c>
      <c r="BQ25" s="108">
        <f>IFERROR(VLOOKUP($E25&amp;BQ$6,Base!$A:$E,5,0),0)</f>
        <v>0</v>
      </c>
      <c r="BR25" s="101">
        <f>IFERROR(VLOOKUP($E25&amp;BR$6,Base!$G:$K,5,0),0)</f>
        <v>0</v>
      </c>
      <c r="BS25" s="101">
        <f>IFERROR(VLOOKUP($E25&amp;BR$6,Base!$M:$Q,5,0),0)</f>
        <v>0</v>
      </c>
      <c r="BT25" s="109">
        <v>0</v>
      </c>
      <c r="BU25" s="108">
        <f>IFERROR(VLOOKUP($E25&amp;BU$6,Base!$A:$E,5,0),0)</f>
        <v>0</v>
      </c>
      <c r="BV25" s="101">
        <f>IFERROR(VLOOKUP($E25&amp;BV$6,Base!$G:$K,5,0),0)</f>
        <v>0</v>
      </c>
      <c r="BW25" s="101">
        <f>IFERROR(VLOOKUP($E25&amp;BV$6,Base!$M:$Q,5,0),0)</f>
        <v>0</v>
      </c>
      <c r="BX25" s="109">
        <f>IFERROR(VLOOKUP($E25,Base!$U:$W,3,0),0)</f>
        <v>0</v>
      </c>
    </row>
    <row r="26" spans="2:76" x14ac:dyDescent="0.35">
      <c r="B26" s="53" t="s">
        <v>402</v>
      </c>
      <c r="C26" s="51">
        <v>3919</v>
      </c>
      <c r="D26" s="51" t="s">
        <v>434</v>
      </c>
      <c r="E26" s="51">
        <v>56110</v>
      </c>
      <c r="F26" s="96" t="s">
        <v>328</v>
      </c>
      <c r="G26" s="42" t="s">
        <v>58</v>
      </c>
      <c r="H26" s="98" t="s">
        <v>105</v>
      </c>
      <c r="I26" s="143" t="s">
        <v>144</v>
      </c>
      <c r="J26" s="104">
        <f t="shared" si="2"/>
        <v>5.875</v>
      </c>
      <c r="K26" s="99">
        <f t="shared" si="3"/>
        <v>5.875</v>
      </c>
      <c r="L26" s="99">
        <f t="shared" si="4"/>
        <v>0.25</v>
      </c>
      <c r="M26" s="105">
        <f t="shared" si="5"/>
        <v>0</v>
      </c>
      <c r="N26" s="108">
        <f>IFERROR(VLOOKUP($E26&amp;N$6,Base!$A:$E,5,0),0)</f>
        <v>0</v>
      </c>
      <c r="O26" s="101">
        <v>0</v>
      </c>
      <c r="P26" s="101">
        <v>0</v>
      </c>
      <c r="Q26" s="101"/>
      <c r="R26" s="108">
        <f>IFERROR(VLOOKUP($E26&amp;R$6,Base!$A:$E,5,0),0)</f>
        <v>5.875</v>
      </c>
      <c r="S26" s="101">
        <f>IFERROR(VLOOKUP($E26&amp;S$6,Base!$G:$K,5,0),0)</f>
        <v>5.875</v>
      </c>
      <c r="T26" s="101">
        <f>IFERROR(VLOOKUP($E26&amp;S$6,Base!$M:$Q,5,0),0)</f>
        <v>0.25</v>
      </c>
      <c r="U26" s="109"/>
      <c r="V26" s="108">
        <f>IFERROR(VLOOKUP($E26&amp;V$6,Base!$A:$E,5,0),0)</f>
        <v>0</v>
      </c>
      <c r="W26" s="101">
        <f>IFERROR(VLOOKUP($E26&amp;W$6,Base!$G:$K,5,0),0)</f>
        <v>0</v>
      </c>
      <c r="X26" s="101">
        <f>IFERROR(VLOOKUP($E26&amp;W$6,Base!$M:$Q,5,0),0)</f>
        <v>0</v>
      </c>
      <c r="Y26" s="109"/>
      <c r="AA26" s="104">
        <f t="shared" si="6"/>
        <v>0</v>
      </c>
      <c r="AB26" s="99">
        <f t="shared" si="7"/>
        <v>0</v>
      </c>
      <c r="AC26" s="99">
        <f t="shared" si="8"/>
        <v>0</v>
      </c>
      <c r="AD26" s="105">
        <f t="shared" si="9"/>
        <v>0</v>
      </c>
      <c r="AE26" s="108">
        <f>IFERROR(VLOOKUP($E26&amp;AE$6,Base!$A:$E,5,0),0)</f>
        <v>0</v>
      </c>
      <c r="AF26" s="101">
        <f>IFERROR(VLOOKUP($E26&amp;AF$6,Base!$G:$K,5,0),0)</f>
        <v>0</v>
      </c>
      <c r="AG26" s="101">
        <f>IFERROR(VLOOKUP($E26&amp;AF$6,Base!$M:$Q,5,0),0)</f>
        <v>0</v>
      </c>
      <c r="AH26" s="109"/>
      <c r="AI26" s="108">
        <f>IFERROR(VLOOKUP($E26&amp;AI$6,Base!$A:$E,5,0),0)</f>
        <v>0</v>
      </c>
      <c r="AJ26" s="101">
        <f>IFERROR(VLOOKUP($E26&amp;AJ$6,Base!$G:$K,5,0),0)</f>
        <v>0</v>
      </c>
      <c r="AK26" s="101">
        <f>IFERROR(VLOOKUP($E26&amp;AJ$6,Base!$M:$Q,5,0),0)</f>
        <v>0</v>
      </c>
      <c r="AL26" s="109">
        <v>0</v>
      </c>
      <c r="AM26" s="108">
        <f>IFERROR(VLOOKUP($E26&amp;AM$6,Base!$A:$E,5,0),0)</f>
        <v>0</v>
      </c>
      <c r="AN26" s="101">
        <f>IFERROR(VLOOKUP($E26&amp;AN$6,Base!$G:$K,5,0),0)</f>
        <v>0</v>
      </c>
      <c r="AO26" s="101">
        <f>IFERROR(VLOOKUP($E26&amp;AN$6,Base!$M:$Q,5,0),0)</f>
        <v>0</v>
      </c>
      <c r="AP26" s="109"/>
      <c r="AR26" s="104">
        <f t="shared" si="10"/>
        <v>0</v>
      </c>
      <c r="AS26" s="99">
        <f t="shared" si="11"/>
        <v>3</v>
      </c>
      <c r="AT26" s="99">
        <f t="shared" si="12"/>
        <v>0</v>
      </c>
      <c r="AU26" s="105">
        <f t="shared" si="13"/>
        <v>0</v>
      </c>
      <c r="AV26" s="108">
        <f>IFERROR(VLOOKUP($E26&amp;AV$6,Base!$A:$E,5,0),0)</f>
        <v>0</v>
      </c>
      <c r="AW26" s="101">
        <f>IFERROR(VLOOKUP($E26&amp;AW$6,Base!$G:$K,5,0),0)</f>
        <v>0</v>
      </c>
      <c r="AX26" s="101">
        <f>IFERROR(VLOOKUP($E26&amp;AW$6,Base!$M:$Q,5,0),0)</f>
        <v>0</v>
      </c>
      <c r="AY26" s="109">
        <v>0</v>
      </c>
      <c r="AZ26" s="108">
        <f>IFERROR(VLOOKUP($E26&amp;AZ$6,Base!$A:$E,5,0),0)</f>
        <v>0</v>
      </c>
      <c r="BA26" s="101">
        <f>IFERROR(VLOOKUP($E26&amp;BA$6,Base!$G:$K,5,0),0)</f>
        <v>3</v>
      </c>
      <c r="BB26" s="101">
        <f>IFERROR(VLOOKUP($E26&amp;BA$6,Base!$M:$Q,5,0),0)</f>
        <v>0</v>
      </c>
      <c r="BC26" s="109">
        <v>0</v>
      </c>
      <c r="BD26" s="108">
        <f>IFERROR(VLOOKUP($E26&amp;BD$6,Base!$A:$E,5,0),0)</f>
        <v>0</v>
      </c>
      <c r="BE26" s="101">
        <f>IFERROR(VLOOKUP($E26&amp;BE$6,Base!$G:$K,5,0),0)</f>
        <v>0</v>
      </c>
      <c r="BF26" s="101">
        <f>IFERROR(VLOOKUP($E26&amp;BE$6,Base!$M:$Q,5,0),0)</f>
        <v>0</v>
      </c>
      <c r="BG26" s="109">
        <v>0</v>
      </c>
      <c r="BI26" s="104">
        <f t="shared" si="14"/>
        <v>0</v>
      </c>
      <c r="BJ26" s="99">
        <f t="shared" si="15"/>
        <v>0</v>
      </c>
      <c r="BK26" s="99">
        <f t="shared" si="16"/>
        <v>0</v>
      </c>
      <c r="BL26" s="111">
        <f t="shared" si="17"/>
        <v>0</v>
      </c>
      <c r="BM26" s="108">
        <f>IFERROR(VLOOKUP($E26&amp;BM$6,Base!$A:$E,5,0),0)</f>
        <v>0</v>
      </c>
      <c r="BN26" s="101">
        <f>IFERROR(VLOOKUP($E26&amp;BN$6,Base!$G:$K,5,0),0)</f>
        <v>0</v>
      </c>
      <c r="BO26" s="101">
        <f>IFERROR(VLOOKUP($E26&amp;BN$6,Base!$M:$Q,5,0),0)</f>
        <v>0</v>
      </c>
      <c r="BP26" s="109">
        <v>0</v>
      </c>
      <c r="BQ26" s="108">
        <f>IFERROR(VLOOKUP($E26&amp;BQ$6,Base!$A:$E,5,0),0)</f>
        <v>0</v>
      </c>
      <c r="BR26" s="101">
        <f>IFERROR(VLOOKUP($E26&amp;BR$6,Base!$G:$K,5,0),0)</f>
        <v>0</v>
      </c>
      <c r="BS26" s="101">
        <f>IFERROR(VLOOKUP($E26&amp;BR$6,Base!$M:$Q,5,0),0)</f>
        <v>0</v>
      </c>
      <c r="BT26" s="109">
        <v>0</v>
      </c>
      <c r="BU26" s="108">
        <f>IFERROR(VLOOKUP($E26&amp;BU$6,Base!$A:$E,5,0),0)</f>
        <v>0</v>
      </c>
      <c r="BV26" s="101">
        <f>IFERROR(VLOOKUP($E26&amp;BV$6,Base!$G:$K,5,0),0)</f>
        <v>0</v>
      </c>
      <c r="BW26" s="101">
        <f>IFERROR(VLOOKUP($E26&amp;BV$6,Base!$M:$Q,5,0),0)</f>
        <v>0</v>
      </c>
      <c r="BX26" s="109">
        <f>IFERROR(VLOOKUP($E26,Base!$U:$W,3,0),0)</f>
        <v>0</v>
      </c>
    </row>
    <row r="27" spans="2:76" x14ac:dyDescent="0.35">
      <c r="B27" s="53" t="s">
        <v>402</v>
      </c>
      <c r="C27" s="51">
        <v>3919</v>
      </c>
      <c r="D27" s="51" t="s">
        <v>434</v>
      </c>
      <c r="E27" s="51">
        <v>73922</v>
      </c>
      <c r="F27" s="96" t="s">
        <v>319</v>
      </c>
      <c r="G27" s="42" t="s">
        <v>59</v>
      </c>
      <c r="H27" s="98" t="s">
        <v>105</v>
      </c>
      <c r="I27" s="143" t="s">
        <v>144</v>
      </c>
      <c r="J27" s="104">
        <f t="shared" si="2"/>
        <v>5.875</v>
      </c>
      <c r="K27" s="99">
        <f t="shared" si="3"/>
        <v>5.875</v>
      </c>
      <c r="L27" s="99">
        <f t="shared" si="4"/>
        <v>0.25</v>
      </c>
      <c r="M27" s="105">
        <f t="shared" si="5"/>
        <v>0</v>
      </c>
      <c r="N27" s="108">
        <f>IFERROR(VLOOKUP($E27&amp;N$6,Base!$A:$E,5,0),0)</f>
        <v>0</v>
      </c>
      <c r="O27" s="101">
        <v>0</v>
      </c>
      <c r="P27" s="101">
        <v>0</v>
      </c>
      <c r="Q27" s="101"/>
      <c r="R27" s="108">
        <f>IFERROR(VLOOKUP($E27&amp;R$6,Base!$A:$E,5,0),0)</f>
        <v>5.875</v>
      </c>
      <c r="S27" s="101">
        <f>IFERROR(VLOOKUP($E27&amp;S$6,Base!$G:$K,5,0),0)</f>
        <v>5.875</v>
      </c>
      <c r="T27" s="101">
        <f>IFERROR(VLOOKUP($E27&amp;S$6,Base!$M:$Q,5,0),0)</f>
        <v>0.25</v>
      </c>
      <c r="U27" s="109"/>
      <c r="V27" s="108">
        <f>IFERROR(VLOOKUP($E27&amp;V$6,Base!$A:$E,5,0),0)</f>
        <v>0</v>
      </c>
      <c r="W27" s="101">
        <f>IFERROR(VLOOKUP($E27&amp;W$6,Base!$G:$K,5,0),0)</f>
        <v>0</v>
      </c>
      <c r="X27" s="101">
        <f>IFERROR(VLOOKUP($E27&amp;W$6,Base!$M:$Q,5,0),0)</f>
        <v>0</v>
      </c>
      <c r="Y27" s="109"/>
      <c r="AA27" s="104">
        <f t="shared" si="6"/>
        <v>0</v>
      </c>
      <c r="AB27" s="99">
        <f t="shared" si="7"/>
        <v>0</v>
      </c>
      <c r="AC27" s="99">
        <f t="shared" si="8"/>
        <v>0</v>
      </c>
      <c r="AD27" s="105">
        <f t="shared" si="9"/>
        <v>0</v>
      </c>
      <c r="AE27" s="108">
        <f>IFERROR(VLOOKUP($E27&amp;AE$6,Base!$A:$E,5,0),0)</f>
        <v>0</v>
      </c>
      <c r="AF27" s="101">
        <f>IFERROR(VLOOKUP($E27&amp;AF$6,Base!$G:$K,5,0),0)</f>
        <v>0</v>
      </c>
      <c r="AG27" s="101">
        <f>IFERROR(VLOOKUP($E27&amp;AF$6,Base!$M:$Q,5,0),0)</f>
        <v>0</v>
      </c>
      <c r="AH27" s="109"/>
      <c r="AI27" s="108">
        <f>IFERROR(VLOOKUP($E27&amp;AI$6,Base!$A:$E,5,0),0)</f>
        <v>0</v>
      </c>
      <c r="AJ27" s="101">
        <f>IFERROR(VLOOKUP($E27&amp;AJ$6,Base!$G:$K,5,0),0)</f>
        <v>0</v>
      </c>
      <c r="AK27" s="101">
        <f>IFERROR(VLOOKUP($E27&amp;AJ$6,Base!$M:$Q,5,0),0)</f>
        <v>0</v>
      </c>
      <c r="AL27" s="109">
        <v>0</v>
      </c>
      <c r="AM27" s="108">
        <f>IFERROR(VLOOKUP($E27&amp;AM$6,Base!$A:$E,5,0),0)</f>
        <v>0</v>
      </c>
      <c r="AN27" s="101">
        <f>IFERROR(VLOOKUP($E27&amp;AN$6,Base!$G:$K,5,0),0)</f>
        <v>0</v>
      </c>
      <c r="AO27" s="101">
        <f>IFERROR(VLOOKUP($E27&amp;AN$6,Base!$M:$Q,5,0),0)</f>
        <v>0</v>
      </c>
      <c r="AP27" s="109"/>
      <c r="AR27" s="104">
        <f t="shared" si="10"/>
        <v>0</v>
      </c>
      <c r="AS27" s="99">
        <f t="shared" si="11"/>
        <v>3</v>
      </c>
      <c r="AT27" s="99">
        <f t="shared" si="12"/>
        <v>0</v>
      </c>
      <c r="AU27" s="105">
        <f t="shared" si="13"/>
        <v>0</v>
      </c>
      <c r="AV27" s="108">
        <f>IFERROR(VLOOKUP($E27&amp;AV$6,Base!$A:$E,5,0),0)</f>
        <v>0</v>
      </c>
      <c r="AW27" s="101">
        <f>IFERROR(VLOOKUP($E27&amp;AW$6,Base!$G:$K,5,0),0)</f>
        <v>0</v>
      </c>
      <c r="AX27" s="101">
        <f>IFERROR(VLOOKUP($E27&amp;AW$6,Base!$M:$Q,5,0),0)</f>
        <v>0</v>
      </c>
      <c r="AY27" s="109">
        <v>0</v>
      </c>
      <c r="AZ27" s="108">
        <f>IFERROR(VLOOKUP($E27&amp;AZ$6,Base!$A:$E,5,0),0)</f>
        <v>0</v>
      </c>
      <c r="BA27" s="101">
        <f>IFERROR(VLOOKUP($E27&amp;BA$6,Base!$G:$K,5,0),0)</f>
        <v>3</v>
      </c>
      <c r="BB27" s="101">
        <f>IFERROR(VLOOKUP($E27&amp;BA$6,Base!$M:$Q,5,0),0)</f>
        <v>0</v>
      </c>
      <c r="BC27" s="109">
        <v>0</v>
      </c>
      <c r="BD27" s="108">
        <f>IFERROR(VLOOKUP($E27&amp;BD$6,Base!$A:$E,5,0),0)</f>
        <v>0</v>
      </c>
      <c r="BE27" s="101">
        <f>IFERROR(VLOOKUP($E27&amp;BE$6,Base!$G:$K,5,0),0)</f>
        <v>0</v>
      </c>
      <c r="BF27" s="101">
        <f>IFERROR(VLOOKUP($E27&amp;BE$6,Base!$M:$Q,5,0),0)</f>
        <v>0</v>
      </c>
      <c r="BG27" s="109">
        <v>0</v>
      </c>
      <c r="BI27" s="104">
        <f t="shared" si="14"/>
        <v>0</v>
      </c>
      <c r="BJ27" s="99">
        <f t="shared" si="15"/>
        <v>0</v>
      </c>
      <c r="BK27" s="99">
        <f t="shared" si="16"/>
        <v>0</v>
      </c>
      <c r="BL27" s="111">
        <f t="shared" si="17"/>
        <v>0</v>
      </c>
      <c r="BM27" s="108">
        <f>IFERROR(VLOOKUP($E27&amp;BM$6,Base!$A:$E,5,0),0)</f>
        <v>0</v>
      </c>
      <c r="BN27" s="101">
        <f>IFERROR(VLOOKUP($E27&amp;BN$6,Base!$G:$K,5,0),0)</f>
        <v>0</v>
      </c>
      <c r="BO27" s="101">
        <f>IFERROR(VLOOKUP($E27&amp;BN$6,Base!$M:$Q,5,0),0)</f>
        <v>0</v>
      </c>
      <c r="BP27" s="109">
        <v>0</v>
      </c>
      <c r="BQ27" s="108">
        <f>IFERROR(VLOOKUP($E27&amp;BQ$6,Base!$A:$E,5,0),0)</f>
        <v>0</v>
      </c>
      <c r="BR27" s="101">
        <f>IFERROR(VLOOKUP($E27&amp;BR$6,Base!$G:$K,5,0),0)</f>
        <v>0</v>
      </c>
      <c r="BS27" s="101">
        <f>IFERROR(VLOOKUP($E27&amp;BR$6,Base!$M:$Q,5,0),0)</f>
        <v>0</v>
      </c>
      <c r="BT27" s="109">
        <v>0</v>
      </c>
      <c r="BU27" s="108">
        <f>IFERROR(VLOOKUP($E27&amp;BU$6,Base!$A:$E,5,0),0)</f>
        <v>0</v>
      </c>
      <c r="BV27" s="101">
        <f>IFERROR(VLOOKUP($E27&amp;BV$6,Base!$G:$K,5,0),0)</f>
        <v>0</v>
      </c>
      <c r="BW27" s="101">
        <f>IFERROR(VLOOKUP($E27&amp;BV$6,Base!$M:$Q,5,0),0)</f>
        <v>0</v>
      </c>
      <c r="BX27" s="109">
        <f>IFERROR(VLOOKUP($E27,Base!$U:$W,3,0),0)</f>
        <v>0</v>
      </c>
    </row>
    <row r="28" spans="2:76" x14ac:dyDescent="0.35">
      <c r="B28" s="53" t="s">
        <v>402</v>
      </c>
      <c r="C28" s="51">
        <v>3919</v>
      </c>
      <c r="D28" s="51" t="s">
        <v>434</v>
      </c>
      <c r="E28" s="51">
        <v>94520</v>
      </c>
      <c r="F28" s="96" t="s">
        <v>332</v>
      </c>
      <c r="G28" s="42" t="s">
        <v>19</v>
      </c>
      <c r="H28" s="98" t="s">
        <v>105</v>
      </c>
      <c r="I28" s="143" t="s">
        <v>144</v>
      </c>
      <c r="J28" s="104">
        <f t="shared" si="2"/>
        <v>1737.258</v>
      </c>
      <c r="K28" s="99">
        <f t="shared" si="3"/>
        <v>1605.4379999999999</v>
      </c>
      <c r="L28" s="99">
        <f t="shared" si="4"/>
        <v>24.5</v>
      </c>
      <c r="M28" s="105">
        <f t="shared" si="5"/>
        <v>0</v>
      </c>
      <c r="N28" s="108">
        <f>IFERROR(VLOOKUP($E28&amp;N$6,Base!$A:$E,5,0),0)</f>
        <v>97.179000000000002</v>
      </c>
      <c r="O28" s="101">
        <v>241.625</v>
      </c>
      <c r="P28" s="101">
        <v>2</v>
      </c>
      <c r="Q28" s="101"/>
      <c r="R28" s="108">
        <f>IFERROR(VLOOKUP($E28&amp;R$6,Base!$A:$E,5,0),0)</f>
        <v>21.771000000000001</v>
      </c>
      <c r="S28" s="101">
        <f>IFERROR(VLOOKUP($E28&amp;S$6,Base!$G:$K,5,0),0)</f>
        <v>49.146000000000001</v>
      </c>
      <c r="T28" s="101">
        <f>IFERROR(VLOOKUP($E28&amp;S$6,Base!$M:$Q,5,0),0)</f>
        <v>5.5</v>
      </c>
      <c r="U28" s="109"/>
      <c r="V28" s="108">
        <f>IFERROR(VLOOKUP($E28&amp;V$6,Base!$A:$E,5,0),0)</f>
        <v>1618.308</v>
      </c>
      <c r="W28" s="101">
        <f>IFERROR(VLOOKUP($E28&amp;W$6,Base!$G:$K,5,0),0)</f>
        <v>1314.6669999999999</v>
      </c>
      <c r="X28" s="101">
        <f>IFERROR(VLOOKUP($E28&amp;W$6,Base!$M:$Q,5,0),0)</f>
        <v>17</v>
      </c>
      <c r="Y28" s="109"/>
      <c r="AA28" s="104">
        <f t="shared" si="6"/>
        <v>1017.884</v>
      </c>
      <c r="AB28" s="99">
        <f t="shared" si="7"/>
        <v>1064.0549999999998</v>
      </c>
      <c r="AC28" s="99">
        <f t="shared" si="8"/>
        <v>43</v>
      </c>
      <c r="AD28" s="105">
        <f t="shared" si="9"/>
        <v>0</v>
      </c>
      <c r="AE28" s="108">
        <f>IFERROR(VLOOKUP($E28&amp;AE$6,Base!$A:$E,5,0),0)</f>
        <v>219.52099999999999</v>
      </c>
      <c r="AF28" s="101">
        <f>IFERROR(VLOOKUP($E28&amp;AF$6,Base!$G:$K,5,0),0)</f>
        <v>74.082999999999998</v>
      </c>
      <c r="AG28" s="101">
        <f>IFERROR(VLOOKUP($E28&amp;AF$6,Base!$M:$Q,5,0),0)</f>
        <v>31</v>
      </c>
      <c r="AH28" s="109"/>
      <c r="AI28" s="108">
        <f>IFERROR(VLOOKUP($E28&amp;AI$6,Base!$A:$E,5,0),0)</f>
        <v>125.863</v>
      </c>
      <c r="AJ28" s="101">
        <f>IFERROR(VLOOKUP($E28&amp;AJ$6,Base!$G:$K,5,0),0)</f>
        <v>397.76400000000001</v>
      </c>
      <c r="AK28" s="101">
        <f>IFERROR(VLOOKUP($E28&amp;AJ$6,Base!$M:$Q,5,0),0)</f>
        <v>2</v>
      </c>
      <c r="AL28" s="109">
        <v>0</v>
      </c>
      <c r="AM28" s="108">
        <f>IFERROR(VLOOKUP($E28&amp;AM$6,Base!$A:$E,5,0),0)</f>
        <v>672.5</v>
      </c>
      <c r="AN28" s="101">
        <f>IFERROR(VLOOKUP($E28&amp;AN$6,Base!$G:$K,5,0),0)</f>
        <v>592.20799999999997</v>
      </c>
      <c r="AO28" s="101">
        <f>IFERROR(VLOOKUP($E28&amp;AN$6,Base!$M:$Q,5,0),0)</f>
        <v>10</v>
      </c>
      <c r="AP28" s="109"/>
      <c r="AR28" s="104">
        <f t="shared" si="10"/>
        <v>135.066</v>
      </c>
      <c r="AS28" s="99">
        <f t="shared" si="11"/>
        <v>771.85400000000004</v>
      </c>
      <c r="AT28" s="99">
        <f t="shared" si="12"/>
        <v>47.582999999999998</v>
      </c>
      <c r="AU28" s="105">
        <f t="shared" si="13"/>
        <v>0</v>
      </c>
      <c r="AV28" s="108">
        <f>IFERROR(VLOOKUP($E28&amp;AV$6,Base!$A:$E,5,0),0)</f>
        <v>10.396000000000001</v>
      </c>
      <c r="AW28" s="101">
        <f>IFERROR(VLOOKUP($E28&amp;AW$6,Base!$G:$K,5,0),0)</f>
        <v>294.02100000000002</v>
      </c>
      <c r="AX28" s="101">
        <f>IFERROR(VLOOKUP($E28&amp;AW$6,Base!$M:$Q,5,0),0)</f>
        <v>7.75</v>
      </c>
      <c r="AY28" s="109">
        <v>0</v>
      </c>
      <c r="AZ28" s="108">
        <f>IFERROR(VLOOKUP($E28&amp;AZ$6,Base!$A:$E,5,0),0)</f>
        <v>70.462999999999994</v>
      </c>
      <c r="BA28" s="101">
        <f>IFERROR(VLOOKUP($E28&amp;BA$6,Base!$G:$K,5,0),0)</f>
        <v>80.582999999999998</v>
      </c>
      <c r="BB28" s="101">
        <f>IFERROR(VLOOKUP($E28&amp;BA$6,Base!$M:$Q,5,0),0)</f>
        <v>9.5830000000000002</v>
      </c>
      <c r="BC28" s="109">
        <v>0</v>
      </c>
      <c r="BD28" s="108">
        <f>IFERROR(VLOOKUP($E28&amp;BD$6,Base!$A:$E,5,0),0)</f>
        <v>54.207000000000001</v>
      </c>
      <c r="BE28" s="101">
        <f>IFERROR(VLOOKUP($E28&amp;BE$6,Base!$G:$K,5,0),0)</f>
        <v>397.25</v>
      </c>
      <c r="BF28" s="101">
        <f>IFERROR(VLOOKUP($E28&amp;BE$6,Base!$M:$Q,5,0),0)</f>
        <v>30.25</v>
      </c>
      <c r="BG28" s="109">
        <v>0</v>
      </c>
      <c r="BI28" s="104">
        <f t="shared" si="14"/>
        <v>135.58500000000001</v>
      </c>
      <c r="BJ28" s="99">
        <f t="shared" si="15"/>
        <v>427.06700000000001</v>
      </c>
      <c r="BK28" s="99">
        <f t="shared" si="16"/>
        <v>8.5</v>
      </c>
      <c r="BL28" s="111">
        <f t="shared" si="17"/>
        <v>0</v>
      </c>
      <c r="BM28" s="108">
        <f>IFERROR(VLOOKUP($E28&amp;BM$6,Base!$A:$E,5,0),0)</f>
        <v>-3.5830000000000002</v>
      </c>
      <c r="BN28" s="101">
        <f>IFERROR(VLOOKUP($E28&amp;BN$6,Base!$G:$K,5,0),0)</f>
        <v>220.667</v>
      </c>
      <c r="BO28" s="101">
        <f>IFERROR(VLOOKUP($E28&amp;BN$6,Base!$M:$Q,5,0),0)</f>
        <v>4.6669999999999998</v>
      </c>
      <c r="BP28" s="109">
        <v>0</v>
      </c>
      <c r="BQ28" s="108">
        <f>IFERROR(VLOOKUP($E28&amp;BQ$6,Base!$A:$E,5,0),0)</f>
        <v>154.17500000000001</v>
      </c>
      <c r="BR28" s="101">
        <f>IFERROR(VLOOKUP($E28&amp;BR$6,Base!$G:$K,5,0),0)</f>
        <v>215.179</v>
      </c>
      <c r="BS28" s="101">
        <f>IFERROR(VLOOKUP($E28&amp;BR$6,Base!$M:$Q,5,0),0)</f>
        <v>3.0830000000000002</v>
      </c>
      <c r="BT28" s="109">
        <v>0</v>
      </c>
      <c r="BU28" s="108">
        <f>IFERROR(VLOOKUP($E28&amp;BU$6,Base!$A:$E,5,0),0)</f>
        <v>-15.007</v>
      </c>
      <c r="BV28" s="101">
        <f>IFERROR(VLOOKUP($E28&amp;BV$6,Base!$G:$K,5,0),0)</f>
        <v>-8.7789999999999999</v>
      </c>
      <c r="BW28" s="101">
        <f>IFERROR(VLOOKUP($E28&amp;BV$6,Base!$M:$Q,5,0),0)</f>
        <v>0.75</v>
      </c>
      <c r="BX28" s="109">
        <f>IFERROR(VLOOKUP($E28,Base!$U:$W,3,0),0)</f>
        <v>0</v>
      </c>
    </row>
    <row r="29" spans="2:76" x14ac:dyDescent="0.35">
      <c r="B29" s="53" t="s">
        <v>402</v>
      </c>
      <c r="C29" s="51">
        <v>3919</v>
      </c>
      <c r="D29" s="51" t="s">
        <v>434</v>
      </c>
      <c r="E29" s="51">
        <v>102953</v>
      </c>
      <c r="F29" s="96" t="s">
        <v>335</v>
      </c>
      <c r="G29" s="42" t="s">
        <v>60</v>
      </c>
      <c r="H29" s="98" t="s">
        <v>105</v>
      </c>
      <c r="I29" s="143" t="s">
        <v>144</v>
      </c>
      <c r="J29" s="104">
        <f t="shared" si="2"/>
        <v>5.875</v>
      </c>
      <c r="K29" s="99">
        <f t="shared" si="3"/>
        <v>5.875</v>
      </c>
      <c r="L29" s="99">
        <f t="shared" si="4"/>
        <v>0.25</v>
      </c>
      <c r="M29" s="105">
        <f t="shared" si="5"/>
        <v>0</v>
      </c>
      <c r="N29" s="108">
        <f>IFERROR(VLOOKUP($E29&amp;N$6,Base!$A:$E,5,0),0)</f>
        <v>0</v>
      </c>
      <c r="O29" s="101">
        <v>0</v>
      </c>
      <c r="P29" s="101">
        <v>0</v>
      </c>
      <c r="Q29" s="101"/>
      <c r="R29" s="108">
        <f>IFERROR(VLOOKUP($E29&amp;R$6,Base!$A:$E,5,0),0)</f>
        <v>5.875</v>
      </c>
      <c r="S29" s="101">
        <f>IFERROR(VLOOKUP($E29&amp;S$6,Base!$G:$K,5,0),0)</f>
        <v>5.875</v>
      </c>
      <c r="T29" s="101">
        <f>IFERROR(VLOOKUP($E29&amp;S$6,Base!$M:$Q,5,0),0)</f>
        <v>0.25</v>
      </c>
      <c r="U29" s="109"/>
      <c r="V29" s="108">
        <f>IFERROR(VLOOKUP($E29&amp;V$6,Base!$A:$E,5,0),0)</f>
        <v>0</v>
      </c>
      <c r="W29" s="101">
        <f>IFERROR(VLOOKUP($E29&amp;W$6,Base!$G:$K,5,0),0)</f>
        <v>0</v>
      </c>
      <c r="X29" s="101">
        <f>IFERROR(VLOOKUP($E29&amp;W$6,Base!$M:$Q,5,0),0)</f>
        <v>0</v>
      </c>
      <c r="Y29" s="109"/>
      <c r="AA29" s="104">
        <f t="shared" si="6"/>
        <v>0</v>
      </c>
      <c r="AB29" s="99">
        <f t="shared" si="7"/>
        <v>0</v>
      </c>
      <c r="AC29" s="99">
        <f t="shared" si="8"/>
        <v>0</v>
      </c>
      <c r="AD29" s="105">
        <f t="shared" si="9"/>
        <v>0</v>
      </c>
      <c r="AE29" s="108">
        <f>IFERROR(VLOOKUP($E29&amp;AE$6,Base!$A:$E,5,0),0)</f>
        <v>0</v>
      </c>
      <c r="AF29" s="101">
        <f>IFERROR(VLOOKUP($E29&amp;AF$6,Base!$G:$K,5,0),0)</f>
        <v>0</v>
      </c>
      <c r="AG29" s="101">
        <f>IFERROR(VLOOKUP($E29&amp;AF$6,Base!$M:$Q,5,0),0)</f>
        <v>0</v>
      </c>
      <c r="AH29" s="109"/>
      <c r="AI29" s="108">
        <f>IFERROR(VLOOKUP($E29&amp;AI$6,Base!$A:$E,5,0),0)</f>
        <v>0</v>
      </c>
      <c r="AJ29" s="101">
        <f>IFERROR(VLOOKUP($E29&amp;AJ$6,Base!$G:$K,5,0),0)</f>
        <v>0</v>
      </c>
      <c r="AK29" s="101">
        <f>IFERROR(VLOOKUP($E29&amp;AJ$6,Base!$M:$Q,5,0),0)</f>
        <v>0</v>
      </c>
      <c r="AL29" s="109">
        <v>0</v>
      </c>
      <c r="AM29" s="108">
        <f>IFERROR(VLOOKUP($E29&amp;AM$6,Base!$A:$E,5,0),0)</f>
        <v>0</v>
      </c>
      <c r="AN29" s="101">
        <f>IFERROR(VLOOKUP($E29&amp;AN$6,Base!$G:$K,5,0),0)</f>
        <v>0</v>
      </c>
      <c r="AO29" s="101">
        <f>IFERROR(VLOOKUP($E29&amp;AN$6,Base!$M:$Q,5,0),0)</f>
        <v>0</v>
      </c>
      <c r="AP29" s="109"/>
      <c r="AR29" s="104">
        <f t="shared" si="10"/>
        <v>0</v>
      </c>
      <c r="AS29" s="99">
        <f t="shared" si="11"/>
        <v>3</v>
      </c>
      <c r="AT29" s="99">
        <f t="shared" si="12"/>
        <v>0</v>
      </c>
      <c r="AU29" s="105">
        <f t="shared" si="13"/>
        <v>0</v>
      </c>
      <c r="AV29" s="108">
        <f>IFERROR(VLOOKUP($E29&amp;AV$6,Base!$A:$E,5,0),0)</f>
        <v>0</v>
      </c>
      <c r="AW29" s="101">
        <f>IFERROR(VLOOKUP($E29&amp;AW$6,Base!$G:$K,5,0),0)</f>
        <v>0</v>
      </c>
      <c r="AX29" s="101">
        <f>IFERROR(VLOOKUP($E29&amp;AW$6,Base!$M:$Q,5,0),0)</f>
        <v>0</v>
      </c>
      <c r="AY29" s="109">
        <v>0</v>
      </c>
      <c r="AZ29" s="108">
        <f>IFERROR(VLOOKUP($E29&amp;AZ$6,Base!$A:$E,5,0),0)</f>
        <v>0</v>
      </c>
      <c r="BA29" s="101">
        <f>IFERROR(VLOOKUP($E29&amp;BA$6,Base!$G:$K,5,0),0)</f>
        <v>3</v>
      </c>
      <c r="BB29" s="101">
        <f>IFERROR(VLOOKUP($E29&amp;BA$6,Base!$M:$Q,5,0),0)</f>
        <v>0</v>
      </c>
      <c r="BC29" s="109">
        <v>0</v>
      </c>
      <c r="BD29" s="108">
        <f>IFERROR(VLOOKUP($E29&amp;BD$6,Base!$A:$E,5,0),0)</f>
        <v>0</v>
      </c>
      <c r="BE29" s="101">
        <f>IFERROR(VLOOKUP($E29&amp;BE$6,Base!$G:$K,5,0),0)</f>
        <v>0</v>
      </c>
      <c r="BF29" s="101">
        <f>IFERROR(VLOOKUP($E29&amp;BE$6,Base!$M:$Q,5,0),0)</f>
        <v>0</v>
      </c>
      <c r="BG29" s="109">
        <v>0</v>
      </c>
      <c r="BI29" s="104">
        <f t="shared" si="14"/>
        <v>0</v>
      </c>
      <c r="BJ29" s="99">
        <f t="shared" si="15"/>
        <v>0</v>
      </c>
      <c r="BK29" s="99">
        <f t="shared" si="16"/>
        <v>0</v>
      </c>
      <c r="BL29" s="111">
        <f t="shared" si="17"/>
        <v>0</v>
      </c>
      <c r="BM29" s="108">
        <f>IFERROR(VLOOKUP($E29&amp;BM$6,Base!$A:$E,5,0),0)</f>
        <v>0</v>
      </c>
      <c r="BN29" s="101">
        <f>IFERROR(VLOOKUP($E29&amp;BN$6,Base!$G:$K,5,0),0)</f>
        <v>0</v>
      </c>
      <c r="BO29" s="101">
        <f>IFERROR(VLOOKUP($E29&amp;BN$6,Base!$M:$Q,5,0),0)</f>
        <v>0</v>
      </c>
      <c r="BP29" s="109">
        <v>0</v>
      </c>
      <c r="BQ29" s="108">
        <f>IFERROR(VLOOKUP($E29&amp;BQ$6,Base!$A:$E,5,0),0)</f>
        <v>0</v>
      </c>
      <c r="BR29" s="101">
        <f>IFERROR(VLOOKUP($E29&amp;BR$6,Base!$G:$K,5,0),0)</f>
        <v>0</v>
      </c>
      <c r="BS29" s="101">
        <f>IFERROR(VLOOKUP($E29&amp;BR$6,Base!$M:$Q,5,0),0)</f>
        <v>0</v>
      </c>
      <c r="BT29" s="109">
        <v>0</v>
      </c>
      <c r="BU29" s="108">
        <f>IFERROR(VLOOKUP($E29&amp;BU$6,Base!$A:$E,5,0),0)</f>
        <v>0</v>
      </c>
      <c r="BV29" s="101">
        <f>IFERROR(VLOOKUP($E29&amp;BV$6,Base!$G:$K,5,0),0)</f>
        <v>0</v>
      </c>
      <c r="BW29" s="101">
        <f>IFERROR(VLOOKUP($E29&amp;BV$6,Base!$M:$Q,5,0),0)</f>
        <v>0</v>
      </c>
      <c r="BX29" s="109">
        <f>IFERROR(VLOOKUP($E29,Base!$U:$W,3,0),0)</f>
        <v>0</v>
      </c>
    </row>
    <row r="30" spans="2:76" x14ac:dyDescent="0.35">
      <c r="B30" s="53" t="s">
        <v>402</v>
      </c>
      <c r="C30" s="51">
        <v>3919</v>
      </c>
      <c r="D30" s="51" t="s">
        <v>434</v>
      </c>
      <c r="E30" s="51">
        <v>119456</v>
      </c>
      <c r="F30" s="96" t="s">
        <v>339</v>
      </c>
      <c r="G30" s="42" t="s">
        <v>61</v>
      </c>
      <c r="H30" s="98" t="s">
        <v>105</v>
      </c>
      <c r="I30" s="143" t="s">
        <v>144</v>
      </c>
      <c r="J30" s="104">
        <f t="shared" si="2"/>
        <v>5.875</v>
      </c>
      <c r="K30" s="99">
        <f t="shared" si="3"/>
        <v>5.875</v>
      </c>
      <c r="L30" s="99">
        <f t="shared" si="4"/>
        <v>0.25</v>
      </c>
      <c r="M30" s="105">
        <f t="shared" si="5"/>
        <v>0</v>
      </c>
      <c r="N30" s="108">
        <f>IFERROR(VLOOKUP($E30&amp;N$6,Base!$A:$E,5,0),0)</f>
        <v>0</v>
      </c>
      <c r="O30" s="101">
        <v>0</v>
      </c>
      <c r="P30" s="101">
        <v>0</v>
      </c>
      <c r="Q30" s="101"/>
      <c r="R30" s="108">
        <f>IFERROR(VLOOKUP($E30&amp;R$6,Base!$A:$E,5,0),0)</f>
        <v>5.875</v>
      </c>
      <c r="S30" s="101">
        <f>IFERROR(VLOOKUP($E30&amp;S$6,Base!$G:$K,5,0),0)</f>
        <v>5.875</v>
      </c>
      <c r="T30" s="101">
        <f>IFERROR(VLOOKUP($E30&amp;S$6,Base!$M:$Q,5,0),0)</f>
        <v>0.25</v>
      </c>
      <c r="U30" s="109"/>
      <c r="V30" s="108">
        <f>IFERROR(VLOOKUP($E30&amp;V$6,Base!$A:$E,5,0),0)</f>
        <v>0</v>
      </c>
      <c r="W30" s="101">
        <f>IFERROR(VLOOKUP($E30&amp;W$6,Base!$G:$K,5,0),0)</f>
        <v>0</v>
      </c>
      <c r="X30" s="101">
        <f>IFERROR(VLOOKUP($E30&amp;W$6,Base!$M:$Q,5,0),0)</f>
        <v>0</v>
      </c>
      <c r="Y30" s="109"/>
      <c r="AA30" s="104">
        <f t="shared" si="6"/>
        <v>0</v>
      </c>
      <c r="AB30" s="99">
        <f t="shared" si="7"/>
        <v>0</v>
      </c>
      <c r="AC30" s="99">
        <f t="shared" si="8"/>
        <v>0</v>
      </c>
      <c r="AD30" s="105">
        <f t="shared" si="9"/>
        <v>0</v>
      </c>
      <c r="AE30" s="108">
        <f>IFERROR(VLOOKUP($E30&amp;AE$6,Base!$A:$E,5,0),0)</f>
        <v>0</v>
      </c>
      <c r="AF30" s="101">
        <f>IFERROR(VLOOKUP($E30&amp;AF$6,Base!$G:$K,5,0),0)</f>
        <v>0</v>
      </c>
      <c r="AG30" s="101">
        <f>IFERROR(VLOOKUP($E30&amp;AF$6,Base!$M:$Q,5,0),0)</f>
        <v>0</v>
      </c>
      <c r="AH30" s="109"/>
      <c r="AI30" s="108">
        <f>IFERROR(VLOOKUP($E30&amp;AI$6,Base!$A:$E,5,0),0)</f>
        <v>0</v>
      </c>
      <c r="AJ30" s="101">
        <f>IFERROR(VLOOKUP($E30&amp;AJ$6,Base!$G:$K,5,0),0)</f>
        <v>0</v>
      </c>
      <c r="AK30" s="101">
        <f>IFERROR(VLOOKUP($E30&amp;AJ$6,Base!$M:$Q,5,0),0)</f>
        <v>0</v>
      </c>
      <c r="AL30" s="109">
        <v>0</v>
      </c>
      <c r="AM30" s="108">
        <f>IFERROR(VLOOKUP($E30&amp;AM$6,Base!$A:$E,5,0),0)</f>
        <v>0</v>
      </c>
      <c r="AN30" s="101">
        <f>IFERROR(VLOOKUP($E30&amp;AN$6,Base!$G:$K,5,0),0)</f>
        <v>0</v>
      </c>
      <c r="AO30" s="101">
        <f>IFERROR(VLOOKUP($E30&amp;AN$6,Base!$M:$Q,5,0),0)</f>
        <v>0</v>
      </c>
      <c r="AP30" s="109"/>
      <c r="AR30" s="104">
        <f t="shared" si="10"/>
        <v>0</v>
      </c>
      <c r="AS30" s="99">
        <f t="shared" si="11"/>
        <v>3</v>
      </c>
      <c r="AT30" s="99">
        <f t="shared" si="12"/>
        <v>0</v>
      </c>
      <c r="AU30" s="105">
        <f t="shared" si="13"/>
        <v>0</v>
      </c>
      <c r="AV30" s="108">
        <f>IFERROR(VLOOKUP($E30&amp;AV$6,Base!$A:$E,5,0),0)</f>
        <v>0</v>
      </c>
      <c r="AW30" s="101">
        <f>IFERROR(VLOOKUP($E30&amp;AW$6,Base!$G:$K,5,0),0)</f>
        <v>0</v>
      </c>
      <c r="AX30" s="101">
        <f>IFERROR(VLOOKUP($E30&amp;AW$6,Base!$M:$Q,5,0),0)</f>
        <v>0</v>
      </c>
      <c r="AY30" s="109">
        <v>0</v>
      </c>
      <c r="AZ30" s="108">
        <f>IFERROR(VLOOKUP($E30&amp;AZ$6,Base!$A:$E,5,0),0)</f>
        <v>0</v>
      </c>
      <c r="BA30" s="101">
        <f>IFERROR(VLOOKUP($E30&amp;BA$6,Base!$G:$K,5,0),0)</f>
        <v>3</v>
      </c>
      <c r="BB30" s="101">
        <f>IFERROR(VLOOKUP($E30&amp;BA$6,Base!$M:$Q,5,0),0)</f>
        <v>0</v>
      </c>
      <c r="BC30" s="109">
        <v>0</v>
      </c>
      <c r="BD30" s="108">
        <f>IFERROR(VLOOKUP($E30&amp;BD$6,Base!$A:$E,5,0),0)</f>
        <v>0</v>
      </c>
      <c r="BE30" s="101">
        <f>IFERROR(VLOOKUP($E30&amp;BE$6,Base!$G:$K,5,0),0)</f>
        <v>0</v>
      </c>
      <c r="BF30" s="101">
        <f>IFERROR(VLOOKUP($E30&amp;BE$6,Base!$M:$Q,5,0),0)</f>
        <v>0</v>
      </c>
      <c r="BG30" s="109">
        <v>0</v>
      </c>
      <c r="BI30" s="104">
        <f t="shared" si="14"/>
        <v>0</v>
      </c>
      <c r="BJ30" s="99">
        <f t="shared" si="15"/>
        <v>0</v>
      </c>
      <c r="BK30" s="99">
        <f t="shared" si="16"/>
        <v>0</v>
      </c>
      <c r="BL30" s="111">
        <f t="shared" si="17"/>
        <v>0</v>
      </c>
      <c r="BM30" s="108">
        <f>IFERROR(VLOOKUP($E30&amp;BM$6,Base!$A:$E,5,0),0)</f>
        <v>0</v>
      </c>
      <c r="BN30" s="101">
        <f>IFERROR(VLOOKUP($E30&amp;BN$6,Base!$G:$K,5,0),0)</f>
        <v>0</v>
      </c>
      <c r="BO30" s="101">
        <f>IFERROR(VLOOKUP($E30&amp;BN$6,Base!$M:$Q,5,0),0)</f>
        <v>0</v>
      </c>
      <c r="BP30" s="109">
        <v>0</v>
      </c>
      <c r="BQ30" s="108">
        <f>IFERROR(VLOOKUP($E30&amp;BQ$6,Base!$A:$E,5,0),0)</f>
        <v>0</v>
      </c>
      <c r="BR30" s="101">
        <f>IFERROR(VLOOKUP($E30&amp;BR$6,Base!$G:$K,5,0),0)</f>
        <v>0</v>
      </c>
      <c r="BS30" s="101">
        <f>IFERROR(VLOOKUP($E30&amp;BR$6,Base!$M:$Q,5,0),0)</f>
        <v>0</v>
      </c>
      <c r="BT30" s="109">
        <v>0</v>
      </c>
      <c r="BU30" s="108">
        <f>IFERROR(VLOOKUP($E30&amp;BU$6,Base!$A:$E,5,0),0)</f>
        <v>0</v>
      </c>
      <c r="BV30" s="101">
        <f>IFERROR(VLOOKUP($E30&amp;BV$6,Base!$G:$K,5,0),0)</f>
        <v>0</v>
      </c>
      <c r="BW30" s="101">
        <f>IFERROR(VLOOKUP($E30&amp;BV$6,Base!$M:$Q,5,0),0)</f>
        <v>0</v>
      </c>
      <c r="BX30" s="109">
        <f>IFERROR(VLOOKUP($E30,Base!$U:$W,3,0),0)</f>
        <v>0</v>
      </c>
    </row>
    <row r="31" spans="2:76" x14ac:dyDescent="0.35">
      <c r="B31" s="53" t="s">
        <v>402</v>
      </c>
      <c r="C31" s="51">
        <v>3919</v>
      </c>
      <c r="D31" s="51" t="s">
        <v>434</v>
      </c>
      <c r="E31" s="51">
        <v>131538</v>
      </c>
      <c r="F31" s="96" t="s">
        <v>368</v>
      </c>
      <c r="G31" s="42" t="s">
        <v>146</v>
      </c>
      <c r="H31" s="98" t="s">
        <v>153</v>
      </c>
      <c r="I31" s="143" t="s">
        <v>144</v>
      </c>
      <c r="J31" s="104">
        <f t="shared" si="2"/>
        <v>0</v>
      </c>
      <c r="K31" s="99">
        <f t="shared" si="3"/>
        <v>0</v>
      </c>
      <c r="L31" s="99">
        <f t="shared" si="4"/>
        <v>0</v>
      </c>
      <c r="M31" s="105">
        <f t="shared" si="5"/>
        <v>0</v>
      </c>
      <c r="N31" s="108">
        <f>IFERROR(VLOOKUP($E31&amp;N$6,Base!$A:$E,5,0),0)</f>
        <v>0</v>
      </c>
      <c r="O31" s="101">
        <v>0</v>
      </c>
      <c r="P31" s="101">
        <v>0</v>
      </c>
      <c r="Q31" s="101"/>
      <c r="R31" s="108">
        <f>IFERROR(VLOOKUP($E31&amp;R$6,Base!$A:$E,5,0),0)</f>
        <v>0</v>
      </c>
      <c r="S31" s="101">
        <f>IFERROR(VLOOKUP($E31&amp;S$6,Base!$G:$K,5,0),0)</f>
        <v>0</v>
      </c>
      <c r="T31" s="101">
        <f>IFERROR(VLOOKUP($E31&amp;S$6,Base!$M:$Q,5,0),0)</f>
        <v>0</v>
      </c>
      <c r="U31" s="109"/>
      <c r="V31" s="108">
        <f>IFERROR(VLOOKUP($E31&amp;V$6,Base!$A:$E,5,0),0)</f>
        <v>0</v>
      </c>
      <c r="W31" s="101">
        <f>IFERROR(VLOOKUP($E31&amp;W$6,Base!$G:$K,5,0),0)</f>
        <v>0</v>
      </c>
      <c r="X31" s="101">
        <f>IFERROR(VLOOKUP($E31&amp;W$6,Base!$M:$Q,5,0),0)</f>
        <v>0</v>
      </c>
      <c r="Y31" s="109"/>
      <c r="AA31" s="104">
        <f t="shared" si="6"/>
        <v>0</v>
      </c>
      <c r="AB31" s="99">
        <f t="shared" si="7"/>
        <v>0</v>
      </c>
      <c r="AC31" s="99">
        <f t="shared" si="8"/>
        <v>0</v>
      </c>
      <c r="AD31" s="105">
        <f t="shared" si="9"/>
        <v>0</v>
      </c>
      <c r="AE31" s="108">
        <f>IFERROR(VLOOKUP($E31&amp;AE$6,Base!$A:$E,5,0),0)</f>
        <v>0</v>
      </c>
      <c r="AF31" s="101">
        <f>IFERROR(VLOOKUP($E31&amp;AF$6,Base!$G:$K,5,0),0)</f>
        <v>0</v>
      </c>
      <c r="AG31" s="101">
        <f>IFERROR(VLOOKUP($E31&amp;AF$6,Base!$M:$Q,5,0),0)</f>
        <v>0</v>
      </c>
      <c r="AH31" s="109"/>
      <c r="AI31" s="108">
        <f>IFERROR(VLOOKUP($E31&amp;AI$6,Base!$A:$E,5,0),0)</f>
        <v>0</v>
      </c>
      <c r="AJ31" s="101">
        <f>IFERROR(VLOOKUP($E31&amp;AJ$6,Base!$G:$K,5,0),0)</f>
        <v>0</v>
      </c>
      <c r="AK31" s="101">
        <f>IFERROR(VLOOKUP($E31&amp;AJ$6,Base!$M:$Q,5,0),0)</f>
        <v>0</v>
      </c>
      <c r="AL31" s="109">
        <v>0</v>
      </c>
      <c r="AM31" s="108">
        <f>IFERROR(VLOOKUP($E31&amp;AM$6,Base!$A:$E,5,0),0)</f>
        <v>0</v>
      </c>
      <c r="AN31" s="101">
        <f>IFERROR(VLOOKUP($E31&amp;AN$6,Base!$G:$K,5,0),0)</f>
        <v>0</v>
      </c>
      <c r="AO31" s="101">
        <f>IFERROR(VLOOKUP($E31&amp;AN$6,Base!$M:$Q,5,0),0)</f>
        <v>0</v>
      </c>
      <c r="AP31" s="109"/>
      <c r="AR31" s="104">
        <f t="shared" si="10"/>
        <v>0</v>
      </c>
      <c r="AS31" s="99">
        <f t="shared" si="11"/>
        <v>3</v>
      </c>
      <c r="AT31" s="99">
        <f t="shared" si="12"/>
        <v>0</v>
      </c>
      <c r="AU31" s="105">
        <f t="shared" si="13"/>
        <v>0</v>
      </c>
      <c r="AV31" s="108">
        <f>IFERROR(VLOOKUP($E31&amp;AV$6,Base!$A:$E,5,0),0)</f>
        <v>0</v>
      </c>
      <c r="AW31" s="101">
        <f>IFERROR(VLOOKUP($E31&amp;AW$6,Base!$G:$K,5,0),0)</f>
        <v>0</v>
      </c>
      <c r="AX31" s="101">
        <f>IFERROR(VLOOKUP($E31&amp;AW$6,Base!$M:$Q,5,0),0)</f>
        <v>0</v>
      </c>
      <c r="AY31" s="109">
        <v>0</v>
      </c>
      <c r="AZ31" s="108">
        <f>IFERROR(VLOOKUP($E31&amp;AZ$6,Base!$A:$E,5,0),0)</f>
        <v>0</v>
      </c>
      <c r="BA31" s="101">
        <f>IFERROR(VLOOKUP($E31&amp;BA$6,Base!$G:$K,5,0),0)</f>
        <v>0</v>
      </c>
      <c r="BB31" s="101">
        <f>IFERROR(VLOOKUP($E31&amp;BA$6,Base!$M:$Q,5,0),0)</f>
        <v>0</v>
      </c>
      <c r="BC31" s="109">
        <v>0</v>
      </c>
      <c r="BD31" s="108">
        <f>IFERROR(VLOOKUP($E31&amp;BD$6,Base!$A:$E,5,0),0)</f>
        <v>0</v>
      </c>
      <c r="BE31" s="101">
        <f>IFERROR(VLOOKUP($E31&amp;BE$6,Base!$G:$K,5,0),0)</f>
        <v>3</v>
      </c>
      <c r="BF31" s="101">
        <f>IFERROR(VLOOKUP($E31&amp;BE$6,Base!$M:$Q,5,0),0)</f>
        <v>0</v>
      </c>
      <c r="BG31" s="109">
        <v>0</v>
      </c>
      <c r="BI31" s="104">
        <f t="shared" si="14"/>
        <v>0</v>
      </c>
      <c r="BJ31" s="99">
        <f t="shared" si="15"/>
        <v>0</v>
      </c>
      <c r="BK31" s="99">
        <f t="shared" si="16"/>
        <v>0</v>
      </c>
      <c r="BL31" s="111">
        <f t="shared" si="17"/>
        <v>0</v>
      </c>
      <c r="BM31" s="108">
        <f>IFERROR(VLOOKUP($E31&amp;BM$6,Base!$A:$E,5,0),0)</f>
        <v>0</v>
      </c>
      <c r="BN31" s="101">
        <f>IFERROR(VLOOKUP($E31&amp;BN$6,Base!$G:$K,5,0),0)</f>
        <v>0</v>
      </c>
      <c r="BO31" s="101">
        <f>IFERROR(VLOOKUP($E31&amp;BN$6,Base!$M:$Q,5,0),0)</f>
        <v>0</v>
      </c>
      <c r="BP31" s="109">
        <v>0</v>
      </c>
      <c r="BQ31" s="108">
        <f>IFERROR(VLOOKUP($E31&amp;BQ$6,Base!$A:$E,5,0),0)</f>
        <v>0</v>
      </c>
      <c r="BR31" s="101">
        <f>IFERROR(VLOOKUP($E31&amp;BR$6,Base!$G:$K,5,0),0)</f>
        <v>0</v>
      </c>
      <c r="BS31" s="101">
        <f>IFERROR(VLOOKUP($E31&amp;BR$6,Base!$M:$Q,5,0),0)</f>
        <v>0</v>
      </c>
      <c r="BT31" s="109">
        <v>0</v>
      </c>
      <c r="BU31" s="108">
        <f>IFERROR(VLOOKUP($E31&amp;BU$6,Base!$A:$E,5,0),0)</f>
        <v>0</v>
      </c>
      <c r="BV31" s="101">
        <f>IFERROR(VLOOKUP($E31&amp;BV$6,Base!$G:$K,5,0),0)</f>
        <v>0</v>
      </c>
      <c r="BW31" s="101">
        <f>IFERROR(VLOOKUP($E31&amp;BV$6,Base!$M:$Q,5,0),0)</f>
        <v>0</v>
      </c>
      <c r="BX31" s="109">
        <f>IFERROR(VLOOKUP($E31,Base!$U:$W,3,0),0)</f>
        <v>0</v>
      </c>
    </row>
    <row r="32" spans="2:76" x14ac:dyDescent="0.35">
      <c r="B32" s="53" t="s">
        <v>402</v>
      </c>
      <c r="C32" s="51">
        <v>3919</v>
      </c>
      <c r="D32" s="51" t="s">
        <v>434</v>
      </c>
      <c r="E32" s="51">
        <v>131539</v>
      </c>
      <c r="F32" s="96" t="s">
        <v>371</v>
      </c>
      <c r="G32" s="42" t="s">
        <v>147</v>
      </c>
      <c r="H32" s="98" t="s">
        <v>153</v>
      </c>
      <c r="I32" s="143" t="s">
        <v>144</v>
      </c>
      <c r="J32" s="104">
        <f t="shared" si="2"/>
        <v>0</v>
      </c>
      <c r="K32" s="99">
        <f t="shared" si="3"/>
        <v>0</v>
      </c>
      <c r="L32" s="99">
        <f t="shared" si="4"/>
        <v>0</v>
      </c>
      <c r="M32" s="105">
        <f t="shared" si="5"/>
        <v>0</v>
      </c>
      <c r="N32" s="108">
        <f>IFERROR(VLOOKUP($E32&amp;N$6,Base!$A:$E,5,0),0)</f>
        <v>0</v>
      </c>
      <c r="O32" s="101">
        <v>0</v>
      </c>
      <c r="P32" s="101">
        <v>0</v>
      </c>
      <c r="Q32" s="101"/>
      <c r="R32" s="108">
        <f>IFERROR(VLOOKUP($E32&amp;R$6,Base!$A:$E,5,0),0)</f>
        <v>0</v>
      </c>
      <c r="S32" s="101">
        <f>IFERROR(VLOOKUP($E32&amp;S$6,Base!$G:$K,5,0),0)</f>
        <v>0</v>
      </c>
      <c r="T32" s="101">
        <f>IFERROR(VLOOKUP($E32&amp;S$6,Base!$M:$Q,5,0),0)</f>
        <v>0</v>
      </c>
      <c r="U32" s="109"/>
      <c r="V32" s="108">
        <f>IFERROR(VLOOKUP($E32&amp;V$6,Base!$A:$E,5,0),0)</f>
        <v>0</v>
      </c>
      <c r="W32" s="101">
        <f>IFERROR(VLOOKUP($E32&amp;W$6,Base!$G:$K,5,0),0)</f>
        <v>0</v>
      </c>
      <c r="X32" s="101">
        <f>IFERROR(VLOOKUP($E32&amp;W$6,Base!$M:$Q,5,0),0)</f>
        <v>0</v>
      </c>
      <c r="Y32" s="109"/>
      <c r="AA32" s="104">
        <f t="shared" si="6"/>
        <v>0</v>
      </c>
      <c r="AB32" s="99">
        <f t="shared" si="7"/>
        <v>0</v>
      </c>
      <c r="AC32" s="99">
        <f t="shared" si="8"/>
        <v>0</v>
      </c>
      <c r="AD32" s="105">
        <f t="shared" si="9"/>
        <v>0</v>
      </c>
      <c r="AE32" s="108">
        <f>IFERROR(VLOOKUP($E32&amp;AE$6,Base!$A:$E,5,0),0)</f>
        <v>0</v>
      </c>
      <c r="AF32" s="101">
        <f>IFERROR(VLOOKUP($E32&amp;AF$6,Base!$G:$K,5,0),0)</f>
        <v>0</v>
      </c>
      <c r="AG32" s="101">
        <f>IFERROR(VLOOKUP($E32&amp;AF$6,Base!$M:$Q,5,0),0)</f>
        <v>0</v>
      </c>
      <c r="AH32" s="109"/>
      <c r="AI32" s="108">
        <f>IFERROR(VLOOKUP($E32&amp;AI$6,Base!$A:$E,5,0),0)</f>
        <v>0</v>
      </c>
      <c r="AJ32" s="101">
        <f>IFERROR(VLOOKUP($E32&amp;AJ$6,Base!$G:$K,5,0),0)</f>
        <v>0</v>
      </c>
      <c r="AK32" s="101">
        <f>IFERROR(VLOOKUP($E32&amp;AJ$6,Base!$M:$Q,5,0),0)</f>
        <v>0</v>
      </c>
      <c r="AL32" s="109">
        <v>0</v>
      </c>
      <c r="AM32" s="108">
        <f>IFERROR(VLOOKUP($E32&amp;AM$6,Base!$A:$E,5,0),0)</f>
        <v>0</v>
      </c>
      <c r="AN32" s="101">
        <f>IFERROR(VLOOKUP($E32&amp;AN$6,Base!$G:$K,5,0),0)</f>
        <v>0</v>
      </c>
      <c r="AO32" s="101">
        <f>IFERROR(VLOOKUP($E32&amp;AN$6,Base!$M:$Q,5,0),0)</f>
        <v>0</v>
      </c>
      <c r="AP32" s="109"/>
      <c r="AR32" s="104">
        <f t="shared" si="10"/>
        <v>0</v>
      </c>
      <c r="AS32" s="99">
        <f t="shared" si="11"/>
        <v>3</v>
      </c>
      <c r="AT32" s="99">
        <f t="shared" si="12"/>
        <v>0</v>
      </c>
      <c r="AU32" s="105">
        <f t="shared" si="13"/>
        <v>0</v>
      </c>
      <c r="AV32" s="108">
        <f>IFERROR(VLOOKUP($E32&amp;AV$6,Base!$A:$E,5,0),0)</f>
        <v>0</v>
      </c>
      <c r="AW32" s="101">
        <f>IFERROR(VLOOKUP($E32&amp;AW$6,Base!$G:$K,5,0),0)</f>
        <v>0</v>
      </c>
      <c r="AX32" s="101">
        <f>IFERROR(VLOOKUP($E32&amp;AW$6,Base!$M:$Q,5,0),0)</f>
        <v>0</v>
      </c>
      <c r="AY32" s="109">
        <v>0</v>
      </c>
      <c r="AZ32" s="108">
        <f>IFERROR(VLOOKUP($E32&amp;AZ$6,Base!$A:$E,5,0),0)</f>
        <v>0</v>
      </c>
      <c r="BA32" s="101">
        <f>IFERROR(VLOOKUP($E32&amp;BA$6,Base!$G:$K,5,0),0)</f>
        <v>3</v>
      </c>
      <c r="BB32" s="101">
        <f>IFERROR(VLOOKUP($E32&amp;BA$6,Base!$M:$Q,5,0),0)</f>
        <v>0</v>
      </c>
      <c r="BC32" s="109">
        <v>0</v>
      </c>
      <c r="BD32" s="108">
        <f>IFERROR(VLOOKUP($E32&amp;BD$6,Base!$A:$E,5,0),0)</f>
        <v>0</v>
      </c>
      <c r="BE32" s="101">
        <f>IFERROR(VLOOKUP($E32&amp;BE$6,Base!$G:$K,5,0),0)</f>
        <v>0</v>
      </c>
      <c r="BF32" s="101">
        <f>IFERROR(VLOOKUP($E32&amp;BE$6,Base!$M:$Q,5,0),0)</f>
        <v>0</v>
      </c>
      <c r="BG32" s="109">
        <v>0</v>
      </c>
      <c r="BI32" s="104">
        <f t="shared" si="14"/>
        <v>0</v>
      </c>
      <c r="BJ32" s="99">
        <f t="shared" si="15"/>
        <v>0</v>
      </c>
      <c r="BK32" s="99">
        <f t="shared" si="16"/>
        <v>0</v>
      </c>
      <c r="BL32" s="111">
        <f t="shared" si="17"/>
        <v>0</v>
      </c>
      <c r="BM32" s="108">
        <f>IFERROR(VLOOKUP($E32&amp;BM$6,Base!$A:$E,5,0),0)</f>
        <v>0</v>
      </c>
      <c r="BN32" s="101">
        <f>IFERROR(VLOOKUP($E32&amp;BN$6,Base!$G:$K,5,0),0)</f>
        <v>0</v>
      </c>
      <c r="BO32" s="101">
        <f>IFERROR(VLOOKUP($E32&amp;BN$6,Base!$M:$Q,5,0),0)</f>
        <v>0</v>
      </c>
      <c r="BP32" s="109">
        <v>0</v>
      </c>
      <c r="BQ32" s="108">
        <f>IFERROR(VLOOKUP($E32&amp;BQ$6,Base!$A:$E,5,0),0)</f>
        <v>0</v>
      </c>
      <c r="BR32" s="101">
        <f>IFERROR(VLOOKUP($E32&amp;BR$6,Base!$G:$K,5,0),0)</f>
        <v>0</v>
      </c>
      <c r="BS32" s="101">
        <f>IFERROR(VLOOKUP($E32&amp;BR$6,Base!$M:$Q,5,0),0)</f>
        <v>0</v>
      </c>
      <c r="BT32" s="109">
        <v>0</v>
      </c>
      <c r="BU32" s="108">
        <f>IFERROR(VLOOKUP($E32&amp;BU$6,Base!$A:$E,5,0),0)</f>
        <v>0</v>
      </c>
      <c r="BV32" s="101">
        <f>IFERROR(VLOOKUP($E32&amp;BV$6,Base!$G:$K,5,0),0)</f>
        <v>0</v>
      </c>
      <c r="BW32" s="101">
        <f>IFERROR(VLOOKUP($E32&amp;BV$6,Base!$M:$Q,5,0),0)</f>
        <v>0</v>
      </c>
      <c r="BX32" s="109">
        <f>IFERROR(VLOOKUP($E32,Base!$U:$W,3,0),0)</f>
        <v>0</v>
      </c>
    </row>
    <row r="33" spans="2:76" x14ac:dyDescent="0.35">
      <c r="B33" s="53" t="s">
        <v>402</v>
      </c>
      <c r="C33" s="51">
        <v>3919</v>
      </c>
      <c r="D33" s="51" t="s">
        <v>434</v>
      </c>
      <c r="E33" s="51">
        <v>134677</v>
      </c>
      <c r="F33" s="96" t="s">
        <v>373</v>
      </c>
      <c r="G33" s="42" t="s">
        <v>150</v>
      </c>
      <c r="H33" s="98" t="s">
        <v>153</v>
      </c>
      <c r="I33" s="143" t="s">
        <v>144</v>
      </c>
      <c r="J33" s="104">
        <f t="shared" si="2"/>
        <v>82.917000000000002</v>
      </c>
      <c r="K33" s="99">
        <f t="shared" si="3"/>
        <v>1734.9159999999999</v>
      </c>
      <c r="L33" s="99">
        <f t="shared" si="4"/>
        <v>18.332999999999998</v>
      </c>
      <c r="M33" s="105">
        <f t="shared" si="5"/>
        <v>0</v>
      </c>
      <c r="N33" s="108">
        <f>IFERROR(VLOOKUP($E33&amp;N$6,Base!$A:$E,5,0),0)</f>
        <v>-1</v>
      </c>
      <c r="O33" s="101">
        <v>173</v>
      </c>
      <c r="P33" s="101">
        <v>14.75</v>
      </c>
      <c r="Q33" s="101"/>
      <c r="R33" s="108">
        <f>IFERROR(VLOOKUP($E33&amp;R$6,Base!$A:$E,5,0),0)</f>
        <v>84</v>
      </c>
      <c r="S33" s="101">
        <f>IFERROR(VLOOKUP($E33&amp;S$6,Base!$G:$K,5,0),0)</f>
        <v>788.33299999999997</v>
      </c>
      <c r="T33" s="101">
        <f>IFERROR(VLOOKUP($E33&amp;S$6,Base!$M:$Q,5,0),0)</f>
        <v>2.5830000000000002</v>
      </c>
      <c r="U33" s="109"/>
      <c r="V33" s="108">
        <f>IFERROR(VLOOKUP($E33&amp;V$6,Base!$A:$E,5,0),0)</f>
        <v>-8.3000000000000004E-2</v>
      </c>
      <c r="W33" s="101">
        <f>IFERROR(VLOOKUP($E33&amp;W$6,Base!$G:$K,5,0),0)</f>
        <v>773.58299999999997</v>
      </c>
      <c r="X33" s="101">
        <f>IFERROR(VLOOKUP($E33&amp;W$6,Base!$M:$Q,5,0),0)</f>
        <v>1</v>
      </c>
      <c r="Y33" s="109"/>
      <c r="AA33" s="104">
        <f t="shared" si="6"/>
        <v>1183.104</v>
      </c>
      <c r="AB33" s="99">
        <f t="shared" si="7"/>
        <v>502.43799999999999</v>
      </c>
      <c r="AC33" s="99">
        <f t="shared" si="8"/>
        <v>23.625</v>
      </c>
      <c r="AD33" s="105">
        <f t="shared" si="9"/>
        <v>0</v>
      </c>
      <c r="AE33" s="108">
        <f>IFERROR(VLOOKUP($E33&amp;AE$6,Base!$A:$E,5,0),0)</f>
        <v>1101.354</v>
      </c>
      <c r="AF33" s="101">
        <f>IFERROR(VLOOKUP($E33&amp;AF$6,Base!$G:$K,5,0),0)</f>
        <v>222.25</v>
      </c>
      <c r="AG33" s="101">
        <f>IFERROR(VLOOKUP($E33&amp;AF$6,Base!$M:$Q,5,0),0)</f>
        <v>8.625</v>
      </c>
      <c r="AH33" s="109"/>
      <c r="AI33" s="108">
        <f>IFERROR(VLOOKUP($E33&amp;AI$6,Base!$A:$E,5,0),0)</f>
        <v>60.75</v>
      </c>
      <c r="AJ33" s="101">
        <f>IFERROR(VLOOKUP($E33&amp;AJ$6,Base!$G:$K,5,0),0)</f>
        <v>194.18799999999999</v>
      </c>
      <c r="AK33" s="101">
        <f>IFERROR(VLOOKUP($E33&amp;AJ$6,Base!$M:$Q,5,0),0)</f>
        <v>13</v>
      </c>
      <c r="AL33" s="109">
        <v>0</v>
      </c>
      <c r="AM33" s="108">
        <f>IFERROR(VLOOKUP($E33&amp;AM$6,Base!$A:$E,5,0),0)</f>
        <v>21</v>
      </c>
      <c r="AN33" s="101">
        <f>IFERROR(VLOOKUP($E33&amp;AN$6,Base!$G:$K,5,0),0)</f>
        <v>86</v>
      </c>
      <c r="AO33" s="101">
        <f>IFERROR(VLOOKUP($E33&amp;AN$6,Base!$M:$Q,5,0),0)</f>
        <v>2</v>
      </c>
      <c r="AP33" s="109"/>
      <c r="AR33" s="104">
        <f t="shared" si="10"/>
        <v>393.54200000000003</v>
      </c>
      <c r="AS33" s="99">
        <f t="shared" si="11"/>
        <v>908</v>
      </c>
      <c r="AT33" s="99">
        <f t="shared" si="12"/>
        <v>85.082999999999998</v>
      </c>
      <c r="AU33" s="105">
        <f t="shared" si="13"/>
        <v>0</v>
      </c>
      <c r="AV33" s="108">
        <f>IFERROR(VLOOKUP($E33&amp;AV$6,Base!$A:$E,5,0),0)</f>
        <v>211</v>
      </c>
      <c r="AW33" s="101">
        <f>IFERROR(VLOOKUP($E33&amp;AW$6,Base!$G:$K,5,0),0)</f>
        <v>355</v>
      </c>
      <c r="AX33" s="101">
        <f>IFERROR(VLOOKUP($E33&amp;AW$6,Base!$M:$Q,5,0),0)</f>
        <v>24.582999999999998</v>
      </c>
      <c r="AY33" s="109">
        <v>0</v>
      </c>
      <c r="AZ33" s="108">
        <f>IFERROR(VLOOKUP($E33&amp;AZ$6,Base!$A:$E,5,0),0)</f>
        <v>-2.0830000000000002</v>
      </c>
      <c r="BA33" s="101">
        <f>IFERROR(VLOOKUP($E33&amp;BA$6,Base!$G:$K,5,0),0)</f>
        <v>287</v>
      </c>
      <c r="BB33" s="101">
        <f>IFERROR(VLOOKUP($E33&amp;BA$6,Base!$M:$Q,5,0),0)</f>
        <v>19.25</v>
      </c>
      <c r="BC33" s="109">
        <v>0</v>
      </c>
      <c r="BD33" s="108">
        <f>IFERROR(VLOOKUP($E33&amp;BD$6,Base!$A:$E,5,0),0)</f>
        <v>184.625</v>
      </c>
      <c r="BE33" s="101">
        <f>IFERROR(VLOOKUP($E33&amp;BE$6,Base!$G:$K,5,0),0)</f>
        <v>266</v>
      </c>
      <c r="BF33" s="101">
        <f>IFERROR(VLOOKUP($E33&amp;BE$6,Base!$M:$Q,5,0),0)</f>
        <v>41.25</v>
      </c>
      <c r="BG33" s="109">
        <v>0</v>
      </c>
      <c r="BI33" s="104">
        <f t="shared" si="14"/>
        <v>186.917</v>
      </c>
      <c r="BJ33" s="99">
        <f t="shared" si="15"/>
        <v>181</v>
      </c>
      <c r="BK33" s="99">
        <f t="shared" si="16"/>
        <v>23</v>
      </c>
      <c r="BL33" s="111">
        <f t="shared" si="17"/>
        <v>0</v>
      </c>
      <c r="BM33" s="108">
        <f>IFERROR(VLOOKUP($E33&amp;BM$6,Base!$A:$E,5,0),0)</f>
        <v>0</v>
      </c>
      <c r="BN33" s="101">
        <f>IFERROR(VLOOKUP($E33&amp;BN$6,Base!$G:$K,5,0),0)</f>
        <v>140</v>
      </c>
      <c r="BO33" s="101">
        <f>IFERROR(VLOOKUP($E33&amp;BN$6,Base!$M:$Q,5,0),0)</f>
        <v>16</v>
      </c>
      <c r="BP33" s="109">
        <v>0</v>
      </c>
      <c r="BQ33" s="108">
        <f>IFERROR(VLOOKUP($E33&amp;BQ$6,Base!$A:$E,5,0),0)</f>
        <v>102.917</v>
      </c>
      <c r="BR33" s="101">
        <f>IFERROR(VLOOKUP($E33&amp;BR$6,Base!$G:$K,5,0),0)</f>
        <v>41</v>
      </c>
      <c r="BS33" s="101">
        <f>IFERROR(VLOOKUP($E33&amp;BR$6,Base!$M:$Q,5,0),0)</f>
        <v>0</v>
      </c>
      <c r="BT33" s="109">
        <v>0</v>
      </c>
      <c r="BU33" s="108">
        <f>IFERROR(VLOOKUP($E33&amp;BU$6,Base!$A:$E,5,0),0)</f>
        <v>84</v>
      </c>
      <c r="BV33" s="101">
        <f>IFERROR(VLOOKUP($E33&amp;BV$6,Base!$G:$K,5,0),0)</f>
        <v>0</v>
      </c>
      <c r="BW33" s="101">
        <f>IFERROR(VLOOKUP($E33&amp;BV$6,Base!$M:$Q,5,0),0)</f>
        <v>7</v>
      </c>
      <c r="BX33" s="109">
        <f>IFERROR(VLOOKUP($E33,Base!$U:$W,3,0),0)</f>
        <v>0</v>
      </c>
    </row>
    <row r="34" spans="2:76" x14ac:dyDescent="0.35">
      <c r="B34" s="53" t="s">
        <v>402</v>
      </c>
      <c r="C34" s="51">
        <v>3919</v>
      </c>
      <c r="D34" s="51" t="s">
        <v>434</v>
      </c>
      <c r="E34" s="51">
        <v>150368</v>
      </c>
      <c r="F34" s="96" t="s">
        <v>360</v>
      </c>
      <c r="G34" s="42" t="s">
        <v>62</v>
      </c>
      <c r="H34" s="98" t="s">
        <v>105</v>
      </c>
      <c r="I34" s="143" t="s">
        <v>144</v>
      </c>
      <c r="J34" s="104">
        <f t="shared" ref="J34:J97" si="33">N34+R34+V34</f>
        <v>5.875</v>
      </c>
      <c r="K34" s="99">
        <f t="shared" ref="K34:K97" si="34">O34+S34+W34</f>
        <v>5.875</v>
      </c>
      <c r="L34" s="99">
        <f t="shared" ref="L34:L97" si="35">P34+T34+X34</f>
        <v>0.25</v>
      </c>
      <c r="M34" s="105">
        <f t="shared" ref="M34:M97" si="36">Q34+U34+Y34</f>
        <v>0</v>
      </c>
      <c r="N34" s="108">
        <f>IFERROR(VLOOKUP($E34&amp;N$6,Base!$A:$E,5,0),0)</f>
        <v>0</v>
      </c>
      <c r="O34" s="101">
        <v>5.625</v>
      </c>
      <c r="P34" s="101">
        <v>0.25</v>
      </c>
      <c r="Q34" s="101"/>
      <c r="R34" s="108">
        <f>IFERROR(VLOOKUP($E34&amp;R$6,Base!$A:$E,5,0),0)</f>
        <v>5.875</v>
      </c>
      <c r="S34" s="101">
        <f>IFERROR(VLOOKUP($E34&amp;S$6,Base!$G:$K,5,0),0)</f>
        <v>-0.25</v>
      </c>
      <c r="T34" s="101">
        <f>IFERROR(VLOOKUP($E34&amp;S$6,Base!$M:$Q,5,0),0)</f>
        <v>0</v>
      </c>
      <c r="U34" s="109"/>
      <c r="V34" s="108">
        <f>IFERROR(VLOOKUP($E34&amp;V$6,Base!$A:$E,5,0),0)</f>
        <v>0</v>
      </c>
      <c r="W34" s="101">
        <f>IFERROR(VLOOKUP($E34&amp;W$6,Base!$G:$K,5,0),0)</f>
        <v>0.5</v>
      </c>
      <c r="X34" s="101">
        <f>IFERROR(VLOOKUP($E34&amp;W$6,Base!$M:$Q,5,0),0)</f>
        <v>0</v>
      </c>
      <c r="Y34" s="109"/>
      <c r="AA34" s="104">
        <f t="shared" ref="AA34:AA97" si="37">AE34+AI34+AM34</f>
        <v>0</v>
      </c>
      <c r="AB34" s="99">
        <f t="shared" ref="AB34:AB97" si="38">AF34+AJ34+AN34</f>
        <v>0</v>
      </c>
      <c r="AC34" s="99">
        <f t="shared" ref="AC34:AC97" si="39">AG34+AK34+AO34</f>
        <v>0</v>
      </c>
      <c r="AD34" s="105">
        <f t="shared" ref="AD34:AD97" si="40">AH34+AL34+AP34</f>
        <v>0</v>
      </c>
      <c r="AE34" s="108">
        <f>IFERROR(VLOOKUP($E34&amp;AE$6,Base!$A:$E,5,0),0)</f>
        <v>0</v>
      </c>
      <c r="AF34" s="101">
        <f>IFERROR(VLOOKUP($E34&amp;AF$6,Base!$G:$K,5,0),0)</f>
        <v>0</v>
      </c>
      <c r="AG34" s="101">
        <f>IFERROR(VLOOKUP($E34&amp;AF$6,Base!$M:$Q,5,0),0)</f>
        <v>0</v>
      </c>
      <c r="AH34" s="109"/>
      <c r="AI34" s="108">
        <f>IFERROR(VLOOKUP($E34&amp;AI$6,Base!$A:$E,5,0),0)</f>
        <v>0</v>
      </c>
      <c r="AJ34" s="101">
        <f>IFERROR(VLOOKUP($E34&amp;AJ$6,Base!$G:$K,5,0),0)</f>
        <v>0</v>
      </c>
      <c r="AK34" s="101">
        <f>IFERROR(VLOOKUP($E34&amp;AJ$6,Base!$M:$Q,5,0),0)</f>
        <v>0</v>
      </c>
      <c r="AL34" s="109">
        <v>0</v>
      </c>
      <c r="AM34" s="108">
        <f>IFERROR(VLOOKUP($E34&amp;AM$6,Base!$A:$E,5,0),0)</f>
        <v>0</v>
      </c>
      <c r="AN34" s="101">
        <f>IFERROR(VLOOKUP($E34&amp;AN$6,Base!$G:$K,5,0),0)</f>
        <v>0</v>
      </c>
      <c r="AO34" s="101">
        <f>IFERROR(VLOOKUP($E34&amp;AN$6,Base!$M:$Q,5,0),0)</f>
        <v>0</v>
      </c>
      <c r="AP34" s="109"/>
      <c r="AR34" s="104">
        <f t="shared" ref="AR34:AR97" si="41">AV34+AZ34+BD34</f>
        <v>0</v>
      </c>
      <c r="AS34" s="99">
        <f t="shared" ref="AS34:AS97" si="42">AW34+BA34+BE34</f>
        <v>3</v>
      </c>
      <c r="AT34" s="99">
        <f t="shared" ref="AT34:AT97" si="43">AX34+BB34+BF34</f>
        <v>0</v>
      </c>
      <c r="AU34" s="105">
        <f t="shared" si="13"/>
        <v>0</v>
      </c>
      <c r="AV34" s="108">
        <f>IFERROR(VLOOKUP($E34&amp;AV$6,Base!$A:$E,5,0),0)</f>
        <v>0</v>
      </c>
      <c r="AW34" s="101">
        <f>IFERROR(VLOOKUP($E34&amp;AW$6,Base!$G:$K,5,0),0)</f>
        <v>0</v>
      </c>
      <c r="AX34" s="101">
        <f>IFERROR(VLOOKUP($E34&amp;AW$6,Base!$M:$Q,5,0),0)</f>
        <v>0</v>
      </c>
      <c r="AY34" s="109">
        <v>0</v>
      </c>
      <c r="AZ34" s="108">
        <f>IFERROR(VLOOKUP($E34&amp;AZ$6,Base!$A:$E,5,0),0)</f>
        <v>0</v>
      </c>
      <c r="BA34" s="101">
        <f>IFERROR(VLOOKUP($E34&amp;BA$6,Base!$G:$K,5,0),0)</f>
        <v>3</v>
      </c>
      <c r="BB34" s="101">
        <f>IFERROR(VLOOKUP($E34&amp;BA$6,Base!$M:$Q,5,0),0)</f>
        <v>0</v>
      </c>
      <c r="BC34" s="109">
        <v>0</v>
      </c>
      <c r="BD34" s="108">
        <f>IFERROR(VLOOKUP($E34&amp;BD$6,Base!$A:$E,5,0),0)</f>
        <v>0</v>
      </c>
      <c r="BE34" s="101">
        <f>IFERROR(VLOOKUP($E34&amp;BE$6,Base!$G:$K,5,0),0)</f>
        <v>0</v>
      </c>
      <c r="BF34" s="101">
        <f>IFERROR(VLOOKUP($E34&amp;BE$6,Base!$M:$Q,5,0),0)</f>
        <v>0</v>
      </c>
      <c r="BG34" s="109">
        <v>0</v>
      </c>
      <c r="BI34" s="104">
        <f t="shared" ref="BI34:BI97" si="44">BM34+BQ34+BU34</f>
        <v>0</v>
      </c>
      <c r="BJ34" s="99">
        <f t="shared" ref="BJ34:BJ97" si="45">BN34+BR34+BV34</f>
        <v>0</v>
      </c>
      <c r="BK34" s="99">
        <f t="shared" ref="BK34:BK97" si="46">BO34+BS34+BW34</f>
        <v>0</v>
      </c>
      <c r="BL34" s="111">
        <f t="shared" ref="BL34:BL97" si="47">BP34+BT34+BX34</f>
        <v>0</v>
      </c>
      <c r="BM34" s="108">
        <f>IFERROR(VLOOKUP($E34&amp;BM$6,Base!$A:$E,5,0),0)</f>
        <v>0</v>
      </c>
      <c r="BN34" s="101">
        <f>IFERROR(VLOOKUP($E34&amp;BN$6,Base!$G:$K,5,0),0)</f>
        <v>0</v>
      </c>
      <c r="BO34" s="101">
        <f>IFERROR(VLOOKUP($E34&amp;BN$6,Base!$M:$Q,5,0),0)</f>
        <v>0</v>
      </c>
      <c r="BP34" s="109">
        <v>0</v>
      </c>
      <c r="BQ34" s="108">
        <f>IFERROR(VLOOKUP($E34&amp;BQ$6,Base!$A:$E,5,0),0)</f>
        <v>0</v>
      </c>
      <c r="BR34" s="101">
        <f>IFERROR(VLOOKUP($E34&amp;BR$6,Base!$G:$K,5,0),0)</f>
        <v>0</v>
      </c>
      <c r="BS34" s="101">
        <f>IFERROR(VLOOKUP($E34&amp;BR$6,Base!$M:$Q,5,0),0)</f>
        <v>0</v>
      </c>
      <c r="BT34" s="109">
        <v>0</v>
      </c>
      <c r="BU34" s="108">
        <f>IFERROR(VLOOKUP($E34&amp;BU$6,Base!$A:$E,5,0),0)</f>
        <v>0</v>
      </c>
      <c r="BV34" s="101">
        <f>IFERROR(VLOOKUP($E34&amp;BV$6,Base!$G:$K,5,0),0)</f>
        <v>0</v>
      </c>
      <c r="BW34" s="101">
        <f>IFERROR(VLOOKUP($E34&amp;BV$6,Base!$M:$Q,5,0),0)</f>
        <v>0</v>
      </c>
      <c r="BX34" s="109">
        <f>IFERROR(VLOOKUP($E34,Base!$U:$W,3,0),0)</f>
        <v>0</v>
      </c>
    </row>
    <row r="35" spans="2:76" x14ac:dyDescent="0.35">
      <c r="B35" s="53" t="s">
        <v>402</v>
      </c>
      <c r="C35" s="51">
        <v>3919</v>
      </c>
      <c r="D35" s="51" t="s">
        <v>434</v>
      </c>
      <c r="E35" s="51">
        <v>152753</v>
      </c>
      <c r="F35" s="96" t="s">
        <v>376</v>
      </c>
      <c r="G35" s="42" t="s">
        <v>151</v>
      </c>
      <c r="H35" s="98" t="s">
        <v>153</v>
      </c>
      <c r="I35" s="143" t="s">
        <v>144</v>
      </c>
      <c r="J35" s="104">
        <f t="shared" si="33"/>
        <v>0</v>
      </c>
      <c r="K35" s="99">
        <f t="shared" si="34"/>
        <v>0</v>
      </c>
      <c r="L35" s="99">
        <f t="shared" si="35"/>
        <v>0</v>
      </c>
      <c r="M35" s="105">
        <f t="shared" si="36"/>
        <v>0</v>
      </c>
      <c r="N35" s="108">
        <f>IFERROR(VLOOKUP($E35&amp;N$6,Base!$A:$E,5,0),0)</f>
        <v>0</v>
      </c>
      <c r="O35" s="101">
        <v>0</v>
      </c>
      <c r="P35" s="101">
        <v>0</v>
      </c>
      <c r="Q35" s="101"/>
      <c r="R35" s="108">
        <f>IFERROR(VLOOKUP($E35&amp;R$6,Base!$A:$E,5,0),0)</f>
        <v>0</v>
      </c>
      <c r="S35" s="101">
        <f>IFERROR(VLOOKUP($E35&amp;S$6,Base!$G:$K,5,0),0)</f>
        <v>0</v>
      </c>
      <c r="T35" s="101">
        <f>IFERROR(VLOOKUP($E35&amp;S$6,Base!$M:$Q,5,0),0)</f>
        <v>0</v>
      </c>
      <c r="U35" s="109"/>
      <c r="V35" s="108">
        <f>IFERROR(VLOOKUP($E35&amp;V$6,Base!$A:$E,5,0),0)</f>
        <v>0</v>
      </c>
      <c r="W35" s="101">
        <f>IFERROR(VLOOKUP($E35&amp;W$6,Base!$G:$K,5,0),0)</f>
        <v>0</v>
      </c>
      <c r="X35" s="101">
        <f>IFERROR(VLOOKUP($E35&amp;W$6,Base!$M:$Q,5,0),0)</f>
        <v>0</v>
      </c>
      <c r="Y35" s="109"/>
      <c r="AA35" s="104">
        <f t="shared" si="37"/>
        <v>5.625</v>
      </c>
      <c r="AB35" s="99">
        <f t="shared" si="38"/>
        <v>0</v>
      </c>
      <c r="AC35" s="99">
        <f t="shared" si="39"/>
        <v>0</v>
      </c>
      <c r="AD35" s="105">
        <f t="shared" si="40"/>
        <v>0</v>
      </c>
      <c r="AE35" s="108">
        <f>IFERROR(VLOOKUP($E35&amp;AE$6,Base!$A:$E,5,0),0)</f>
        <v>5.875</v>
      </c>
      <c r="AF35" s="101">
        <f>IFERROR(VLOOKUP($E35&amp;AF$6,Base!$G:$K,5,0),0)</f>
        <v>0</v>
      </c>
      <c r="AG35" s="101">
        <f>IFERROR(VLOOKUP($E35&amp;AF$6,Base!$M:$Q,5,0),0)</f>
        <v>0</v>
      </c>
      <c r="AH35" s="109"/>
      <c r="AI35" s="108">
        <f>IFERROR(VLOOKUP($E35&amp;AI$6,Base!$A:$E,5,0),0)</f>
        <v>0</v>
      </c>
      <c r="AJ35" s="101">
        <f>IFERROR(VLOOKUP($E35&amp;AJ$6,Base!$G:$K,5,0),0)</f>
        <v>0</v>
      </c>
      <c r="AK35" s="101">
        <f>IFERROR(VLOOKUP($E35&amp;AJ$6,Base!$M:$Q,5,0),0)</f>
        <v>0</v>
      </c>
      <c r="AL35" s="109">
        <v>0</v>
      </c>
      <c r="AM35" s="108">
        <f>IFERROR(VLOOKUP($E35&amp;AM$6,Base!$A:$E,5,0),0)</f>
        <v>-0.25</v>
      </c>
      <c r="AN35" s="101">
        <f>IFERROR(VLOOKUP($E35&amp;AN$6,Base!$G:$K,5,0),0)</f>
        <v>0</v>
      </c>
      <c r="AO35" s="101">
        <f>IFERROR(VLOOKUP($E35&amp;AN$6,Base!$M:$Q,5,0),0)</f>
        <v>0</v>
      </c>
      <c r="AP35" s="109"/>
      <c r="AR35" s="104">
        <f t="shared" si="41"/>
        <v>0</v>
      </c>
      <c r="AS35" s="99">
        <f t="shared" si="42"/>
        <v>3</v>
      </c>
      <c r="AT35" s="99">
        <f t="shared" si="43"/>
        <v>0</v>
      </c>
      <c r="AU35" s="105">
        <f t="shared" si="13"/>
        <v>0</v>
      </c>
      <c r="AV35" s="108">
        <f>IFERROR(VLOOKUP($E35&amp;AV$6,Base!$A:$E,5,0),0)</f>
        <v>0</v>
      </c>
      <c r="AW35" s="101">
        <f>IFERROR(VLOOKUP($E35&amp;AW$6,Base!$G:$K,5,0),0)</f>
        <v>0</v>
      </c>
      <c r="AX35" s="101">
        <f>IFERROR(VLOOKUP($E35&amp;AW$6,Base!$M:$Q,5,0),0)</f>
        <v>0</v>
      </c>
      <c r="AY35" s="109">
        <v>0</v>
      </c>
      <c r="AZ35" s="108">
        <f>IFERROR(VLOOKUP($E35&amp;AZ$6,Base!$A:$E,5,0),0)</f>
        <v>0</v>
      </c>
      <c r="BA35" s="101">
        <f>IFERROR(VLOOKUP($E35&amp;BA$6,Base!$G:$K,5,0),0)</f>
        <v>3</v>
      </c>
      <c r="BB35" s="101">
        <f>IFERROR(VLOOKUP($E35&amp;BA$6,Base!$M:$Q,5,0),0)</f>
        <v>0</v>
      </c>
      <c r="BC35" s="109">
        <v>0</v>
      </c>
      <c r="BD35" s="108">
        <f>IFERROR(VLOOKUP($E35&amp;BD$6,Base!$A:$E,5,0),0)</f>
        <v>0</v>
      </c>
      <c r="BE35" s="101">
        <f>IFERROR(VLOOKUP($E35&amp;BE$6,Base!$G:$K,5,0),0)</f>
        <v>0</v>
      </c>
      <c r="BF35" s="101">
        <f>IFERROR(VLOOKUP($E35&amp;BE$6,Base!$M:$Q,5,0),0)</f>
        <v>0</v>
      </c>
      <c r="BG35" s="109">
        <v>0</v>
      </c>
      <c r="BI35" s="104">
        <f t="shared" si="44"/>
        <v>0</v>
      </c>
      <c r="BJ35" s="99">
        <f t="shared" si="45"/>
        <v>0</v>
      </c>
      <c r="BK35" s="99">
        <f t="shared" si="46"/>
        <v>0</v>
      </c>
      <c r="BL35" s="111">
        <f t="shared" si="47"/>
        <v>0</v>
      </c>
      <c r="BM35" s="108">
        <f>IFERROR(VLOOKUP($E35&amp;BM$6,Base!$A:$E,5,0),0)</f>
        <v>0</v>
      </c>
      <c r="BN35" s="101">
        <f>IFERROR(VLOOKUP($E35&amp;BN$6,Base!$G:$K,5,0),0)</f>
        <v>0</v>
      </c>
      <c r="BO35" s="101">
        <f>IFERROR(VLOOKUP($E35&amp;BN$6,Base!$M:$Q,5,0),0)</f>
        <v>0</v>
      </c>
      <c r="BP35" s="109">
        <v>0</v>
      </c>
      <c r="BQ35" s="108">
        <f>IFERROR(VLOOKUP($E35&amp;BQ$6,Base!$A:$E,5,0),0)</f>
        <v>0</v>
      </c>
      <c r="BR35" s="101">
        <f>IFERROR(VLOOKUP($E35&amp;BR$6,Base!$G:$K,5,0),0)</f>
        <v>0</v>
      </c>
      <c r="BS35" s="101">
        <f>IFERROR(VLOOKUP($E35&amp;BR$6,Base!$M:$Q,5,0),0)</f>
        <v>0</v>
      </c>
      <c r="BT35" s="109">
        <v>0</v>
      </c>
      <c r="BU35" s="108">
        <f>IFERROR(VLOOKUP($E35&amp;BU$6,Base!$A:$E,5,0),0)</f>
        <v>0</v>
      </c>
      <c r="BV35" s="101">
        <f>IFERROR(VLOOKUP($E35&amp;BV$6,Base!$G:$K,5,0),0)</f>
        <v>0</v>
      </c>
      <c r="BW35" s="101">
        <f>IFERROR(VLOOKUP($E35&amp;BV$6,Base!$M:$Q,5,0),0)</f>
        <v>0</v>
      </c>
      <c r="BX35" s="109">
        <f>IFERROR(VLOOKUP($E35,Base!$U:$W,3,0),0)</f>
        <v>0</v>
      </c>
    </row>
    <row r="36" spans="2:76" x14ac:dyDescent="0.35">
      <c r="B36" s="53" t="s">
        <v>402</v>
      </c>
      <c r="C36" s="51">
        <v>3919</v>
      </c>
      <c r="D36" s="51" t="s">
        <v>434</v>
      </c>
      <c r="E36" s="51">
        <v>164006</v>
      </c>
      <c r="F36" s="96" t="s">
        <v>363</v>
      </c>
      <c r="G36" s="42" t="s">
        <v>63</v>
      </c>
      <c r="H36" s="98" t="s">
        <v>105</v>
      </c>
      <c r="I36" s="143" t="s">
        <v>144</v>
      </c>
      <c r="J36" s="104">
        <f t="shared" si="33"/>
        <v>5.875</v>
      </c>
      <c r="K36" s="99">
        <f t="shared" si="34"/>
        <v>5.875</v>
      </c>
      <c r="L36" s="99">
        <f t="shared" si="35"/>
        <v>0.25</v>
      </c>
      <c r="M36" s="105">
        <f t="shared" si="36"/>
        <v>0</v>
      </c>
      <c r="N36" s="108">
        <f>IFERROR(VLOOKUP($E36&amp;N$6,Base!$A:$E,5,0),0)</f>
        <v>0</v>
      </c>
      <c r="O36" s="101">
        <v>5.875</v>
      </c>
      <c r="P36" s="101">
        <v>0.25</v>
      </c>
      <c r="Q36" s="101"/>
      <c r="R36" s="108">
        <f>IFERROR(VLOOKUP($E36&amp;R$6,Base!$A:$E,5,0),0)</f>
        <v>5.875</v>
      </c>
      <c r="S36" s="101">
        <f>IFERROR(VLOOKUP($E36&amp;S$6,Base!$G:$K,5,0),0)</f>
        <v>0</v>
      </c>
      <c r="T36" s="101">
        <f>IFERROR(VLOOKUP($E36&amp;S$6,Base!$M:$Q,5,0),0)</f>
        <v>0</v>
      </c>
      <c r="U36" s="109"/>
      <c r="V36" s="108">
        <f>IFERROR(VLOOKUP($E36&amp;V$6,Base!$A:$E,5,0),0)</f>
        <v>0</v>
      </c>
      <c r="W36" s="101">
        <f>IFERROR(VLOOKUP($E36&amp;W$6,Base!$G:$K,5,0),0)</f>
        <v>0</v>
      </c>
      <c r="X36" s="101">
        <f>IFERROR(VLOOKUP($E36&amp;W$6,Base!$M:$Q,5,0),0)</f>
        <v>0</v>
      </c>
      <c r="Y36" s="109"/>
      <c r="AA36" s="104">
        <f t="shared" si="37"/>
        <v>0</v>
      </c>
      <c r="AB36" s="99">
        <f t="shared" si="38"/>
        <v>0</v>
      </c>
      <c r="AC36" s="99">
        <f t="shared" si="39"/>
        <v>0</v>
      </c>
      <c r="AD36" s="105">
        <f t="shared" si="40"/>
        <v>0</v>
      </c>
      <c r="AE36" s="108">
        <f>IFERROR(VLOOKUP($E36&amp;AE$6,Base!$A:$E,5,0),0)</f>
        <v>0</v>
      </c>
      <c r="AF36" s="101">
        <f>IFERROR(VLOOKUP($E36&amp;AF$6,Base!$G:$K,5,0),0)</f>
        <v>0</v>
      </c>
      <c r="AG36" s="101">
        <f>IFERROR(VLOOKUP($E36&amp;AF$6,Base!$M:$Q,5,0),0)</f>
        <v>0</v>
      </c>
      <c r="AH36" s="109"/>
      <c r="AI36" s="108">
        <f>IFERROR(VLOOKUP($E36&amp;AI$6,Base!$A:$E,5,0),0)</f>
        <v>0</v>
      </c>
      <c r="AJ36" s="101">
        <f>IFERROR(VLOOKUP($E36&amp;AJ$6,Base!$G:$K,5,0),0)</f>
        <v>0</v>
      </c>
      <c r="AK36" s="101">
        <f>IFERROR(VLOOKUP($E36&amp;AJ$6,Base!$M:$Q,5,0),0)</f>
        <v>0</v>
      </c>
      <c r="AL36" s="109">
        <v>0</v>
      </c>
      <c r="AM36" s="108">
        <f>IFERROR(VLOOKUP($E36&amp;AM$6,Base!$A:$E,5,0),0)</f>
        <v>0</v>
      </c>
      <c r="AN36" s="101">
        <f>IFERROR(VLOOKUP($E36&amp;AN$6,Base!$G:$K,5,0),0)</f>
        <v>0</v>
      </c>
      <c r="AO36" s="101">
        <f>IFERROR(VLOOKUP($E36&amp;AN$6,Base!$M:$Q,5,0),0)</f>
        <v>0</v>
      </c>
      <c r="AP36" s="109"/>
      <c r="AR36" s="104">
        <f t="shared" si="41"/>
        <v>0</v>
      </c>
      <c r="AS36" s="99">
        <f t="shared" si="42"/>
        <v>3</v>
      </c>
      <c r="AT36" s="99">
        <f t="shared" si="43"/>
        <v>0</v>
      </c>
      <c r="AU36" s="105">
        <f t="shared" si="13"/>
        <v>0</v>
      </c>
      <c r="AV36" s="108">
        <f>IFERROR(VLOOKUP($E36&amp;AV$6,Base!$A:$E,5,0),0)</f>
        <v>0</v>
      </c>
      <c r="AW36" s="101">
        <f>IFERROR(VLOOKUP($E36&amp;AW$6,Base!$G:$K,5,0),0)</f>
        <v>0</v>
      </c>
      <c r="AX36" s="101">
        <f>IFERROR(VLOOKUP($E36&amp;AW$6,Base!$M:$Q,5,0),0)</f>
        <v>0</v>
      </c>
      <c r="AY36" s="109">
        <v>0</v>
      </c>
      <c r="AZ36" s="108">
        <f>IFERROR(VLOOKUP($E36&amp;AZ$6,Base!$A:$E,5,0),0)</f>
        <v>0</v>
      </c>
      <c r="BA36" s="101">
        <f>IFERROR(VLOOKUP($E36&amp;BA$6,Base!$G:$K,5,0),0)</f>
        <v>3</v>
      </c>
      <c r="BB36" s="101">
        <f>IFERROR(VLOOKUP($E36&amp;BA$6,Base!$M:$Q,5,0),0)</f>
        <v>0</v>
      </c>
      <c r="BC36" s="109">
        <v>0</v>
      </c>
      <c r="BD36" s="108">
        <f>IFERROR(VLOOKUP($E36&amp;BD$6,Base!$A:$E,5,0),0)</f>
        <v>0</v>
      </c>
      <c r="BE36" s="101">
        <f>IFERROR(VLOOKUP($E36&amp;BE$6,Base!$G:$K,5,0),0)</f>
        <v>0</v>
      </c>
      <c r="BF36" s="101">
        <f>IFERROR(VLOOKUP($E36&amp;BE$6,Base!$M:$Q,5,0),0)</f>
        <v>0</v>
      </c>
      <c r="BG36" s="109">
        <v>0</v>
      </c>
      <c r="BI36" s="104">
        <f t="shared" si="44"/>
        <v>0</v>
      </c>
      <c r="BJ36" s="99">
        <f t="shared" si="45"/>
        <v>0</v>
      </c>
      <c r="BK36" s="99">
        <f t="shared" si="46"/>
        <v>0</v>
      </c>
      <c r="BL36" s="111">
        <f t="shared" si="47"/>
        <v>0</v>
      </c>
      <c r="BM36" s="108">
        <f>IFERROR(VLOOKUP($E36&amp;BM$6,Base!$A:$E,5,0),0)</f>
        <v>0</v>
      </c>
      <c r="BN36" s="101">
        <f>IFERROR(VLOOKUP($E36&amp;BN$6,Base!$G:$K,5,0),0)</f>
        <v>0</v>
      </c>
      <c r="BO36" s="101">
        <f>IFERROR(VLOOKUP($E36&amp;BN$6,Base!$M:$Q,5,0),0)</f>
        <v>0</v>
      </c>
      <c r="BP36" s="109">
        <v>0</v>
      </c>
      <c r="BQ36" s="108">
        <f>IFERROR(VLOOKUP($E36&amp;BQ$6,Base!$A:$E,5,0),0)</f>
        <v>0</v>
      </c>
      <c r="BR36" s="101">
        <f>IFERROR(VLOOKUP($E36&amp;BR$6,Base!$G:$K,5,0),0)</f>
        <v>0</v>
      </c>
      <c r="BS36" s="101">
        <f>IFERROR(VLOOKUP($E36&amp;BR$6,Base!$M:$Q,5,0),0)</f>
        <v>0</v>
      </c>
      <c r="BT36" s="109">
        <v>0</v>
      </c>
      <c r="BU36" s="108">
        <f>IFERROR(VLOOKUP($E36&amp;BU$6,Base!$A:$E,5,0),0)</f>
        <v>0</v>
      </c>
      <c r="BV36" s="101">
        <f>IFERROR(VLOOKUP($E36&amp;BV$6,Base!$G:$K,5,0),0)</f>
        <v>0</v>
      </c>
      <c r="BW36" s="101">
        <f>IFERROR(VLOOKUP($E36&amp;BV$6,Base!$M:$Q,5,0),0)</f>
        <v>0</v>
      </c>
      <c r="BX36" s="109">
        <f>IFERROR(VLOOKUP($E36,Base!$U:$W,3,0),0)</f>
        <v>0</v>
      </c>
    </row>
    <row r="37" spans="2:76" x14ac:dyDescent="0.35">
      <c r="B37" s="53" t="s">
        <v>402</v>
      </c>
      <c r="C37" s="51">
        <v>3919</v>
      </c>
      <c r="D37" s="51" t="s">
        <v>434</v>
      </c>
      <c r="E37" s="51">
        <v>166720</v>
      </c>
      <c r="F37" s="96" t="s">
        <v>379</v>
      </c>
      <c r="G37" s="42" t="s">
        <v>148</v>
      </c>
      <c r="H37" s="98" t="s">
        <v>153</v>
      </c>
      <c r="I37" s="143" t="s">
        <v>144</v>
      </c>
      <c r="J37" s="104">
        <f t="shared" si="33"/>
        <v>0</v>
      </c>
      <c r="K37" s="99">
        <f t="shared" si="34"/>
        <v>0</v>
      </c>
      <c r="L37" s="99">
        <f t="shared" si="35"/>
        <v>0</v>
      </c>
      <c r="M37" s="105">
        <f t="shared" si="36"/>
        <v>0</v>
      </c>
      <c r="N37" s="108">
        <f>IFERROR(VLOOKUP($E37&amp;N$6,Base!$A:$E,5,0),0)</f>
        <v>0</v>
      </c>
      <c r="O37" s="101">
        <v>0</v>
      </c>
      <c r="P37" s="101">
        <v>0</v>
      </c>
      <c r="Q37" s="101"/>
      <c r="R37" s="108">
        <f>IFERROR(VLOOKUP($E37&amp;R$6,Base!$A:$E,5,0),0)</f>
        <v>0</v>
      </c>
      <c r="S37" s="101">
        <f>IFERROR(VLOOKUP($E37&amp;S$6,Base!$G:$K,5,0),0)</f>
        <v>0</v>
      </c>
      <c r="T37" s="101">
        <f>IFERROR(VLOOKUP($E37&amp;S$6,Base!$M:$Q,5,0),0)</f>
        <v>0</v>
      </c>
      <c r="U37" s="109"/>
      <c r="V37" s="108">
        <f>IFERROR(VLOOKUP($E37&amp;V$6,Base!$A:$E,5,0),0)</f>
        <v>0</v>
      </c>
      <c r="W37" s="101">
        <f>IFERROR(VLOOKUP($E37&amp;W$6,Base!$G:$K,5,0),0)</f>
        <v>0</v>
      </c>
      <c r="X37" s="101">
        <f>IFERROR(VLOOKUP($E37&amp;W$6,Base!$M:$Q,5,0),0)</f>
        <v>0</v>
      </c>
      <c r="Y37" s="109"/>
      <c r="AA37" s="104">
        <f t="shared" si="37"/>
        <v>0</v>
      </c>
      <c r="AB37" s="99">
        <f t="shared" si="38"/>
        <v>0</v>
      </c>
      <c r="AC37" s="99">
        <f t="shared" si="39"/>
        <v>0</v>
      </c>
      <c r="AD37" s="105">
        <f t="shared" si="40"/>
        <v>0</v>
      </c>
      <c r="AE37" s="108">
        <f>IFERROR(VLOOKUP($E37&amp;AE$6,Base!$A:$E,5,0),0)</f>
        <v>0</v>
      </c>
      <c r="AF37" s="101">
        <f>IFERROR(VLOOKUP($E37&amp;AF$6,Base!$G:$K,5,0),0)</f>
        <v>0</v>
      </c>
      <c r="AG37" s="101">
        <f>IFERROR(VLOOKUP($E37&amp;AF$6,Base!$M:$Q,5,0),0)</f>
        <v>0</v>
      </c>
      <c r="AH37" s="109"/>
      <c r="AI37" s="108">
        <f>IFERROR(VLOOKUP($E37&amp;AI$6,Base!$A:$E,5,0),0)</f>
        <v>0</v>
      </c>
      <c r="AJ37" s="101">
        <f>IFERROR(VLOOKUP($E37&amp;AJ$6,Base!$G:$K,5,0),0)</f>
        <v>0</v>
      </c>
      <c r="AK37" s="101">
        <f>IFERROR(VLOOKUP($E37&amp;AJ$6,Base!$M:$Q,5,0),0)</f>
        <v>0</v>
      </c>
      <c r="AL37" s="109">
        <v>0</v>
      </c>
      <c r="AM37" s="108">
        <f>IFERROR(VLOOKUP($E37&amp;AM$6,Base!$A:$E,5,0),0)</f>
        <v>0</v>
      </c>
      <c r="AN37" s="101">
        <f>IFERROR(VLOOKUP($E37&amp;AN$6,Base!$G:$K,5,0),0)</f>
        <v>0</v>
      </c>
      <c r="AO37" s="101">
        <f>IFERROR(VLOOKUP($E37&amp;AN$6,Base!$M:$Q,5,0),0)</f>
        <v>0</v>
      </c>
      <c r="AP37" s="109"/>
      <c r="AR37" s="104">
        <f t="shared" si="41"/>
        <v>0</v>
      </c>
      <c r="AS37" s="99">
        <f t="shared" si="42"/>
        <v>3</v>
      </c>
      <c r="AT37" s="99">
        <f t="shared" si="43"/>
        <v>0</v>
      </c>
      <c r="AU37" s="105">
        <f t="shared" si="13"/>
        <v>0</v>
      </c>
      <c r="AV37" s="108">
        <f>IFERROR(VLOOKUP($E37&amp;AV$6,Base!$A:$E,5,0),0)</f>
        <v>0</v>
      </c>
      <c r="AW37" s="101">
        <f>IFERROR(VLOOKUP($E37&amp;AW$6,Base!$G:$K,5,0),0)</f>
        <v>0</v>
      </c>
      <c r="AX37" s="101">
        <f>IFERROR(VLOOKUP($E37&amp;AW$6,Base!$M:$Q,5,0),0)</f>
        <v>0</v>
      </c>
      <c r="AY37" s="109">
        <v>0</v>
      </c>
      <c r="AZ37" s="108">
        <f>IFERROR(VLOOKUP($E37&amp;AZ$6,Base!$A:$E,5,0),0)</f>
        <v>0</v>
      </c>
      <c r="BA37" s="101">
        <f>IFERROR(VLOOKUP($E37&amp;BA$6,Base!$G:$K,5,0),0)</f>
        <v>3</v>
      </c>
      <c r="BB37" s="101">
        <f>IFERROR(VLOOKUP($E37&amp;BA$6,Base!$M:$Q,5,0),0)</f>
        <v>0</v>
      </c>
      <c r="BC37" s="109">
        <v>0</v>
      </c>
      <c r="BD37" s="108">
        <f>IFERROR(VLOOKUP($E37&amp;BD$6,Base!$A:$E,5,0),0)</f>
        <v>0</v>
      </c>
      <c r="BE37" s="101">
        <f>IFERROR(VLOOKUP($E37&amp;BE$6,Base!$G:$K,5,0),0)</f>
        <v>0</v>
      </c>
      <c r="BF37" s="101">
        <f>IFERROR(VLOOKUP($E37&amp;BE$6,Base!$M:$Q,5,0),0)</f>
        <v>0</v>
      </c>
      <c r="BG37" s="109">
        <v>0</v>
      </c>
      <c r="BI37" s="104">
        <f t="shared" si="44"/>
        <v>0</v>
      </c>
      <c r="BJ37" s="99">
        <f t="shared" si="45"/>
        <v>0</v>
      </c>
      <c r="BK37" s="99">
        <f t="shared" si="46"/>
        <v>0</v>
      </c>
      <c r="BL37" s="111">
        <f t="shared" si="47"/>
        <v>0</v>
      </c>
      <c r="BM37" s="108">
        <f>IFERROR(VLOOKUP($E37&amp;BM$6,Base!$A:$E,5,0),0)</f>
        <v>0</v>
      </c>
      <c r="BN37" s="101">
        <f>IFERROR(VLOOKUP($E37&amp;BN$6,Base!$G:$K,5,0),0)</f>
        <v>0</v>
      </c>
      <c r="BO37" s="101">
        <f>IFERROR(VLOOKUP($E37&amp;BN$6,Base!$M:$Q,5,0),0)</f>
        <v>0</v>
      </c>
      <c r="BP37" s="109">
        <v>0</v>
      </c>
      <c r="BQ37" s="108">
        <f>IFERROR(VLOOKUP($E37&amp;BQ$6,Base!$A:$E,5,0),0)</f>
        <v>0</v>
      </c>
      <c r="BR37" s="101">
        <f>IFERROR(VLOOKUP($E37&amp;BR$6,Base!$G:$K,5,0),0)</f>
        <v>0</v>
      </c>
      <c r="BS37" s="101">
        <f>IFERROR(VLOOKUP($E37&amp;BR$6,Base!$M:$Q,5,0),0)</f>
        <v>0</v>
      </c>
      <c r="BT37" s="109">
        <v>0</v>
      </c>
      <c r="BU37" s="108">
        <f>IFERROR(VLOOKUP($E37&amp;BU$6,Base!$A:$E,5,0),0)</f>
        <v>0</v>
      </c>
      <c r="BV37" s="101">
        <f>IFERROR(VLOOKUP($E37&amp;BV$6,Base!$G:$K,5,0),0)</f>
        <v>0</v>
      </c>
      <c r="BW37" s="101">
        <f>IFERROR(VLOOKUP($E37&amp;BV$6,Base!$M:$Q,5,0),0)</f>
        <v>0</v>
      </c>
      <c r="BX37" s="109">
        <f>IFERROR(VLOOKUP($E37,Base!$U:$W,3,0),0)</f>
        <v>0</v>
      </c>
    </row>
    <row r="38" spans="2:76" x14ac:dyDescent="0.35">
      <c r="B38" s="53" t="s">
        <v>402</v>
      </c>
      <c r="C38" s="51">
        <v>3919</v>
      </c>
      <c r="D38" s="51" t="s">
        <v>434</v>
      </c>
      <c r="E38" s="51">
        <v>167265</v>
      </c>
      <c r="F38" s="96" t="s">
        <v>312</v>
      </c>
      <c r="G38" s="42" t="s">
        <v>64</v>
      </c>
      <c r="H38" s="98" t="s">
        <v>105</v>
      </c>
      <c r="I38" s="143" t="s">
        <v>144</v>
      </c>
      <c r="J38" s="104">
        <f t="shared" si="33"/>
        <v>5.875</v>
      </c>
      <c r="K38" s="99">
        <f t="shared" si="34"/>
        <v>5.875</v>
      </c>
      <c r="L38" s="99">
        <f t="shared" si="35"/>
        <v>0.25</v>
      </c>
      <c r="M38" s="105">
        <f t="shared" si="36"/>
        <v>0</v>
      </c>
      <c r="N38" s="108">
        <f>IFERROR(VLOOKUP($E38&amp;N$6,Base!$A:$E,5,0),0)</f>
        <v>0</v>
      </c>
      <c r="O38" s="101">
        <v>5.375</v>
      </c>
      <c r="P38" s="101">
        <v>0.25</v>
      </c>
      <c r="Q38" s="101"/>
      <c r="R38" s="108">
        <f>IFERROR(VLOOKUP($E38&amp;R$6,Base!$A:$E,5,0),0)</f>
        <v>5.875</v>
      </c>
      <c r="S38" s="101">
        <f>IFERROR(VLOOKUP($E38&amp;S$6,Base!$G:$K,5,0),0)</f>
        <v>0.5</v>
      </c>
      <c r="T38" s="101">
        <f>IFERROR(VLOOKUP($E38&amp;S$6,Base!$M:$Q,5,0),0)</f>
        <v>0</v>
      </c>
      <c r="U38" s="109"/>
      <c r="V38" s="108">
        <f>IFERROR(VLOOKUP($E38&amp;V$6,Base!$A:$E,5,0),0)</f>
        <v>0</v>
      </c>
      <c r="W38" s="101">
        <f>IFERROR(VLOOKUP($E38&amp;W$6,Base!$G:$K,5,0),0)</f>
        <v>0</v>
      </c>
      <c r="X38" s="101">
        <f>IFERROR(VLOOKUP($E38&amp;W$6,Base!$M:$Q,5,0),0)</f>
        <v>0</v>
      </c>
      <c r="Y38" s="109"/>
      <c r="AA38" s="104">
        <f t="shared" si="37"/>
        <v>0</v>
      </c>
      <c r="AB38" s="99">
        <f t="shared" si="38"/>
        <v>0</v>
      </c>
      <c r="AC38" s="99">
        <f t="shared" si="39"/>
        <v>0</v>
      </c>
      <c r="AD38" s="105">
        <f t="shared" si="40"/>
        <v>0</v>
      </c>
      <c r="AE38" s="108">
        <f>IFERROR(VLOOKUP($E38&amp;AE$6,Base!$A:$E,5,0),0)</f>
        <v>0</v>
      </c>
      <c r="AF38" s="101">
        <f>IFERROR(VLOOKUP($E38&amp;AF$6,Base!$G:$K,5,0),0)</f>
        <v>0</v>
      </c>
      <c r="AG38" s="101">
        <f>IFERROR(VLOOKUP($E38&amp;AF$6,Base!$M:$Q,5,0),0)</f>
        <v>0</v>
      </c>
      <c r="AH38" s="109"/>
      <c r="AI38" s="108">
        <f>IFERROR(VLOOKUP($E38&amp;AI$6,Base!$A:$E,5,0),0)</f>
        <v>0</v>
      </c>
      <c r="AJ38" s="101">
        <f>IFERROR(VLOOKUP($E38&amp;AJ$6,Base!$G:$K,5,0),0)</f>
        <v>0</v>
      </c>
      <c r="AK38" s="101">
        <f>IFERROR(VLOOKUP($E38&amp;AJ$6,Base!$M:$Q,5,0),0)</f>
        <v>0</v>
      </c>
      <c r="AL38" s="109">
        <v>0</v>
      </c>
      <c r="AM38" s="108">
        <f>IFERROR(VLOOKUP($E38&amp;AM$6,Base!$A:$E,5,0),0)</f>
        <v>0</v>
      </c>
      <c r="AN38" s="101">
        <f>IFERROR(VLOOKUP($E38&amp;AN$6,Base!$G:$K,5,0),0)</f>
        <v>0</v>
      </c>
      <c r="AO38" s="101">
        <f>IFERROR(VLOOKUP($E38&amp;AN$6,Base!$M:$Q,5,0),0)</f>
        <v>0</v>
      </c>
      <c r="AP38" s="109"/>
      <c r="AR38" s="104">
        <f t="shared" si="41"/>
        <v>0</v>
      </c>
      <c r="AS38" s="99">
        <f t="shared" si="42"/>
        <v>3</v>
      </c>
      <c r="AT38" s="99">
        <f t="shared" si="43"/>
        <v>0</v>
      </c>
      <c r="AU38" s="105">
        <f t="shared" si="13"/>
        <v>0</v>
      </c>
      <c r="AV38" s="108">
        <f>IFERROR(VLOOKUP($E38&amp;AV$6,Base!$A:$E,5,0),0)</f>
        <v>0</v>
      </c>
      <c r="AW38" s="101">
        <f>IFERROR(VLOOKUP($E38&amp;AW$6,Base!$G:$K,5,0),0)</f>
        <v>0</v>
      </c>
      <c r="AX38" s="101">
        <f>IFERROR(VLOOKUP($E38&amp;AW$6,Base!$M:$Q,5,0),0)</f>
        <v>0</v>
      </c>
      <c r="AY38" s="109">
        <v>0</v>
      </c>
      <c r="AZ38" s="108">
        <f>IFERROR(VLOOKUP($E38&amp;AZ$6,Base!$A:$E,5,0),0)</f>
        <v>0</v>
      </c>
      <c r="BA38" s="101">
        <f>IFERROR(VLOOKUP($E38&amp;BA$6,Base!$G:$K,5,0),0)</f>
        <v>3</v>
      </c>
      <c r="BB38" s="101">
        <f>IFERROR(VLOOKUP($E38&amp;BA$6,Base!$M:$Q,5,0),0)</f>
        <v>0</v>
      </c>
      <c r="BC38" s="109">
        <v>0</v>
      </c>
      <c r="BD38" s="108">
        <f>IFERROR(VLOOKUP($E38&amp;BD$6,Base!$A:$E,5,0),0)</f>
        <v>0</v>
      </c>
      <c r="BE38" s="101">
        <f>IFERROR(VLOOKUP($E38&amp;BE$6,Base!$G:$K,5,0),0)</f>
        <v>0</v>
      </c>
      <c r="BF38" s="101">
        <f>IFERROR(VLOOKUP($E38&amp;BE$6,Base!$M:$Q,5,0),0)</f>
        <v>0</v>
      </c>
      <c r="BG38" s="109">
        <v>0</v>
      </c>
      <c r="BI38" s="104">
        <f t="shared" si="44"/>
        <v>0</v>
      </c>
      <c r="BJ38" s="99">
        <f t="shared" si="45"/>
        <v>0</v>
      </c>
      <c r="BK38" s="99">
        <f t="shared" si="46"/>
        <v>0</v>
      </c>
      <c r="BL38" s="111">
        <f t="shared" si="47"/>
        <v>0</v>
      </c>
      <c r="BM38" s="108">
        <f>IFERROR(VLOOKUP($E38&amp;BM$6,Base!$A:$E,5,0),0)</f>
        <v>0</v>
      </c>
      <c r="BN38" s="101">
        <f>IFERROR(VLOOKUP($E38&amp;BN$6,Base!$G:$K,5,0),0)</f>
        <v>0</v>
      </c>
      <c r="BO38" s="101">
        <f>IFERROR(VLOOKUP($E38&amp;BN$6,Base!$M:$Q,5,0),0)</f>
        <v>0</v>
      </c>
      <c r="BP38" s="109">
        <v>0</v>
      </c>
      <c r="BQ38" s="108">
        <f>IFERROR(VLOOKUP($E38&amp;BQ$6,Base!$A:$E,5,0),0)</f>
        <v>0</v>
      </c>
      <c r="BR38" s="101">
        <f>IFERROR(VLOOKUP($E38&amp;BR$6,Base!$G:$K,5,0),0)</f>
        <v>0</v>
      </c>
      <c r="BS38" s="101">
        <f>IFERROR(VLOOKUP($E38&amp;BR$6,Base!$M:$Q,5,0),0)</f>
        <v>0</v>
      </c>
      <c r="BT38" s="109">
        <v>0</v>
      </c>
      <c r="BU38" s="108">
        <f>IFERROR(VLOOKUP($E38&amp;BU$6,Base!$A:$E,5,0),0)</f>
        <v>0</v>
      </c>
      <c r="BV38" s="101">
        <f>IFERROR(VLOOKUP($E38&amp;BV$6,Base!$G:$K,5,0),0)</f>
        <v>0</v>
      </c>
      <c r="BW38" s="101">
        <f>IFERROR(VLOOKUP($E38&amp;BV$6,Base!$M:$Q,5,0),0)</f>
        <v>0</v>
      </c>
      <c r="BX38" s="109">
        <f>IFERROR(VLOOKUP($E38,Base!$U:$W,3,0),0)</f>
        <v>0</v>
      </c>
    </row>
    <row r="39" spans="2:76" x14ac:dyDescent="0.35">
      <c r="B39" s="53" t="s">
        <v>402</v>
      </c>
      <c r="C39" s="51">
        <v>3919</v>
      </c>
      <c r="D39" s="51" t="s">
        <v>434</v>
      </c>
      <c r="E39" s="51">
        <v>182592</v>
      </c>
      <c r="F39" s="96" t="s">
        <v>384</v>
      </c>
      <c r="G39" s="42" t="s">
        <v>149</v>
      </c>
      <c r="H39" s="98" t="s">
        <v>153</v>
      </c>
      <c r="I39" s="143" t="s">
        <v>144</v>
      </c>
      <c r="J39" s="104">
        <f t="shared" si="33"/>
        <v>0</v>
      </c>
      <c r="K39" s="99">
        <f t="shared" si="34"/>
        <v>0</v>
      </c>
      <c r="L39" s="99">
        <f t="shared" si="35"/>
        <v>0</v>
      </c>
      <c r="M39" s="105">
        <f t="shared" si="36"/>
        <v>0</v>
      </c>
      <c r="N39" s="108">
        <f>IFERROR(VLOOKUP($E39&amp;N$6,Base!$A:$E,5,0),0)</f>
        <v>0</v>
      </c>
      <c r="O39" s="101">
        <v>0</v>
      </c>
      <c r="P39" s="101">
        <v>0</v>
      </c>
      <c r="Q39" s="101"/>
      <c r="R39" s="108">
        <f>IFERROR(VLOOKUP($E39&amp;R$6,Base!$A:$E,5,0),0)</f>
        <v>0</v>
      </c>
      <c r="S39" s="101">
        <f>IFERROR(VLOOKUP($E39&amp;S$6,Base!$G:$K,5,0),0)</f>
        <v>0</v>
      </c>
      <c r="T39" s="101">
        <f>IFERROR(VLOOKUP($E39&amp;S$6,Base!$M:$Q,5,0),0)</f>
        <v>0</v>
      </c>
      <c r="U39" s="109"/>
      <c r="V39" s="108">
        <f>IFERROR(VLOOKUP($E39&amp;V$6,Base!$A:$E,5,0),0)</f>
        <v>0</v>
      </c>
      <c r="W39" s="101">
        <f>IFERROR(VLOOKUP($E39&amp;W$6,Base!$G:$K,5,0),0)</f>
        <v>0</v>
      </c>
      <c r="X39" s="101">
        <f>IFERROR(VLOOKUP($E39&amp;W$6,Base!$M:$Q,5,0),0)</f>
        <v>0</v>
      </c>
      <c r="Y39" s="109"/>
      <c r="AA39" s="104">
        <f t="shared" si="37"/>
        <v>0</v>
      </c>
      <c r="AB39" s="99">
        <f t="shared" si="38"/>
        <v>5.875</v>
      </c>
      <c r="AC39" s="99">
        <f t="shared" si="39"/>
        <v>0.25</v>
      </c>
      <c r="AD39" s="105">
        <f t="shared" si="40"/>
        <v>0</v>
      </c>
      <c r="AE39" s="108">
        <f>IFERROR(VLOOKUP($E39&amp;AE$6,Base!$A:$E,5,0),0)</f>
        <v>5.875</v>
      </c>
      <c r="AF39" s="101">
        <f>IFERROR(VLOOKUP($E39&amp;AF$6,Base!$G:$K,5,0),0)</f>
        <v>5.875</v>
      </c>
      <c r="AG39" s="101">
        <f>IFERROR(VLOOKUP($E39&amp;AF$6,Base!$M:$Q,5,0),0)</f>
        <v>0.25</v>
      </c>
      <c r="AH39" s="109"/>
      <c r="AI39" s="108">
        <f>IFERROR(VLOOKUP($E39&amp;AI$6,Base!$A:$E,5,0),0)</f>
        <v>0</v>
      </c>
      <c r="AJ39" s="101">
        <f>IFERROR(VLOOKUP($E39&amp;AJ$6,Base!$G:$K,5,0),0)</f>
        <v>0</v>
      </c>
      <c r="AK39" s="101">
        <f>IFERROR(VLOOKUP($E39&amp;AJ$6,Base!$M:$Q,5,0),0)</f>
        <v>0</v>
      </c>
      <c r="AL39" s="109">
        <v>0</v>
      </c>
      <c r="AM39" s="108">
        <f>IFERROR(VLOOKUP($E39&amp;AM$6,Base!$A:$E,5,0),0)</f>
        <v>-5.875</v>
      </c>
      <c r="AN39" s="101">
        <f>IFERROR(VLOOKUP($E39&amp;AN$6,Base!$G:$K,5,0),0)</f>
        <v>0</v>
      </c>
      <c r="AO39" s="101">
        <f>IFERROR(VLOOKUP($E39&amp;AN$6,Base!$M:$Q,5,0),0)</f>
        <v>0</v>
      </c>
      <c r="AP39" s="109"/>
      <c r="AR39" s="104">
        <f t="shared" si="41"/>
        <v>0</v>
      </c>
      <c r="AS39" s="99">
        <f t="shared" si="42"/>
        <v>6</v>
      </c>
      <c r="AT39" s="99">
        <f t="shared" si="43"/>
        <v>0</v>
      </c>
      <c r="AU39" s="105">
        <f t="shared" si="13"/>
        <v>0</v>
      </c>
      <c r="AV39" s="108">
        <f>IFERROR(VLOOKUP($E39&amp;AV$6,Base!$A:$E,5,0),0)</f>
        <v>0</v>
      </c>
      <c r="AW39" s="101">
        <f>IFERROR(VLOOKUP($E39&amp;AW$6,Base!$G:$K,5,0),0)</f>
        <v>0</v>
      </c>
      <c r="AX39" s="101">
        <f>IFERROR(VLOOKUP($E39&amp;AW$6,Base!$M:$Q,5,0),0)</f>
        <v>0</v>
      </c>
      <c r="AY39" s="109">
        <v>0</v>
      </c>
      <c r="AZ39" s="108">
        <f>IFERROR(VLOOKUP($E39&amp;AZ$6,Base!$A:$E,5,0),0)</f>
        <v>0</v>
      </c>
      <c r="BA39" s="101">
        <f>IFERROR(VLOOKUP($E39&amp;BA$6,Base!$G:$K,5,0),0)</f>
        <v>2</v>
      </c>
      <c r="BB39" s="101">
        <f>IFERROR(VLOOKUP($E39&amp;BA$6,Base!$M:$Q,5,0),0)</f>
        <v>0</v>
      </c>
      <c r="BC39" s="109">
        <v>0</v>
      </c>
      <c r="BD39" s="108">
        <f>IFERROR(VLOOKUP($E39&amp;BD$6,Base!$A:$E,5,0),0)</f>
        <v>0</v>
      </c>
      <c r="BE39" s="101">
        <f>IFERROR(VLOOKUP($E39&amp;BE$6,Base!$G:$K,5,0),0)</f>
        <v>4</v>
      </c>
      <c r="BF39" s="101">
        <f>IFERROR(VLOOKUP($E39&amp;BE$6,Base!$M:$Q,5,0),0)</f>
        <v>0</v>
      </c>
      <c r="BG39" s="109">
        <v>0</v>
      </c>
      <c r="BI39" s="104">
        <f t="shared" si="44"/>
        <v>0</v>
      </c>
      <c r="BJ39" s="99">
        <f t="shared" si="45"/>
        <v>0</v>
      </c>
      <c r="BK39" s="99">
        <f t="shared" si="46"/>
        <v>0</v>
      </c>
      <c r="BL39" s="111">
        <f t="shared" si="47"/>
        <v>0</v>
      </c>
      <c r="BM39" s="108">
        <f>IFERROR(VLOOKUP($E39&amp;BM$6,Base!$A:$E,5,0),0)</f>
        <v>0</v>
      </c>
      <c r="BN39" s="101">
        <f>IFERROR(VLOOKUP($E39&amp;BN$6,Base!$G:$K,5,0),0)</f>
        <v>0</v>
      </c>
      <c r="BO39" s="101">
        <f>IFERROR(VLOOKUP($E39&amp;BN$6,Base!$M:$Q,5,0),0)</f>
        <v>0</v>
      </c>
      <c r="BP39" s="109">
        <v>0</v>
      </c>
      <c r="BQ39" s="108">
        <f>IFERROR(VLOOKUP($E39&amp;BQ$6,Base!$A:$E,5,0),0)</f>
        <v>0</v>
      </c>
      <c r="BR39" s="101">
        <f>IFERROR(VLOOKUP($E39&amp;BR$6,Base!$G:$K,5,0),0)</f>
        <v>0</v>
      </c>
      <c r="BS39" s="101">
        <f>IFERROR(VLOOKUP($E39&amp;BR$6,Base!$M:$Q,5,0),0)</f>
        <v>0</v>
      </c>
      <c r="BT39" s="109">
        <v>0</v>
      </c>
      <c r="BU39" s="108">
        <f>IFERROR(VLOOKUP($E39&amp;BU$6,Base!$A:$E,5,0),0)</f>
        <v>0</v>
      </c>
      <c r="BV39" s="101">
        <f>IFERROR(VLOOKUP($E39&amp;BV$6,Base!$G:$K,5,0),0)</f>
        <v>0</v>
      </c>
      <c r="BW39" s="101">
        <f>IFERROR(VLOOKUP($E39&amp;BV$6,Base!$M:$Q,5,0),0)</f>
        <v>0</v>
      </c>
      <c r="BX39" s="109">
        <f>IFERROR(VLOOKUP($E39,Base!$U:$W,3,0),0)</f>
        <v>0</v>
      </c>
    </row>
    <row r="40" spans="2:76" x14ac:dyDescent="0.35">
      <c r="B40" s="53" t="s">
        <v>402</v>
      </c>
      <c r="C40" s="51">
        <v>3919</v>
      </c>
      <c r="D40" s="51" t="s">
        <v>434</v>
      </c>
      <c r="E40" s="51">
        <v>184214</v>
      </c>
      <c r="F40" s="96" t="s">
        <v>387</v>
      </c>
      <c r="G40" s="42" t="s">
        <v>148</v>
      </c>
      <c r="H40" s="98" t="s">
        <v>153</v>
      </c>
      <c r="I40" s="143" t="s">
        <v>144</v>
      </c>
      <c r="J40" s="104">
        <f t="shared" si="33"/>
        <v>0</v>
      </c>
      <c r="K40" s="99">
        <f t="shared" si="34"/>
        <v>0</v>
      </c>
      <c r="L40" s="99">
        <f t="shared" si="35"/>
        <v>0</v>
      </c>
      <c r="M40" s="105">
        <f t="shared" si="36"/>
        <v>0</v>
      </c>
      <c r="N40" s="108">
        <f>IFERROR(VLOOKUP($E40&amp;N$6,Base!$A:$E,5,0),0)</f>
        <v>0</v>
      </c>
      <c r="O40" s="101">
        <v>0</v>
      </c>
      <c r="P40" s="101">
        <v>0</v>
      </c>
      <c r="Q40" s="101"/>
      <c r="R40" s="108">
        <f>IFERROR(VLOOKUP($E40&amp;R$6,Base!$A:$E,5,0),0)</f>
        <v>0</v>
      </c>
      <c r="S40" s="101">
        <f>IFERROR(VLOOKUP($E40&amp;S$6,Base!$G:$K,5,0),0)</f>
        <v>0</v>
      </c>
      <c r="T40" s="101">
        <f>IFERROR(VLOOKUP($E40&amp;S$6,Base!$M:$Q,5,0),0)</f>
        <v>0</v>
      </c>
      <c r="U40" s="109"/>
      <c r="V40" s="108">
        <f>IFERROR(VLOOKUP($E40&amp;V$6,Base!$A:$E,5,0),0)</f>
        <v>0</v>
      </c>
      <c r="W40" s="101">
        <f>IFERROR(VLOOKUP($E40&amp;W$6,Base!$G:$K,5,0),0)</f>
        <v>0</v>
      </c>
      <c r="X40" s="101">
        <f>IFERROR(VLOOKUP($E40&amp;W$6,Base!$M:$Q,5,0),0)</f>
        <v>0</v>
      </c>
      <c r="Y40" s="109"/>
      <c r="AA40" s="104">
        <f t="shared" si="37"/>
        <v>5.875</v>
      </c>
      <c r="AB40" s="99">
        <f t="shared" si="38"/>
        <v>0</v>
      </c>
      <c r="AC40" s="99">
        <f t="shared" si="39"/>
        <v>0</v>
      </c>
      <c r="AD40" s="105">
        <f t="shared" si="40"/>
        <v>0</v>
      </c>
      <c r="AE40" s="108">
        <f>IFERROR(VLOOKUP($E40&amp;AE$6,Base!$A:$E,5,0),0)</f>
        <v>5.875</v>
      </c>
      <c r="AF40" s="101">
        <f>IFERROR(VLOOKUP($E40&amp;AF$6,Base!$G:$K,5,0),0)</f>
        <v>0</v>
      </c>
      <c r="AG40" s="101">
        <f>IFERROR(VLOOKUP($E40&amp;AF$6,Base!$M:$Q,5,0),0)</f>
        <v>0</v>
      </c>
      <c r="AH40" s="109"/>
      <c r="AI40" s="108">
        <f>IFERROR(VLOOKUP($E40&amp;AI$6,Base!$A:$E,5,0),0)</f>
        <v>0</v>
      </c>
      <c r="AJ40" s="101">
        <f>IFERROR(VLOOKUP($E40&amp;AJ$6,Base!$G:$K,5,0),0)</f>
        <v>0</v>
      </c>
      <c r="AK40" s="101">
        <f>IFERROR(VLOOKUP($E40&amp;AJ$6,Base!$M:$Q,5,0),0)</f>
        <v>0</v>
      </c>
      <c r="AL40" s="109">
        <v>0</v>
      </c>
      <c r="AM40" s="108">
        <f>IFERROR(VLOOKUP($E40&amp;AM$6,Base!$A:$E,5,0),0)</f>
        <v>0</v>
      </c>
      <c r="AN40" s="101">
        <f>IFERROR(VLOOKUP($E40&amp;AN$6,Base!$G:$K,5,0),0)</f>
        <v>0</v>
      </c>
      <c r="AO40" s="101">
        <f>IFERROR(VLOOKUP($E40&amp;AN$6,Base!$M:$Q,5,0),0)</f>
        <v>0</v>
      </c>
      <c r="AP40" s="109"/>
      <c r="AR40" s="104">
        <f t="shared" si="41"/>
        <v>0</v>
      </c>
      <c r="AS40" s="99">
        <f t="shared" si="42"/>
        <v>3</v>
      </c>
      <c r="AT40" s="99">
        <f t="shared" si="43"/>
        <v>0</v>
      </c>
      <c r="AU40" s="105">
        <f t="shared" si="13"/>
        <v>0</v>
      </c>
      <c r="AV40" s="108">
        <f>IFERROR(VLOOKUP($E40&amp;AV$6,Base!$A:$E,5,0),0)</f>
        <v>0</v>
      </c>
      <c r="AW40" s="101">
        <f>IFERROR(VLOOKUP($E40&amp;AW$6,Base!$G:$K,5,0),0)</f>
        <v>0</v>
      </c>
      <c r="AX40" s="101">
        <f>IFERROR(VLOOKUP($E40&amp;AW$6,Base!$M:$Q,5,0),0)</f>
        <v>0</v>
      </c>
      <c r="AY40" s="109">
        <v>0</v>
      </c>
      <c r="AZ40" s="108">
        <f>IFERROR(VLOOKUP($E40&amp;AZ$6,Base!$A:$E,5,0),0)</f>
        <v>0</v>
      </c>
      <c r="BA40" s="101">
        <f>IFERROR(VLOOKUP($E40&amp;BA$6,Base!$G:$K,5,0),0)</f>
        <v>3</v>
      </c>
      <c r="BB40" s="101">
        <f>IFERROR(VLOOKUP($E40&amp;BA$6,Base!$M:$Q,5,0),0)</f>
        <v>0</v>
      </c>
      <c r="BC40" s="109">
        <v>0</v>
      </c>
      <c r="BD40" s="108">
        <f>IFERROR(VLOOKUP($E40&amp;BD$6,Base!$A:$E,5,0),0)</f>
        <v>0</v>
      </c>
      <c r="BE40" s="101">
        <f>IFERROR(VLOOKUP($E40&amp;BE$6,Base!$G:$K,5,0),0)</f>
        <v>0</v>
      </c>
      <c r="BF40" s="101">
        <f>IFERROR(VLOOKUP($E40&amp;BE$6,Base!$M:$Q,5,0),0)</f>
        <v>0</v>
      </c>
      <c r="BG40" s="109">
        <v>0</v>
      </c>
      <c r="BI40" s="104">
        <f t="shared" si="44"/>
        <v>0</v>
      </c>
      <c r="BJ40" s="99">
        <f t="shared" si="45"/>
        <v>0</v>
      </c>
      <c r="BK40" s="99">
        <f t="shared" si="46"/>
        <v>0</v>
      </c>
      <c r="BL40" s="111">
        <f t="shared" si="47"/>
        <v>0</v>
      </c>
      <c r="BM40" s="108">
        <f>IFERROR(VLOOKUP($E40&amp;BM$6,Base!$A:$E,5,0),0)</f>
        <v>0</v>
      </c>
      <c r="BN40" s="101">
        <f>IFERROR(VLOOKUP($E40&amp;BN$6,Base!$G:$K,5,0),0)</f>
        <v>0</v>
      </c>
      <c r="BO40" s="101">
        <f>IFERROR(VLOOKUP($E40&amp;BN$6,Base!$M:$Q,5,0),0)</f>
        <v>0</v>
      </c>
      <c r="BP40" s="109">
        <v>0</v>
      </c>
      <c r="BQ40" s="108">
        <f>IFERROR(VLOOKUP($E40&amp;BQ$6,Base!$A:$E,5,0),0)</f>
        <v>0</v>
      </c>
      <c r="BR40" s="101">
        <f>IFERROR(VLOOKUP($E40&amp;BR$6,Base!$G:$K,5,0),0)</f>
        <v>0</v>
      </c>
      <c r="BS40" s="101">
        <f>IFERROR(VLOOKUP($E40&amp;BR$6,Base!$M:$Q,5,0),0)</f>
        <v>0</v>
      </c>
      <c r="BT40" s="109">
        <v>0</v>
      </c>
      <c r="BU40" s="108">
        <f>IFERROR(VLOOKUP($E40&amp;BU$6,Base!$A:$E,5,0),0)</f>
        <v>0</v>
      </c>
      <c r="BV40" s="101">
        <f>IFERROR(VLOOKUP($E40&amp;BV$6,Base!$G:$K,5,0),0)</f>
        <v>0</v>
      </c>
      <c r="BW40" s="101">
        <f>IFERROR(VLOOKUP($E40&amp;BV$6,Base!$M:$Q,5,0),0)</f>
        <v>0</v>
      </c>
      <c r="BX40" s="109">
        <f>IFERROR(VLOOKUP($E40,Base!$U:$W,3,0),0)</f>
        <v>0</v>
      </c>
    </row>
    <row r="41" spans="2:76" x14ac:dyDescent="0.35">
      <c r="B41" s="53" t="s">
        <v>402</v>
      </c>
      <c r="C41" s="51">
        <v>3919</v>
      </c>
      <c r="D41" s="51" t="s">
        <v>434</v>
      </c>
      <c r="E41" s="51">
        <v>184215</v>
      </c>
      <c r="F41" s="96" t="s">
        <v>390</v>
      </c>
      <c r="G41" s="42" t="s">
        <v>388</v>
      </c>
      <c r="H41" s="98" t="s">
        <v>153</v>
      </c>
      <c r="I41" s="143" t="s">
        <v>144</v>
      </c>
      <c r="J41" s="104">
        <f t="shared" si="33"/>
        <v>0</v>
      </c>
      <c r="K41" s="99">
        <f t="shared" si="34"/>
        <v>0</v>
      </c>
      <c r="L41" s="99">
        <f t="shared" si="35"/>
        <v>0</v>
      </c>
      <c r="M41" s="105">
        <f t="shared" si="36"/>
        <v>0</v>
      </c>
      <c r="N41" s="108">
        <f>IFERROR(VLOOKUP($E41&amp;N$6,Base!$A:$E,5,0),0)</f>
        <v>0</v>
      </c>
      <c r="O41" s="101">
        <v>0</v>
      </c>
      <c r="P41" s="101">
        <v>0</v>
      </c>
      <c r="Q41" s="101"/>
      <c r="R41" s="108">
        <f>IFERROR(VLOOKUP($E41&amp;R$6,Base!$A:$E,5,0),0)</f>
        <v>0</v>
      </c>
      <c r="S41" s="101">
        <f>IFERROR(VLOOKUP($E41&amp;S$6,Base!$G:$K,5,0),0)</f>
        <v>0</v>
      </c>
      <c r="T41" s="101">
        <f>IFERROR(VLOOKUP($E41&amp;S$6,Base!$M:$Q,5,0),0)</f>
        <v>0</v>
      </c>
      <c r="U41" s="109"/>
      <c r="V41" s="108">
        <f>IFERROR(VLOOKUP($E41&amp;V$6,Base!$A:$E,5,0),0)</f>
        <v>0</v>
      </c>
      <c r="W41" s="101">
        <f>IFERROR(VLOOKUP($E41&amp;W$6,Base!$G:$K,5,0),0)</f>
        <v>0</v>
      </c>
      <c r="X41" s="101">
        <f>IFERROR(VLOOKUP($E41&amp;W$6,Base!$M:$Q,5,0),0)</f>
        <v>0</v>
      </c>
      <c r="Y41" s="109"/>
      <c r="AA41" s="104">
        <f t="shared" si="37"/>
        <v>0</v>
      </c>
      <c r="AB41" s="99">
        <f t="shared" si="38"/>
        <v>5.875</v>
      </c>
      <c r="AC41" s="99">
        <f t="shared" si="39"/>
        <v>0.25</v>
      </c>
      <c r="AD41" s="105">
        <f t="shared" si="40"/>
        <v>0</v>
      </c>
      <c r="AE41" s="108">
        <f>IFERROR(VLOOKUP($E41&amp;AE$6,Base!$A:$E,5,0),0)</f>
        <v>5.875</v>
      </c>
      <c r="AF41" s="101">
        <f>IFERROR(VLOOKUP($E41&amp;AF$6,Base!$G:$K,5,0),0)</f>
        <v>5.875</v>
      </c>
      <c r="AG41" s="101">
        <f>IFERROR(VLOOKUP($E41&amp;AF$6,Base!$M:$Q,5,0),0)</f>
        <v>0.25</v>
      </c>
      <c r="AH41" s="109"/>
      <c r="AI41" s="108">
        <f>IFERROR(VLOOKUP($E41&amp;AI$6,Base!$A:$E,5,0),0)</f>
        <v>0</v>
      </c>
      <c r="AJ41" s="101">
        <f>IFERROR(VLOOKUP($E41&amp;AJ$6,Base!$G:$K,5,0),0)</f>
        <v>0</v>
      </c>
      <c r="AK41" s="101">
        <f>IFERROR(VLOOKUP($E41&amp;AJ$6,Base!$M:$Q,5,0),0)</f>
        <v>0</v>
      </c>
      <c r="AL41" s="109">
        <v>0</v>
      </c>
      <c r="AM41" s="108">
        <f>IFERROR(VLOOKUP($E41&amp;AM$6,Base!$A:$E,5,0),0)</f>
        <v>-5.875</v>
      </c>
      <c r="AN41" s="101">
        <f>IFERROR(VLOOKUP($E41&amp;AN$6,Base!$G:$K,5,0),0)</f>
        <v>0</v>
      </c>
      <c r="AO41" s="101">
        <f>IFERROR(VLOOKUP($E41&amp;AN$6,Base!$M:$Q,5,0),0)</f>
        <v>0</v>
      </c>
      <c r="AP41" s="109"/>
      <c r="AR41" s="104">
        <f t="shared" si="41"/>
        <v>0</v>
      </c>
      <c r="AS41" s="99">
        <f t="shared" si="42"/>
        <v>3</v>
      </c>
      <c r="AT41" s="99">
        <f t="shared" si="43"/>
        <v>0</v>
      </c>
      <c r="AU41" s="105">
        <f t="shared" si="13"/>
        <v>0</v>
      </c>
      <c r="AV41" s="108">
        <f>IFERROR(VLOOKUP($E41&amp;AV$6,Base!$A:$E,5,0),0)</f>
        <v>0</v>
      </c>
      <c r="AW41" s="101">
        <f>IFERROR(VLOOKUP($E41&amp;AW$6,Base!$G:$K,5,0),0)</f>
        <v>0</v>
      </c>
      <c r="AX41" s="101">
        <f>IFERROR(VLOOKUP($E41&amp;AW$6,Base!$M:$Q,5,0),0)</f>
        <v>0</v>
      </c>
      <c r="AY41" s="109">
        <v>0</v>
      </c>
      <c r="AZ41" s="108">
        <f>IFERROR(VLOOKUP($E41&amp;AZ$6,Base!$A:$E,5,0),0)</f>
        <v>0</v>
      </c>
      <c r="BA41" s="101">
        <f>IFERROR(VLOOKUP($E41&amp;BA$6,Base!$G:$K,5,0),0)</f>
        <v>0</v>
      </c>
      <c r="BB41" s="101">
        <f>IFERROR(VLOOKUP($E41&amp;BA$6,Base!$M:$Q,5,0),0)</f>
        <v>0</v>
      </c>
      <c r="BC41" s="109">
        <v>0</v>
      </c>
      <c r="BD41" s="108">
        <f>IFERROR(VLOOKUP($E41&amp;BD$6,Base!$A:$E,5,0),0)</f>
        <v>0</v>
      </c>
      <c r="BE41" s="101">
        <f>IFERROR(VLOOKUP($E41&amp;BE$6,Base!$G:$K,5,0),0)</f>
        <v>3</v>
      </c>
      <c r="BF41" s="101">
        <f>IFERROR(VLOOKUP($E41&amp;BE$6,Base!$M:$Q,5,0),0)</f>
        <v>0</v>
      </c>
      <c r="BG41" s="109">
        <v>0</v>
      </c>
      <c r="BI41" s="104">
        <f t="shared" si="44"/>
        <v>0</v>
      </c>
      <c r="BJ41" s="99">
        <f t="shared" si="45"/>
        <v>0</v>
      </c>
      <c r="BK41" s="99">
        <f t="shared" si="46"/>
        <v>0</v>
      </c>
      <c r="BL41" s="111">
        <f t="shared" si="47"/>
        <v>0</v>
      </c>
      <c r="BM41" s="108">
        <f>IFERROR(VLOOKUP($E41&amp;BM$6,Base!$A:$E,5,0),0)</f>
        <v>0</v>
      </c>
      <c r="BN41" s="101">
        <f>IFERROR(VLOOKUP($E41&amp;BN$6,Base!$G:$K,5,0),0)</f>
        <v>0</v>
      </c>
      <c r="BO41" s="101">
        <f>IFERROR(VLOOKUP($E41&amp;BN$6,Base!$M:$Q,5,0),0)</f>
        <v>0</v>
      </c>
      <c r="BP41" s="109">
        <v>0</v>
      </c>
      <c r="BQ41" s="108">
        <f>IFERROR(VLOOKUP($E41&amp;BQ$6,Base!$A:$E,5,0),0)</f>
        <v>0</v>
      </c>
      <c r="BR41" s="101">
        <f>IFERROR(VLOOKUP($E41&amp;BR$6,Base!$G:$K,5,0),0)</f>
        <v>0</v>
      </c>
      <c r="BS41" s="101">
        <f>IFERROR(VLOOKUP($E41&amp;BR$6,Base!$M:$Q,5,0),0)</f>
        <v>0</v>
      </c>
      <c r="BT41" s="109">
        <v>0</v>
      </c>
      <c r="BU41" s="108">
        <f>IFERROR(VLOOKUP($E41&amp;BU$6,Base!$A:$E,5,0),0)</f>
        <v>0</v>
      </c>
      <c r="BV41" s="101">
        <f>IFERROR(VLOOKUP($E41&amp;BV$6,Base!$G:$K,5,0),0)</f>
        <v>0</v>
      </c>
      <c r="BW41" s="101">
        <f>IFERROR(VLOOKUP($E41&amp;BV$6,Base!$M:$Q,5,0),0)</f>
        <v>0</v>
      </c>
      <c r="BX41" s="109">
        <f>IFERROR(VLOOKUP($E41,Base!$U:$W,3,0),0)</f>
        <v>0</v>
      </c>
    </row>
    <row r="42" spans="2:76" x14ac:dyDescent="0.35">
      <c r="B42" s="53" t="s">
        <v>402</v>
      </c>
      <c r="C42" s="51">
        <v>3919</v>
      </c>
      <c r="D42" s="51" t="s">
        <v>434</v>
      </c>
      <c r="E42" s="51">
        <v>48374</v>
      </c>
      <c r="F42" s="96" t="s">
        <v>348</v>
      </c>
      <c r="G42" s="42" t="s">
        <v>31</v>
      </c>
      <c r="H42" s="98" t="s">
        <v>107</v>
      </c>
      <c r="I42" s="143" t="s">
        <v>144</v>
      </c>
      <c r="J42" s="104">
        <f t="shared" si="33"/>
        <v>617.16699999999992</v>
      </c>
      <c r="K42" s="99">
        <f t="shared" si="34"/>
        <v>331.25</v>
      </c>
      <c r="L42" s="99">
        <f t="shared" si="35"/>
        <v>14</v>
      </c>
      <c r="M42" s="105">
        <f t="shared" si="36"/>
        <v>0</v>
      </c>
      <c r="N42" s="108">
        <f>IFERROR(VLOOKUP($E42&amp;N$6,Base!$A:$E,5,0),0)</f>
        <v>-8.3000000000000004E-2</v>
      </c>
      <c r="O42" s="101">
        <v>130.708</v>
      </c>
      <c r="P42" s="101">
        <v>12</v>
      </c>
      <c r="Q42" s="101"/>
      <c r="R42" s="108">
        <f>IFERROR(VLOOKUP($E42&amp;R$6,Base!$A:$E,5,0),0)</f>
        <v>120.583</v>
      </c>
      <c r="S42" s="101">
        <f>IFERROR(VLOOKUP($E42&amp;S$6,Base!$G:$K,5,0),0)</f>
        <v>64</v>
      </c>
      <c r="T42" s="101">
        <f>IFERROR(VLOOKUP($E42&amp;S$6,Base!$M:$Q,5,0),0)</f>
        <v>2</v>
      </c>
      <c r="U42" s="109"/>
      <c r="V42" s="108">
        <f>IFERROR(VLOOKUP($E42&amp;V$6,Base!$A:$E,5,0),0)</f>
        <v>496.66699999999997</v>
      </c>
      <c r="W42" s="101">
        <f>IFERROR(VLOOKUP($E42&amp;W$6,Base!$G:$K,5,0),0)</f>
        <v>136.542</v>
      </c>
      <c r="X42" s="101">
        <f>IFERROR(VLOOKUP($E42&amp;W$6,Base!$M:$Q,5,0),0)</f>
        <v>0</v>
      </c>
      <c r="Y42" s="109"/>
      <c r="AA42" s="104">
        <f t="shared" si="37"/>
        <v>407</v>
      </c>
      <c r="AB42" s="99">
        <f t="shared" si="38"/>
        <v>547.41700000000003</v>
      </c>
      <c r="AC42" s="99">
        <f t="shared" si="39"/>
        <v>2</v>
      </c>
      <c r="AD42" s="105">
        <f t="shared" si="40"/>
        <v>0</v>
      </c>
      <c r="AE42" s="108">
        <f>IFERROR(VLOOKUP($E42&amp;AE$6,Base!$A:$E,5,0),0)</f>
        <v>117</v>
      </c>
      <c r="AF42" s="101">
        <f>IFERROR(VLOOKUP($E42&amp;AF$6,Base!$G:$K,5,0),0)</f>
        <v>214</v>
      </c>
      <c r="AG42" s="101">
        <f>IFERROR(VLOOKUP($E42&amp;AF$6,Base!$M:$Q,5,0),0)</f>
        <v>0</v>
      </c>
      <c r="AH42" s="109"/>
      <c r="AI42" s="108">
        <f>IFERROR(VLOOKUP($E42&amp;AI$6,Base!$A:$E,5,0),0)</f>
        <v>0</v>
      </c>
      <c r="AJ42" s="101">
        <f>IFERROR(VLOOKUP($E42&amp;AJ$6,Base!$G:$K,5,0),0)</f>
        <v>204</v>
      </c>
      <c r="AK42" s="101">
        <f>IFERROR(VLOOKUP($E42&amp;AJ$6,Base!$M:$Q,5,0),0)</f>
        <v>0</v>
      </c>
      <c r="AL42" s="109">
        <v>0</v>
      </c>
      <c r="AM42" s="108">
        <f>IFERROR(VLOOKUP($E42&amp;AM$6,Base!$A:$E,5,0),0)</f>
        <v>290</v>
      </c>
      <c r="AN42" s="101">
        <f>IFERROR(VLOOKUP($E42&amp;AN$6,Base!$G:$K,5,0),0)</f>
        <v>129.417</v>
      </c>
      <c r="AO42" s="101">
        <f>IFERROR(VLOOKUP($E42&amp;AN$6,Base!$M:$Q,5,0),0)</f>
        <v>2</v>
      </c>
      <c r="AP42" s="109"/>
      <c r="AR42" s="104">
        <f t="shared" si="41"/>
        <v>485.70799999999997</v>
      </c>
      <c r="AS42" s="99">
        <f t="shared" si="42"/>
        <v>597.64599999999996</v>
      </c>
      <c r="AT42" s="99">
        <f t="shared" si="43"/>
        <v>0</v>
      </c>
      <c r="AU42" s="105">
        <f t="shared" si="13"/>
        <v>0</v>
      </c>
      <c r="AV42" s="108">
        <f>IFERROR(VLOOKUP($E42&amp;AV$6,Base!$A:$E,5,0),0)</f>
        <v>-8</v>
      </c>
      <c r="AW42" s="101">
        <f>IFERROR(VLOOKUP($E42&amp;AW$6,Base!$G:$K,5,0),0)</f>
        <v>9.9789999999999992</v>
      </c>
      <c r="AX42" s="101">
        <f>IFERROR(VLOOKUP($E42&amp;AW$6,Base!$M:$Q,5,0),0)</f>
        <v>0</v>
      </c>
      <c r="AY42" s="109">
        <v>0</v>
      </c>
      <c r="AZ42" s="108">
        <f>IFERROR(VLOOKUP($E42&amp;AZ$6,Base!$A:$E,5,0),0)</f>
        <v>215.708</v>
      </c>
      <c r="BA42" s="101">
        <f>IFERROR(VLOOKUP($E42&amp;BA$6,Base!$G:$K,5,0),0)</f>
        <v>192.167</v>
      </c>
      <c r="BB42" s="101">
        <f>IFERROR(VLOOKUP($E42&amp;BA$6,Base!$M:$Q,5,0),0)</f>
        <v>0</v>
      </c>
      <c r="BC42" s="109">
        <v>0</v>
      </c>
      <c r="BD42" s="108">
        <f>IFERROR(VLOOKUP($E42&amp;BD$6,Base!$A:$E,5,0),0)</f>
        <v>278</v>
      </c>
      <c r="BE42" s="101">
        <f>IFERROR(VLOOKUP($E42&amp;BE$6,Base!$G:$K,5,0),0)</f>
        <v>395.5</v>
      </c>
      <c r="BF42" s="101">
        <f>IFERROR(VLOOKUP($E42&amp;BE$6,Base!$M:$Q,5,0),0)</f>
        <v>0</v>
      </c>
      <c r="BG42" s="109">
        <v>0</v>
      </c>
      <c r="BI42" s="104">
        <f t="shared" si="44"/>
        <v>260.625</v>
      </c>
      <c r="BJ42" s="99">
        <f t="shared" si="45"/>
        <v>335.709</v>
      </c>
      <c r="BK42" s="99">
        <f t="shared" si="46"/>
        <v>0</v>
      </c>
      <c r="BL42" s="111">
        <f t="shared" si="47"/>
        <v>0</v>
      </c>
      <c r="BM42" s="108">
        <f>IFERROR(VLOOKUP($E42&amp;BM$6,Base!$A:$E,5,0),0)</f>
        <v>32</v>
      </c>
      <c r="BN42" s="101">
        <f>IFERROR(VLOOKUP($E42&amp;BN$6,Base!$G:$K,5,0),0)</f>
        <v>-8.3000000000000004E-2</v>
      </c>
      <c r="BO42" s="101">
        <f>IFERROR(VLOOKUP($E42&amp;BN$6,Base!$M:$Q,5,0),0)</f>
        <v>0</v>
      </c>
      <c r="BP42" s="109">
        <v>0</v>
      </c>
      <c r="BQ42" s="108">
        <f>IFERROR(VLOOKUP($E42&amp;BQ$6,Base!$A:$E,5,0),0)</f>
        <v>160.792</v>
      </c>
      <c r="BR42" s="101">
        <f>IFERROR(VLOOKUP($E42&amp;BR$6,Base!$G:$K,5,0),0)</f>
        <v>186.167</v>
      </c>
      <c r="BS42" s="101">
        <f>IFERROR(VLOOKUP($E42&amp;BR$6,Base!$M:$Q,5,0),0)</f>
        <v>0</v>
      </c>
      <c r="BT42" s="109">
        <v>0</v>
      </c>
      <c r="BU42" s="108">
        <f>IFERROR(VLOOKUP($E42&amp;BU$6,Base!$A:$E,5,0),0)</f>
        <v>67.832999999999998</v>
      </c>
      <c r="BV42" s="101">
        <f>IFERROR(VLOOKUP($E42&amp;BV$6,Base!$G:$K,5,0),0)</f>
        <v>149.625</v>
      </c>
      <c r="BW42" s="101">
        <f>IFERROR(VLOOKUP($E42&amp;BV$6,Base!$M:$Q,5,0),0)</f>
        <v>0</v>
      </c>
      <c r="BX42" s="109">
        <f>IFERROR(VLOOKUP($E42,Base!$U:$W,3,0),0)</f>
        <v>0</v>
      </c>
    </row>
    <row r="43" spans="2:76" x14ac:dyDescent="0.35">
      <c r="B43" s="53" t="s">
        <v>402</v>
      </c>
      <c r="C43" s="51">
        <v>3919</v>
      </c>
      <c r="D43" s="51" t="s">
        <v>434</v>
      </c>
      <c r="E43" s="51">
        <v>171866</v>
      </c>
      <c r="F43" s="96" t="s">
        <v>381</v>
      </c>
      <c r="G43" s="42" t="s">
        <v>21</v>
      </c>
      <c r="H43" s="98" t="s">
        <v>107</v>
      </c>
      <c r="I43" s="143" t="s">
        <v>144</v>
      </c>
      <c r="J43" s="104">
        <f t="shared" si="33"/>
        <v>0</v>
      </c>
      <c r="K43" s="99">
        <f t="shared" si="34"/>
        <v>0</v>
      </c>
      <c r="L43" s="99">
        <f t="shared" si="35"/>
        <v>0</v>
      </c>
      <c r="M43" s="105">
        <f t="shared" si="36"/>
        <v>0</v>
      </c>
      <c r="N43" s="108">
        <f>IFERROR(VLOOKUP($E43&amp;N$6,Base!$A:$E,5,0),0)</f>
        <v>0</v>
      </c>
      <c r="O43" s="101">
        <v>0</v>
      </c>
      <c r="P43" s="101">
        <v>0</v>
      </c>
      <c r="Q43" s="101"/>
      <c r="R43" s="108">
        <f>IFERROR(VLOOKUP($E43&amp;R$6,Base!$A:$E,5,0),0)</f>
        <v>0</v>
      </c>
      <c r="S43" s="101">
        <f>IFERROR(VLOOKUP($E43&amp;S$6,Base!$G:$K,5,0),0)</f>
        <v>0</v>
      </c>
      <c r="T43" s="101">
        <f>IFERROR(VLOOKUP($E43&amp;S$6,Base!$M:$Q,5,0),0)</f>
        <v>0</v>
      </c>
      <c r="U43" s="109"/>
      <c r="V43" s="108">
        <f>IFERROR(VLOOKUP($E43&amp;V$6,Base!$A:$E,5,0),0)</f>
        <v>0</v>
      </c>
      <c r="W43" s="101">
        <f>IFERROR(VLOOKUP($E43&amp;W$6,Base!$G:$K,5,0),0)</f>
        <v>0</v>
      </c>
      <c r="X43" s="101">
        <f>IFERROR(VLOOKUP($E43&amp;W$6,Base!$M:$Q,5,0),0)</f>
        <v>0</v>
      </c>
      <c r="Y43" s="109"/>
      <c r="AA43" s="104">
        <f t="shared" si="37"/>
        <v>0</v>
      </c>
      <c r="AB43" s="99">
        <f t="shared" si="38"/>
        <v>0</v>
      </c>
      <c r="AC43" s="99">
        <f t="shared" si="39"/>
        <v>0</v>
      </c>
      <c r="AD43" s="105">
        <f t="shared" si="40"/>
        <v>0</v>
      </c>
      <c r="AE43" s="108">
        <f>IFERROR(VLOOKUP($E43&amp;AE$6,Base!$A:$E,5,0),0)</f>
        <v>0</v>
      </c>
      <c r="AF43" s="101">
        <f>IFERROR(VLOOKUP($E43&amp;AF$6,Base!$G:$K,5,0),0)</f>
        <v>0</v>
      </c>
      <c r="AG43" s="101">
        <f>IFERROR(VLOOKUP($E43&amp;AF$6,Base!$M:$Q,5,0),0)</f>
        <v>0</v>
      </c>
      <c r="AH43" s="109"/>
      <c r="AI43" s="108">
        <f>IFERROR(VLOOKUP($E43&amp;AI$6,Base!$A:$E,5,0),0)</f>
        <v>0</v>
      </c>
      <c r="AJ43" s="101">
        <f>IFERROR(VLOOKUP($E43&amp;AJ$6,Base!$G:$K,5,0),0)</f>
        <v>0</v>
      </c>
      <c r="AK43" s="101">
        <f>IFERROR(VLOOKUP($E43&amp;AJ$6,Base!$M:$Q,5,0),0)</f>
        <v>0</v>
      </c>
      <c r="AL43" s="109">
        <v>0</v>
      </c>
      <c r="AM43" s="108">
        <f>IFERROR(VLOOKUP($E43&amp;AM$6,Base!$A:$E,5,0),0)</f>
        <v>0</v>
      </c>
      <c r="AN43" s="101">
        <f>IFERROR(VLOOKUP($E43&amp;AN$6,Base!$G:$K,5,0),0)</f>
        <v>0</v>
      </c>
      <c r="AO43" s="101">
        <f>IFERROR(VLOOKUP($E43&amp;AN$6,Base!$M:$Q,5,0),0)</f>
        <v>0</v>
      </c>
      <c r="AP43" s="109"/>
      <c r="AR43" s="104">
        <f t="shared" si="41"/>
        <v>0</v>
      </c>
      <c r="AS43" s="99">
        <f t="shared" si="42"/>
        <v>0</v>
      </c>
      <c r="AT43" s="99">
        <f t="shared" si="43"/>
        <v>0</v>
      </c>
      <c r="AU43" s="105">
        <f t="shared" ref="AU43:AU74" si="48">AY43+BC43+BG43</f>
        <v>0</v>
      </c>
      <c r="AV43" s="108">
        <f>IFERROR(VLOOKUP($E43&amp;AV$6,Base!$A:$E,5,0),0)</f>
        <v>0</v>
      </c>
      <c r="AW43" s="101">
        <f>IFERROR(VLOOKUP($E43&amp;AW$6,Base!$G:$K,5,0),0)</f>
        <v>0</v>
      </c>
      <c r="AX43" s="101">
        <f>IFERROR(VLOOKUP($E43&amp;AW$6,Base!$M:$Q,5,0),0)</f>
        <v>0</v>
      </c>
      <c r="AY43" s="109">
        <v>0</v>
      </c>
      <c r="AZ43" s="108">
        <f>IFERROR(VLOOKUP($E43&amp;AZ$6,Base!$A:$E,5,0),0)</f>
        <v>0</v>
      </c>
      <c r="BA43" s="101">
        <f>IFERROR(VLOOKUP($E43&amp;BA$6,Base!$G:$K,5,0),0)</f>
        <v>0</v>
      </c>
      <c r="BB43" s="101">
        <f>IFERROR(VLOOKUP($E43&amp;BA$6,Base!$M:$Q,5,0),0)</f>
        <v>0</v>
      </c>
      <c r="BC43" s="109">
        <v>0</v>
      </c>
      <c r="BD43" s="108">
        <f>IFERROR(VLOOKUP($E43&amp;BD$6,Base!$A:$E,5,0),0)</f>
        <v>0</v>
      </c>
      <c r="BE43" s="101">
        <f>IFERROR(VLOOKUP($E43&amp;BE$6,Base!$G:$K,5,0),0)</f>
        <v>0</v>
      </c>
      <c r="BF43" s="101">
        <f>IFERROR(VLOOKUP($E43&amp;BE$6,Base!$M:$Q,5,0),0)</f>
        <v>0</v>
      </c>
      <c r="BG43" s="109">
        <v>0</v>
      </c>
      <c r="BI43" s="104">
        <f t="shared" si="44"/>
        <v>0</v>
      </c>
      <c r="BJ43" s="99">
        <f t="shared" si="45"/>
        <v>0</v>
      </c>
      <c r="BK43" s="99">
        <f t="shared" si="46"/>
        <v>0</v>
      </c>
      <c r="BL43" s="111">
        <f t="shared" si="47"/>
        <v>0</v>
      </c>
      <c r="BM43" s="108">
        <f>IFERROR(VLOOKUP($E43&amp;BM$6,Base!$A:$E,5,0),0)</f>
        <v>0</v>
      </c>
      <c r="BN43" s="101">
        <f>IFERROR(VLOOKUP($E43&amp;BN$6,Base!$G:$K,5,0),0)</f>
        <v>0</v>
      </c>
      <c r="BO43" s="101">
        <f>IFERROR(VLOOKUP($E43&amp;BN$6,Base!$M:$Q,5,0),0)</f>
        <v>0</v>
      </c>
      <c r="BP43" s="109">
        <v>0</v>
      </c>
      <c r="BQ43" s="108">
        <f>IFERROR(VLOOKUP($E43&amp;BQ$6,Base!$A:$E,5,0),0)</f>
        <v>0</v>
      </c>
      <c r="BR43" s="101">
        <f>IFERROR(VLOOKUP($E43&amp;BR$6,Base!$G:$K,5,0),0)</f>
        <v>0</v>
      </c>
      <c r="BS43" s="101">
        <f>IFERROR(VLOOKUP($E43&amp;BR$6,Base!$M:$Q,5,0),0)</f>
        <v>0</v>
      </c>
      <c r="BT43" s="109">
        <v>0</v>
      </c>
      <c r="BU43" s="108">
        <f>IFERROR(VLOOKUP($E43&amp;BU$6,Base!$A:$E,5,0),0)</f>
        <v>0</v>
      </c>
      <c r="BV43" s="101">
        <f>IFERROR(VLOOKUP($E43&amp;BV$6,Base!$G:$K,5,0),0)</f>
        <v>0</v>
      </c>
      <c r="BW43" s="101">
        <f>IFERROR(VLOOKUP($E43&amp;BV$6,Base!$M:$Q,5,0),0)</f>
        <v>0</v>
      </c>
      <c r="BX43" s="109">
        <f>IFERROR(VLOOKUP($E43,Base!$U:$W,3,0),0)</f>
        <v>0</v>
      </c>
    </row>
    <row r="44" spans="2:76" x14ac:dyDescent="0.35">
      <c r="B44" s="53" t="s">
        <v>402</v>
      </c>
      <c r="C44" s="51">
        <v>3919</v>
      </c>
      <c r="D44" s="51" t="s">
        <v>434</v>
      </c>
      <c r="E44" s="51">
        <v>54675</v>
      </c>
      <c r="F44" s="96" t="s">
        <v>314</v>
      </c>
      <c r="G44" s="42" t="s">
        <v>10</v>
      </c>
      <c r="H44" s="98" t="s">
        <v>102</v>
      </c>
      <c r="I44" s="143" t="s">
        <v>144</v>
      </c>
      <c r="J44" s="104">
        <f t="shared" si="33"/>
        <v>5.875</v>
      </c>
      <c r="K44" s="99">
        <f t="shared" si="34"/>
        <v>5.875</v>
      </c>
      <c r="L44" s="99">
        <f t="shared" si="35"/>
        <v>0.25</v>
      </c>
      <c r="M44" s="105">
        <f t="shared" si="36"/>
        <v>0</v>
      </c>
      <c r="N44" s="108">
        <f>IFERROR(VLOOKUP($E44&amp;N$6,Base!$A:$E,5,0),0)</f>
        <v>0</v>
      </c>
      <c r="O44" s="101">
        <v>5.375</v>
      </c>
      <c r="P44" s="101">
        <v>0.25</v>
      </c>
      <c r="Q44" s="101"/>
      <c r="R44" s="108">
        <f>IFERROR(VLOOKUP($E44&amp;R$6,Base!$A:$E,5,0),0)</f>
        <v>5.875</v>
      </c>
      <c r="S44" s="101">
        <f>IFERROR(VLOOKUP($E44&amp;S$6,Base!$G:$K,5,0),0)</f>
        <v>0.5</v>
      </c>
      <c r="T44" s="101">
        <f>IFERROR(VLOOKUP($E44&amp;S$6,Base!$M:$Q,5,0),0)</f>
        <v>0</v>
      </c>
      <c r="U44" s="109"/>
      <c r="V44" s="108">
        <f>IFERROR(VLOOKUP($E44&amp;V$6,Base!$A:$E,5,0),0)</f>
        <v>0</v>
      </c>
      <c r="W44" s="101">
        <f>IFERROR(VLOOKUP($E44&amp;W$6,Base!$G:$K,5,0),0)</f>
        <v>0</v>
      </c>
      <c r="X44" s="101">
        <f>IFERROR(VLOOKUP($E44&amp;W$6,Base!$M:$Q,5,0),0)</f>
        <v>0</v>
      </c>
      <c r="Y44" s="109"/>
      <c r="AA44" s="104">
        <f t="shared" si="37"/>
        <v>0</v>
      </c>
      <c r="AB44" s="99">
        <f t="shared" si="38"/>
        <v>5.875</v>
      </c>
      <c r="AC44" s="99">
        <f t="shared" si="39"/>
        <v>0.25</v>
      </c>
      <c r="AD44" s="105">
        <f t="shared" si="40"/>
        <v>0</v>
      </c>
      <c r="AE44" s="108">
        <f>IFERROR(VLOOKUP($E44&amp;AE$6,Base!$A:$E,5,0),0)</f>
        <v>0</v>
      </c>
      <c r="AF44" s="101">
        <f>IFERROR(VLOOKUP($E44&amp;AF$6,Base!$G:$K,5,0),0)</f>
        <v>0</v>
      </c>
      <c r="AG44" s="101">
        <f>IFERROR(VLOOKUP($E44&amp;AF$6,Base!$M:$Q,5,0),0)</f>
        <v>0</v>
      </c>
      <c r="AH44" s="109"/>
      <c r="AI44" s="108">
        <f>IFERROR(VLOOKUP($E44&amp;AI$6,Base!$A:$E,5,0),0)</f>
        <v>0</v>
      </c>
      <c r="AJ44" s="101">
        <f>IFERROR(VLOOKUP($E44&amp;AJ$6,Base!$G:$K,5,0),0)</f>
        <v>0</v>
      </c>
      <c r="AK44" s="101">
        <f>IFERROR(VLOOKUP($E44&amp;AJ$6,Base!$M:$Q,5,0),0)</f>
        <v>0</v>
      </c>
      <c r="AL44" s="109">
        <v>0</v>
      </c>
      <c r="AM44" s="108">
        <f>IFERROR(VLOOKUP($E44&amp;AM$6,Base!$A:$E,5,0),0)</f>
        <v>0</v>
      </c>
      <c r="AN44" s="101">
        <f>IFERROR(VLOOKUP($E44&amp;AN$6,Base!$G:$K,5,0),0)</f>
        <v>5.875</v>
      </c>
      <c r="AO44" s="101">
        <f>IFERROR(VLOOKUP($E44&amp;AN$6,Base!$M:$Q,5,0),0)</f>
        <v>0.25</v>
      </c>
      <c r="AP44" s="109"/>
      <c r="AR44" s="104">
        <f t="shared" si="41"/>
        <v>0</v>
      </c>
      <c r="AS44" s="99">
        <f t="shared" si="42"/>
        <v>0.75</v>
      </c>
      <c r="AT44" s="99">
        <f t="shared" si="43"/>
        <v>0</v>
      </c>
      <c r="AU44" s="105">
        <f t="shared" si="48"/>
        <v>0</v>
      </c>
      <c r="AV44" s="108">
        <f>IFERROR(VLOOKUP($E44&amp;AV$6,Base!$A:$E,5,0),0)</f>
        <v>0</v>
      </c>
      <c r="AW44" s="101">
        <f>IFERROR(VLOOKUP($E44&amp;AW$6,Base!$G:$K,5,0),0)</f>
        <v>0</v>
      </c>
      <c r="AX44" s="101">
        <f>IFERROR(VLOOKUP($E44&amp;AW$6,Base!$M:$Q,5,0),0)</f>
        <v>0</v>
      </c>
      <c r="AY44" s="109">
        <v>0</v>
      </c>
      <c r="AZ44" s="108">
        <f>IFERROR(VLOOKUP($E44&amp;AZ$6,Base!$A:$E,5,0),0)</f>
        <v>0</v>
      </c>
      <c r="BA44" s="101">
        <f>IFERROR(VLOOKUP($E44&amp;BA$6,Base!$G:$K,5,0),0)</f>
        <v>0</v>
      </c>
      <c r="BB44" s="101">
        <f>IFERROR(VLOOKUP($E44&amp;BA$6,Base!$M:$Q,5,0),0)</f>
        <v>0</v>
      </c>
      <c r="BC44" s="109">
        <v>0</v>
      </c>
      <c r="BD44" s="108">
        <f>IFERROR(VLOOKUP($E44&amp;BD$6,Base!$A:$E,5,0),0)</f>
        <v>0</v>
      </c>
      <c r="BE44" s="101">
        <f>IFERROR(VLOOKUP($E44&amp;BE$6,Base!$G:$K,5,0),0)</f>
        <v>0.75</v>
      </c>
      <c r="BF44" s="101">
        <f>IFERROR(VLOOKUP($E44&amp;BE$6,Base!$M:$Q,5,0),0)</f>
        <v>0</v>
      </c>
      <c r="BG44" s="109">
        <v>0</v>
      </c>
      <c r="BI44" s="104">
        <f t="shared" si="44"/>
        <v>0</v>
      </c>
      <c r="BJ44" s="99">
        <f t="shared" si="45"/>
        <v>0</v>
      </c>
      <c r="BK44" s="99">
        <f t="shared" si="46"/>
        <v>0</v>
      </c>
      <c r="BL44" s="111">
        <f t="shared" si="47"/>
        <v>0</v>
      </c>
      <c r="BM44" s="108">
        <f>IFERROR(VLOOKUP($E44&amp;BM$6,Base!$A:$E,5,0),0)</f>
        <v>0</v>
      </c>
      <c r="BN44" s="101">
        <f>IFERROR(VLOOKUP($E44&amp;BN$6,Base!$G:$K,5,0),0)</f>
        <v>0</v>
      </c>
      <c r="BO44" s="101">
        <f>IFERROR(VLOOKUP($E44&amp;BN$6,Base!$M:$Q,5,0),0)</f>
        <v>0</v>
      </c>
      <c r="BP44" s="109">
        <v>0</v>
      </c>
      <c r="BQ44" s="108">
        <f>IFERROR(VLOOKUP($E44&amp;BQ$6,Base!$A:$E,5,0),0)</f>
        <v>0</v>
      </c>
      <c r="BR44" s="101">
        <f>IFERROR(VLOOKUP($E44&amp;BR$6,Base!$G:$K,5,0),0)</f>
        <v>0</v>
      </c>
      <c r="BS44" s="101">
        <f>IFERROR(VLOOKUP($E44&amp;BR$6,Base!$M:$Q,5,0),0)</f>
        <v>0</v>
      </c>
      <c r="BT44" s="109">
        <v>0</v>
      </c>
      <c r="BU44" s="108">
        <f>IFERROR(VLOOKUP($E44&amp;BU$6,Base!$A:$E,5,0),0)</f>
        <v>0</v>
      </c>
      <c r="BV44" s="101">
        <f>IFERROR(VLOOKUP($E44&amp;BV$6,Base!$G:$K,5,0),0)</f>
        <v>0</v>
      </c>
      <c r="BW44" s="101">
        <f>IFERROR(VLOOKUP($E44&amp;BV$6,Base!$M:$Q,5,0),0)</f>
        <v>0</v>
      </c>
      <c r="BX44" s="109">
        <f>IFERROR(VLOOKUP($E44,Base!$U:$W,3,0),0)</f>
        <v>0</v>
      </c>
    </row>
    <row r="45" spans="2:76" x14ac:dyDescent="0.35">
      <c r="B45" s="53" t="s">
        <v>402</v>
      </c>
      <c r="C45" s="51">
        <v>3919</v>
      </c>
      <c r="D45" s="51" t="s">
        <v>434</v>
      </c>
      <c r="E45" s="51">
        <v>69667</v>
      </c>
      <c r="F45" s="96" t="s">
        <v>316</v>
      </c>
      <c r="G45" s="42" t="s">
        <v>20</v>
      </c>
      <c r="H45" s="98" t="s">
        <v>102</v>
      </c>
      <c r="I45" s="143" t="s">
        <v>144</v>
      </c>
      <c r="J45" s="104">
        <f t="shared" si="33"/>
        <v>5.875</v>
      </c>
      <c r="K45" s="99">
        <f t="shared" si="34"/>
        <v>5.875</v>
      </c>
      <c r="L45" s="99">
        <f t="shared" si="35"/>
        <v>0.25</v>
      </c>
      <c r="M45" s="105">
        <f t="shared" si="36"/>
        <v>0</v>
      </c>
      <c r="N45" s="108">
        <f>IFERROR(VLOOKUP($E45&amp;N$6,Base!$A:$E,5,0),0)</f>
        <v>0</v>
      </c>
      <c r="O45" s="101">
        <v>5.375</v>
      </c>
      <c r="P45" s="101">
        <v>0.25</v>
      </c>
      <c r="Q45" s="101"/>
      <c r="R45" s="108">
        <f>IFERROR(VLOOKUP($E45&amp;R$6,Base!$A:$E,5,0),0)</f>
        <v>5.875</v>
      </c>
      <c r="S45" s="101">
        <f>IFERROR(VLOOKUP($E45&amp;S$6,Base!$G:$K,5,0),0)</f>
        <v>0.5</v>
      </c>
      <c r="T45" s="101">
        <f>IFERROR(VLOOKUP($E45&amp;S$6,Base!$M:$Q,5,0),0)</f>
        <v>0</v>
      </c>
      <c r="U45" s="109"/>
      <c r="V45" s="108">
        <f>IFERROR(VLOOKUP($E45&amp;V$6,Base!$A:$E,5,0),0)</f>
        <v>0</v>
      </c>
      <c r="W45" s="101">
        <f>IFERROR(VLOOKUP($E45&amp;W$6,Base!$G:$K,5,0),0)</f>
        <v>0</v>
      </c>
      <c r="X45" s="101">
        <f>IFERROR(VLOOKUP($E45&amp;W$6,Base!$M:$Q,5,0),0)</f>
        <v>0</v>
      </c>
      <c r="Y45" s="109"/>
      <c r="AA45" s="104">
        <f t="shared" si="37"/>
        <v>0</v>
      </c>
      <c r="AB45" s="99">
        <f t="shared" si="38"/>
        <v>5.875</v>
      </c>
      <c r="AC45" s="99">
        <f t="shared" si="39"/>
        <v>0.25</v>
      </c>
      <c r="AD45" s="105">
        <f t="shared" si="40"/>
        <v>0</v>
      </c>
      <c r="AE45" s="108">
        <f>IFERROR(VLOOKUP($E45&amp;AE$6,Base!$A:$E,5,0),0)</f>
        <v>0</v>
      </c>
      <c r="AF45" s="101">
        <f>IFERROR(VLOOKUP($E45&amp;AF$6,Base!$G:$K,5,0),0)</f>
        <v>0</v>
      </c>
      <c r="AG45" s="101">
        <f>IFERROR(VLOOKUP($E45&amp;AF$6,Base!$M:$Q,5,0),0)</f>
        <v>0</v>
      </c>
      <c r="AH45" s="109"/>
      <c r="AI45" s="108">
        <f>IFERROR(VLOOKUP($E45&amp;AI$6,Base!$A:$E,5,0),0)</f>
        <v>0</v>
      </c>
      <c r="AJ45" s="101">
        <f>IFERROR(VLOOKUP($E45&amp;AJ$6,Base!$G:$K,5,0),0)</f>
        <v>0</v>
      </c>
      <c r="AK45" s="101">
        <f>IFERROR(VLOOKUP($E45&amp;AJ$6,Base!$M:$Q,5,0),0)</f>
        <v>0</v>
      </c>
      <c r="AL45" s="109">
        <v>0</v>
      </c>
      <c r="AM45" s="108">
        <f>IFERROR(VLOOKUP($E45&amp;AM$6,Base!$A:$E,5,0),0)</f>
        <v>0</v>
      </c>
      <c r="AN45" s="101">
        <f>IFERROR(VLOOKUP($E45&amp;AN$6,Base!$G:$K,5,0),0)</f>
        <v>5.875</v>
      </c>
      <c r="AO45" s="101">
        <f>IFERROR(VLOOKUP($E45&amp;AN$6,Base!$M:$Q,5,0),0)</f>
        <v>0.25</v>
      </c>
      <c r="AP45" s="109"/>
      <c r="AR45" s="104">
        <f t="shared" si="41"/>
        <v>0</v>
      </c>
      <c r="AS45" s="99">
        <f t="shared" si="42"/>
        <v>0.75</v>
      </c>
      <c r="AT45" s="99">
        <f t="shared" si="43"/>
        <v>0</v>
      </c>
      <c r="AU45" s="105">
        <f t="shared" si="48"/>
        <v>0</v>
      </c>
      <c r="AV45" s="108">
        <f>IFERROR(VLOOKUP($E45&amp;AV$6,Base!$A:$E,5,0),0)</f>
        <v>0</v>
      </c>
      <c r="AW45" s="101">
        <f>IFERROR(VLOOKUP($E45&amp;AW$6,Base!$G:$K,5,0),0)</f>
        <v>0</v>
      </c>
      <c r="AX45" s="101">
        <f>IFERROR(VLOOKUP($E45&amp;AW$6,Base!$M:$Q,5,0),0)</f>
        <v>0</v>
      </c>
      <c r="AY45" s="109">
        <v>0</v>
      </c>
      <c r="AZ45" s="108">
        <f>IFERROR(VLOOKUP($E45&amp;AZ$6,Base!$A:$E,5,0),0)</f>
        <v>0</v>
      </c>
      <c r="BA45" s="101">
        <f>IFERROR(VLOOKUP($E45&amp;BA$6,Base!$G:$K,5,0),0)</f>
        <v>0</v>
      </c>
      <c r="BB45" s="101">
        <f>IFERROR(VLOOKUP($E45&amp;BA$6,Base!$M:$Q,5,0),0)</f>
        <v>0</v>
      </c>
      <c r="BC45" s="109">
        <v>0</v>
      </c>
      <c r="BD45" s="108">
        <f>IFERROR(VLOOKUP($E45&amp;BD$6,Base!$A:$E,5,0),0)</f>
        <v>0</v>
      </c>
      <c r="BE45" s="101">
        <f>IFERROR(VLOOKUP($E45&amp;BE$6,Base!$G:$K,5,0),0)</f>
        <v>0.75</v>
      </c>
      <c r="BF45" s="101">
        <f>IFERROR(VLOOKUP($E45&amp;BE$6,Base!$M:$Q,5,0),0)</f>
        <v>0</v>
      </c>
      <c r="BG45" s="109">
        <v>0</v>
      </c>
      <c r="BI45" s="104">
        <f t="shared" si="44"/>
        <v>0</v>
      </c>
      <c r="BJ45" s="99">
        <f t="shared" si="45"/>
        <v>0</v>
      </c>
      <c r="BK45" s="99">
        <f t="shared" si="46"/>
        <v>0</v>
      </c>
      <c r="BL45" s="111">
        <f t="shared" si="47"/>
        <v>0</v>
      </c>
      <c r="BM45" s="108">
        <f>IFERROR(VLOOKUP($E45&amp;BM$6,Base!$A:$E,5,0),0)</f>
        <v>0</v>
      </c>
      <c r="BN45" s="101">
        <f>IFERROR(VLOOKUP($E45&amp;BN$6,Base!$G:$K,5,0),0)</f>
        <v>0</v>
      </c>
      <c r="BO45" s="101">
        <f>IFERROR(VLOOKUP($E45&amp;BN$6,Base!$M:$Q,5,0),0)</f>
        <v>0</v>
      </c>
      <c r="BP45" s="109">
        <v>0</v>
      </c>
      <c r="BQ45" s="108">
        <f>IFERROR(VLOOKUP($E45&amp;BQ$6,Base!$A:$E,5,0),0)</f>
        <v>0</v>
      </c>
      <c r="BR45" s="101">
        <f>IFERROR(VLOOKUP($E45&amp;BR$6,Base!$G:$K,5,0),0)</f>
        <v>0</v>
      </c>
      <c r="BS45" s="101">
        <f>IFERROR(VLOOKUP($E45&amp;BR$6,Base!$M:$Q,5,0),0)</f>
        <v>0</v>
      </c>
      <c r="BT45" s="109">
        <v>0</v>
      </c>
      <c r="BU45" s="108">
        <f>IFERROR(VLOOKUP($E45&amp;BU$6,Base!$A:$E,5,0),0)</f>
        <v>0</v>
      </c>
      <c r="BV45" s="101">
        <f>IFERROR(VLOOKUP($E45&amp;BV$6,Base!$G:$K,5,0),0)</f>
        <v>0</v>
      </c>
      <c r="BW45" s="101">
        <f>IFERROR(VLOOKUP($E45&amp;BV$6,Base!$M:$Q,5,0),0)</f>
        <v>0</v>
      </c>
      <c r="BX45" s="109">
        <f>IFERROR(VLOOKUP($E45,Base!$U:$W,3,0),0)</f>
        <v>0</v>
      </c>
    </row>
    <row r="46" spans="2:76" x14ac:dyDescent="0.35">
      <c r="B46" s="53" t="s">
        <v>402</v>
      </c>
      <c r="C46" s="51">
        <v>3919</v>
      </c>
      <c r="D46" s="51" t="s">
        <v>434</v>
      </c>
      <c r="E46" s="51">
        <v>158062</v>
      </c>
      <c r="F46" s="96" t="s">
        <v>309</v>
      </c>
      <c r="G46" s="42" t="s">
        <v>11</v>
      </c>
      <c r="H46" s="98" t="s">
        <v>102</v>
      </c>
      <c r="I46" s="143" t="s">
        <v>144</v>
      </c>
      <c r="J46" s="104">
        <f t="shared" si="33"/>
        <v>1037.501</v>
      </c>
      <c r="K46" s="99">
        <f t="shared" si="34"/>
        <v>1598.3969999999999</v>
      </c>
      <c r="L46" s="99">
        <f t="shared" si="35"/>
        <v>15</v>
      </c>
      <c r="M46" s="105">
        <f t="shared" si="36"/>
        <v>0</v>
      </c>
      <c r="N46" s="108">
        <f>IFERROR(VLOOKUP($E46&amp;N$6,Base!$A:$E,5,0),0)</f>
        <v>118.792</v>
      </c>
      <c r="O46" s="101">
        <v>166.81299999999999</v>
      </c>
      <c r="P46" s="101">
        <v>1</v>
      </c>
      <c r="Q46" s="101"/>
      <c r="R46" s="108">
        <f>IFERROR(VLOOKUP($E46&amp;R$6,Base!$A:$E,5,0),0)</f>
        <v>4.5419999999999998</v>
      </c>
      <c r="S46" s="101">
        <f>IFERROR(VLOOKUP($E46&amp;S$6,Base!$G:$K,5,0),0)</f>
        <v>682.54200000000003</v>
      </c>
      <c r="T46" s="101">
        <f>IFERROR(VLOOKUP($E46&amp;S$6,Base!$M:$Q,5,0),0)</f>
        <v>11</v>
      </c>
      <c r="U46" s="109"/>
      <c r="V46" s="108">
        <f>IFERROR(VLOOKUP($E46&amp;V$6,Base!$A:$E,5,0),0)</f>
        <v>914.16700000000003</v>
      </c>
      <c r="W46" s="101">
        <f>IFERROR(VLOOKUP($E46&amp;W$6,Base!$G:$K,5,0),0)</f>
        <v>749.04200000000003</v>
      </c>
      <c r="X46" s="101">
        <f>IFERROR(VLOOKUP($E46&amp;W$6,Base!$M:$Q,5,0),0)</f>
        <v>3</v>
      </c>
      <c r="Y46" s="109"/>
      <c r="AA46" s="104">
        <f t="shared" si="37"/>
        <v>679.33299999999997</v>
      </c>
      <c r="AB46" s="99">
        <f t="shared" si="38"/>
        <v>909.58299999999997</v>
      </c>
      <c r="AC46" s="99">
        <f t="shared" si="39"/>
        <v>20</v>
      </c>
      <c r="AD46" s="105">
        <f t="shared" si="40"/>
        <v>0</v>
      </c>
      <c r="AE46" s="108">
        <f>IFERROR(VLOOKUP($E46&amp;AE$6,Base!$A:$E,5,0),0)</f>
        <v>102.583</v>
      </c>
      <c r="AF46" s="101">
        <f>IFERROR(VLOOKUP($E46&amp;AF$6,Base!$G:$K,5,0),0)</f>
        <v>98</v>
      </c>
      <c r="AG46" s="101">
        <f>IFERROR(VLOOKUP($E46&amp;AF$6,Base!$M:$Q,5,0),0)</f>
        <v>1</v>
      </c>
      <c r="AH46" s="109"/>
      <c r="AI46" s="108">
        <f>IFERROR(VLOOKUP($E46&amp;AI$6,Base!$A:$E,5,0),0)</f>
        <v>127</v>
      </c>
      <c r="AJ46" s="101">
        <f>IFERROR(VLOOKUP($E46&amp;AJ$6,Base!$G:$K,5,0),0)</f>
        <v>237</v>
      </c>
      <c r="AK46" s="101">
        <f>IFERROR(VLOOKUP($E46&amp;AJ$6,Base!$M:$Q,5,0),0)</f>
        <v>3</v>
      </c>
      <c r="AL46" s="109">
        <v>0</v>
      </c>
      <c r="AM46" s="108">
        <f>IFERROR(VLOOKUP($E46&amp;AM$6,Base!$A:$E,5,0),0)</f>
        <v>449.75</v>
      </c>
      <c r="AN46" s="101">
        <f>IFERROR(VLOOKUP($E46&amp;AN$6,Base!$G:$K,5,0),0)</f>
        <v>574.58299999999997</v>
      </c>
      <c r="AO46" s="101">
        <f>IFERROR(VLOOKUP($E46&amp;AN$6,Base!$M:$Q,5,0),0)</f>
        <v>16</v>
      </c>
      <c r="AP46" s="109"/>
      <c r="AR46" s="104">
        <f t="shared" si="41"/>
        <v>258.66300000000001</v>
      </c>
      <c r="AS46" s="99">
        <f t="shared" si="42"/>
        <v>301.791</v>
      </c>
      <c r="AT46" s="99">
        <f t="shared" si="43"/>
        <v>35.5</v>
      </c>
      <c r="AU46" s="105">
        <f t="shared" si="48"/>
        <v>0</v>
      </c>
      <c r="AV46" s="108">
        <f>IFERROR(VLOOKUP($E46&amp;AV$6,Base!$A:$E,5,0),0)</f>
        <v>-2.8580000000000001</v>
      </c>
      <c r="AW46" s="101">
        <f>IFERROR(VLOOKUP($E46&amp;AW$6,Base!$G:$K,5,0),0)</f>
        <v>5.625</v>
      </c>
      <c r="AX46" s="101">
        <f>IFERROR(VLOOKUP($E46&amp;AW$6,Base!$M:$Q,5,0),0)</f>
        <v>1.5</v>
      </c>
      <c r="AY46" s="109">
        <v>0</v>
      </c>
      <c r="AZ46" s="108">
        <f>IFERROR(VLOOKUP($E46&amp;AZ$6,Base!$A:$E,5,0),0)</f>
        <v>67.667000000000002</v>
      </c>
      <c r="BA46" s="101">
        <f>IFERROR(VLOOKUP($E46&amp;BA$6,Base!$G:$K,5,0),0)</f>
        <v>56.832999999999998</v>
      </c>
      <c r="BB46" s="101">
        <f>IFERROR(VLOOKUP($E46&amp;BA$6,Base!$M:$Q,5,0),0)</f>
        <v>2</v>
      </c>
      <c r="BC46" s="109">
        <v>0</v>
      </c>
      <c r="BD46" s="108">
        <f>IFERROR(VLOOKUP($E46&amp;BD$6,Base!$A:$E,5,0),0)</f>
        <v>193.85400000000001</v>
      </c>
      <c r="BE46" s="101">
        <f>IFERROR(VLOOKUP($E46&amp;BE$6,Base!$G:$K,5,0),0)</f>
        <v>239.333</v>
      </c>
      <c r="BF46" s="101">
        <f>IFERROR(VLOOKUP($E46&amp;BE$6,Base!$M:$Q,5,0),0)</f>
        <v>32</v>
      </c>
      <c r="BG46" s="109">
        <v>0</v>
      </c>
      <c r="BI46" s="104">
        <f t="shared" si="44"/>
        <v>56.875</v>
      </c>
      <c r="BJ46" s="99">
        <f t="shared" si="45"/>
        <v>549</v>
      </c>
      <c r="BK46" s="99">
        <f t="shared" si="46"/>
        <v>31.082999999999998</v>
      </c>
      <c r="BL46" s="111">
        <f t="shared" si="47"/>
        <v>0</v>
      </c>
      <c r="BM46" s="108">
        <f>IFERROR(VLOOKUP($E46&amp;BM$6,Base!$A:$E,5,0),0)</f>
        <v>0.54200000000000004</v>
      </c>
      <c r="BN46" s="101">
        <f>IFERROR(VLOOKUP($E46&amp;BN$6,Base!$G:$K,5,0),0)</f>
        <v>44.917000000000002</v>
      </c>
      <c r="BO46" s="101">
        <f>IFERROR(VLOOKUP($E46&amp;BN$6,Base!$M:$Q,5,0),0)</f>
        <v>4.0830000000000002</v>
      </c>
      <c r="BP46" s="109">
        <v>0</v>
      </c>
      <c r="BQ46" s="108">
        <f>IFERROR(VLOOKUP($E46&amp;BQ$6,Base!$A:$E,5,0),0)</f>
        <v>56.332999999999998</v>
      </c>
      <c r="BR46" s="101">
        <f>IFERROR(VLOOKUP($E46&amp;BR$6,Base!$G:$K,5,0),0)</f>
        <v>193.25</v>
      </c>
      <c r="BS46" s="101">
        <f>IFERROR(VLOOKUP($E46&amp;BR$6,Base!$M:$Q,5,0),0)</f>
        <v>18</v>
      </c>
      <c r="BT46" s="109">
        <v>0</v>
      </c>
      <c r="BU46" s="108">
        <f>IFERROR(VLOOKUP($E46&amp;BU$6,Base!$A:$E,5,0),0)</f>
        <v>0</v>
      </c>
      <c r="BV46" s="101">
        <f>IFERROR(VLOOKUP($E46&amp;BV$6,Base!$G:$K,5,0),0)</f>
        <v>310.83300000000003</v>
      </c>
      <c r="BW46" s="101">
        <f>IFERROR(VLOOKUP($E46&amp;BV$6,Base!$M:$Q,5,0),0)</f>
        <v>9</v>
      </c>
      <c r="BX46" s="109">
        <f>IFERROR(VLOOKUP($E46,Base!$U:$W,3,0),0)</f>
        <v>0</v>
      </c>
    </row>
    <row r="47" spans="2:76" x14ac:dyDescent="0.35">
      <c r="B47" s="53" t="s">
        <v>402</v>
      </c>
      <c r="C47" s="51">
        <v>3919</v>
      </c>
      <c r="D47" s="51" t="s">
        <v>434</v>
      </c>
      <c r="E47" s="51">
        <v>159620</v>
      </c>
      <c r="F47" s="96" t="s">
        <v>341</v>
      </c>
      <c r="G47" s="42" t="s">
        <v>11</v>
      </c>
      <c r="H47" s="98" t="s">
        <v>102</v>
      </c>
      <c r="I47" s="143" t="s">
        <v>144</v>
      </c>
      <c r="J47" s="104">
        <f t="shared" si="33"/>
        <v>5.875</v>
      </c>
      <c r="K47" s="99">
        <f t="shared" si="34"/>
        <v>5.875</v>
      </c>
      <c r="L47" s="99">
        <f t="shared" si="35"/>
        <v>0.25</v>
      </c>
      <c r="M47" s="105">
        <f t="shared" si="36"/>
        <v>0</v>
      </c>
      <c r="N47" s="108">
        <f>IFERROR(VLOOKUP($E47&amp;N$6,Base!$A:$E,5,0),0)</f>
        <v>0</v>
      </c>
      <c r="O47" s="101">
        <v>5.375</v>
      </c>
      <c r="P47" s="101">
        <v>0.25</v>
      </c>
      <c r="Q47" s="101"/>
      <c r="R47" s="108">
        <f>IFERROR(VLOOKUP($E47&amp;R$6,Base!$A:$E,5,0),0)</f>
        <v>5.875</v>
      </c>
      <c r="S47" s="101">
        <f>IFERROR(VLOOKUP($E47&amp;S$6,Base!$G:$K,5,0),0)</f>
        <v>0.5</v>
      </c>
      <c r="T47" s="101">
        <f>IFERROR(VLOOKUP($E47&amp;S$6,Base!$M:$Q,5,0),0)</f>
        <v>0</v>
      </c>
      <c r="U47" s="109"/>
      <c r="V47" s="108">
        <f>IFERROR(VLOOKUP($E47&amp;V$6,Base!$A:$E,5,0),0)</f>
        <v>0</v>
      </c>
      <c r="W47" s="101">
        <f>IFERROR(VLOOKUP($E47&amp;W$6,Base!$G:$K,5,0),0)</f>
        <v>0</v>
      </c>
      <c r="X47" s="101">
        <f>IFERROR(VLOOKUP($E47&amp;W$6,Base!$M:$Q,5,0),0)</f>
        <v>0</v>
      </c>
      <c r="Y47" s="109"/>
      <c r="AA47" s="104">
        <f t="shared" si="37"/>
        <v>0</v>
      </c>
      <c r="AB47" s="99">
        <f t="shared" si="38"/>
        <v>5.875</v>
      </c>
      <c r="AC47" s="99">
        <f t="shared" si="39"/>
        <v>0.25</v>
      </c>
      <c r="AD47" s="105">
        <f t="shared" si="40"/>
        <v>0</v>
      </c>
      <c r="AE47" s="108">
        <f>IFERROR(VLOOKUP($E47&amp;AE$6,Base!$A:$E,5,0),0)</f>
        <v>0</v>
      </c>
      <c r="AF47" s="101">
        <f>IFERROR(VLOOKUP($E47&amp;AF$6,Base!$G:$K,5,0),0)</f>
        <v>0</v>
      </c>
      <c r="AG47" s="101">
        <f>IFERROR(VLOOKUP($E47&amp;AF$6,Base!$M:$Q,5,0),0)</f>
        <v>0</v>
      </c>
      <c r="AH47" s="109"/>
      <c r="AI47" s="108">
        <f>IFERROR(VLOOKUP($E47&amp;AI$6,Base!$A:$E,5,0),0)</f>
        <v>0</v>
      </c>
      <c r="AJ47" s="101">
        <f>IFERROR(VLOOKUP($E47&amp;AJ$6,Base!$G:$K,5,0),0)</f>
        <v>0</v>
      </c>
      <c r="AK47" s="101">
        <f>IFERROR(VLOOKUP($E47&amp;AJ$6,Base!$M:$Q,5,0),0)</f>
        <v>0</v>
      </c>
      <c r="AL47" s="109">
        <v>0</v>
      </c>
      <c r="AM47" s="108">
        <f>IFERROR(VLOOKUP($E47&amp;AM$6,Base!$A:$E,5,0),0)</f>
        <v>0</v>
      </c>
      <c r="AN47" s="101">
        <f>IFERROR(VLOOKUP($E47&amp;AN$6,Base!$G:$K,5,0),0)</f>
        <v>5.875</v>
      </c>
      <c r="AO47" s="101">
        <f>IFERROR(VLOOKUP($E47&amp;AN$6,Base!$M:$Q,5,0),0)</f>
        <v>0.25</v>
      </c>
      <c r="AP47" s="109"/>
      <c r="AR47" s="104">
        <f t="shared" si="41"/>
        <v>0</v>
      </c>
      <c r="AS47" s="99">
        <f t="shared" si="42"/>
        <v>0.75</v>
      </c>
      <c r="AT47" s="99">
        <f t="shared" si="43"/>
        <v>0</v>
      </c>
      <c r="AU47" s="105">
        <f t="shared" si="48"/>
        <v>0</v>
      </c>
      <c r="AV47" s="108">
        <f>IFERROR(VLOOKUP($E47&amp;AV$6,Base!$A:$E,5,0),0)</f>
        <v>0</v>
      </c>
      <c r="AW47" s="101">
        <f>IFERROR(VLOOKUP($E47&amp;AW$6,Base!$G:$K,5,0),0)</f>
        <v>0</v>
      </c>
      <c r="AX47" s="101">
        <f>IFERROR(VLOOKUP($E47&amp;AW$6,Base!$M:$Q,5,0),0)</f>
        <v>0</v>
      </c>
      <c r="AY47" s="109">
        <v>0</v>
      </c>
      <c r="AZ47" s="108">
        <f>IFERROR(VLOOKUP($E47&amp;AZ$6,Base!$A:$E,5,0),0)</f>
        <v>0</v>
      </c>
      <c r="BA47" s="101">
        <f>IFERROR(VLOOKUP($E47&amp;BA$6,Base!$G:$K,5,0),0)</f>
        <v>0</v>
      </c>
      <c r="BB47" s="101">
        <f>IFERROR(VLOOKUP($E47&amp;BA$6,Base!$M:$Q,5,0),0)</f>
        <v>0</v>
      </c>
      <c r="BC47" s="109">
        <v>0</v>
      </c>
      <c r="BD47" s="108">
        <f>IFERROR(VLOOKUP($E47&amp;BD$6,Base!$A:$E,5,0),0)</f>
        <v>0</v>
      </c>
      <c r="BE47" s="101">
        <f>IFERROR(VLOOKUP($E47&amp;BE$6,Base!$G:$K,5,0),0)</f>
        <v>0.75</v>
      </c>
      <c r="BF47" s="101">
        <f>IFERROR(VLOOKUP($E47&amp;BE$6,Base!$M:$Q,5,0),0)</f>
        <v>0</v>
      </c>
      <c r="BG47" s="109">
        <v>0</v>
      </c>
      <c r="BI47" s="104">
        <f t="shared" si="44"/>
        <v>0</v>
      </c>
      <c r="BJ47" s="99">
        <f t="shared" si="45"/>
        <v>0</v>
      </c>
      <c r="BK47" s="99">
        <f t="shared" si="46"/>
        <v>0</v>
      </c>
      <c r="BL47" s="111">
        <f t="shared" si="47"/>
        <v>0</v>
      </c>
      <c r="BM47" s="108">
        <f>IFERROR(VLOOKUP($E47&amp;BM$6,Base!$A:$E,5,0),0)</f>
        <v>0</v>
      </c>
      <c r="BN47" s="101">
        <f>IFERROR(VLOOKUP($E47&amp;BN$6,Base!$G:$K,5,0),0)</f>
        <v>0</v>
      </c>
      <c r="BO47" s="101">
        <f>IFERROR(VLOOKUP($E47&amp;BN$6,Base!$M:$Q,5,0),0)</f>
        <v>0</v>
      </c>
      <c r="BP47" s="109">
        <v>0</v>
      </c>
      <c r="BQ47" s="108">
        <f>IFERROR(VLOOKUP($E47&amp;BQ$6,Base!$A:$E,5,0),0)</f>
        <v>0</v>
      </c>
      <c r="BR47" s="101">
        <f>IFERROR(VLOOKUP($E47&amp;BR$6,Base!$G:$K,5,0),0)</f>
        <v>0</v>
      </c>
      <c r="BS47" s="101">
        <f>IFERROR(VLOOKUP($E47&amp;BR$6,Base!$M:$Q,5,0),0)</f>
        <v>0</v>
      </c>
      <c r="BT47" s="109">
        <v>0</v>
      </c>
      <c r="BU47" s="108">
        <f>IFERROR(VLOOKUP($E47&amp;BU$6,Base!$A:$E,5,0),0)</f>
        <v>0</v>
      </c>
      <c r="BV47" s="101">
        <f>IFERROR(VLOOKUP($E47&amp;BV$6,Base!$G:$K,5,0),0)</f>
        <v>0</v>
      </c>
      <c r="BW47" s="101">
        <f>IFERROR(VLOOKUP($E47&amp;BV$6,Base!$M:$Q,5,0),0)</f>
        <v>0</v>
      </c>
      <c r="BX47" s="109">
        <f>IFERROR(VLOOKUP($E47,Base!$U:$W,3,0),0)</f>
        <v>0</v>
      </c>
    </row>
    <row r="48" spans="2:76" x14ac:dyDescent="0.35">
      <c r="B48" s="53" t="s">
        <v>402</v>
      </c>
      <c r="C48" s="51">
        <v>3919</v>
      </c>
      <c r="D48" s="51" t="s">
        <v>434</v>
      </c>
      <c r="E48" s="51">
        <v>184217</v>
      </c>
      <c r="F48" s="96" t="s">
        <v>344</v>
      </c>
      <c r="G48" s="42" t="s">
        <v>104</v>
      </c>
      <c r="H48" s="98" t="s">
        <v>105</v>
      </c>
      <c r="I48" s="143" t="s">
        <v>144</v>
      </c>
      <c r="J48" s="104">
        <f t="shared" si="33"/>
        <v>5.875</v>
      </c>
      <c r="K48" s="99">
        <f t="shared" si="34"/>
        <v>5.875</v>
      </c>
      <c r="L48" s="99">
        <f t="shared" si="35"/>
        <v>0.25</v>
      </c>
      <c r="M48" s="105">
        <f t="shared" si="36"/>
        <v>0</v>
      </c>
      <c r="N48" s="108">
        <f>IFERROR(VLOOKUP($E48&amp;N$6,Base!$A:$E,5,0),0)</f>
        <v>0</v>
      </c>
      <c r="O48" s="101">
        <v>0</v>
      </c>
      <c r="P48" s="101">
        <v>0</v>
      </c>
      <c r="Q48" s="101"/>
      <c r="R48" s="108">
        <f>IFERROR(VLOOKUP($E48&amp;R$6,Base!$A:$E,5,0),0)</f>
        <v>5.875</v>
      </c>
      <c r="S48" s="101">
        <f>IFERROR(VLOOKUP($E48&amp;S$6,Base!$G:$K,5,0),0)</f>
        <v>5.875</v>
      </c>
      <c r="T48" s="101">
        <f>IFERROR(VLOOKUP($E48&amp;S$6,Base!$M:$Q,5,0),0)</f>
        <v>0.25</v>
      </c>
      <c r="U48" s="109"/>
      <c r="V48" s="108">
        <f>IFERROR(VLOOKUP($E48&amp;V$6,Base!$A:$E,5,0),0)</f>
        <v>0</v>
      </c>
      <c r="W48" s="101">
        <f>IFERROR(VLOOKUP($E48&amp;W$6,Base!$G:$K,5,0),0)</f>
        <v>0</v>
      </c>
      <c r="X48" s="101">
        <f>IFERROR(VLOOKUP($E48&amp;W$6,Base!$M:$Q,5,0),0)</f>
        <v>0</v>
      </c>
      <c r="Y48" s="109"/>
      <c r="AA48" s="104">
        <f t="shared" si="37"/>
        <v>0</v>
      </c>
      <c r="AB48" s="99">
        <f t="shared" si="38"/>
        <v>0</v>
      </c>
      <c r="AC48" s="99">
        <f t="shared" si="39"/>
        <v>0</v>
      </c>
      <c r="AD48" s="105">
        <f t="shared" si="40"/>
        <v>0</v>
      </c>
      <c r="AE48" s="108">
        <f>IFERROR(VLOOKUP($E48&amp;AE$6,Base!$A:$E,5,0),0)</f>
        <v>0</v>
      </c>
      <c r="AF48" s="101">
        <f>IFERROR(VLOOKUP($E48&amp;AF$6,Base!$G:$K,5,0),0)</f>
        <v>0</v>
      </c>
      <c r="AG48" s="101">
        <f>IFERROR(VLOOKUP($E48&amp;AF$6,Base!$M:$Q,5,0),0)</f>
        <v>0</v>
      </c>
      <c r="AH48" s="109"/>
      <c r="AI48" s="108">
        <f>IFERROR(VLOOKUP($E48&amp;AI$6,Base!$A:$E,5,0),0)</f>
        <v>0</v>
      </c>
      <c r="AJ48" s="101">
        <f>IFERROR(VLOOKUP($E48&amp;AJ$6,Base!$G:$K,5,0),0)</f>
        <v>0</v>
      </c>
      <c r="AK48" s="101">
        <f>IFERROR(VLOOKUP($E48&amp;AJ$6,Base!$M:$Q,5,0),0)</f>
        <v>0</v>
      </c>
      <c r="AL48" s="109">
        <v>0</v>
      </c>
      <c r="AM48" s="108">
        <f>IFERROR(VLOOKUP($E48&amp;AM$6,Base!$A:$E,5,0),0)</f>
        <v>0</v>
      </c>
      <c r="AN48" s="101">
        <f>IFERROR(VLOOKUP($E48&amp;AN$6,Base!$G:$K,5,0),0)</f>
        <v>0</v>
      </c>
      <c r="AO48" s="101">
        <f>IFERROR(VLOOKUP($E48&amp;AN$6,Base!$M:$Q,5,0),0)</f>
        <v>0</v>
      </c>
      <c r="AP48" s="109"/>
      <c r="AR48" s="104">
        <f t="shared" si="41"/>
        <v>0</v>
      </c>
      <c r="AS48" s="99">
        <f t="shared" si="42"/>
        <v>3</v>
      </c>
      <c r="AT48" s="99">
        <f t="shared" si="43"/>
        <v>0</v>
      </c>
      <c r="AU48" s="105">
        <f t="shared" si="48"/>
        <v>0</v>
      </c>
      <c r="AV48" s="108">
        <f>IFERROR(VLOOKUP($E48&amp;AV$6,Base!$A:$E,5,0),0)</f>
        <v>0</v>
      </c>
      <c r="AW48" s="101">
        <f>IFERROR(VLOOKUP($E48&amp;AW$6,Base!$G:$K,5,0),0)</f>
        <v>0</v>
      </c>
      <c r="AX48" s="101">
        <f>IFERROR(VLOOKUP($E48&amp;AW$6,Base!$M:$Q,5,0),0)</f>
        <v>0</v>
      </c>
      <c r="AY48" s="109">
        <v>0</v>
      </c>
      <c r="AZ48" s="108">
        <f>IFERROR(VLOOKUP($E48&amp;AZ$6,Base!$A:$E,5,0),0)</f>
        <v>0</v>
      </c>
      <c r="BA48" s="101">
        <f>IFERROR(VLOOKUP($E48&amp;BA$6,Base!$G:$K,5,0),0)</f>
        <v>3</v>
      </c>
      <c r="BB48" s="101">
        <f>IFERROR(VLOOKUP($E48&amp;BA$6,Base!$M:$Q,5,0),0)</f>
        <v>0</v>
      </c>
      <c r="BC48" s="109">
        <v>0</v>
      </c>
      <c r="BD48" s="108">
        <f>IFERROR(VLOOKUP($E48&amp;BD$6,Base!$A:$E,5,0),0)</f>
        <v>0</v>
      </c>
      <c r="BE48" s="101">
        <f>IFERROR(VLOOKUP($E48&amp;BE$6,Base!$G:$K,5,0),0)</f>
        <v>0</v>
      </c>
      <c r="BF48" s="101">
        <f>IFERROR(VLOOKUP($E48&amp;BE$6,Base!$M:$Q,5,0),0)</f>
        <v>0</v>
      </c>
      <c r="BG48" s="109">
        <v>0</v>
      </c>
      <c r="BI48" s="104">
        <f t="shared" si="44"/>
        <v>0</v>
      </c>
      <c r="BJ48" s="99">
        <f t="shared" si="45"/>
        <v>0</v>
      </c>
      <c r="BK48" s="99">
        <f t="shared" si="46"/>
        <v>0</v>
      </c>
      <c r="BL48" s="111">
        <f t="shared" si="47"/>
        <v>0</v>
      </c>
      <c r="BM48" s="108">
        <f>IFERROR(VLOOKUP($E48&amp;BM$6,Base!$A:$E,5,0),0)</f>
        <v>0</v>
      </c>
      <c r="BN48" s="101">
        <f>IFERROR(VLOOKUP($E48&amp;BN$6,Base!$G:$K,5,0),0)</f>
        <v>0</v>
      </c>
      <c r="BO48" s="101">
        <f>IFERROR(VLOOKUP($E48&amp;BN$6,Base!$M:$Q,5,0),0)</f>
        <v>0</v>
      </c>
      <c r="BP48" s="109">
        <v>0</v>
      </c>
      <c r="BQ48" s="108">
        <f>IFERROR(VLOOKUP($E48&amp;BQ$6,Base!$A:$E,5,0),0)</f>
        <v>0</v>
      </c>
      <c r="BR48" s="101">
        <f>IFERROR(VLOOKUP($E48&amp;BR$6,Base!$G:$K,5,0),0)</f>
        <v>0</v>
      </c>
      <c r="BS48" s="101">
        <f>IFERROR(VLOOKUP($E48&amp;BR$6,Base!$M:$Q,5,0),0)</f>
        <v>0</v>
      </c>
      <c r="BT48" s="109">
        <v>0</v>
      </c>
      <c r="BU48" s="108">
        <f>IFERROR(VLOOKUP($E48&amp;BU$6,Base!$A:$E,5,0),0)</f>
        <v>0</v>
      </c>
      <c r="BV48" s="101">
        <f>IFERROR(VLOOKUP($E48&amp;BV$6,Base!$G:$K,5,0),0)</f>
        <v>0</v>
      </c>
      <c r="BW48" s="101">
        <f>IFERROR(VLOOKUP($E48&amp;BV$6,Base!$M:$Q,5,0),0)</f>
        <v>0</v>
      </c>
      <c r="BX48" s="109">
        <f>IFERROR(VLOOKUP($E48,Base!$U:$W,3,0),0)</f>
        <v>0</v>
      </c>
    </row>
    <row r="49" spans="2:76" x14ac:dyDescent="0.35">
      <c r="B49" s="53" t="s">
        <v>402</v>
      </c>
      <c r="C49" s="51">
        <v>3919</v>
      </c>
      <c r="D49" s="51" t="s">
        <v>434</v>
      </c>
      <c r="E49" s="51">
        <v>184221</v>
      </c>
      <c r="F49" s="96" t="s">
        <v>393</v>
      </c>
      <c r="G49" s="42" t="s">
        <v>148</v>
      </c>
      <c r="H49" s="98" t="s">
        <v>153</v>
      </c>
      <c r="I49" s="143" t="s">
        <v>144</v>
      </c>
      <c r="J49" s="104">
        <f t="shared" si="33"/>
        <v>0</v>
      </c>
      <c r="K49" s="99">
        <f t="shared" si="34"/>
        <v>0</v>
      </c>
      <c r="L49" s="99">
        <f t="shared" si="35"/>
        <v>0</v>
      </c>
      <c r="M49" s="105">
        <f t="shared" si="36"/>
        <v>0</v>
      </c>
      <c r="N49" s="108">
        <f>IFERROR(VLOOKUP($E49&amp;N$6,Base!$A:$E,5,0),0)</f>
        <v>0</v>
      </c>
      <c r="O49" s="101">
        <v>0</v>
      </c>
      <c r="P49" s="101">
        <v>0</v>
      </c>
      <c r="Q49" s="101"/>
      <c r="R49" s="108">
        <f>IFERROR(VLOOKUP($E49&amp;R$6,Base!$A:$E,5,0),0)</f>
        <v>0</v>
      </c>
      <c r="S49" s="101">
        <f>IFERROR(VLOOKUP($E49&amp;S$6,Base!$G:$K,5,0),0)</f>
        <v>0</v>
      </c>
      <c r="T49" s="101">
        <f>IFERROR(VLOOKUP($E49&amp;S$6,Base!$M:$Q,5,0),0)</f>
        <v>0</v>
      </c>
      <c r="U49" s="109"/>
      <c r="V49" s="108">
        <f>IFERROR(VLOOKUP($E49&amp;V$6,Base!$A:$E,5,0),0)</f>
        <v>0</v>
      </c>
      <c r="W49" s="101">
        <f>IFERROR(VLOOKUP($E49&amp;W$6,Base!$G:$K,5,0),0)</f>
        <v>0</v>
      </c>
      <c r="X49" s="101">
        <f>IFERROR(VLOOKUP($E49&amp;W$6,Base!$M:$Q,5,0),0)</f>
        <v>0</v>
      </c>
      <c r="Y49" s="109"/>
      <c r="AA49" s="104">
        <f t="shared" si="37"/>
        <v>5.875</v>
      </c>
      <c r="AB49" s="99">
        <f t="shared" si="38"/>
        <v>5.875</v>
      </c>
      <c r="AC49" s="99">
        <f t="shared" si="39"/>
        <v>0.25</v>
      </c>
      <c r="AD49" s="105">
        <f t="shared" si="40"/>
        <v>0</v>
      </c>
      <c r="AE49" s="108">
        <f>IFERROR(VLOOKUP($E49&amp;AE$6,Base!$A:$E,5,0),0)</f>
        <v>5.875</v>
      </c>
      <c r="AF49" s="101">
        <f>IFERROR(VLOOKUP($E49&amp;AF$6,Base!$G:$K,5,0),0)</f>
        <v>5.875</v>
      </c>
      <c r="AG49" s="101">
        <f>IFERROR(VLOOKUP($E49&amp;AF$6,Base!$M:$Q,5,0),0)</f>
        <v>0.25</v>
      </c>
      <c r="AH49" s="109"/>
      <c r="AI49" s="108">
        <f>IFERROR(VLOOKUP($E49&amp;AI$6,Base!$A:$E,5,0),0)</f>
        <v>0</v>
      </c>
      <c r="AJ49" s="101">
        <f>IFERROR(VLOOKUP($E49&amp;AJ$6,Base!$G:$K,5,0),0)</f>
        <v>0</v>
      </c>
      <c r="AK49" s="101">
        <f>IFERROR(VLOOKUP($E49&amp;AJ$6,Base!$M:$Q,5,0),0)</f>
        <v>0</v>
      </c>
      <c r="AL49" s="109">
        <v>0</v>
      </c>
      <c r="AM49" s="108">
        <f>IFERROR(VLOOKUP($E49&amp;AM$6,Base!$A:$E,5,0),0)</f>
        <v>0</v>
      </c>
      <c r="AN49" s="101">
        <f>IFERROR(VLOOKUP($E49&amp;AN$6,Base!$G:$K,5,0),0)</f>
        <v>0</v>
      </c>
      <c r="AO49" s="101">
        <f>IFERROR(VLOOKUP($E49&amp;AN$6,Base!$M:$Q,5,0),0)</f>
        <v>0</v>
      </c>
      <c r="AP49" s="109"/>
      <c r="AR49" s="104">
        <f t="shared" si="41"/>
        <v>0</v>
      </c>
      <c r="AS49" s="99">
        <f t="shared" si="42"/>
        <v>3</v>
      </c>
      <c r="AT49" s="99">
        <f t="shared" si="43"/>
        <v>0</v>
      </c>
      <c r="AU49" s="105">
        <f t="shared" si="48"/>
        <v>0</v>
      </c>
      <c r="AV49" s="108">
        <f>IFERROR(VLOOKUP($E49&amp;AV$6,Base!$A:$E,5,0),0)</f>
        <v>0</v>
      </c>
      <c r="AW49" s="101">
        <f>IFERROR(VLOOKUP($E49&amp;AW$6,Base!$G:$K,5,0),0)</f>
        <v>0</v>
      </c>
      <c r="AX49" s="101">
        <f>IFERROR(VLOOKUP($E49&amp;AW$6,Base!$M:$Q,5,0),0)</f>
        <v>0</v>
      </c>
      <c r="AY49" s="109">
        <v>0</v>
      </c>
      <c r="AZ49" s="108">
        <f>IFERROR(VLOOKUP($E49&amp;AZ$6,Base!$A:$E,5,0),0)</f>
        <v>0</v>
      </c>
      <c r="BA49" s="101">
        <f>IFERROR(VLOOKUP($E49&amp;BA$6,Base!$G:$K,5,0),0)</f>
        <v>3</v>
      </c>
      <c r="BB49" s="101">
        <f>IFERROR(VLOOKUP($E49&amp;BA$6,Base!$M:$Q,5,0),0)</f>
        <v>0</v>
      </c>
      <c r="BC49" s="109">
        <v>0</v>
      </c>
      <c r="BD49" s="108">
        <f>IFERROR(VLOOKUP($E49&amp;BD$6,Base!$A:$E,5,0),0)</f>
        <v>0</v>
      </c>
      <c r="BE49" s="101">
        <f>IFERROR(VLOOKUP($E49&amp;BE$6,Base!$G:$K,5,0),0)</f>
        <v>0</v>
      </c>
      <c r="BF49" s="101">
        <f>IFERROR(VLOOKUP($E49&amp;BE$6,Base!$M:$Q,5,0),0)</f>
        <v>0</v>
      </c>
      <c r="BG49" s="109">
        <v>0</v>
      </c>
      <c r="BI49" s="104">
        <f t="shared" si="44"/>
        <v>0</v>
      </c>
      <c r="BJ49" s="99">
        <f t="shared" si="45"/>
        <v>0</v>
      </c>
      <c r="BK49" s="99">
        <f t="shared" si="46"/>
        <v>0</v>
      </c>
      <c r="BL49" s="111">
        <f t="shared" si="47"/>
        <v>0</v>
      </c>
      <c r="BM49" s="108">
        <f>IFERROR(VLOOKUP($E49&amp;BM$6,Base!$A:$E,5,0),0)</f>
        <v>0</v>
      </c>
      <c r="BN49" s="101">
        <f>IFERROR(VLOOKUP($E49&amp;BN$6,Base!$G:$K,5,0),0)</f>
        <v>0</v>
      </c>
      <c r="BO49" s="101">
        <f>IFERROR(VLOOKUP($E49&amp;BN$6,Base!$M:$Q,5,0),0)</f>
        <v>0</v>
      </c>
      <c r="BP49" s="109">
        <v>0</v>
      </c>
      <c r="BQ49" s="108">
        <f>IFERROR(VLOOKUP($E49&amp;BQ$6,Base!$A:$E,5,0),0)</f>
        <v>0</v>
      </c>
      <c r="BR49" s="101">
        <f>IFERROR(VLOOKUP($E49&amp;BR$6,Base!$G:$K,5,0),0)</f>
        <v>0</v>
      </c>
      <c r="BS49" s="101">
        <f>IFERROR(VLOOKUP($E49&amp;BR$6,Base!$M:$Q,5,0),0)</f>
        <v>0</v>
      </c>
      <c r="BT49" s="109">
        <v>0</v>
      </c>
      <c r="BU49" s="108">
        <f>IFERROR(VLOOKUP($E49&amp;BU$6,Base!$A:$E,5,0),0)</f>
        <v>0</v>
      </c>
      <c r="BV49" s="101">
        <f>IFERROR(VLOOKUP($E49&amp;BV$6,Base!$G:$K,5,0),0)</f>
        <v>0</v>
      </c>
      <c r="BW49" s="101">
        <f>IFERROR(VLOOKUP($E49&amp;BV$6,Base!$M:$Q,5,0),0)</f>
        <v>0</v>
      </c>
      <c r="BX49" s="109">
        <f>IFERROR(VLOOKUP($E49,Base!$U:$W,3,0),0)</f>
        <v>0</v>
      </c>
    </row>
    <row r="50" spans="2:76" x14ac:dyDescent="0.35">
      <c r="B50" s="53" t="s">
        <v>402</v>
      </c>
      <c r="C50" s="51">
        <v>3919</v>
      </c>
      <c r="D50" s="51" t="s">
        <v>434</v>
      </c>
      <c r="E50" s="51">
        <v>184335</v>
      </c>
      <c r="F50" s="96" t="s">
        <v>366</v>
      </c>
      <c r="G50" s="42" t="s">
        <v>104</v>
      </c>
      <c r="H50" s="98" t="s">
        <v>105</v>
      </c>
      <c r="I50" s="143" t="s">
        <v>144</v>
      </c>
      <c r="J50" s="104">
        <f t="shared" si="33"/>
        <v>5.875</v>
      </c>
      <c r="K50" s="99">
        <f t="shared" si="34"/>
        <v>5.875</v>
      </c>
      <c r="L50" s="99">
        <f t="shared" si="35"/>
        <v>0.25</v>
      </c>
      <c r="M50" s="105">
        <f t="shared" si="36"/>
        <v>0</v>
      </c>
      <c r="N50" s="108">
        <f>IFERROR(VLOOKUP($E50&amp;N$6,Base!$A:$E,5,0),0)</f>
        <v>0</v>
      </c>
      <c r="O50" s="101">
        <v>5.375</v>
      </c>
      <c r="P50" s="101">
        <v>0.25</v>
      </c>
      <c r="Q50" s="101"/>
      <c r="R50" s="108">
        <f>IFERROR(VLOOKUP($E50&amp;R$6,Base!$A:$E,5,0),0)</f>
        <v>5.875</v>
      </c>
      <c r="S50" s="101">
        <f>IFERROR(VLOOKUP($E50&amp;S$6,Base!$G:$K,5,0),0)</f>
        <v>0.5</v>
      </c>
      <c r="T50" s="101">
        <f>IFERROR(VLOOKUP($E50&amp;S$6,Base!$M:$Q,5,0),0)</f>
        <v>0</v>
      </c>
      <c r="U50" s="109"/>
      <c r="V50" s="108">
        <f>IFERROR(VLOOKUP($E50&amp;V$6,Base!$A:$E,5,0),0)</f>
        <v>0</v>
      </c>
      <c r="W50" s="101">
        <f>IFERROR(VLOOKUP($E50&amp;W$6,Base!$G:$K,5,0),0)</f>
        <v>0</v>
      </c>
      <c r="X50" s="101">
        <f>IFERROR(VLOOKUP($E50&amp;W$6,Base!$M:$Q,5,0),0)</f>
        <v>0</v>
      </c>
      <c r="Y50" s="109"/>
      <c r="AA50" s="104">
        <f t="shared" si="37"/>
        <v>0</v>
      </c>
      <c r="AB50" s="99">
        <f t="shared" si="38"/>
        <v>0</v>
      </c>
      <c r="AC50" s="99">
        <f t="shared" si="39"/>
        <v>0</v>
      </c>
      <c r="AD50" s="105">
        <f t="shared" si="40"/>
        <v>0</v>
      </c>
      <c r="AE50" s="108">
        <f>IFERROR(VLOOKUP($E50&amp;AE$6,Base!$A:$E,5,0),0)</f>
        <v>0</v>
      </c>
      <c r="AF50" s="101">
        <f>IFERROR(VLOOKUP($E50&amp;AF$6,Base!$G:$K,5,0),0)</f>
        <v>0</v>
      </c>
      <c r="AG50" s="101">
        <f>IFERROR(VLOOKUP($E50&amp;AF$6,Base!$M:$Q,5,0),0)</f>
        <v>0</v>
      </c>
      <c r="AH50" s="109"/>
      <c r="AI50" s="108">
        <f>IFERROR(VLOOKUP($E50&amp;AI$6,Base!$A:$E,5,0),0)</f>
        <v>0</v>
      </c>
      <c r="AJ50" s="101">
        <f>IFERROR(VLOOKUP($E50&amp;AJ$6,Base!$G:$K,5,0),0)</f>
        <v>0</v>
      </c>
      <c r="AK50" s="101">
        <f>IFERROR(VLOOKUP($E50&amp;AJ$6,Base!$M:$Q,5,0),0)</f>
        <v>0</v>
      </c>
      <c r="AL50" s="109">
        <v>0</v>
      </c>
      <c r="AM50" s="108">
        <f>IFERROR(VLOOKUP($E50&amp;AM$6,Base!$A:$E,5,0),0)</f>
        <v>0</v>
      </c>
      <c r="AN50" s="101">
        <f>IFERROR(VLOOKUP($E50&amp;AN$6,Base!$G:$K,5,0),0)</f>
        <v>0</v>
      </c>
      <c r="AO50" s="101">
        <f>IFERROR(VLOOKUP($E50&amp;AN$6,Base!$M:$Q,5,0),0)</f>
        <v>0</v>
      </c>
      <c r="AP50" s="109"/>
      <c r="AR50" s="104">
        <f t="shared" si="41"/>
        <v>0</v>
      </c>
      <c r="AS50" s="99">
        <f t="shared" si="42"/>
        <v>3</v>
      </c>
      <c r="AT50" s="99">
        <f t="shared" si="43"/>
        <v>0</v>
      </c>
      <c r="AU50" s="105">
        <f t="shared" si="48"/>
        <v>0</v>
      </c>
      <c r="AV50" s="108">
        <f>IFERROR(VLOOKUP($E50&amp;AV$6,Base!$A:$E,5,0),0)</f>
        <v>0</v>
      </c>
      <c r="AW50" s="101">
        <f>IFERROR(VLOOKUP($E50&amp;AW$6,Base!$G:$K,5,0),0)</f>
        <v>0</v>
      </c>
      <c r="AX50" s="101">
        <f>IFERROR(VLOOKUP($E50&amp;AW$6,Base!$M:$Q,5,0),0)</f>
        <v>0</v>
      </c>
      <c r="AY50" s="109">
        <v>0</v>
      </c>
      <c r="AZ50" s="108">
        <f>IFERROR(VLOOKUP($E50&amp;AZ$6,Base!$A:$E,5,0),0)</f>
        <v>0</v>
      </c>
      <c r="BA50" s="101">
        <f>IFERROR(VLOOKUP($E50&amp;BA$6,Base!$G:$K,5,0),0)</f>
        <v>3</v>
      </c>
      <c r="BB50" s="101">
        <f>IFERROR(VLOOKUP($E50&amp;BA$6,Base!$M:$Q,5,0),0)</f>
        <v>0</v>
      </c>
      <c r="BC50" s="109">
        <v>0</v>
      </c>
      <c r="BD50" s="108">
        <f>IFERROR(VLOOKUP($E50&amp;BD$6,Base!$A:$E,5,0),0)</f>
        <v>0</v>
      </c>
      <c r="BE50" s="101">
        <f>IFERROR(VLOOKUP($E50&amp;BE$6,Base!$G:$K,5,0),0)</f>
        <v>0</v>
      </c>
      <c r="BF50" s="101">
        <f>IFERROR(VLOOKUP($E50&amp;BE$6,Base!$M:$Q,5,0),0)</f>
        <v>0</v>
      </c>
      <c r="BG50" s="109">
        <v>0</v>
      </c>
      <c r="BI50" s="104">
        <f t="shared" si="44"/>
        <v>0</v>
      </c>
      <c r="BJ50" s="99">
        <f t="shared" si="45"/>
        <v>0</v>
      </c>
      <c r="BK50" s="99">
        <f t="shared" si="46"/>
        <v>0</v>
      </c>
      <c r="BL50" s="111">
        <f t="shared" si="47"/>
        <v>0</v>
      </c>
      <c r="BM50" s="108">
        <f>IFERROR(VLOOKUP($E50&amp;BM$6,Base!$A:$E,5,0),0)</f>
        <v>0</v>
      </c>
      <c r="BN50" s="101">
        <f>IFERROR(VLOOKUP($E50&amp;BN$6,Base!$G:$K,5,0),0)</f>
        <v>0</v>
      </c>
      <c r="BO50" s="101">
        <f>IFERROR(VLOOKUP($E50&amp;BN$6,Base!$M:$Q,5,0),0)</f>
        <v>0</v>
      </c>
      <c r="BP50" s="109">
        <v>0</v>
      </c>
      <c r="BQ50" s="108">
        <f>IFERROR(VLOOKUP($E50&amp;BQ$6,Base!$A:$E,5,0),0)</f>
        <v>0</v>
      </c>
      <c r="BR50" s="101">
        <f>IFERROR(VLOOKUP($E50&amp;BR$6,Base!$G:$K,5,0),0)</f>
        <v>0</v>
      </c>
      <c r="BS50" s="101">
        <f>IFERROR(VLOOKUP($E50&amp;BR$6,Base!$M:$Q,5,0),0)</f>
        <v>0</v>
      </c>
      <c r="BT50" s="109">
        <v>0</v>
      </c>
      <c r="BU50" s="108">
        <f>IFERROR(VLOOKUP($E50&amp;BU$6,Base!$A:$E,5,0),0)</f>
        <v>0</v>
      </c>
      <c r="BV50" s="101">
        <f>IFERROR(VLOOKUP($E50&amp;BV$6,Base!$G:$K,5,0),0)</f>
        <v>0</v>
      </c>
      <c r="BW50" s="101">
        <f>IFERROR(VLOOKUP($E50&amp;BV$6,Base!$M:$Q,5,0),0)</f>
        <v>0</v>
      </c>
      <c r="BX50" s="109">
        <f>IFERROR(VLOOKUP($E50,Base!$U:$W,3,0),0)</f>
        <v>0</v>
      </c>
    </row>
    <row r="51" spans="2:76" x14ac:dyDescent="0.35">
      <c r="B51" s="53" t="s">
        <v>402</v>
      </c>
      <c r="C51" s="51">
        <v>3956</v>
      </c>
      <c r="D51" s="51" t="s">
        <v>435</v>
      </c>
      <c r="E51" s="51">
        <v>53581</v>
      </c>
      <c r="F51" s="96" t="s">
        <v>351</v>
      </c>
      <c r="G51" s="42" t="s">
        <v>100</v>
      </c>
      <c r="H51" s="98" t="s">
        <v>101</v>
      </c>
      <c r="I51" s="143" t="s">
        <v>144</v>
      </c>
      <c r="J51" s="104">
        <f t="shared" si="33"/>
        <v>386.334</v>
      </c>
      <c r="K51" s="99">
        <f t="shared" si="34"/>
        <v>545.27800000000002</v>
      </c>
      <c r="L51" s="99">
        <f t="shared" si="35"/>
        <v>0</v>
      </c>
      <c r="M51" s="105">
        <f t="shared" si="36"/>
        <v>0</v>
      </c>
      <c r="N51" s="108">
        <f>IFERROR(VLOOKUP($E51&amp;N$6,Base!$A:$E,5,0),0)</f>
        <v>16.292000000000002</v>
      </c>
      <c r="O51" s="101">
        <v>15.875</v>
      </c>
      <c r="P51" s="101">
        <v>0</v>
      </c>
      <c r="Q51" s="101"/>
      <c r="R51" s="108">
        <f>IFERROR(VLOOKUP($E51&amp;R$6,Base!$A:$E,5,0),0)</f>
        <v>367.375</v>
      </c>
      <c r="S51" s="101">
        <f>IFERROR(VLOOKUP($E51&amp;S$6,Base!$G:$K,5,0),0)</f>
        <v>13.75</v>
      </c>
      <c r="T51" s="101">
        <f>IFERROR(VLOOKUP($E51&amp;S$6,Base!$M:$Q,5,0),0)</f>
        <v>0</v>
      </c>
      <c r="U51" s="109"/>
      <c r="V51" s="108">
        <f>IFERROR(VLOOKUP($E51&amp;V$6,Base!$A:$E,5,0),0)</f>
        <v>2.6669999999999998</v>
      </c>
      <c r="W51" s="101">
        <f>IFERROR(VLOOKUP($E51&amp;W$6,Base!$G:$K,5,0),0)</f>
        <v>515.65300000000002</v>
      </c>
      <c r="X51" s="101">
        <f>IFERROR(VLOOKUP($E51&amp;W$6,Base!$M:$Q,5,0),0)</f>
        <v>0</v>
      </c>
      <c r="Y51" s="109"/>
      <c r="AA51" s="104">
        <f t="shared" si="37"/>
        <v>225.31299999999999</v>
      </c>
      <c r="AB51" s="99">
        <f t="shared" si="38"/>
        <v>108.11799999999999</v>
      </c>
      <c r="AC51" s="99">
        <f t="shared" si="39"/>
        <v>3.5</v>
      </c>
      <c r="AD51" s="105">
        <f t="shared" si="40"/>
        <v>0</v>
      </c>
      <c r="AE51" s="108">
        <f>IFERROR(VLOOKUP($E51&amp;AE$6,Base!$A:$E,5,0),0)</f>
        <v>120.063</v>
      </c>
      <c r="AF51" s="101">
        <f>IFERROR(VLOOKUP($E51&amp;AF$6,Base!$G:$K,5,0),0)</f>
        <v>9.1669999999999998</v>
      </c>
      <c r="AG51" s="101">
        <f>IFERROR(VLOOKUP($E51&amp;AF$6,Base!$M:$Q,5,0),0)</f>
        <v>3.5</v>
      </c>
      <c r="AH51" s="109"/>
      <c r="AI51" s="108">
        <f>IFERROR(VLOOKUP($E51&amp;AI$6,Base!$A:$E,5,0),0)</f>
        <v>4</v>
      </c>
      <c r="AJ51" s="101">
        <f>IFERROR(VLOOKUP($E51&amp;AJ$6,Base!$G:$K,5,0),0)</f>
        <v>9.9510000000000005</v>
      </c>
      <c r="AK51" s="101">
        <f>IFERROR(VLOOKUP($E51&amp;AJ$6,Base!$M:$Q,5,0),0)</f>
        <v>0</v>
      </c>
      <c r="AL51" s="109">
        <v>0</v>
      </c>
      <c r="AM51" s="108">
        <f>IFERROR(VLOOKUP($E51&amp;AM$6,Base!$A:$E,5,0),0)</f>
        <v>101.25</v>
      </c>
      <c r="AN51" s="101">
        <f>IFERROR(VLOOKUP($E51&amp;AN$6,Base!$G:$K,5,0),0)</f>
        <v>89</v>
      </c>
      <c r="AO51" s="101">
        <f>IFERROR(VLOOKUP($E51&amp;AN$6,Base!$M:$Q,5,0),0)</f>
        <v>0</v>
      </c>
      <c r="AP51" s="109"/>
      <c r="AR51" s="104">
        <f t="shared" si="41"/>
        <v>288.041</v>
      </c>
      <c r="AS51" s="99">
        <f t="shared" si="42"/>
        <v>153</v>
      </c>
      <c r="AT51" s="99">
        <f t="shared" si="43"/>
        <v>6.5830000000000002</v>
      </c>
      <c r="AU51" s="105">
        <f t="shared" si="48"/>
        <v>0</v>
      </c>
      <c r="AV51" s="108">
        <f>IFERROR(VLOOKUP($E51&amp;AV$6,Base!$A:$E,5,0),0)</f>
        <v>147.583</v>
      </c>
      <c r="AW51" s="101">
        <f>IFERROR(VLOOKUP($E51&amp;AW$6,Base!$G:$K,5,0),0)</f>
        <v>74.457999999999998</v>
      </c>
      <c r="AX51" s="101">
        <f>IFERROR(VLOOKUP($E51&amp;AW$6,Base!$M:$Q,5,0),0)</f>
        <v>5</v>
      </c>
      <c r="AY51" s="109">
        <v>0</v>
      </c>
      <c r="AZ51" s="108">
        <f>IFERROR(VLOOKUP($E51&amp;AZ$6,Base!$A:$E,5,0),0)</f>
        <v>80</v>
      </c>
      <c r="BA51" s="101">
        <f>IFERROR(VLOOKUP($E51&amp;BA$6,Base!$G:$K,5,0),0)</f>
        <v>15.417</v>
      </c>
      <c r="BB51" s="101">
        <f>IFERROR(VLOOKUP($E51&amp;BA$6,Base!$M:$Q,5,0),0)</f>
        <v>0</v>
      </c>
      <c r="BC51" s="109">
        <v>0</v>
      </c>
      <c r="BD51" s="108">
        <f>IFERROR(VLOOKUP($E51&amp;BD$6,Base!$A:$E,5,0),0)</f>
        <v>60.457999999999998</v>
      </c>
      <c r="BE51" s="101">
        <f>IFERROR(VLOOKUP($E51&amp;BE$6,Base!$G:$K,5,0),0)</f>
        <v>63.125</v>
      </c>
      <c r="BF51" s="101">
        <f>IFERROR(VLOOKUP($E51&amp;BE$6,Base!$M:$Q,5,0),0)</f>
        <v>1.583</v>
      </c>
      <c r="BG51" s="109">
        <v>0</v>
      </c>
      <c r="BI51" s="104">
        <f t="shared" si="44"/>
        <v>60.582999999999998</v>
      </c>
      <c r="BJ51" s="99">
        <f t="shared" si="45"/>
        <v>61.540999999999997</v>
      </c>
      <c r="BK51" s="99">
        <f t="shared" si="46"/>
        <v>1.833</v>
      </c>
      <c r="BL51" s="111">
        <f t="shared" si="47"/>
        <v>0</v>
      </c>
      <c r="BM51" s="108">
        <f>IFERROR(VLOOKUP($E51&amp;BM$6,Base!$A:$E,5,0),0)</f>
        <v>13.333</v>
      </c>
      <c r="BN51" s="101">
        <f>IFERROR(VLOOKUP($E51&amp;BN$6,Base!$G:$K,5,0),0)</f>
        <v>20.457999999999998</v>
      </c>
      <c r="BO51" s="101">
        <f>IFERROR(VLOOKUP($E51&amp;BN$6,Base!$M:$Q,5,0),0)</f>
        <v>0</v>
      </c>
      <c r="BP51" s="109">
        <v>0</v>
      </c>
      <c r="BQ51" s="108">
        <f>IFERROR(VLOOKUP($E51&amp;BQ$6,Base!$A:$E,5,0),0)</f>
        <v>21</v>
      </c>
      <c r="BR51" s="101">
        <f>IFERROR(VLOOKUP($E51&amp;BR$6,Base!$G:$K,5,0),0)</f>
        <v>22</v>
      </c>
      <c r="BS51" s="101">
        <f>IFERROR(VLOOKUP($E51&amp;BR$6,Base!$M:$Q,5,0),0)</f>
        <v>0</v>
      </c>
      <c r="BT51" s="109">
        <v>0</v>
      </c>
      <c r="BU51" s="108">
        <f>IFERROR(VLOOKUP($E51&amp;BU$6,Base!$A:$E,5,0),0)</f>
        <v>26.25</v>
      </c>
      <c r="BV51" s="101">
        <f>IFERROR(VLOOKUP($E51&amp;BV$6,Base!$G:$K,5,0),0)</f>
        <v>19.082999999999998</v>
      </c>
      <c r="BW51" s="101">
        <f>IFERROR(VLOOKUP($E51&amp;BV$6,Base!$M:$Q,5,0),0)</f>
        <v>1.833</v>
      </c>
      <c r="BX51" s="109">
        <f>IFERROR(VLOOKUP($E51,Base!$U:$W,3,0),0)</f>
        <v>0</v>
      </c>
    </row>
    <row r="52" spans="2:76" x14ac:dyDescent="0.35">
      <c r="B52" s="53" t="s">
        <v>402</v>
      </c>
      <c r="C52" s="51">
        <v>3956</v>
      </c>
      <c r="D52" s="51" t="s">
        <v>435</v>
      </c>
      <c r="E52" s="51">
        <v>136856</v>
      </c>
      <c r="F52" s="96" t="s">
        <v>356</v>
      </c>
      <c r="G52" s="42" t="s">
        <v>9</v>
      </c>
      <c r="H52" s="98" t="s">
        <v>101</v>
      </c>
      <c r="I52" s="143" t="s">
        <v>144</v>
      </c>
      <c r="J52" s="104">
        <f t="shared" si="33"/>
        <v>242</v>
      </c>
      <c r="K52" s="99">
        <f t="shared" si="34"/>
        <v>318.79200000000003</v>
      </c>
      <c r="L52" s="99">
        <f t="shared" si="35"/>
        <v>0</v>
      </c>
      <c r="M52" s="105">
        <f t="shared" si="36"/>
        <v>0</v>
      </c>
      <c r="N52" s="108">
        <f>IFERROR(VLOOKUP($E52&amp;N$6,Base!$A:$E,5,0),0)</f>
        <v>10</v>
      </c>
      <c r="O52" s="101">
        <v>25.875</v>
      </c>
      <c r="P52" s="101">
        <v>0</v>
      </c>
      <c r="Q52" s="101"/>
      <c r="R52" s="108">
        <f>IFERROR(VLOOKUP($E52&amp;R$6,Base!$A:$E,5,0),0)</f>
        <v>232</v>
      </c>
      <c r="S52" s="101">
        <f>IFERROR(VLOOKUP($E52&amp;S$6,Base!$G:$K,5,0),0)</f>
        <v>-3.8330000000000002</v>
      </c>
      <c r="T52" s="101">
        <f>IFERROR(VLOOKUP($E52&amp;S$6,Base!$M:$Q,5,0),0)</f>
        <v>0</v>
      </c>
      <c r="U52" s="109"/>
      <c r="V52" s="108">
        <f>IFERROR(VLOOKUP($E52&amp;V$6,Base!$A:$E,5,0),0)</f>
        <v>0</v>
      </c>
      <c r="W52" s="101">
        <f>IFERROR(VLOOKUP($E52&amp;W$6,Base!$G:$K,5,0),0)</f>
        <v>296.75</v>
      </c>
      <c r="X52" s="101">
        <f>IFERROR(VLOOKUP($E52&amp;W$6,Base!$M:$Q,5,0),0)</f>
        <v>0</v>
      </c>
      <c r="Y52" s="109"/>
      <c r="AA52" s="104">
        <f t="shared" si="37"/>
        <v>104</v>
      </c>
      <c r="AB52" s="99">
        <f t="shared" si="38"/>
        <v>76.834000000000003</v>
      </c>
      <c r="AC52" s="99">
        <f t="shared" si="39"/>
        <v>0</v>
      </c>
      <c r="AD52" s="105">
        <f t="shared" si="40"/>
        <v>0</v>
      </c>
      <c r="AE52" s="108">
        <f>IFERROR(VLOOKUP($E52&amp;AE$6,Base!$A:$E,5,0),0)</f>
        <v>58.75</v>
      </c>
      <c r="AF52" s="101">
        <f>IFERROR(VLOOKUP($E52&amp;AF$6,Base!$G:$K,5,0),0)</f>
        <v>7</v>
      </c>
      <c r="AG52" s="101">
        <f>IFERROR(VLOOKUP($E52&amp;AF$6,Base!$M:$Q,5,0),0)</f>
        <v>0</v>
      </c>
      <c r="AH52" s="109"/>
      <c r="AI52" s="108">
        <f>IFERROR(VLOOKUP($E52&amp;AI$6,Base!$A:$E,5,0),0)</f>
        <v>7</v>
      </c>
      <c r="AJ52" s="101">
        <f>IFERROR(VLOOKUP($E52&amp;AJ$6,Base!$G:$K,5,0),0)</f>
        <v>19.167000000000002</v>
      </c>
      <c r="AK52" s="101">
        <f>IFERROR(VLOOKUP($E52&amp;AJ$6,Base!$M:$Q,5,0),0)</f>
        <v>0</v>
      </c>
      <c r="AL52" s="109">
        <v>0</v>
      </c>
      <c r="AM52" s="108">
        <f>IFERROR(VLOOKUP($E52&amp;AM$6,Base!$A:$E,5,0),0)</f>
        <v>38.25</v>
      </c>
      <c r="AN52" s="101">
        <f>IFERROR(VLOOKUP($E52&amp;AN$6,Base!$G:$K,5,0),0)</f>
        <v>50.667000000000002</v>
      </c>
      <c r="AO52" s="101">
        <f>IFERROR(VLOOKUP($E52&amp;AN$6,Base!$M:$Q,5,0),0)</f>
        <v>0</v>
      </c>
      <c r="AP52" s="109"/>
      <c r="AR52" s="104">
        <f t="shared" si="41"/>
        <v>183.833</v>
      </c>
      <c r="AS52" s="99">
        <f t="shared" si="42"/>
        <v>127.125</v>
      </c>
      <c r="AT52" s="99">
        <f t="shared" si="43"/>
        <v>0</v>
      </c>
      <c r="AU52" s="105">
        <f t="shared" si="48"/>
        <v>0</v>
      </c>
      <c r="AV52" s="108">
        <f>IFERROR(VLOOKUP($E52&amp;AV$6,Base!$A:$E,5,0),0)</f>
        <v>69.667000000000002</v>
      </c>
      <c r="AW52" s="101">
        <f>IFERROR(VLOOKUP($E52&amp;AW$6,Base!$G:$K,5,0),0)</f>
        <v>50.917000000000002</v>
      </c>
      <c r="AX52" s="101">
        <f>IFERROR(VLOOKUP($E52&amp;AW$6,Base!$M:$Q,5,0),0)</f>
        <v>0</v>
      </c>
      <c r="AY52" s="109">
        <v>0</v>
      </c>
      <c r="AZ52" s="108">
        <f>IFERROR(VLOOKUP($E52&amp;AZ$6,Base!$A:$E,5,0),0)</f>
        <v>67.332999999999998</v>
      </c>
      <c r="BA52" s="101">
        <f>IFERROR(VLOOKUP($E52&amp;BA$6,Base!$G:$K,5,0),0)</f>
        <v>12.25</v>
      </c>
      <c r="BB52" s="101">
        <f>IFERROR(VLOOKUP($E52&amp;BA$6,Base!$M:$Q,5,0),0)</f>
        <v>0</v>
      </c>
      <c r="BC52" s="109">
        <v>0</v>
      </c>
      <c r="BD52" s="108">
        <f>IFERROR(VLOOKUP($E52&amp;BD$6,Base!$A:$E,5,0),0)</f>
        <v>46.832999999999998</v>
      </c>
      <c r="BE52" s="101">
        <f>IFERROR(VLOOKUP($E52&amp;BE$6,Base!$G:$K,5,0),0)</f>
        <v>63.957999999999998</v>
      </c>
      <c r="BF52" s="101">
        <f>IFERROR(VLOOKUP($E52&amp;BE$6,Base!$M:$Q,5,0),0)</f>
        <v>0</v>
      </c>
      <c r="BG52" s="109">
        <v>0</v>
      </c>
      <c r="BI52" s="104">
        <f t="shared" si="44"/>
        <v>56.5</v>
      </c>
      <c r="BJ52" s="99">
        <f t="shared" si="45"/>
        <v>54.917000000000002</v>
      </c>
      <c r="BK52" s="99">
        <f t="shared" si="46"/>
        <v>1.417</v>
      </c>
      <c r="BL52" s="111">
        <f t="shared" si="47"/>
        <v>0</v>
      </c>
      <c r="BM52" s="108">
        <f>IFERROR(VLOOKUP($E52&amp;BM$6,Base!$A:$E,5,0),0)</f>
        <v>21.457999999999998</v>
      </c>
      <c r="BN52" s="101">
        <f>IFERROR(VLOOKUP($E52&amp;BN$6,Base!$G:$K,5,0),0)</f>
        <v>28.917000000000002</v>
      </c>
      <c r="BO52" s="101">
        <f>IFERROR(VLOOKUP($E52&amp;BN$6,Base!$M:$Q,5,0),0)</f>
        <v>0</v>
      </c>
      <c r="BP52" s="109">
        <v>0</v>
      </c>
      <c r="BQ52" s="108">
        <f>IFERROR(VLOOKUP($E52&amp;BQ$6,Base!$A:$E,5,0),0)</f>
        <v>24.667000000000002</v>
      </c>
      <c r="BR52" s="101">
        <f>IFERROR(VLOOKUP($E52&amp;BR$6,Base!$G:$K,5,0),0)</f>
        <v>13.625</v>
      </c>
      <c r="BS52" s="101">
        <f>IFERROR(VLOOKUP($E52&amp;BR$6,Base!$M:$Q,5,0),0)</f>
        <v>0</v>
      </c>
      <c r="BT52" s="109">
        <v>0</v>
      </c>
      <c r="BU52" s="108">
        <f>IFERROR(VLOOKUP($E52&amp;BU$6,Base!$A:$E,5,0),0)</f>
        <v>10.375</v>
      </c>
      <c r="BV52" s="101">
        <f>IFERROR(VLOOKUP($E52&amp;BV$6,Base!$G:$K,5,0),0)</f>
        <v>12.375</v>
      </c>
      <c r="BW52" s="101">
        <f>IFERROR(VLOOKUP($E52&amp;BV$6,Base!$M:$Q,5,0),0)</f>
        <v>1.417</v>
      </c>
      <c r="BX52" s="109">
        <f>IFERROR(VLOOKUP($E52,Base!$U:$W,3,0),0)</f>
        <v>0</v>
      </c>
    </row>
    <row r="53" spans="2:76" x14ac:dyDescent="0.35">
      <c r="B53" s="53" t="s">
        <v>402</v>
      </c>
      <c r="C53" s="51">
        <v>3956</v>
      </c>
      <c r="D53" s="51" t="s">
        <v>435</v>
      </c>
      <c r="E53" s="51">
        <v>74369</v>
      </c>
      <c r="F53" s="96" t="s">
        <v>354</v>
      </c>
      <c r="G53" s="42" t="s">
        <v>8</v>
      </c>
      <c r="H53" s="98" t="s">
        <v>101</v>
      </c>
      <c r="I53" s="143" t="s">
        <v>144</v>
      </c>
      <c r="J53" s="104">
        <f t="shared" si="33"/>
        <v>273.83299999999997</v>
      </c>
      <c r="K53" s="99">
        <f t="shared" si="34"/>
        <v>352.49900000000002</v>
      </c>
      <c r="L53" s="99">
        <f t="shared" si="35"/>
        <v>0</v>
      </c>
      <c r="M53" s="105">
        <f t="shared" si="36"/>
        <v>0</v>
      </c>
      <c r="N53" s="108">
        <f>IFERROR(VLOOKUP($E53&amp;N$6,Base!$A:$E,5,0),0)</f>
        <v>18.332999999999998</v>
      </c>
      <c r="O53" s="101">
        <v>29.082999999999998</v>
      </c>
      <c r="P53" s="101">
        <v>0</v>
      </c>
      <c r="Q53" s="101"/>
      <c r="R53" s="108">
        <f>IFERROR(VLOOKUP($E53&amp;R$6,Base!$A:$E,5,0),0)</f>
        <v>255.5</v>
      </c>
      <c r="S53" s="101">
        <f>IFERROR(VLOOKUP($E53&amp;S$6,Base!$G:$K,5,0),0)</f>
        <v>0.58299999999999996</v>
      </c>
      <c r="T53" s="101">
        <f>IFERROR(VLOOKUP($E53&amp;S$6,Base!$M:$Q,5,0),0)</f>
        <v>0</v>
      </c>
      <c r="U53" s="109"/>
      <c r="V53" s="108">
        <f>IFERROR(VLOOKUP($E53&amp;V$6,Base!$A:$E,5,0),0)</f>
        <v>0</v>
      </c>
      <c r="W53" s="101">
        <f>IFERROR(VLOOKUP($E53&amp;W$6,Base!$G:$K,5,0),0)</f>
        <v>322.83300000000003</v>
      </c>
      <c r="X53" s="101">
        <f>IFERROR(VLOOKUP($E53&amp;W$6,Base!$M:$Q,5,0),0)</f>
        <v>0</v>
      </c>
      <c r="Y53" s="109"/>
      <c r="AA53" s="104">
        <f t="shared" si="37"/>
        <v>139.583</v>
      </c>
      <c r="AB53" s="99">
        <f t="shared" si="38"/>
        <v>74.167000000000002</v>
      </c>
      <c r="AC53" s="99">
        <f t="shared" si="39"/>
        <v>0</v>
      </c>
      <c r="AD53" s="105">
        <f t="shared" si="40"/>
        <v>0</v>
      </c>
      <c r="AE53" s="108">
        <f>IFERROR(VLOOKUP($E53&amp;AE$6,Base!$A:$E,5,0),0)</f>
        <v>80.5</v>
      </c>
      <c r="AF53" s="101">
        <f>IFERROR(VLOOKUP($E53&amp;AF$6,Base!$G:$K,5,0),0)</f>
        <v>6</v>
      </c>
      <c r="AG53" s="101">
        <f>IFERROR(VLOOKUP($E53&amp;AF$6,Base!$M:$Q,5,0),0)</f>
        <v>0</v>
      </c>
      <c r="AH53" s="109"/>
      <c r="AI53" s="108">
        <f>IFERROR(VLOOKUP($E53&amp;AI$6,Base!$A:$E,5,0),0)</f>
        <v>4</v>
      </c>
      <c r="AJ53" s="101">
        <f>IFERROR(VLOOKUP($E53&amp;AJ$6,Base!$G:$K,5,0),0)</f>
        <v>13.167</v>
      </c>
      <c r="AK53" s="101">
        <f>IFERROR(VLOOKUP($E53&amp;AJ$6,Base!$M:$Q,5,0),0)</f>
        <v>0</v>
      </c>
      <c r="AL53" s="109">
        <v>0</v>
      </c>
      <c r="AM53" s="108">
        <f>IFERROR(VLOOKUP($E53&amp;AM$6,Base!$A:$E,5,0),0)</f>
        <v>55.082999999999998</v>
      </c>
      <c r="AN53" s="101">
        <f>IFERROR(VLOOKUP($E53&amp;AN$6,Base!$G:$K,5,0),0)</f>
        <v>55</v>
      </c>
      <c r="AO53" s="101">
        <f>IFERROR(VLOOKUP($E53&amp;AN$6,Base!$M:$Q,5,0),0)</f>
        <v>0</v>
      </c>
      <c r="AP53" s="109"/>
      <c r="AR53" s="104">
        <f t="shared" si="41"/>
        <v>188.417</v>
      </c>
      <c r="AS53" s="99">
        <f t="shared" si="42"/>
        <v>119.126</v>
      </c>
      <c r="AT53" s="99">
        <f t="shared" si="43"/>
        <v>0</v>
      </c>
      <c r="AU53" s="105">
        <f t="shared" si="48"/>
        <v>0</v>
      </c>
      <c r="AV53" s="108">
        <f>IFERROR(VLOOKUP($E53&amp;AV$6,Base!$A:$E,5,0),0)</f>
        <v>64.417000000000002</v>
      </c>
      <c r="AW53" s="101">
        <f>IFERROR(VLOOKUP($E53&amp;AW$6,Base!$G:$K,5,0),0)</f>
        <v>58.292000000000002</v>
      </c>
      <c r="AX53" s="101">
        <f>IFERROR(VLOOKUP($E53&amp;AW$6,Base!$M:$Q,5,0),0)</f>
        <v>0</v>
      </c>
      <c r="AY53" s="109">
        <v>0</v>
      </c>
      <c r="AZ53" s="108">
        <f>IFERROR(VLOOKUP($E53&amp;AZ$6,Base!$A:$E,5,0),0)</f>
        <v>55.332999999999998</v>
      </c>
      <c r="BA53" s="101">
        <f>IFERROR(VLOOKUP($E53&amp;BA$6,Base!$G:$K,5,0),0)</f>
        <v>9.6669999999999998</v>
      </c>
      <c r="BB53" s="101">
        <f>IFERROR(VLOOKUP($E53&amp;BA$6,Base!$M:$Q,5,0),0)</f>
        <v>0</v>
      </c>
      <c r="BC53" s="109">
        <v>0</v>
      </c>
      <c r="BD53" s="108">
        <f>IFERROR(VLOOKUP($E53&amp;BD$6,Base!$A:$E,5,0),0)</f>
        <v>68.667000000000002</v>
      </c>
      <c r="BE53" s="101">
        <f>IFERROR(VLOOKUP($E53&amp;BE$6,Base!$G:$K,5,0),0)</f>
        <v>51.167000000000002</v>
      </c>
      <c r="BF53" s="101">
        <f>IFERROR(VLOOKUP($E53&amp;BE$6,Base!$M:$Q,5,0),0)</f>
        <v>0</v>
      </c>
      <c r="BG53" s="109">
        <v>0</v>
      </c>
      <c r="BI53" s="104">
        <f t="shared" si="44"/>
        <v>64.75</v>
      </c>
      <c r="BJ53" s="99">
        <f t="shared" si="45"/>
        <v>85.625</v>
      </c>
      <c r="BK53" s="99">
        <f t="shared" si="46"/>
        <v>1.5</v>
      </c>
      <c r="BL53" s="111">
        <f t="shared" si="47"/>
        <v>0</v>
      </c>
      <c r="BM53" s="108">
        <f>IFERROR(VLOOKUP($E53&amp;BM$6,Base!$A:$E,5,0),0)</f>
        <v>16</v>
      </c>
      <c r="BN53" s="101">
        <f>IFERROR(VLOOKUP($E53&amp;BN$6,Base!$G:$K,5,0),0)</f>
        <v>53.082999999999998</v>
      </c>
      <c r="BO53" s="101">
        <f>IFERROR(VLOOKUP($E53&amp;BN$6,Base!$M:$Q,5,0),0)</f>
        <v>0</v>
      </c>
      <c r="BP53" s="109">
        <v>0</v>
      </c>
      <c r="BQ53" s="108">
        <f>IFERROR(VLOOKUP($E53&amp;BQ$6,Base!$A:$E,5,0),0)</f>
        <v>27.667000000000002</v>
      </c>
      <c r="BR53" s="101">
        <f>IFERROR(VLOOKUP($E53&amp;BR$6,Base!$G:$K,5,0),0)</f>
        <v>14.542</v>
      </c>
      <c r="BS53" s="101">
        <f>IFERROR(VLOOKUP($E53&amp;BR$6,Base!$M:$Q,5,0),0)</f>
        <v>0</v>
      </c>
      <c r="BT53" s="109">
        <v>0</v>
      </c>
      <c r="BU53" s="108">
        <f>IFERROR(VLOOKUP($E53&amp;BU$6,Base!$A:$E,5,0),0)</f>
        <v>21.082999999999998</v>
      </c>
      <c r="BV53" s="101">
        <f>IFERROR(VLOOKUP($E53&amp;BV$6,Base!$G:$K,5,0),0)</f>
        <v>18</v>
      </c>
      <c r="BW53" s="101">
        <f>IFERROR(VLOOKUP($E53&amp;BV$6,Base!$M:$Q,5,0),0)</f>
        <v>1.5</v>
      </c>
      <c r="BX53" s="109">
        <f>IFERROR(VLOOKUP($E53,Base!$U:$W,3,0),0)</f>
        <v>0</v>
      </c>
    </row>
    <row r="54" spans="2:76" x14ac:dyDescent="0.35">
      <c r="B54" s="53" t="s">
        <v>402</v>
      </c>
      <c r="C54" s="51">
        <v>4054</v>
      </c>
      <c r="D54" s="51" t="s">
        <v>436</v>
      </c>
      <c r="E54" s="51">
        <v>181800</v>
      </c>
      <c r="F54" s="96" t="s">
        <v>439</v>
      </c>
      <c r="G54" s="42" t="s">
        <v>152</v>
      </c>
      <c r="H54" s="98" t="s">
        <v>154</v>
      </c>
      <c r="I54" s="143" t="s">
        <v>144</v>
      </c>
      <c r="J54" s="104">
        <f t="shared" si="33"/>
        <v>5.875</v>
      </c>
      <c r="K54" s="99">
        <f t="shared" si="34"/>
        <v>5.875</v>
      </c>
      <c r="L54" s="99">
        <f t="shared" si="35"/>
        <v>0</v>
      </c>
      <c r="M54" s="105">
        <f t="shared" si="36"/>
        <v>0</v>
      </c>
      <c r="N54" s="108">
        <f>IFERROR(VLOOKUP($E54&amp;N$6,Base!$A:$E,5,0),0)</f>
        <v>5.875</v>
      </c>
      <c r="O54" s="101">
        <v>5.875</v>
      </c>
      <c r="P54" s="101">
        <v>0</v>
      </c>
      <c r="Q54" s="101"/>
      <c r="R54" s="108">
        <f>IFERROR(VLOOKUP($E54&amp;R$6,Base!$A:$E,5,0),0)</f>
        <v>0</v>
      </c>
      <c r="S54" s="101">
        <f>IFERROR(VLOOKUP($E54&amp;S$6,Base!$G:$K,5,0),0)</f>
        <v>0</v>
      </c>
      <c r="T54" s="101">
        <f>IFERROR(VLOOKUP($E54&amp;S$6,Base!$M:$Q,5,0),0)</f>
        <v>0</v>
      </c>
      <c r="U54" s="109"/>
      <c r="V54" s="108">
        <f>IFERROR(VLOOKUP($E54&amp;V$6,Base!$A:$E,5,0),0)</f>
        <v>0</v>
      </c>
      <c r="W54" s="101">
        <f>IFERROR(VLOOKUP($E54&amp;W$6,Base!$G:$K,5,0),0)</f>
        <v>0</v>
      </c>
      <c r="X54" s="101">
        <f>IFERROR(VLOOKUP($E54&amp;W$6,Base!$M:$Q,5,0),0)</f>
        <v>0</v>
      </c>
      <c r="Y54" s="109"/>
      <c r="AA54" s="104">
        <f t="shared" si="37"/>
        <v>0</v>
      </c>
      <c r="AB54" s="99">
        <f t="shared" si="38"/>
        <v>0</v>
      </c>
      <c r="AC54" s="99">
        <f t="shared" si="39"/>
        <v>0</v>
      </c>
      <c r="AD54" s="105">
        <f t="shared" si="40"/>
        <v>0</v>
      </c>
      <c r="AE54" s="108">
        <f>IFERROR(VLOOKUP($E54&amp;AE$6,Base!$A:$E,5,0),0)</f>
        <v>0</v>
      </c>
      <c r="AF54" s="101">
        <f>IFERROR(VLOOKUP($E54&amp;AF$6,Base!$G:$K,5,0),0)</f>
        <v>0</v>
      </c>
      <c r="AG54" s="101">
        <f>IFERROR(VLOOKUP($E54&amp;AF$6,Base!$M:$Q,5,0),0)</f>
        <v>0</v>
      </c>
      <c r="AH54" s="109"/>
      <c r="AI54" s="108">
        <f>IFERROR(VLOOKUP($E54&amp;AI$6,Base!$A:$E,5,0),0)</f>
        <v>0</v>
      </c>
      <c r="AJ54" s="101">
        <f>IFERROR(VLOOKUP($E54&amp;AJ$6,Base!$G:$K,5,0),0)</f>
        <v>0</v>
      </c>
      <c r="AK54" s="101">
        <f>IFERROR(VLOOKUP($E54&amp;AJ$6,Base!$M:$Q,5,0),0)</f>
        <v>0</v>
      </c>
      <c r="AL54" s="109">
        <v>0</v>
      </c>
      <c r="AM54" s="108">
        <f>IFERROR(VLOOKUP($E54&amp;AM$6,Base!$A:$E,5,0),0)</f>
        <v>0</v>
      </c>
      <c r="AN54" s="101">
        <f>IFERROR(VLOOKUP($E54&amp;AN$6,Base!$G:$K,5,0),0)</f>
        <v>0</v>
      </c>
      <c r="AO54" s="101">
        <f>IFERROR(VLOOKUP($E54&amp;AN$6,Base!$M:$Q,5,0),0)</f>
        <v>0</v>
      </c>
      <c r="AP54" s="109"/>
      <c r="AR54" s="104">
        <f t="shared" si="41"/>
        <v>6</v>
      </c>
      <c r="AS54" s="99">
        <f t="shared" si="42"/>
        <v>6</v>
      </c>
      <c r="AT54" s="99">
        <f t="shared" si="43"/>
        <v>0</v>
      </c>
      <c r="AU54" s="105">
        <f t="shared" si="48"/>
        <v>0</v>
      </c>
      <c r="AV54" s="108">
        <f>IFERROR(VLOOKUP($E54&amp;AV$6,Base!$A:$E,5,0),0)</f>
        <v>6</v>
      </c>
      <c r="AW54" s="101">
        <f>IFERROR(VLOOKUP($E54&amp;AW$6,Base!$G:$K,5,0),0)</f>
        <v>0</v>
      </c>
      <c r="AX54" s="101">
        <f>IFERROR(VLOOKUP($E54&amp;AW$6,Base!$M:$Q,5,0),0)</f>
        <v>0</v>
      </c>
      <c r="AY54" s="109">
        <v>0</v>
      </c>
      <c r="AZ54" s="108">
        <f>IFERROR(VLOOKUP($E54&amp;AZ$6,Base!$A:$E,5,0),0)</f>
        <v>0</v>
      </c>
      <c r="BA54" s="101">
        <f>IFERROR(VLOOKUP($E54&amp;BA$6,Base!$G:$K,5,0),0)</f>
        <v>1</v>
      </c>
      <c r="BB54" s="101">
        <f>IFERROR(VLOOKUP($E54&amp;BA$6,Base!$M:$Q,5,0),0)</f>
        <v>0</v>
      </c>
      <c r="BC54" s="109">
        <v>0</v>
      </c>
      <c r="BD54" s="108">
        <f>IFERROR(VLOOKUP($E54&amp;BD$6,Base!$A:$E,5,0),0)</f>
        <v>0</v>
      </c>
      <c r="BE54" s="101">
        <f>IFERROR(VLOOKUP($E54&amp;BE$6,Base!$G:$K,5,0),0)</f>
        <v>5</v>
      </c>
      <c r="BF54" s="101">
        <f>IFERROR(VLOOKUP($E54&amp;BE$6,Base!$M:$Q,5,0),0)</f>
        <v>0</v>
      </c>
      <c r="BG54" s="109">
        <v>0</v>
      </c>
      <c r="BI54" s="104">
        <f t="shared" si="44"/>
        <v>0</v>
      </c>
      <c r="BJ54" s="99">
        <f t="shared" si="45"/>
        <v>2</v>
      </c>
      <c r="BK54" s="99">
        <f t="shared" si="46"/>
        <v>0</v>
      </c>
      <c r="BL54" s="111">
        <f t="shared" si="47"/>
        <v>0</v>
      </c>
      <c r="BM54" s="108">
        <f>IFERROR(VLOOKUP($E54&amp;BM$6,Base!$A:$E,5,0),0)</f>
        <v>0</v>
      </c>
      <c r="BN54" s="101">
        <f>IFERROR(VLOOKUP($E54&amp;BN$6,Base!$G:$K,5,0),0)</f>
        <v>2</v>
      </c>
      <c r="BO54" s="101">
        <f>IFERROR(VLOOKUP($E54&amp;BN$6,Base!$M:$Q,5,0),0)</f>
        <v>0</v>
      </c>
      <c r="BP54" s="109">
        <v>0</v>
      </c>
      <c r="BQ54" s="108">
        <f>IFERROR(VLOOKUP($E54&amp;BQ$6,Base!$A:$E,5,0),0)</f>
        <v>0</v>
      </c>
      <c r="BR54" s="101">
        <f>IFERROR(VLOOKUP($E54&amp;BR$6,Base!$G:$K,5,0),0)</f>
        <v>0</v>
      </c>
      <c r="BS54" s="101">
        <f>IFERROR(VLOOKUP($E54&amp;BR$6,Base!$M:$Q,5,0),0)</f>
        <v>0</v>
      </c>
      <c r="BT54" s="109">
        <v>0</v>
      </c>
      <c r="BU54" s="108">
        <f>IFERROR(VLOOKUP($E54&amp;BU$6,Base!$A:$E,5,0),0)</f>
        <v>0</v>
      </c>
      <c r="BV54" s="101">
        <f>IFERROR(VLOOKUP($E54&amp;BV$6,Base!$G:$K,5,0),0)</f>
        <v>0</v>
      </c>
      <c r="BW54" s="101">
        <f>IFERROR(VLOOKUP($E54&amp;BV$6,Base!$M:$Q,5,0),0)</f>
        <v>0</v>
      </c>
      <c r="BX54" s="109">
        <f>IFERROR(VLOOKUP($E54,Base!$U:$W,3,0),0)</f>
        <v>0</v>
      </c>
    </row>
    <row r="55" spans="2:76" x14ac:dyDescent="0.35">
      <c r="B55" s="53" t="s">
        <v>402</v>
      </c>
      <c r="C55" s="51">
        <v>4054</v>
      </c>
      <c r="D55" s="51" t="s">
        <v>436</v>
      </c>
      <c r="E55" s="51">
        <v>51551</v>
      </c>
      <c r="F55" s="96" t="s">
        <v>443</v>
      </c>
      <c r="G55" s="42" t="s">
        <v>95</v>
      </c>
      <c r="H55" s="98" t="s">
        <v>135</v>
      </c>
      <c r="I55" s="143" t="s">
        <v>144</v>
      </c>
      <c r="J55" s="104">
        <f t="shared" si="33"/>
        <v>5.875</v>
      </c>
      <c r="K55" s="99">
        <f t="shared" si="34"/>
        <v>0</v>
      </c>
      <c r="L55" s="99">
        <f t="shared" si="35"/>
        <v>0</v>
      </c>
      <c r="M55" s="105">
        <f t="shared" si="36"/>
        <v>0</v>
      </c>
      <c r="N55" s="108">
        <f>IFERROR(VLOOKUP($E55&amp;N$6,Base!$A:$E,5,0),0)</f>
        <v>0</v>
      </c>
      <c r="O55" s="101">
        <v>0</v>
      </c>
      <c r="P55" s="101">
        <v>0</v>
      </c>
      <c r="Q55" s="101"/>
      <c r="R55" s="108">
        <f>IFERROR(VLOOKUP($E55&amp;R$6,Base!$A:$E,5,0),0)</f>
        <v>5.875</v>
      </c>
      <c r="S55" s="101">
        <f>IFERROR(VLOOKUP($E55&amp;S$6,Base!$G:$K,5,0),0)</f>
        <v>0</v>
      </c>
      <c r="T55" s="101">
        <f>IFERROR(VLOOKUP($E55&amp;S$6,Base!$M:$Q,5,0),0)</f>
        <v>0</v>
      </c>
      <c r="U55" s="109"/>
      <c r="V55" s="108">
        <f>IFERROR(VLOOKUP($E55&amp;V$6,Base!$A:$E,5,0),0)</f>
        <v>0</v>
      </c>
      <c r="W55" s="101">
        <f>IFERROR(VLOOKUP($E55&amp;W$6,Base!$G:$K,5,0),0)</f>
        <v>0</v>
      </c>
      <c r="X55" s="101">
        <f>IFERROR(VLOOKUP($E55&amp;W$6,Base!$M:$Q,5,0),0)</f>
        <v>0</v>
      </c>
      <c r="Y55" s="109"/>
      <c r="AA55" s="104">
        <f t="shared" si="37"/>
        <v>0</v>
      </c>
      <c r="AB55" s="99">
        <f t="shared" si="38"/>
        <v>5.875</v>
      </c>
      <c r="AC55" s="99">
        <f t="shared" si="39"/>
        <v>0.25</v>
      </c>
      <c r="AD55" s="105">
        <f t="shared" si="40"/>
        <v>0</v>
      </c>
      <c r="AE55" s="108">
        <f>IFERROR(VLOOKUP($E55&amp;AE$6,Base!$A:$E,5,0),0)</f>
        <v>0</v>
      </c>
      <c r="AF55" s="101">
        <f>IFERROR(VLOOKUP($E55&amp;AF$6,Base!$G:$K,5,0),0)</f>
        <v>0</v>
      </c>
      <c r="AG55" s="101">
        <f>IFERROR(VLOOKUP($E55&amp;AF$6,Base!$M:$Q,5,0),0)</f>
        <v>0</v>
      </c>
      <c r="AH55" s="109"/>
      <c r="AI55" s="108">
        <f>IFERROR(VLOOKUP($E55&amp;AI$6,Base!$A:$E,5,0),0)</f>
        <v>0</v>
      </c>
      <c r="AJ55" s="101">
        <f>IFERROR(VLOOKUP($E55&amp;AJ$6,Base!$G:$K,5,0),0)</f>
        <v>0</v>
      </c>
      <c r="AK55" s="101">
        <f>IFERROR(VLOOKUP($E55&amp;AJ$6,Base!$M:$Q,5,0),0)</f>
        <v>0</v>
      </c>
      <c r="AL55" s="109">
        <v>0</v>
      </c>
      <c r="AM55" s="108">
        <f>IFERROR(VLOOKUP($E55&amp;AM$6,Base!$A:$E,5,0),0)</f>
        <v>0</v>
      </c>
      <c r="AN55" s="101">
        <f>IFERROR(VLOOKUP($E55&amp;AN$6,Base!$G:$K,5,0),0)</f>
        <v>5.875</v>
      </c>
      <c r="AO55" s="101">
        <f>IFERROR(VLOOKUP($E55&amp;AN$6,Base!$M:$Q,5,0),0)</f>
        <v>0.25</v>
      </c>
      <c r="AP55" s="109"/>
      <c r="AR55" s="104">
        <f t="shared" si="41"/>
        <v>0</v>
      </c>
      <c r="AS55" s="99">
        <f t="shared" si="42"/>
        <v>0</v>
      </c>
      <c r="AT55" s="99">
        <f t="shared" si="43"/>
        <v>0</v>
      </c>
      <c r="AU55" s="105">
        <f t="shared" si="48"/>
        <v>0</v>
      </c>
      <c r="AV55" s="108">
        <f>IFERROR(VLOOKUP($E55&amp;AV$6,Base!$A:$E,5,0),0)</f>
        <v>0</v>
      </c>
      <c r="AW55" s="101">
        <f>IFERROR(VLOOKUP($E55&amp;AW$6,Base!$G:$K,5,0),0)</f>
        <v>0</v>
      </c>
      <c r="AX55" s="101">
        <f>IFERROR(VLOOKUP($E55&amp;AW$6,Base!$M:$Q,5,0),0)</f>
        <v>0</v>
      </c>
      <c r="AY55" s="109">
        <v>0</v>
      </c>
      <c r="AZ55" s="108">
        <f>IFERROR(VLOOKUP($E55&amp;AZ$6,Base!$A:$E,5,0),0)</f>
        <v>0</v>
      </c>
      <c r="BA55" s="101">
        <f>IFERROR(VLOOKUP($E55&amp;BA$6,Base!$G:$K,5,0),0)</f>
        <v>0</v>
      </c>
      <c r="BB55" s="101">
        <f>IFERROR(VLOOKUP($E55&amp;BA$6,Base!$M:$Q,5,0),0)</f>
        <v>0</v>
      </c>
      <c r="BC55" s="109">
        <v>0</v>
      </c>
      <c r="BD55" s="108">
        <f>IFERROR(VLOOKUP($E55&amp;BD$6,Base!$A:$E,5,0),0)</f>
        <v>0</v>
      </c>
      <c r="BE55" s="101">
        <f>IFERROR(VLOOKUP($E55&amp;BE$6,Base!$G:$K,5,0),0)</f>
        <v>0</v>
      </c>
      <c r="BF55" s="101">
        <f>IFERROR(VLOOKUP($E55&amp;BE$6,Base!$M:$Q,5,0),0)</f>
        <v>0</v>
      </c>
      <c r="BG55" s="109">
        <v>0</v>
      </c>
      <c r="BI55" s="104">
        <f t="shared" si="44"/>
        <v>0</v>
      </c>
      <c r="BJ55" s="99">
        <f t="shared" si="45"/>
        <v>0</v>
      </c>
      <c r="BK55" s="99">
        <f t="shared" si="46"/>
        <v>0</v>
      </c>
      <c r="BL55" s="111">
        <f t="shared" si="47"/>
        <v>0</v>
      </c>
      <c r="BM55" s="108">
        <f>IFERROR(VLOOKUP($E55&amp;BM$6,Base!$A:$E,5,0),0)</f>
        <v>0</v>
      </c>
      <c r="BN55" s="101">
        <f>IFERROR(VLOOKUP($E55&amp;BN$6,Base!$G:$K,5,0),0)</f>
        <v>0</v>
      </c>
      <c r="BO55" s="101">
        <f>IFERROR(VLOOKUP($E55&amp;BN$6,Base!$M:$Q,5,0),0)</f>
        <v>0</v>
      </c>
      <c r="BP55" s="109">
        <v>0</v>
      </c>
      <c r="BQ55" s="108">
        <f>IFERROR(VLOOKUP($E55&amp;BQ$6,Base!$A:$E,5,0),0)</f>
        <v>0</v>
      </c>
      <c r="BR55" s="101">
        <f>IFERROR(VLOOKUP($E55&amp;BR$6,Base!$G:$K,5,0),0)</f>
        <v>0</v>
      </c>
      <c r="BS55" s="101">
        <f>IFERROR(VLOOKUP($E55&amp;BR$6,Base!$M:$Q,5,0),0)</f>
        <v>0</v>
      </c>
      <c r="BT55" s="109">
        <v>0</v>
      </c>
      <c r="BU55" s="108">
        <f>IFERROR(VLOOKUP($E55&amp;BU$6,Base!$A:$E,5,0),0)</f>
        <v>0</v>
      </c>
      <c r="BV55" s="101">
        <f>IFERROR(VLOOKUP($E55&amp;BV$6,Base!$G:$K,5,0),0)</f>
        <v>0</v>
      </c>
      <c r="BW55" s="101">
        <f>IFERROR(VLOOKUP($E55&amp;BV$6,Base!$M:$Q,5,0),0)</f>
        <v>0</v>
      </c>
      <c r="BX55" s="109">
        <f>IFERROR(VLOOKUP($E55,Base!$U:$W,3,0),0)</f>
        <v>0</v>
      </c>
    </row>
    <row r="56" spans="2:76" x14ac:dyDescent="0.35">
      <c r="B56" s="53" t="s">
        <v>402</v>
      </c>
      <c r="C56" s="51">
        <v>4054</v>
      </c>
      <c r="D56" s="51" t="s">
        <v>436</v>
      </c>
      <c r="E56" s="51">
        <v>167594</v>
      </c>
      <c r="F56" s="96" t="s">
        <v>446</v>
      </c>
      <c r="G56" s="42" t="s">
        <v>95</v>
      </c>
      <c r="H56" s="98" t="s">
        <v>135</v>
      </c>
      <c r="I56" s="143" t="s">
        <v>144</v>
      </c>
      <c r="J56" s="104">
        <f t="shared" si="33"/>
        <v>607.5</v>
      </c>
      <c r="K56" s="99">
        <f t="shared" si="34"/>
        <v>173.375</v>
      </c>
      <c r="L56" s="99">
        <f t="shared" si="35"/>
        <v>0</v>
      </c>
      <c r="M56" s="105">
        <f t="shared" si="36"/>
        <v>0</v>
      </c>
      <c r="N56" s="108">
        <f>IFERROR(VLOOKUP($E56&amp;N$6,Base!$A:$E,5,0),0)</f>
        <v>68</v>
      </c>
      <c r="O56" s="101">
        <v>28</v>
      </c>
      <c r="P56" s="101">
        <v>0</v>
      </c>
      <c r="Q56" s="101"/>
      <c r="R56" s="108">
        <f>IFERROR(VLOOKUP($E56&amp;R$6,Base!$A:$E,5,0),0)</f>
        <v>495</v>
      </c>
      <c r="S56" s="101">
        <f>IFERROR(VLOOKUP($E56&amp;S$6,Base!$G:$K,5,0),0)</f>
        <v>131</v>
      </c>
      <c r="T56" s="101">
        <f>IFERROR(VLOOKUP($E56&amp;S$6,Base!$M:$Q,5,0),0)</f>
        <v>0</v>
      </c>
      <c r="U56" s="109"/>
      <c r="V56" s="108">
        <f>IFERROR(VLOOKUP($E56&amp;V$6,Base!$A:$E,5,0),0)</f>
        <v>44.5</v>
      </c>
      <c r="W56" s="101">
        <f>IFERROR(VLOOKUP($E56&amp;W$6,Base!$G:$K,5,0),0)</f>
        <v>14.375</v>
      </c>
      <c r="X56" s="101">
        <f>IFERROR(VLOOKUP($E56&amp;W$6,Base!$M:$Q,5,0),0)</f>
        <v>0</v>
      </c>
      <c r="Y56" s="109"/>
      <c r="AA56" s="104">
        <f t="shared" si="37"/>
        <v>179.06900000000002</v>
      </c>
      <c r="AB56" s="99">
        <f t="shared" si="38"/>
        <v>108.667</v>
      </c>
      <c r="AC56" s="99">
        <f t="shared" si="39"/>
        <v>14.5</v>
      </c>
      <c r="AD56" s="105">
        <f t="shared" si="40"/>
        <v>0</v>
      </c>
      <c r="AE56" s="108">
        <f>IFERROR(VLOOKUP($E56&amp;AE$6,Base!$A:$E,5,0),0)</f>
        <v>34</v>
      </c>
      <c r="AF56" s="101">
        <f>IFERROR(VLOOKUP($E56&amp;AF$6,Base!$G:$K,5,0),0)</f>
        <v>31.25</v>
      </c>
      <c r="AG56" s="101">
        <f>IFERROR(VLOOKUP($E56&amp;AF$6,Base!$M:$Q,5,0),0)</f>
        <v>0</v>
      </c>
      <c r="AH56" s="109"/>
      <c r="AI56" s="108">
        <f>IFERROR(VLOOKUP($E56&amp;AI$6,Base!$A:$E,5,0),0)</f>
        <v>27.582999999999998</v>
      </c>
      <c r="AJ56" s="101">
        <f>IFERROR(VLOOKUP($E56&amp;AJ$6,Base!$G:$K,5,0),0)</f>
        <v>34.917000000000002</v>
      </c>
      <c r="AK56" s="101">
        <f>IFERROR(VLOOKUP($E56&amp;AJ$6,Base!$M:$Q,5,0),0)</f>
        <v>3.25</v>
      </c>
      <c r="AL56" s="109">
        <v>0</v>
      </c>
      <c r="AM56" s="108">
        <f>IFERROR(VLOOKUP($E56&amp;AM$6,Base!$A:$E,5,0),0)</f>
        <v>117.486</v>
      </c>
      <c r="AN56" s="101">
        <f>IFERROR(VLOOKUP($E56&amp;AN$6,Base!$G:$K,5,0),0)</f>
        <v>42.5</v>
      </c>
      <c r="AO56" s="101">
        <f>IFERROR(VLOOKUP($E56&amp;AN$6,Base!$M:$Q,5,0),0)</f>
        <v>11.25</v>
      </c>
      <c r="AP56" s="109"/>
      <c r="AR56" s="104">
        <f t="shared" si="41"/>
        <v>162.25</v>
      </c>
      <c r="AS56" s="99">
        <f t="shared" si="42"/>
        <v>136.5</v>
      </c>
      <c r="AT56" s="99">
        <f t="shared" si="43"/>
        <v>4.125</v>
      </c>
      <c r="AU56" s="105">
        <f t="shared" si="48"/>
        <v>0</v>
      </c>
      <c r="AV56" s="108">
        <f>IFERROR(VLOOKUP($E56&amp;AV$6,Base!$A:$E,5,0),0)</f>
        <v>37.5</v>
      </c>
      <c r="AW56" s="101">
        <f>IFERROR(VLOOKUP($E56&amp;AW$6,Base!$G:$K,5,0),0)</f>
        <v>87.5</v>
      </c>
      <c r="AX56" s="101">
        <f>IFERROR(VLOOKUP($E56&amp;AW$6,Base!$M:$Q,5,0),0)</f>
        <v>0</v>
      </c>
      <c r="AY56" s="109">
        <v>0</v>
      </c>
      <c r="AZ56" s="108">
        <f>IFERROR(VLOOKUP($E56&amp;AZ$6,Base!$A:$E,5,0),0)</f>
        <v>21</v>
      </c>
      <c r="BA56" s="101">
        <f>IFERROR(VLOOKUP($E56&amp;BA$6,Base!$G:$K,5,0),0)</f>
        <v>0</v>
      </c>
      <c r="BB56" s="101">
        <f>IFERROR(VLOOKUP($E56&amp;BA$6,Base!$M:$Q,5,0),0)</f>
        <v>0</v>
      </c>
      <c r="BC56" s="109">
        <v>0</v>
      </c>
      <c r="BD56" s="108">
        <f>IFERROR(VLOOKUP($E56&amp;BD$6,Base!$A:$E,5,0),0)</f>
        <v>103.75</v>
      </c>
      <c r="BE56" s="101">
        <f>IFERROR(VLOOKUP($E56&amp;BE$6,Base!$G:$K,5,0),0)</f>
        <v>49</v>
      </c>
      <c r="BF56" s="101">
        <f>IFERROR(VLOOKUP($E56&amp;BE$6,Base!$M:$Q,5,0),0)</f>
        <v>4.125</v>
      </c>
      <c r="BG56" s="109">
        <v>0</v>
      </c>
      <c r="BI56" s="104">
        <f t="shared" si="44"/>
        <v>88.332999999999998</v>
      </c>
      <c r="BJ56" s="99">
        <f t="shared" si="45"/>
        <v>212.542</v>
      </c>
      <c r="BK56" s="99">
        <f t="shared" si="46"/>
        <v>0</v>
      </c>
      <c r="BL56" s="111">
        <f t="shared" si="47"/>
        <v>0</v>
      </c>
      <c r="BM56" s="108">
        <f>IFERROR(VLOOKUP($E56&amp;BM$6,Base!$A:$E,5,0),0)</f>
        <v>43.332999999999998</v>
      </c>
      <c r="BN56" s="101">
        <f>IFERROR(VLOOKUP($E56&amp;BN$6,Base!$G:$K,5,0),0)</f>
        <v>33</v>
      </c>
      <c r="BO56" s="101">
        <f>IFERROR(VLOOKUP($E56&amp;BN$6,Base!$M:$Q,5,0),0)</f>
        <v>0</v>
      </c>
      <c r="BP56" s="109">
        <v>0</v>
      </c>
      <c r="BQ56" s="108">
        <f>IFERROR(VLOOKUP($E56&amp;BQ$6,Base!$A:$E,5,0),0)</f>
        <v>23</v>
      </c>
      <c r="BR56" s="101">
        <f>IFERROR(VLOOKUP($E56&amp;BR$6,Base!$G:$K,5,0),0)</f>
        <v>139</v>
      </c>
      <c r="BS56" s="101">
        <f>IFERROR(VLOOKUP($E56&amp;BR$6,Base!$M:$Q,5,0),0)</f>
        <v>0</v>
      </c>
      <c r="BT56" s="109">
        <v>0</v>
      </c>
      <c r="BU56" s="108">
        <f>IFERROR(VLOOKUP($E56&amp;BU$6,Base!$A:$E,5,0),0)</f>
        <v>22</v>
      </c>
      <c r="BV56" s="101">
        <f>IFERROR(VLOOKUP($E56&amp;BV$6,Base!$G:$K,5,0),0)</f>
        <v>40.542000000000002</v>
      </c>
      <c r="BW56" s="101">
        <f>IFERROR(VLOOKUP($E56&amp;BV$6,Base!$M:$Q,5,0),0)</f>
        <v>0</v>
      </c>
      <c r="BX56" s="109">
        <f>IFERROR(VLOOKUP($E56,Base!$U:$W,3,0),0)</f>
        <v>0</v>
      </c>
    </row>
    <row r="57" spans="2:76" x14ac:dyDescent="0.35">
      <c r="B57" s="53" t="s">
        <v>402</v>
      </c>
      <c r="C57" s="51">
        <v>4054</v>
      </c>
      <c r="D57" s="51" t="s">
        <v>436</v>
      </c>
      <c r="E57" s="51">
        <v>182419</v>
      </c>
      <c r="F57" s="96" t="s">
        <v>449</v>
      </c>
      <c r="G57" s="42" t="s">
        <v>95</v>
      </c>
      <c r="H57" s="98" t="s">
        <v>135</v>
      </c>
      <c r="I57" s="143" t="s">
        <v>144</v>
      </c>
      <c r="J57" s="104">
        <f t="shared" si="33"/>
        <v>5.875</v>
      </c>
      <c r="K57" s="99">
        <f t="shared" si="34"/>
        <v>0</v>
      </c>
      <c r="L57" s="99">
        <f t="shared" si="35"/>
        <v>0</v>
      </c>
      <c r="M57" s="105">
        <f t="shared" si="36"/>
        <v>0</v>
      </c>
      <c r="N57" s="108">
        <f>IFERROR(VLOOKUP($E57&amp;N$6,Base!$A:$E,5,0),0)</f>
        <v>0</v>
      </c>
      <c r="O57" s="101">
        <v>0</v>
      </c>
      <c r="P57" s="101">
        <v>0</v>
      </c>
      <c r="Q57" s="101"/>
      <c r="R57" s="108">
        <f>IFERROR(VLOOKUP($E57&amp;R$6,Base!$A:$E,5,0),0)</f>
        <v>5.875</v>
      </c>
      <c r="S57" s="101">
        <f>IFERROR(VLOOKUP($E57&amp;S$6,Base!$G:$K,5,0),0)</f>
        <v>0</v>
      </c>
      <c r="T57" s="101">
        <f>IFERROR(VLOOKUP($E57&amp;S$6,Base!$M:$Q,5,0),0)</f>
        <v>0</v>
      </c>
      <c r="U57" s="109"/>
      <c r="V57" s="108">
        <f>IFERROR(VLOOKUP($E57&amp;V$6,Base!$A:$E,5,0),0)</f>
        <v>0</v>
      </c>
      <c r="W57" s="101">
        <f>IFERROR(VLOOKUP($E57&amp;W$6,Base!$G:$K,5,0),0)</f>
        <v>0</v>
      </c>
      <c r="X57" s="101">
        <f>IFERROR(VLOOKUP($E57&amp;W$6,Base!$M:$Q,5,0),0)</f>
        <v>0</v>
      </c>
      <c r="Y57" s="109"/>
      <c r="AA57" s="104">
        <f t="shared" si="37"/>
        <v>0</v>
      </c>
      <c r="AB57" s="99">
        <f t="shared" si="38"/>
        <v>5.875</v>
      </c>
      <c r="AC57" s="99">
        <f t="shared" si="39"/>
        <v>0.25</v>
      </c>
      <c r="AD57" s="105">
        <f t="shared" si="40"/>
        <v>0</v>
      </c>
      <c r="AE57" s="108">
        <f>IFERROR(VLOOKUP($E57&amp;AE$6,Base!$A:$E,5,0),0)</f>
        <v>0</v>
      </c>
      <c r="AF57" s="101">
        <f>IFERROR(VLOOKUP($E57&amp;AF$6,Base!$G:$K,5,0),0)</f>
        <v>0</v>
      </c>
      <c r="AG57" s="101">
        <f>IFERROR(VLOOKUP($E57&amp;AF$6,Base!$M:$Q,5,0),0)</f>
        <v>0</v>
      </c>
      <c r="AH57" s="109"/>
      <c r="AI57" s="108">
        <f>IFERROR(VLOOKUP($E57&amp;AI$6,Base!$A:$E,5,0),0)</f>
        <v>0</v>
      </c>
      <c r="AJ57" s="101">
        <f>IFERROR(VLOOKUP($E57&amp;AJ$6,Base!$G:$K,5,0),0)</f>
        <v>0</v>
      </c>
      <c r="AK57" s="101">
        <f>IFERROR(VLOOKUP($E57&amp;AJ$6,Base!$M:$Q,5,0),0)</f>
        <v>0</v>
      </c>
      <c r="AL57" s="109">
        <v>0</v>
      </c>
      <c r="AM57" s="108">
        <f>IFERROR(VLOOKUP($E57&amp;AM$6,Base!$A:$E,5,0),0)</f>
        <v>0</v>
      </c>
      <c r="AN57" s="101">
        <f>IFERROR(VLOOKUP($E57&amp;AN$6,Base!$G:$K,5,0),0)</f>
        <v>5.875</v>
      </c>
      <c r="AO57" s="101">
        <f>IFERROR(VLOOKUP($E57&amp;AN$6,Base!$M:$Q,5,0),0)</f>
        <v>0.25</v>
      </c>
      <c r="AP57" s="109"/>
      <c r="AR57" s="104">
        <f t="shared" si="41"/>
        <v>0</v>
      </c>
      <c r="AS57" s="99">
        <f t="shared" si="42"/>
        <v>0</v>
      </c>
      <c r="AT57" s="99">
        <f t="shared" si="43"/>
        <v>0</v>
      </c>
      <c r="AU57" s="105">
        <f t="shared" si="48"/>
        <v>0</v>
      </c>
      <c r="AV57" s="108">
        <f>IFERROR(VLOOKUP($E57&amp;AV$6,Base!$A:$E,5,0),0)</f>
        <v>0</v>
      </c>
      <c r="AW57" s="101">
        <f>IFERROR(VLOOKUP($E57&amp;AW$6,Base!$G:$K,5,0),0)</f>
        <v>0</v>
      </c>
      <c r="AX57" s="101">
        <f>IFERROR(VLOOKUP($E57&amp;AW$6,Base!$M:$Q,5,0),0)</f>
        <v>0</v>
      </c>
      <c r="AY57" s="109">
        <v>0</v>
      </c>
      <c r="AZ57" s="108">
        <f>IFERROR(VLOOKUP($E57&amp;AZ$6,Base!$A:$E,5,0),0)</f>
        <v>0</v>
      </c>
      <c r="BA57" s="101">
        <f>IFERROR(VLOOKUP($E57&amp;BA$6,Base!$G:$K,5,0),0)</f>
        <v>0</v>
      </c>
      <c r="BB57" s="101">
        <f>IFERROR(VLOOKUP($E57&amp;BA$6,Base!$M:$Q,5,0),0)</f>
        <v>0</v>
      </c>
      <c r="BC57" s="109">
        <v>0</v>
      </c>
      <c r="BD57" s="108">
        <f>IFERROR(VLOOKUP($E57&amp;BD$6,Base!$A:$E,5,0),0)</f>
        <v>0</v>
      </c>
      <c r="BE57" s="101">
        <f>IFERROR(VLOOKUP($E57&amp;BE$6,Base!$G:$K,5,0),0)</f>
        <v>0</v>
      </c>
      <c r="BF57" s="101">
        <f>IFERROR(VLOOKUP($E57&amp;BE$6,Base!$M:$Q,5,0),0)</f>
        <v>0</v>
      </c>
      <c r="BG57" s="109">
        <v>0</v>
      </c>
      <c r="BI57" s="104">
        <f t="shared" si="44"/>
        <v>0</v>
      </c>
      <c r="BJ57" s="99">
        <f t="shared" si="45"/>
        <v>0</v>
      </c>
      <c r="BK57" s="99">
        <f t="shared" si="46"/>
        <v>0</v>
      </c>
      <c r="BL57" s="111">
        <f t="shared" si="47"/>
        <v>0</v>
      </c>
      <c r="BM57" s="108">
        <f>IFERROR(VLOOKUP($E57&amp;BM$6,Base!$A:$E,5,0),0)</f>
        <v>0</v>
      </c>
      <c r="BN57" s="101">
        <f>IFERROR(VLOOKUP($E57&amp;BN$6,Base!$G:$K,5,0),0)</f>
        <v>0</v>
      </c>
      <c r="BO57" s="101">
        <f>IFERROR(VLOOKUP($E57&amp;BN$6,Base!$M:$Q,5,0),0)</f>
        <v>0</v>
      </c>
      <c r="BP57" s="109">
        <v>0</v>
      </c>
      <c r="BQ57" s="108">
        <f>IFERROR(VLOOKUP($E57&amp;BQ$6,Base!$A:$E,5,0),0)</f>
        <v>0</v>
      </c>
      <c r="BR57" s="101">
        <f>IFERROR(VLOOKUP($E57&amp;BR$6,Base!$G:$K,5,0),0)</f>
        <v>0</v>
      </c>
      <c r="BS57" s="101">
        <f>IFERROR(VLOOKUP($E57&amp;BR$6,Base!$M:$Q,5,0),0)</f>
        <v>0</v>
      </c>
      <c r="BT57" s="109">
        <v>0</v>
      </c>
      <c r="BU57" s="108">
        <f>IFERROR(VLOOKUP($E57&amp;BU$6,Base!$A:$E,5,0),0)</f>
        <v>0</v>
      </c>
      <c r="BV57" s="101">
        <f>IFERROR(VLOOKUP($E57&amp;BV$6,Base!$G:$K,5,0),0)</f>
        <v>0</v>
      </c>
      <c r="BW57" s="101">
        <f>IFERROR(VLOOKUP($E57&amp;BV$6,Base!$M:$Q,5,0),0)</f>
        <v>0</v>
      </c>
      <c r="BX57" s="109">
        <f>IFERROR(VLOOKUP($E57,Base!$U:$W,3,0),0)</f>
        <v>0</v>
      </c>
    </row>
    <row r="58" spans="2:76" x14ac:dyDescent="0.35">
      <c r="B58" s="53" t="s">
        <v>402</v>
      </c>
      <c r="C58" s="51">
        <v>4054</v>
      </c>
      <c r="D58" s="51" t="s">
        <v>436</v>
      </c>
      <c r="E58" s="51">
        <v>53486</v>
      </c>
      <c r="F58" s="96" t="s">
        <v>452</v>
      </c>
      <c r="G58" s="42" t="s">
        <v>152</v>
      </c>
      <c r="H58" s="98" t="s">
        <v>154</v>
      </c>
      <c r="I58" s="143" t="s">
        <v>144</v>
      </c>
      <c r="J58" s="104">
        <f t="shared" si="33"/>
        <v>608.625</v>
      </c>
      <c r="K58" s="99">
        <f t="shared" si="34"/>
        <v>604.25</v>
      </c>
      <c r="L58" s="99">
        <f t="shared" si="35"/>
        <v>1</v>
      </c>
      <c r="M58" s="105">
        <f t="shared" si="36"/>
        <v>0</v>
      </c>
      <c r="N58" s="108">
        <f>IFERROR(VLOOKUP($E58&amp;N$6,Base!$A:$E,5,0),0)</f>
        <v>62.207999999999998</v>
      </c>
      <c r="O58" s="101">
        <v>93.75</v>
      </c>
      <c r="P58" s="101">
        <v>1</v>
      </c>
      <c r="Q58" s="101"/>
      <c r="R58" s="108">
        <f>IFERROR(VLOOKUP($E58&amp;R$6,Base!$A:$E,5,0),0)</f>
        <v>2</v>
      </c>
      <c r="S58" s="101">
        <f>IFERROR(VLOOKUP($E58&amp;S$6,Base!$G:$K,5,0),0)</f>
        <v>70.5</v>
      </c>
      <c r="T58" s="101">
        <f>IFERROR(VLOOKUP($E58&amp;S$6,Base!$M:$Q,5,0),0)</f>
        <v>0</v>
      </c>
      <c r="U58" s="109"/>
      <c r="V58" s="108">
        <f>IFERROR(VLOOKUP($E58&amp;V$6,Base!$A:$E,5,0),0)</f>
        <v>544.41700000000003</v>
      </c>
      <c r="W58" s="101">
        <f>IFERROR(VLOOKUP($E58&amp;W$6,Base!$G:$K,5,0),0)</f>
        <v>440</v>
      </c>
      <c r="X58" s="101">
        <f>IFERROR(VLOOKUP($E58&amp;W$6,Base!$M:$Q,5,0),0)</f>
        <v>0</v>
      </c>
      <c r="Y58" s="109"/>
      <c r="AA58" s="104">
        <f t="shared" si="37"/>
        <v>103.833</v>
      </c>
      <c r="AB58" s="99">
        <f t="shared" si="38"/>
        <v>651.16599999999994</v>
      </c>
      <c r="AC58" s="99">
        <f t="shared" si="39"/>
        <v>12</v>
      </c>
      <c r="AD58" s="105">
        <f t="shared" si="40"/>
        <v>0</v>
      </c>
      <c r="AE58" s="108">
        <f>IFERROR(VLOOKUP($E58&amp;AE$6,Base!$A:$E,5,0),0)</f>
        <v>6.3330000000000002</v>
      </c>
      <c r="AF58" s="101">
        <f>IFERROR(VLOOKUP($E58&amp;AF$6,Base!$G:$K,5,0),0)</f>
        <v>87.332999999999998</v>
      </c>
      <c r="AG58" s="101">
        <f>IFERROR(VLOOKUP($E58&amp;AF$6,Base!$M:$Q,5,0),0)</f>
        <v>0</v>
      </c>
      <c r="AH58" s="109"/>
      <c r="AI58" s="108">
        <f>IFERROR(VLOOKUP($E58&amp;AI$6,Base!$A:$E,5,0),0)</f>
        <v>97.5</v>
      </c>
      <c r="AJ58" s="101">
        <f>IFERROR(VLOOKUP($E58&amp;AJ$6,Base!$G:$K,5,0),0)</f>
        <v>86.832999999999998</v>
      </c>
      <c r="AK58" s="101">
        <f>IFERROR(VLOOKUP($E58&amp;AJ$6,Base!$M:$Q,5,0),0)</f>
        <v>0</v>
      </c>
      <c r="AL58" s="109">
        <v>0</v>
      </c>
      <c r="AM58" s="108">
        <f>IFERROR(VLOOKUP($E58&amp;AM$6,Base!$A:$E,5,0),0)</f>
        <v>0</v>
      </c>
      <c r="AN58" s="101">
        <f>IFERROR(VLOOKUP($E58&amp;AN$6,Base!$G:$K,5,0),0)</f>
        <v>477</v>
      </c>
      <c r="AO58" s="101">
        <f>IFERROR(VLOOKUP($E58&amp;AN$6,Base!$M:$Q,5,0),0)</f>
        <v>12</v>
      </c>
      <c r="AP58" s="109"/>
      <c r="AR58" s="104">
        <f t="shared" si="41"/>
        <v>319.89600000000002</v>
      </c>
      <c r="AS58" s="99">
        <f t="shared" si="42"/>
        <v>834</v>
      </c>
      <c r="AT58" s="99">
        <f t="shared" si="43"/>
        <v>53</v>
      </c>
      <c r="AU58" s="105">
        <f t="shared" si="48"/>
        <v>0</v>
      </c>
      <c r="AV58" s="108">
        <f>IFERROR(VLOOKUP($E58&amp;AV$6,Base!$A:$E,5,0),0)</f>
        <v>155.92500000000001</v>
      </c>
      <c r="AW58" s="101">
        <f>IFERROR(VLOOKUP($E58&amp;AW$6,Base!$G:$K,5,0),0)</f>
        <v>75</v>
      </c>
      <c r="AX58" s="101">
        <f>IFERROR(VLOOKUP($E58&amp;AW$6,Base!$M:$Q,5,0),0)</f>
        <v>0</v>
      </c>
      <c r="AY58" s="109">
        <v>0</v>
      </c>
      <c r="AZ58" s="108">
        <f>IFERROR(VLOOKUP($E58&amp;AZ$6,Base!$A:$E,5,0),0)</f>
        <v>47.274999999999999</v>
      </c>
      <c r="BA58" s="101">
        <f>IFERROR(VLOOKUP($E58&amp;BA$6,Base!$G:$K,5,0),0)</f>
        <v>104</v>
      </c>
      <c r="BB58" s="101">
        <f>IFERROR(VLOOKUP($E58&amp;BA$6,Base!$M:$Q,5,0),0)</f>
        <v>0</v>
      </c>
      <c r="BC58" s="109">
        <v>0</v>
      </c>
      <c r="BD58" s="108">
        <f>IFERROR(VLOOKUP($E58&amp;BD$6,Base!$A:$E,5,0),0)</f>
        <v>116.696</v>
      </c>
      <c r="BE58" s="101">
        <f>IFERROR(VLOOKUP($E58&amp;BE$6,Base!$G:$K,5,0),0)</f>
        <v>655</v>
      </c>
      <c r="BF58" s="101">
        <f>IFERROR(VLOOKUP($E58&amp;BE$6,Base!$M:$Q,5,0),0)</f>
        <v>53</v>
      </c>
      <c r="BG58" s="109">
        <v>0</v>
      </c>
      <c r="BI58" s="104">
        <f t="shared" si="44"/>
        <v>318.5</v>
      </c>
      <c r="BJ58" s="99">
        <f t="shared" si="45"/>
        <v>343.95799999999997</v>
      </c>
      <c r="BK58" s="99">
        <f t="shared" si="46"/>
        <v>0</v>
      </c>
      <c r="BL58" s="111">
        <f t="shared" si="47"/>
        <v>0</v>
      </c>
      <c r="BM58" s="108">
        <f>IFERROR(VLOOKUP($E58&amp;BM$6,Base!$A:$E,5,0),0)</f>
        <v>34</v>
      </c>
      <c r="BN58" s="101">
        <f>IFERROR(VLOOKUP($E58&amp;BN$6,Base!$G:$K,5,0),0)</f>
        <v>-4.2000000000000003E-2</v>
      </c>
      <c r="BO58" s="101">
        <f>IFERROR(VLOOKUP($E58&amp;BN$6,Base!$M:$Q,5,0),0)</f>
        <v>0</v>
      </c>
      <c r="BP58" s="109">
        <v>0</v>
      </c>
      <c r="BQ58" s="108">
        <f>IFERROR(VLOOKUP($E58&amp;BQ$6,Base!$A:$E,5,0),0)</f>
        <v>101</v>
      </c>
      <c r="BR58" s="101">
        <f>IFERROR(VLOOKUP($E58&amp;BR$6,Base!$G:$K,5,0),0)</f>
        <v>66</v>
      </c>
      <c r="BS58" s="101">
        <f>IFERROR(VLOOKUP($E58&amp;BR$6,Base!$M:$Q,5,0),0)</f>
        <v>0</v>
      </c>
      <c r="BT58" s="109">
        <v>0</v>
      </c>
      <c r="BU58" s="108">
        <f>IFERROR(VLOOKUP($E58&amp;BU$6,Base!$A:$E,5,0),0)</f>
        <v>183.5</v>
      </c>
      <c r="BV58" s="101">
        <f>IFERROR(VLOOKUP($E58&amp;BV$6,Base!$G:$K,5,0),0)</f>
        <v>278</v>
      </c>
      <c r="BW58" s="101">
        <f>IFERROR(VLOOKUP($E58&amp;BV$6,Base!$M:$Q,5,0),0)</f>
        <v>0</v>
      </c>
      <c r="BX58" s="109">
        <f>IFERROR(VLOOKUP($E58,Base!$U:$W,3,0),0)</f>
        <v>0</v>
      </c>
    </row>
    <row r="59" spans="2:76" x14ac:dyDescent="0.35">
      <c r="B59" s="53" t="s">
        <v>402</v>
      </c>
      <c r="C59" s="51">
        <v>4054</v>
      </c>
      <c r="D59" s="51" t="s">
        <v>436</v>
      </c>
      <c r="E59" s="51">
        <v>54734</v>
      </c>
      <c r="F59" s="96" t="s">
        <v>455</v>
      </c>
      <c r="G59" s="42" t="s">
        <v>152</v>
      </c>
      <c r="H59" s="98" t="s">
        <v>154</v>
      </c>
      <c r="I59" s="143" t="s">
        <v>144</v>
      </c>
      <c r="J59" s="104">
        <f t="shared" si="33"/>
        <v>5.875</v>
      </c>
      <c r="K59" s="99">
        <f t="shared" si="34"/>
        <v>5.875</v>
      </c>
      <c r="L59" s="99">
        <f t="shared" si="35"/>
        <v>0</v>
      </c>
      <c r="M59" s="105">
        <f t="shared" si="36"/>
        <v>0</v>
      </c>
      <c r="N59" s="108">
        <f>IFERROR(VLOOKUP($E59&amp;N$6,Base!$A:$E,5,0),0)</f>
        <v>5.875</v>
      </c>
      <c r="O59" s="101">
        <v>5.875</v>
      </c>
      <c r="P59" s="101">
        <v>0</v>
      </c>
      <c r="Q59" s="101"/>
      <c r="R59" s="108">
        <f>IFERROR(VLOOKUP($E59&amp;R$6,Base!$A:$E,5,0),0)</f>
        <v>0</v>
      </c>
      <c r="S59" s="101">
        <f>IFERROR(VLOOKUP($E59&amp;S$6,Base!$G:$K,5,0),0)</f>
        <v>0</v>
      </c>
      <c r="T59" s="101">
        <f>IFERROR(VLOOKUP($E59&amp;S$6,Base!$M:$Q,5,0),0)</f>
        <v>0</v>
      </c>
      <c r="U59" s="109"/>
      <c r="V59" s="108">
        <f>IFERROR(VLOOKUP($E59&amp;V$6,Base!$A:$E,5,0),0)</f>
        <v>0</v>
      </c>
      <c r="W59" s="101">
        <f>IFERROR(VLOOKUP($E59&amp;W$6,Base!$G:$K,5,0),0)</f>
        <v>0</v>
      </c>
      <c r="X59" s="101">
        <f>IFERROR(VLOOKUP($E59&amp;W$6,Base!$M:$Q,5,0),0)</f>
        <v>0</v>
      </c>
      <c r="Y59" s="109"/>
      <c r="AA59" s="104">
        <f t="shared" si="37"/>
        <v>23.625</v>
      </c>
      <c r="AB59" s="99">
        <f t="shared" si="38"/>
        <v>0</v>
      </c>
      <c r="AC59" s="99">
        <f t="shared" si="39"/>
        <v>0</v>
      </c>
      <c r="AD59" s="105">
        <f t="shared" si="40"/>
        <v>0</v>
      </c>
      <c r="AE59" s="108">
        <f>IFERROR(VLOOKUP($E59&amp;AE$6,Base!$A:$E,5,0),0)</f>
        <v>0</v>
      </c>
      <c r="AF59" s="101">
        <f>IFERROR(VLOOKUP($E59&amp;AF$6,Base!$G:$K,5,0),0)</f>
        <v>0</v>
      </c>
      <c r="AG59" s="101">
        <f>IFERROR(VLOOKUP($E59&amp;AF$6,Base!$M:$Q,5,0),0)</f>
        <v>0</v>
      </c>
      <c r="AH59" s="109"/>
      <c r="AI59" s="108">
        <f>IFERROR(VLOOKUP($E59&amp;AI$6,Base!$A:$E,5,0),0)</f>
        <v>12</v>
      </c>
      <c r="AJ59" s="101">
        <f>IFERROR(VLOOKUP($E59&amp;AJ$6,Base!$G:$K,5,0),0)</f>
        <v>0</v>
      </c>
      <c r="AK59" s="101">
        <f>IFERROR(VLOOKUP($E59&amp;AJ$6,Base!$M:$Q,5,0),0)</f>
        <v>0</v>
      </c>
      <c r="AL59" s="109">
        <v>0</v>
      </c>
      <c r="AM59" s="108">
        <f>IFERROR(VLOOKUP($E59&amp;AM$6,Base!$A:$E,5,0),0)</f>
        <v>11.625</v>
      </c>
      <c r="AN59" s="101">
        <f>IFERROR(VLOOKUP($E59&amp;AN$6,Base!$G:$K,5,0),0)</f>
        <v>0</v>
      </c>
      <c r="AO59" s="101">
        <f>IFERROR(VLOOKUP($E59&amp;AN$6,Base!$M:$Q,5,0),0)</f>
        <v>0</v>
      </c>
      <c r="AP59" s="109"/>
      <c r="AR59" s="104">
        <f t="shared" si="41"/>
        <v>2</v>
      </c>
      <c r="AS59" s="99">
        <f t="shared" si="42"/>
        <v>6</v>
      </c>
      <c r="AT59" s="99">
        <f t="shared" si="43"/>
        <v>0</v>
      </c>
      <c r="AU59" s="105">
        <f t="shared" si="48"/>
        <v>0</v>
      </c>
      <c r="AV59" s="108">
        <f>IFERROR(VLOOKUP($E59&amp;AV$6,Base!$A:$E,5,0),0)</f>
        <v>0</v>
      </c>
      <c r="AW59" s="101">
        <f>IFERROR(VLOOKUP($E59&amp;AW$6,Base!$G:$K,5,0),0)</f>
        <v>0</v>
      </c>
      <c r="AX59" s="101">
        <f>IFERROR(VLOOKUP($E59&amp;AW$6,Base!$M:$Q,5,0),0)</f>
        <v>0</v>
      </c>
      <c r="AY59" s="109">
        <v>0</v>
      </c>
      <c r="AZ59" s="108">
        <f>IFERROR(VLOOKUP($E59&amp;AZ$6,Base!$A:$E,5,0),0)</f>
        <v>0</v>
      </c>
      <c r="BA59" s="101">
        <f>IFERROR(VLOOKUP($E59&amp;BA$6,Base!$G:$K,5,0),0)</f>
        <v>1</v>
      </c>
      <c r="BB59" s="101">
        <f>IFERROR(VLOOKUP($E59&amp;BA$6,Base!$M:$Q,5,0),0)</f>
        <v>0</v>
      </c>
      <c r="BC59" s="109">
        <v>0</v>
      </c>
      <c r="BD59" s="108">
        <f>IFERROR(VLOOKUP($E59&amp;BD$6,Base!$A:$E,5,0),0)</f>
        <v>2</v>
      </c>
      <c r="BE59" s="101">
        <f>IFERROR(VLOOKUP($E59&amp;BE$6,Base!$G:$K,5,0),0)</f>
        <v>5</v>
      </c>
      <c r="BF59" s="101">
        <f>IFERROR(VLOOKUP($E59&amp;BE$6,Base!$M:$Q,5,0),0)</f>
        <v>0</v>
      </c>
      <c r="BG59" s="109">
        <v>0</v>
      </c>
      <c r="BI59" s="104">
        <f t="shared" si="44"/>
        <v>0</v>
      </c>
      <c r="BJ59" s="99">
        <f t="shared" si="45"/>
        <v>3.5</v>
      </c>
      <c r="BK59" s="99">
        <f t="shared" si="46"/>
        <v>0</v>
      </c>
      <c r="BL59" s="111">
        <f t="shared" si="47"/>
        <v>0</v>
      </c>
      <c r="BM59" s="108">
        <f>IFERROR(VLOOKUP($E59&amp;BM$6,Base!$A:$E,5,0),0)</f>
        <v>0</v>
      </c>
      <c r="BN59" s="101">
        <f>IFERROR(VLOOKUP($E59&amp;BN$6,Base!$G:$K,5,0),0)</f>
        <v>3.5</v>
      </c>
      <c r="BO59" s="101">
        <f>IFERROR(VLOOKUP($E59&amp;BN$6,Base!$M:$Q,5,0),0)</f>
        <v>0</v>
      </c>
      <c r="BP59" s="109">
        <v>0</v>
      </c>
      <c r="BQ59" s="108">
        <f>IFERROR(VLOOKUP($E59&amp;BQ$6,Base!$A:$E,5,0),0)</f>
        <v>0</v>
      </c>
      <c r="BR59" s="101">
        <f>IFERROR(VLOOKUP($E59&amp;BR$6,Base!$G:$K,5,0),0)</f>
        <v>0</v>
      </c>
      <c r="BS59" s="101">
        <f>IFERROR(VLOOKUP($E59&amp;BR$6,Base!$M:$Q,5,0),0)</f>
        <v>0</v>
      </c>
      <c r="BT59" s="109">
        <v>0</v>
      </c>
      <c r="BU59" s="108">
        <f>IFERROR(VLOOKUP($E59&amp;BU$6,Base!$A:$E,5,0),0)</f>
        <v>0</v>
      </c>
      <c r="BV59" s="101">
        <f>IFERROR(VLOOKUP($E59&amp;BV$6,Base!$G:$K,5,0),0)</f>
        <v>0</v>
      </c>
      <c r="BW59" s="101">
        <f>IFERROR(VLOOKUP($E59&amp;BV$6,Base!$M:$Q,5,0),0)</f>
        <v>0</v>
      </c>
      <c r="BX59" s="109">
        <f>IFERROR(VLOOKUP($E59,Base!$U:$W,3,0),0)</f>
        <v>0</v>
      </c>
    </row>
    <row r="60" spans="2:76" x14ac:dyDescent="0.35">
      <c r="B60" s="53" t="s">
        <v>402</v>
      </c>
      <c r="C60" s="51">
        <v>4054</v>
      </c>
      <c r="D60" s="51" t="s">
        <v>436</v>
      </c>
      <c r="E60" s="51">
        <v>74744</v>
      </c>
      <c r="F60" s="96" t="s">
        <v>458</v>
      </c>
      <c r="G60" s="42" t="s">
        <v>95</v>
      </c>
      <c r="H60" s="98" t="s">
        <v>135</v>
      </c>
      <c r="I60" s="143" t="s">
        <v>144</v>
      </c>
      <c r="J60" s="104">
        <f t="shared" si="33"/>
        <v>5.875</v>
      </c>
      <c r="K60" s="99">
        <f t="shared" si="34"/>
        <v>0</v>
      </c>
      <c r="L60" s="99">
        <f t="shared" si="35"/>
        <v>0</v>
      </c>
      <c r="M60" s="105">
        <f t="shared" si="36"/>
        <v>0</v>
      </c>
      <c r="N60" s="108">
        <f>IFERROR(VLOOKUP($E60&amp;N$6,Base!$A:$E,5,0),0)</f>
        <v>0</v>
      </c>
      <c r="O60" s="101">
        <v>0</v>
      </c>
      <c r="P60" s="101">
        <v>0</v>
      </c>
      <c r="Q60" s="101"/>
      <c r="R60" s="108">
        <f>IFERROR(VLOOKUP($E60&amp;R$6,Base!$A:$E,5,0),0)</f>
        <v>5.875</v>
      </c>
      <c r="S60" s="101">
        <f>IFERROR(VLOOKUP($E60&amp;S$6,Base!$G:$K,5,0),0)</f>
        <v>0</v>
      </c>
      <c r="T60" s="101">
        <f>IFERROR(VLOOKUP($E60&amp;S$6,Base!$M:$Q,5,0),0)</f>
        <v>0</v>
      </c>
      <c r="U60" s="109"/>
      <c r="V60" s="108">
        <f>IFERROR(VLOOKUP($E60&amp;V$6,Base!$A:$E,5,0),0)</f>
        <v>0</v>
      </c>
      <c r="W60" s="101">
        <f>IFERROR(VLOOKUP($E60&amp;W$6,Base!$G:$K,5,0),0)</f>
        <v>0</v>
      </c>
      <c r="X60" s="101">
        <f>IFERROR(VLOOKUP($E60&amp;W$6,Base!$M:$Q,5,0),0)</f>
        <v>0</v>
      </c>
      <c r="Y60" s="109"/>
      <c r="AA60" s="104">
        <f t="shared" si="37"/>
        <v>0</v>
      </c>
      <c r="AB60" s="99">
        <f t="shared" si="38"/>
        <v>5.875</v>
      </c>
      <c r="AC60" s="99">
        <f t="shared" si="39"/>
        <v>0.25</v>
      </c>
      <c r="AD60" s="105">
        <f t="shared" si="40"/>
        <v>0</v>
      </c>
      <c r="AE60" s="108">
        <f>IFERROR(VLOOKUP($E60&amp;AE$6,Base!$A:$E,5,0),0)</f>
        <v>0</v>
      </c>
      <c r="AF60" s="101">
        <f>IFERROR(VLOOKUP($E60&amp;AF$6,Base!$G:$K,5,0),0)</f>
        <v>0</v>
      </c>
      <c r="AG60" s="101">
        <f>IFERROR(VLOOKUP($E60&amp;AF$6,Base!$M:$Q,5,0),0)</f>
        <v>0</v>
      </c>
      <c r="AH60" s="109"/>
      <c r="AI60" s="108">
        <f>IFERROR(VLOOKUP($E60&amp;AI$6,Base!$A:$E,5,0),0)</f>
        <v>0</v>
      </c>
      <c r="AJ60" s="101">
        <f>IFERROR(VLOOKUP($E60&amp;AJ$6,Base!$G:$K,5,0),0)</f>
        <v>0</v>
      </c>
      <c r="AK60" s="101">
        <f>IFERROR(VLOOKUP($E60&amp;AJ$6,Base!$M:$Q,5,0),0)</f>
        <v>0</v>
      </c>
      <c r="AL60" s="109">
        <v>0</v>
      </c>
      <c r="AM60" s="108">
        <f>IFERROR(VLOOKUP($E60&amp;AM$6,Base!$A:$E,5,0),0)</f>
        <v>0</v>
      </c>
      <c r="AN60" s="101">
        <f>IFERROR(VLOOKUP($E60&amp;AN$6,Base!$G:$K,5,0),0)</f>
        <v>5.875</v>
      </c>
      <c r="AO60" s="101">
        <f>IFERROR(VLOOKUP($E60&amp;AN$6,Base!$M:$Q,5,0),0)</f>
        <v>0.25</v>
      </c>
      <c r="AP60" s="109"/>
      <c r="AR60" s="104">
        <f t="shared" si="41"/>
        <v>0</v>
      </c>
      <c r="AS60" s="99">
        <f t="shared" si="42"/>
        <v>0</v>
      </c>
      <c r="AT60" s="99">
        <f t="shared" si="43"/>
        <v>0</v>
      </c>
      <c r="AU60" s="105">
        <f t="shared" si="48"/>
        <v>0</v>
      </c>
      <c r="AV60" s="108">
        <f>IFERROR(VLOOKUP($E60&amp;AV$6,Base!$A:$E,5,0),0)</f>
        <v>0</v>
      </c>
      <c r="AW60" s="101">
        <f>IFERROR(VLOOKUP($E60&amp;AW$6,Base!$G:$K,5,0),0)</f>
        <v>0</v>
      </c>
      <c r="AX60" s="101">
        <f>IFERROR(VLOOKUP($E60&amp;AW$6,Base!$M:$Q,5,0),0)</f>
        <v>0</v>
      </c>
      <c r="AY60" s="109">
        <v>0</v>
      </c>
      <c r="AZ60" s="108">
        <f>IFERROR(VLOOKUP($E60&amp;AZ$6,Base!$A:$E,5,0),0)</f>
        <v>0</v>
      </c>
      <c r="BA60" s="101">
        <f>IFERROR(VLOOKUP($E60&amp;BA$6,Base!$G:$K,5,0),0)</f>
        <v>0</v>
      </c>
      <c r="BB60" s="101">
        <f>IFERROR(VLOOKUP($E60&amp;BA$6,Base!$M:$Q,5,0),0)</f>
        <v>0</v>
      </c>
      <c r="BC60" s="109">
        <v>0</v>
      </c>
      <c r="BD60" s="108">
        <f>IFERROR(VLOOKUP($E60&amp;BD$6,Base!$A:$E,5,0),0)</f>
        <v>0</v>
      </c>
      <c r="BE60" s="101">
        <f>IFERROR(VLOOKUP($E60&amp;BE$6,Base!$G:$K,5,0),0)</f>
        <v>0</v>
      </c>
      <c r="BF60" s="101">
        <f>IFERROR(VLOOKUP($E60&amp;BE$6,Base!$M:$Q,5,0),0)</f>
        <v>0</v>
      </c>
      <c r="BG60" s="109">
        <v>0</v>
      </c>
      <c r="BI60" s="104">
        <f t="shared" si="44"/>
        <v>0</v>
      </c>
      <c r="BJ60" s="99">
        <f t="shared" si="45"/>
        <v>0</v>
      </c>
      <c r="BK60" s="99">
        <f t="shared" si="46"/>
        <v>0</v>
      </c>
      <c r="BL60" s="111">
        <f t="shared" si="47"/>
        <v>0</v>
      </c>
      <c r="BM60" s="108">
        <f>IFERROR(VLOOKUP($E60&amp;BM$6,Base!$A:$E,5,0),0)</f>
        <v>0</v>
      </c>
      <c r="BN60" s="101">
        <f>IFERROR(VLOOKUP($E60&amp;BN$6,Base!$G:$K,5,0),0)</f>
        <v>0</v>
      </c>
      <c r="BO60" s="101">
        <f>IFERROR(VLOOKUP($E60&amp;BN$6,Base!$M:$Q,5,0),0)</f>
        <v>0</v>
      </c>
      <c r="BP60" s="109">
        <v>0</v>
      </c>
      <c r="BQ60" s="108">
        <f>IFERROR(VLOOKUP($E60&amp;BQ$6,Base!$A:$E,5,0),0)</f>
        <v>0</v>
      </c>
      <c r="BR60" s="101">
        <f>IFERROR(VLOOKUP($E60&amp;BR$6,Base!$G:$K,5,0),0)</f>
        <v>0</v>
      </c>
      <c r="BS60" s="101">
        <f>IFERROR(VLOOKUP($E60&amp;BR$6,Base!$M:$Q,5,0),0)</f>
        <v>0</v>
      </c>
      <c r="BT60" s="109">
        <v>0</v>
      </c>
      <c r="BU60" s="108">
        <f>IFERROR(VLOOKUP($E60&amp;BU$6,Base!$A:$E,5,0),0)</f>
        <v>0</v>
      </c>
      <c r="BV60" s="101">
        <f>IFERROR(VLOOKUP($E60&amp;BV$6,Base!$G:$K,5,0),0)</f>
        <v>0</v>
      </c>
      <c r="BW60" s="101">
        <f>IFERROR(VLOOKUP($E60&amp;BV$6,Base!$M:$Q,5,0),0)</f>
        <v>0</v>
      </c>
      <c r="BX60" s="109">
        <f>IFERROR(VLOOKUP($E60,Base!$U:$W,3,0),0)</f>
        <v>0</v>
      </c>
    </row>
    <row r="61" spans="2:76" x14ac:dyDescent="0.35">
      <c r="B61" s="53" t="s">
        <v>402</v>
      </c>
      <c r="C61" s="51">
        <v>4054</v>
      </c>
      <c r="D61" s="51" t="s">
        <v>436</v>
      </c>
      <c r="E61" s="51">
        <v>134214</v>
      </c>
      <c r="F61" s="96" t="s">
        <v>460</v>
      </c>
      <c r="G61" s="42" t="s">
        <v>95</v>
      </c>
      <c r="H61" s="98" t="s">
        <v>135</v>
      </c>
      <c r="I61" s="143" t="s">
        <v>144</v>
      </c>
      <c r="J61" s="104">
        <f t="shared" si="33"/>
        <v>5.625</v>
      </c>
      <c r="K61" s="99">
        <f t="shared" si="34"/>
        <v>0</v>
      </c>
      <c r="L61" s="99">
        <f t="shared" si="35"/>
        <v>0</v>
      </c>
      <c r="M61" s="105">
        <f t="shared" si="36"/>
        <v>0</v>
      </c>
      <c r="N61" s="108">
        <f>IFERROR(VLOOKUP($E61&amp;N$6,Base!$A:$E,5,0),0)</f>
        <v>0</v>
      </c>
      <c r="O61" s="101">
        <v>0</v>
      </c>
      <c r="P61" s="101">
        <v>0</v>
      </c>
      <c r="Q61" s="101"/>
      <c r="R61" s="108">
        <f>IFERROR(VLOOKUP($E61&amp;R$6,Base!$A:$E,5,0),0)</f>
        <v>0</v>
      </c>
      <c r="S61" s="101">
        <f>IFERROR(VLOOKUP($E61&amp;S$6,Base!$G:$K,5,0),0)</f>
        <v>0</v>
      </c>
      <c r="T61" s="101">
        <f>IFERROR(VLOOKUP($E61&amp;S$6,Base!$M:$Q,5,0),0)</f>
        <v>0</v>
      </c>
      <c r="U61" s="109"/>
      <c r="V61" s="108">
        <f>IFERROR(VLOOKUP($E61&amp;V$6,Base!$A:$E,5,0),0)</f>
        <v>5.625</v>
      </c>
      <c r="W61" s="101">
        <f>IFERROR(VLOOKUP($E61&amp;W$6,Base!$G:$K,5,0),0)</f>
        <v>0</v>
      </c>
      <c r="X61" s="101">
        <f>IFERROR(VLOOKUP($E61&amp;W$6,Base!$M:$Q,5,0),0)</f>
        <v>0</v>
      </c>
      <c r="Y61" s="109"/>
      <c r="AA61" s="104">
        <f t="shared" si="37"/>
        <v>1</v>
      </c>
      <c r="AB61" s="99">
        <f t="shared" si="38"/>
        <v>5.875</v>
      </c>
      <c r="AC61" s="99">
        <f t="shared" si="39"/>
        <v>0.25</v>
      </c>
      <c r="AD61" s="105">
        <f t="shared" si="40"/>
        <v>0</v>
      </c>
      <c r="AE61" s="108">
        <f>IFERROR(VLOOKUP($E61&amp;AE$6,Base!$A:$E,5,0),0)</f>
        <v>0</v>
      </c>
      <c r="AF61" s="101">
        <f>IFERROR(VLOOKUP($E61&amp;AF$6,Base!$G:$K,5,0),0)</f>
        <v>0</v>
      </c>
      <c r="AG61" s="101">
        <f>IFERROR(VLOOKUP($E61&amp;AF$6,Base!$M:$Q,5,0),0)</f>
        <v>0</v>
      </c>
      <c r="AH61" s="109"/>
      <c r="AI61" s="108">
        <f>IFERROR(VLOOKUP($E61&amp;AI$6,Base!$A:$E,5,0),0)</f>
        <v>0</v>
      </c>
      <c r="AJ61" s="101">
        <f>IFERROR(VLOOKUP($E61&amp;AJ$6,Base!$G:$K,5,0),0)</f>
        <v>0</v>
      </c>
      <c r="AK61" s="101">
        <f>IFERROR(VLOOKUP($E61&amp;AJ$6,Base!$M:$Q,5,0),0)</f>
        <v>0</v>
      </c>
      <c r="AL61" s="109">
        <v>0</v>
      </c>
      <c r="AM61" s="108">
        <f>IFERROR(VLOOKUP($E61&amp;AM$6,Base!$A:$E,5,0),0)</f>
        <v>1</v>
      </c>
      <c r="AN61" s="101">
        <f>IFERROR(VLOOKUP($E61&amp;AN$6,Base!$G:$K,5,0),0)</f>
        <v>5.875</v>
      </c>
      <c r="AO61" s="101">
        <f>IFERROR(VLOOKUP($E61&amp;AN$6,Base!$M:$Q,5,0),0)</f>
        <v>0.25</v>
      </c>
      <c r="AP61" s="109"/>
      <c r="AR61" s="104">
        <f t="shared" si="41"/>
        <v>0</v>
      </c>
      <c r="AS61" s="99">
        <f t="shared" si="42"/>
        <v>0</v>
      </c>
      <c r="AT61" s="99">
        <f t="shared" si="43"/>
        <v>0</v>
      </c>
      <c r="AU61" s="105">
        <f t="shared" si="48"/>
        <v>0</v>
      </c>
      <c r="AV61" s="108">
        <f>IFERROR(VLOOKUP($E61&amp;AV$6,Base!$A:$E,5,0),0)</f>
        <v>0</v>
      </c>
      <c r="AW61" s="101">
        <f>IFERROR(VLOOKUP($E61&amp;AW$6,Base!$G:$K,5,0),0)</f>
        <v>0</v>
      </c>
      <c r="AX61" s="101">
        <f>IFERROR(VLOOKUP($E61&amp;AW$6,Base!$M:$Q,5,0),0)</f>
        <v>0</v>
      </c>
      <c r="AY61" s="109">
        <v>0</v>
      </c>
      <c r="AZ61" s="108">
        <f>IFERROR(VLOOKUP($E61&amp;AZ$6,Base!$A:$E,5,0),0)</f>
        <v>0</v>
      </c>
      <c r="BA61" s="101">
        <f>IFERROR(VLOOKUP($E61&amp;BA$6,Base!$G:$K,5,0),0)</f>
        <v>0</v>
      </c>
      <c r="BB61" s="101">
        <f>IFERROR(VLOOKUP($E61&amp;BA$6,Base!$M:$Q,5,0),0)</f>
        <v>0</v>
      </c>
      <c r="BC61" s="109">
        <v>0</v>
      </c>
      <c r="BD61" s="108">
        <f>IFERROR(VLOOKUP($E61&amp;BD$6,Base!$A:$E,5,0),0)</f>
        <v>0</v>
      </c>
      <c r="BE61" s="101">
        <f>IFERROR(VLOOKUP($E61&amp;BE$6,Base!$G:$K,5,0),0)</f>
        <v>0</v>
      </c>
      <c r="BF61" s="101">
        <f>IFERROR(VLOOKUP($E61&amp;BE$6,Base!$M:$Q,5,0),0)</f>
        <v>0</v>
      </c>
      <c r="BG61" s="109">
        <v>0</v>
      </c>
      <c r="BI61" s="104">
        <f t="shared" si="44"/>
        <v>0</v>
      </c>
      <c r="BJ61" s="99">
        <f t="shared" si="45"/>
        <v>0</v>
      </c>
      <c r="BK61" s="99">
        <f t="shared" si="46"/>
        <v>0</v>
      </c>
      <c r="BL61" s="111">
        <f t="shared" si="47"/>
        <v>0</v>
      </c>
      <c r="BM61" s="108">
        <f>IFERROR(VLOOKUP($E61&amp;BM$6,Base!$A:$E,5,0),0)</f>
        <v>0</v>
      </c>
      <c r="BN61" s="101">
        <f>IFERROR(VLOOKUP($E61&amp;BN$6,Base!$G:$K,5,0),0)</f>
        <v>0</v>
      </c>
      <c r="BO61" s="101">
        <f>IFERROR(VLOOKUP($E61&amp;BN$6,Base!$M:$Q,5,0),0)</f>
        <v>0</v>
      </c>
      <c r="BP61" s="109">
        <v>0</v>
      </c>
      <c r="BQ61" s="108">
        <f>IFERROR(VLOOKUP($E61&amp;BQ$6,Base!$A:$E,5,0),0)</f>
        <v>0</v>
      </c>
      <c r="BR61" s="101">
        <f>IFERROR(VLOOKUP($E61&amp;BR$6,Base!$G:$K,5,0),0)</f>
        <v>0</v>
      </c>
      <c r="BS61" s="101">
        <f>IFERROR(VLOOKUP($E61&amp;BR$6,Base!$M:$Q,5,0),0)</f>
        <v>0</v>
      </c>
      <c r="BT61" s="109">
        <v>0</v>
      </c>
      <c r="BU61" s="108">
        <f>IFERROR(VLOOKUP($E61&amp;BU$6,Base!$A:$E,5,0),0)</f>
        <v>0</v>
      </c>
      <c r="BV61" s="101">
        <f>IFERROR(VLOOKUP($E61&amp;BV$6,Base!$G:$K,5,0),0)</f>
        <v>0</v>
      </c>
      <c r="BW61" s="101">
        <f>IFERROR(VLOOKUP($E61&amp;BV$6,Base!$M:$Q,5,0),0)</f>
        <v>0</v>
      </c>
      <c r="BX61" s="109">
        <f>IFERROR(VLOOKUP($E61,Base!$U:$W,3,0),0)</f>
        <v>0</v>
      </c>
    </row>
    <row r="62" spans="2:76" x14ac:dyDescent="0.35">
      <c r="B62" s="53" t="s">
        <v>97</v>
      </c>
      <c r="C62" s="51">
        <v>179</v>
      </c>
      <c r="D62" s="51" t="s">
        <v>4</v>
      </c>
      <c r="E62" s="51">
        <v>48102</v>
      </c>
      <c r="F62" s="96" t="s">
        <v>469</v>
      </c>
      <c r="G62" s="42" t="s">
        <v>113</v>
      </c>
      <c r="H62" s="98" t="s">
        <v>99</v>
      </c>
      <c r="I62" s="143" t="s">
        <v>144</v>
      </c>
      <c r="J62" s="104">
        <f t="shared" si="33"/>
        <v>0</v>
      </c>
      <c r="K62" s="99">
        <f t="shared" si="34"/>
        <v>0</v>
      </c>
      <c r="L62" s="99">
        <f t="shared" si="35"/>
        <v>0</v>
      </c>
      <c r="M62" s="105">
        <f t="shared" si="36"/>
        <v>0</v>
      </c>
      <c r="N62" s="108">
        <f>IFERROR(VLOOKUP($E62&amp;N$6,Base!$A:$E,5,0),0)</f>
        <v>0</v>
      </c>
      <c r="O62" s="101">
        <v>0</v>
      </c>
      <c r="P62" s="101">
        <v>0</v>
      </c>
      <c r="Q62" s="101"/>
      <c r="R62" s="108">
        <f>IFERROR(VLOOKUP($E62&amp;R$6,Base!$A:$E,5,0),0)</f>
        <v>0</v>
      </c>
      <c r="S62" s="101">
        <f>IFERROR(VLOOKUP($E62&amp;S$6,Base!$G:$K,5,0),0)</f>
        <v>0</v>
      </c>
      <c r="T62" s="101">
        <f>IFERROR(VLOOKUP($E62&amp;S$6,Base!$M:$Q,5,0),0)</f>
        <v>0</v>
      </c>
      <c r="U62" s="109"/>
      <c r="V62" s="108">
        <f>IFERROR(VLOOKUP($E62&amp;V$6,Base!$A:$E,5,0),0)</f>
        <v>0</v>
      </c>
      <c r="W62" s="101">
        <f>IFERROR(VLOOKUP($E62&amp;W$6,Base!$G:$K,5,0),0)</f>
        <v>0</v>
      </c>
      <c r="X62" s="101">
        <f>IFERROR(VLOOKUP($E62&amp;W$6,Base!$M:$Q,5,0),0)</f>
        <v>0</v>
      </c>
      <c r="Y62" s="109"/>
      <c r="AA62" s="104">
        <f t="shared" si="37"/>
        <v>0</v>
      </c>
      <c r="AB62" s="99">
        <f t="shared" si="38"/>
        <v>0</v>
      </c>
      <c r="AC62" s="99">
        <f t="shared" si="39"/>
        <v>0</v>
      </c>
      <c r="AD62" s="105">
        <f t="shared" si="40"/>
        <v>0</v>
      </c>
      <c r="AE62" s="108">
        <f>IFERROR(VLOOKUP($E62&amp;AE$6,Base!$A:$E,5,0),0)</f>
        <v>0</v>
      </c>
      <c r="AF62" s="101">
        <f>IFERROR(VLOOKUP($E62&amp;AF$6,Base!$G:$K,5,0),0)</f>
        <v>0</v>
      </c>
      <c r="AG62" s="101">
        <f>IFERROR(VLOOKUP($E62&amp;AF$6,Base!$M:$Q,5,0),0)</f>
        <v>0</v>
      </c>
      <c r="AH62" s="109"/>
      <c r="AI62" s="108">
        <f>IFERROR(VLOOKUP($E62&amp;AI$6,Base!$A:$E,5,0),0)</f>
        <v>0</v>
      </c>
      <c r="AJ62" s="101">
        <f>IFERROR(VLOOKUP($E62&amp;AJ$6,Base!$G:$K,5,0),0)</f>
        <v>0</v>
      </c>
      <c r="AK62" s="101">
        <f>IFERROR(VLOOKUP($E62&amp;AJ$6,Base!$M:$Q,5,0),0)</f>
        <v>0</v>
      </c>
      <c r="AL62" s="109">
        <v>0</v>
      </c>
      <c r="AM62" s="108">
        <f>IFERROR(VLOOKUP($E62&amp;AM$6,Base!$A:$E,5,0),0)</f>
        <v>0</v>
      </c>
      <c r="AN62" s="101">
        <f>IFERROR(VLOOKUP($E62&amp;AN$6,Base!$G:$K,5,0),0)</f>
        <v>0</v>
      </c>
      <c r="AO62" s="101">
        <f>IFERROR(VLOOKUP($E62&amp;AN$6,Base!$M:$Q,5,0),0)</f>
        <v>0</v>
      </c>
      <c r="AP62" s="109"/>
      <c r="AR62" s="104">
        <f t="shared" si="41"/>
        <v>0</v>
      </c>
      <c r="AS62" s="99">
        <f t="shared" si="42"/>
        <v>0</v>
      </c>
      <c r="AT62" s="99">
        <f t="shared" si="43"/>
        <v>0</v>
      </c>
      <c r="AU62" s="105">
        <f t="shared" si="48"/>
        <v>0</v>
      </c>
      <c r="AV62" s="108">
        <f>IFERROR(VLOOKUP($E62&amp;AV$6,Base!$A:$E,5,0),0)</f>
        <v>0</v>
      </c>
      <c r="AW62" s="101">
        <f>IFERROR(VLOOKUP($E62&amp;AW$6,Base!$G:$K,5,0),0)</f>
        <v>0</v>
      </c>
      <c r="AX62" s="101">
        <f>IFERROR(VLOOKUP($E62&amp;AW$6,Base!$M:$Q,5,0),0)</f>
        <v>0</v>
      </c>
      <c r="AY62" s="109">
        <v>0</v>
      </c>
      <c r="AZ62" s="108">
        <f>IFERROR(VLOOKUP($E62&amp;AZ$6,Base!$A:$E,5,0),0)</f>
        <v>0</v>
      </c>
      <c r="BA62" s="101">
        <f>IFERROR(VLOOKUP($E62&amp;BA$6,Base!$G:$K,5,0),0)</f>
        <v>0</v>
      </c>
      <c r="BB62" s="101">
        <f>IFERROR(VLOOKUP($E62&amp;BA$6,Base!$M:$Q,5,0),0)</f>
        <v>0</v>
      </c>
      <c r="BC62" s="109">
        <v>0</v>
      </c>
      <c r="BD62" s="108">
        <f>IFERROR(VLOOKUP($E62&amp;BD$6,Base!$A:$E,5,0),0)</f>
        <v>0</v>
      </c>
      <c r="BE62" s="101">
        <f>IFERROR(VLOOKUP($E62&amp;BE$6,Base!$G:$K,5,0),0)</f>
        <v>0</v>
      </c>
      <c r="BF62" s="101">
        <f>IFERROR(VLOOKUP($E62&amp;BE$6,Base!$M:$Q,5,0),0)</f>
        <v>0</v>
      </c>
      <c r="BG62" s="109">
        <v>0</v>
      </c>
      <c r="BI62" s="104">
        <f t="shared" si="44"/>
        <v>0</v>
      </c>
      <c r="BJ62" s="99">
        <f t="shared" si="45"/>
        <v>0</v>
      </c>
      <c r="BK62" s="99">
        <f t="shared" si="46"/>
        <v>0</v>
      </c>
      <c r="BL62" s="111">
        <f t="shared" si="47"/>
        <v>0</v>
      </c>
      <c r="BM62" s="108">
        <f>IFERROR(VLOOKUP($E62&amp;BM$6,Base!$A:$E,5,0),0)</f>
        <v>0</v>
      </c>
      <c r="BN62" s="101">
        <f>IFERROR(VLOOKUP($E62&amp;BN$6,Base!$G:$K,5,0),0)</f>
        <v>0</v>
      </c>
      <c r="BO62" s="101">
        <f>IFERROR(VLOOKUP($E62&amp;BN$6,Base!$M:$Q,5,0),0)</f>
        <v>0</v>
      </c>
      <c r="BP62" s="109">
        <v>0</v>
      </c>
      <c r="BQ62" s="108">
        <f>IFERROR(VLOOKUP($E62&amp;BQ$6,Base!$A:$E,5,0),0)</f>
        <v>0</v>
      </c>
      <c r="BR62" s="101">
        <f>IFERROR(VLOOKUP($E62&amp;BR$6,Base!$G:$K,5,0),0)</f>
        <v>0</v>
      </c>
      <c r="BS62" s="101">
        <f>IFERROR(VLOOKUP($E62&amp;BR$6,Base!$M:$Q,5,0),0)</f>
        <v>0</v>
      </c>
      <c r="BT62" s="109">
        <v>0</v>
      </c>
      <c r="BU62" s="108">
        <f>IFERROR(VLOOKUP($E62&amp;BU$6,Base!$A:$E,5,0),0)</f>
        <v>0</v>
      </c>
      <c r="BV62" s="101">
        <f>IFERROR(VLOOKUP($E62&amp;BV$6,Base!$G:$K,5,0),0)</f>
        <v>0</v>
      </c>
      <c r="BW62" s="101">
        <f>IFERROR(VLOOKUP($E62&amp;BV$6,Base!$M:$Q,5,0),0)</f>
        <v>0</v>
      </c>
      <c r="BX62" s="109">
        <f>IFERROR(VLOOKUP($E62,Base!$U:$W,3,0),0)</f>
        <v>0</v>
      </c>
    </row>
    <row r="63" spans="2:76" x14ac:dyDescent="0.35">
      <c r="B63" s="53" t="s">
        <v>97</v>
      </c>
      <c r="C63" s="51">
        <v>179</v>
      </c>
      <c r="D63" s="51" t="s">
        <v>4</v>
      </c>
      <c r="E63" s="51">
        <v>51049</v>
      </c>
      <c r="F63" s="96" t="s">
        <v>471</v>
      </c>
      <c r="G63" s="42" t="s">
        <v>117</v>
      </c>
      <c r="H63" s="98" t="s">
        <v>99</v>
      </c>
      <c r="I63" s="143" t="s">
        <v>144</v>
      </c>
      <c r="J63" s="104">
        <f t="shared" si="33"/>
        <v>0</v>
      </c>
      <c r="K63" s="99">
        <f t="shared" si="34"/>
        <v>0</v>
      </c>
      <c r="L63" s="99">
        <f t="shared" si="35"/>
        <v>0</v>
      </c>
      <c r="M63" s="105">
        <f t="shared" si="36"/>
        <v>0</v>
      </c>
      <c r="N63" s="108">
        <f>IFERROR(VLOOKUP($E63&amp;N$6,Base!$A:$E,5,0),0)</f>
        <v>0</v>
      </c>
      <c r="O63" s="101">
        <v>0</v>
      </c>
      <c r="P63" s="101">
        <v>0</v>
      </c>
      <c r="Q63" s="101"/>
      <c r="R63" s="108">
        <f>IFERROR(VLOOKUP($E63&amp;R$6,Base!$A:$E,5,0),0)</f>
        <v>0</v>
      </c>
      <c r="S63" s="101">
        <f>IFERROR(VLOOKUP($E63&amp;S$6,Base!$G:$K,5,0),0)</f>
        <v>0</v>
      </c>
      <c r="T63" s="101">
        <f>IFERROR(VLOOKUP($E63&amp;S$6,Base!$M:$Q,5,0),0)</f>
        <v>0</v>
      </c>
      <c r="U63" s="109"/>
      <c r="V63" s="108">
        <f>IFERROR(VLOOKUP($E63&amp;V$6,Base!$A:$E,5,0),0)</f>
        <v>0</v>
      </c>
      <c r="W63" s="101">
        <f>IFERROR(VLOOKUP($E63&amp;W$6,Base!$G:$K,5,0),0)</f>
        <v>0</v>
      </c>
      <c r="X63" s="101">
        <f>IFERROR(VLOOKUP($E63&amp;W$6,Base!$M:$Q,5,0),0)</f>
        <v>0</v>
      </c>
      <c r="Y63" s="109"/>
      <c r="AA63" s="104">
        <f t="shared" si="37"/>
        <v>0</v>
      </c>
      <c r="AB63" s="99">
        <f t="shared" si="38"/>
        <v>0</v>
      </c>
      <c r="AC63" s="99">
        <f t="shared" si="39"/>
        <v>0</v>
      </c>
      <c r="AD63" s="105">
        <f t="shared" si="40"/>
        <v>0</v>
      </c>
      <c r="AE63" s="108">
        <f>IFERROR(VLOOKUP($E63&amp;AE$6,Base!$A:$E,5,0),0)</f>
        <v>0</v>
      </c>
      <c r="AF63" s="101">
        <f>IFERROR(VLOOKUP($E63&amp;AF$6,Base!$G:$K,5,0),0)</f>
        <v>0</v>
      </c>
      <c r="AG63" s="101">
        <f>IFERROR(VLOOKUP($E63&amp;AF$6,Base!$M:$Q,5,0),0)</f>
        <v>0</v>
      </c>
      <c r="AH63" s="109"/>
      <c r="AI63" s="108">
        <f>IFERROR(VLOOKUP($E63&amp;AI$6,Base!$A:$E,5,0),0)</f>
        <v>0</v>
      </c>
      <c r="AJ63" s="101">
        <f>IFERROR(VLOOKUP($E63&amp;AJ$6,Base!$G:$K,5,0),0)</f>
        <v>0</v>
      </c>
      <c r="AK63" s="101">
        <f>IFERROR(VLOOKUP($E63&amp;AJ$6,Base!$M:$Q,5,0),0)</f>
        <v>0</v>
      </c>
      <c r="AL63" s="109">
        <v>0</v>
      </c>
      <c r="AM63" s="108">
        <f>IFERROR(VLOOKUP($E63&amp;AM$6,Base!$A:$E,5,0),0)</f>
        <v>0</v>
      </c>
      <c r="AN63" s="101">
        <f>IFERROR(VLOOKUP($E63&amp;AN$6,Base!$G:$K,5,0),0)</f>
        <v>0</v>
      </c>
      <c r="AO63" s="101">
        <f>IFERROR(VLOOKUP($E63&amp;AN$6,Base!$M:$Q,5,0),0)</f>
        <v>0</v>
      </c>
      <c r="AP63" s="109"/>
      <c r="AR63" s="104">
        <f t="shared" si="41"/>
        <v>0</v>
      </c>
      <c r="AS63" s="99">
        <f t="shared" si="42"/>
        <v>0</v>
      </c>
      <c r="AT63" s="99">
        <f t="shared" si="43"/>
        <v>0</v>
      </c>
      <c r="AU63" s="105">
        <f t="shared" si="48"/>
        <v>0</v>
      </c>
      <c r="AV63" s="108">
        <f>IFERROR(VLOOKUP($E63&amp;AV$6,Base!$A:$E,5,0),0)</f>
        <v>0</v>
      </c>
      <c r="AW63" s="101">
        <f>IFERROR(VLOOKUP($E63&amp;AW$6,Base!$G:$K,5,0),0)</f>
        <v>0</v>
      </c>
      <c r="AX63" s="101">
        <f>IFERROR(VLOOKUP($E63&amp;AW$6,Base!$M:$Q,5,0),0)</f>
        <v>0</v>
      </c>
      <c r="AY63" s="109">
        <v>0</v>
      </c>
      <c r="AZ63" s="108">
        <f>IFERROR(VLOOKUP($E63&amp;AZ$6,Base!$A:$E,5,0),0)</f>
        <v>0</v>
      </c>
      <c r="BA63" s="101">
        <f>IFERROR(VLOOKUP($E63&amp;BA$6,Base!$G:$K,5,0),0)</f>
        <v>0</v>
      </c>
      <c r="BB63" s="101">
        <f>IFERROR(VLOOKUP($E63&amp;BA$6,Base!$M:$Q,5,0),0)</f>
        <v>0</v>
      </c>
      <c r="BC63" s="109">
        <v>0</v>
      </c>
      <c r="BD63" s="108">
        <f>IFERROR(VLOOKUP($E63&amp;BD$6,Base!$A:$E,5,0),0)</f>
        <v>0</v>
      </c>
      <c r="BE63" s="101">
        <f>IFERROR(VLOOKUP($E63&amp;BE$6,Base!$G:$K,5,0),0)</f>
        <v>0</v>
      </c>
      <c r="BF63" s="101">
        <f>IFERROR(VLOOKUP($E63&amp;BE$6,Base!$M:$Q,5,0),0)</f>
        <v>0</v>
      </c>
      <c r="BG63" s="109">
        <v>0</v>
      </c>
      <c r="BI63" s="104">
        <f t="shared" si="44"/>
        <v>0</v>
      </c>
      <c r="BJ63" s="99">
        <f t="shared" si="45"/>
        <v>0</v>
      </c>
      <c r="BK63" s="99">
        <f t="shared" si="46"/>
        <v>0</v>
      </c>
      <c r="BL63" s="111">
        <f t="shared" si="47"/>
        <v>0</v>
      </c>
      <c r="BM63" s="108">
        <f>IFERROR(VLOOKUP($E63&amp;BM$6,Base!$A:$E,5,0),0)</f>
        <v>0</v>
      </c>
      <c r="BN63" s="101">
        <f>IFERROR(VLOOKUP($E63&amp;BN$6,Base!$G:$K,5,0),0)</f>
        <v>0</v>
      </c>
      <c r="BO63" s="101">
        <f>IFERROR(VLOOKUP($E63&amp;BN$6,Base!$M:$Q,5,0),0)</f>
        <v>0</v>
      </c>
      <c r="BP63" s="109">
        <v>0</v>
      </c>
      <c r="BQ63" s="108">
        <f>IFERROR(VLOOKUP($E63&amp;BQ$6,Base!$A:$E,5,0),0)</f>
        <v>0</v>
      </c>
      <c r="BR63" s="101">
        <f>IFERROR(VLOOKUP($E63&amp;BR$6,Base!$G:$K,5,0),0)</f>
        <v>0</v>
      </c>
      <c r="BS63" s="101">
        <f>IFERROR(VLOOKUP($E63&amp;BR$6,Base!$M:$Q,5,0),0)</f>
        <v>0</v>
      </c>
      <c r="BT63" s="109">
        <v>0</v>
      </c>
      <c r="BU63" s="108">
        <f>IFERROR(VLOOKUP($E63&amp;BU$6,Base!$A:$E,5,0),0)</f>
        <v>0</v>
      </c>
      <c r="BV63" s="101">
        <f>IFERROR(VLOOKUP($E63&amp;BV$6,Base!$G:$K,5,0),0)</f>
        <v>0</v>
      </c>
      <c r="BW63" s="101">
        <f>IFERROR(VLOOKUP($E63&amp;BV$6,Base!$M:$Q,5,0),0)</f>
        <v>0</v>
      </c>
      <c r="BX63" s="109">
        <f>IFERROR(VLOOKUP($E63,Base!$U:$W,3,0),0)</f>
        <v>0</v>
      </c>
    </row>
    <row r="64" spans="2:76" x14ac:dyDescent="0.35">
      <c r="B64" s="53" t="s">
        <v>97</v>
      </c>
      <c r="C64" s="51">
        <v>179</v>
      </c>
      <c r="D64" s="51" t="s">
        <v>4</v>
      </c>
      <c r="E64" s="51">
        <v>51062</v>
      </c>
      <c r="F64" s="96" t="s">
        <v>473</v>
      </c>
      <c r="G64" s="42" t="s">
        <v>116</v>
      </c>
      <c r="H64" s="98" t="s">
        <v>99</v>
      </c>
      <c r="I64" s="143" t="s">
        <v>144</v>
      </c>
      <c r="J64" s="104">
        <f t="shared" si="33"/>
        <v>0</v>
      </c>
      <c r="K64" s="99">
        <f t="shared" si="34"/>
        <v>0</v>
      </c>
      <c r="L64" s="99">
        <f t="shared" si="35"/>
        <v>0</v>
      </c>
      <c r="M64" s="105">
        <f t="shared" si="36"/>
        <v>0</v>
      </c>
      <c r="N64" s="108">
        <f>IFERROR(VLOOKUP($E64&amp;N$6,Base!$A:$E,5,0),0)</f>
        <v>0</v>
      </c>
      <c r="O64" s="101">
        <v>0</v>
      </c>
      <c r="P64" s="101">
        <v>0</v>
      </c>
      <c r="Q64" s="101"/>
      <c r="R64" s="108">
        <f>IFERROR(VLOOKUP($E64&amp;R$6,Base!$A:$E,5,0),0)</f>
        <v>0</v>
      </c>
      <c r="S64" s="101">
        <f>IFERROR(VLOOKUP($E64&amp;S$6,Base!$G:$K,5,0),0)</f>
        <v>0</v>
      </c>
      <c r="T64" s="101">
        <f>IFERROR(VLOOKUP($E64&amp;S$6,Base!$M:$Q,5,0),0)</f>
        <v>0</v>
      </c>
      <c r="U64" s="109"/>
      <c r="V64" s="108">
        <f>IFERROR(VLOOKUP($E64&amp;V$6,Base!$A:$E,5,0),0)</f>
        <v>0</v>
      </c>
      <c r="W64" s="101">
        <f>IFERROR(VLOOKUP($E64&amp;W$6,Base!$G:$K,5,0),0)</f>
        <v>0</v>
      </c>
      <c r="X64" s="101">
        <f>IFERROR(VLOOKUP($E64&amp;W$6,Base!$M:$Q,5,0),0)</f>
        <v>0</v>
      </c>
      <c r="Y64" s="109"/>
      <c r="AA64" s="104">
        <f t="shared" si="37"/>
        <v>0</v>
      </c>
      <c r="AB64" s="99">
        <f t="shared" si="38"/>
        <v>0</v>
      </c>
      <c r="AC64" s="99">
        <f t="shared" si="39"/>
        <v>0</v>
      </c>
      <c r="AD64" s="105">
        <f t="shared" si="40"/>
        <v>0</v>
      </c>
      <c r="AE64" s="108">
        <f>IFERROR(VLOOKUP($E64&amp;AE$6,Base!$A:$E,5,0),0)</f>
        <v>0</v>
      </c>
      <c r="AF64" s="101">
        <f>IFERROR(VLOOKUP($E64&amp;AF$6,Base!$G:$K,5,0),0)</f>
        <v>0</v>
      </c>
      <c r="AG64" s="101">
        <f>IFERROR(VLOOKUP($E64&amp;AF$6,Base!$M:$Q,5,0),0)</f>
        <v>0</v>
      </c>
      <c r="AH64" s="109"/>
      <c r="AI64" s="108">
        <f>IFERROR(VLOOKUP($E64&amp;AI$6,Base!$A:$E,5,0),0)</f>
        <v>0</v>
      </c>
      <c r="AJ64" s="101">
        <f>IFERROR(VLOOKUP($E64&amp;AJ$6,Base!$G:$K,5,0),0)</f>
        <v>0</v>
      </c>
      <c r="AK64" s="101">
        <f>IFERROR(VLOOKUP($E64&amp;AJ$6,Base!$M:$Q,5,0),0)</f>
        <v>0</v>
      </c>
      <c r="AL64" s="109">
        <v>0</v>
      </c>
      <c r="AM64" s="108">
        <f>IFERROR(VLOOKUP($E64&amp;AM$6,Base!$A:$E,5,0),0)</f>
        <v>0</v>
      </c>
      <c r="AN64" s="101">
        <f>IFERROR(VLOOKUP($E64&amp;AN$6,Base!$G:$K,5,0),0)</f>
        <v>0</v>
      </c>
      <c r="AO64" s="101">
        <f>IFERROR(VLOOKUP($E64&amp;AN$6,Base!$M:$Q,5,0),0)</f>
        <v>0</v>
      </c>
      <c r="AP64" s="109"/>
      <c r="AR64" s="104">
        <f t="shared" si="41"/>
        <v>0</v>
      </c>
      <c r="AS64" s="99">
        <f t="shared" si="42"/>
        <v>0</v>
      </c>
      <c r="AT64" s="99">
        <f t="shared" si="43"/>
        <v>0</v>
      </c>
      <c r="AU64" s="105">
        <f t="shared" si="48"/>
        <v>0</v>
      </c>
      <c r="AV64" s="108">
        <f>IFERROR(VLOOKUP($E64&amp;AV$6,Base!$A:$E,5,0),0)</f>
        <v>0</v>
      </c>
      <c r="AW64" s="101">
        <f>IFERROR(VLOOKUP($E64&amp;AW$6,Base!$G:$K,5,0),0)</f>
        <v>0</v>
      </c>
      <c r="AX64" s="101">
        <f>IFERROR(VLOOKUP($E64&amp;AW$6,Base!$M:$Q,5,0),0)</f>
        <v>0</v>
      </c>
      <c r="AY64" s="109">
        <v>0</v>
      </c>
      <c r="AZ64" s="108">
        <f>IFERROR(VLOOKUP($E64&amp;AZ$6,Base!$A:$E,5,0),0)</f>
        <v>0</v>
      </c>
      <c r="BA64" s="101">
        <f>IFERROR(VLOOKUP($E64&amp;BA$6,Base!$G:$K,5,0),0)</f>
        <v>0</v>
      </c>
      <c r="BB64" s="101">
        <f>IFERROR(VLOOKUP($E64&amp;BA$6,Base!$M:$Q,5,0),0)</f>
        <v>0</v>
      </c>
      <c r="BC64" s="109">
        <v>0</v>
      </c>
      <c r="BD64" s="108">
        <f>IFERROR(VLOOKUP($E64&amp;BD$6,Base!$A:$E,5,0),0)</f>
        <v>0</v>
      </c>
      <c r="BE64" s="101">
        <f>IFERROR(VLOOKUP($E64&amp;BE$6,Base!$G:$K,5,0),0)</f>
        <v>0</v>
      </c>
      <c r="BF64" s="101">
        <f>IFERROR(VLOOKUP($E64&amp;BE$6,Base!$M:$Q,5,0),0)</f>
        <v>0</v>
      </c>
      <c r="BG64" s="109">
        <v>0</v>
      </c>
      <c r="BI64" s="104">
        <f t="shared" si="44"/>
        <v>0</v>
      </c>
      <c r="BJ64" s="99">
        <f t="shared" si="45"/>
        <v>0</v>
      </c>
      <c r="BK64" s="99">
        <f t="shared" si="46"/>
        <v>0</v>
      </c>
      <c r="BL64" s="111">
        <f t="shared" si="47"/>
        <v>0</v>
      </c>
      <c r="BM64" s="108">
        <f>IFERROR(VLOOKUP($E64&amp;BM$6,Base!$A:$E,5,0),0)</f>
        <v>0</v>
      </c>
      <c r="BN64" s="101">
        <f>IFERROR(VLOOKUP($E64&amp;BN$6,Base!$G:$K,5,0),0)</f>
        <v>0</v>
      </c>
      <c r="BO64" s="101">
        <f>IFERROR(VLOOKUP($E64&amp;BN$6,Base!$M:$Q,5,0),0)</f>
        <v>0</v>
      </c>
      <c r="BP64" s="109">
        <v>0</v>
      </c>
      <c r="BQ64" s="108">
        <f>IFERROR(VLOOKUP($E64&amp;BQ$6,Base!$A:$E,5,0),0)</f>
        <v>0</v>
      </c>
      <c r="BR64" s="101">
        <f>IFERROR(VLOOKUP($E64&amp;BR$6,Base!$G:$K,5,0),0)</f>
        <v>0</v>
      </c>
      <c r="BS64" s="101">
        <f>IFERROR(VLOOKUP($E64&amp;BR$6,Base!$M:$Q,5,0),0)</f>
        <v>0</v>
      </c>
      <c r="BT64" s="109">
        <v>0</v>
      </c>
      <c r="BU64" s="108">
        <f>IFERROR(VLOOKUP($E64&amp;BU$6,Base!$A:$E,5,0),0)</f>
        <v>0</v>
      </c>
      <c r="BV64" s="101">
        <f>IFERROR(VLOOKUP($E64&amp;BV$6,Base!$G:$K,5,0),0)</f>
        <v>0</v>
      </c>
      <c r="BW64" s="101">
        <f>IFERROR(VLOOKUP($E64&amp;BV$6,Base!$M:$Q,5,0),0)</f>
        <v>0</v>
      </c>
      <c r="BX64" s="109">
        <f>IFERROR(VLOOKUP($E64,Base!$U:$W,3,0),0)</f>
        <v>0</v>
      </c>
    </row>
    <row r="65" spans="2:76" x14ac:dyDescent="0.35">
      <c r="B65" s="53" t="s">
        <v>97</v>
      </c>
      <c r="C65" s="51">
        <v>179</v>
      </c>
      <c r="D65" s="51" t="s">
        <v>4</v>
      </c>
      <c r="E65" s="51">
        <v>51067</v>
      </c>
      <c r="F65" s="96" t="s">
        <v>475</v>
      </c>
      <c r="G65" s="42" t="s">
        <v>118</v>
      </c>
      <c r="H65" s="98" t="s">
        <v>99</v>
      </c>
      <c r="I65" s="143" t="s">
        <v>144</v>
      </c>
      <c r="J65" s="104">
        <f t="shared" si="33"/>
        <v>0</v>
      </c>
      <c r="K65" s="99">
        <f t="shared" si="34"/>
        <v>0</v>
      </c>
      <c r="L65" s="99">
        <f t="shared" si="35"/>
        <v>0</v>
      </c>
      <c r="M65" s="105">
        <f t="shared" si="36"/>
        <v>0</v>
      </c>
      <c r="N65" s="108">
        <f>IFERROR(VLOOKUP($E65&amp;N$6,Base!$A:$E,5,0),0)</f>
        <v>0</v>
      </c>
      <c r="O65" s="101">
        <v>0</v>
      </c>
      <c r="P65" s="101">
        <v>0</v>
      </c>
      <c r="Q65" s="101"/>
      <c r="R65" s="108">
        <f>IFERROR(VLOOKUP($E65&amp;R$6,Base!$A:$E,5,0),0)</f>
        <v>0</v>
      </c>
      <c r="S65" s="101">
        <f>IFERROR(VLOOKUP($E65&amp;S$6,Base!$G:$K,5,0),0)</f>
        <v>0</v>
      </c>
      <c r="T65" s="101">
        <f>IFERROR(VLOOKUP($E65&amp;S$6,Base!$M:$Q,5,0),0)</f>
        <v>0</v>
      </c>
      <c r="U65" s="109"/>
      <c r="V65" s="108">
        <f>IFERROR(VLOOKUP($E65&amp;V$6,Base!$A:$E,5,0),0)</f>
        <v>0</v>
      </c>
      <c r="W65" s="101">
        <f>IFERROR(VLOOKUP($E65&amp;W$6,Base!$G:$K,5,0),0)</f>
        <v>0</v>
      </c>
      <c r="X65" s="101">
        <f>IFERROR(VLOOKUP($E65&amp;W$6,Base!$M:$Q,5,0),0)</f>
        <v>0</v>
      </c>
      <c r="Y65" s="109"/>
      <c r="AA65" s="104">
        <f t="shared" si="37"/>
        <v>0</v>
      </c>
      <c r="AB65" s="99">
        <f t="shared" si="38"/>
        <v>0</v>
      </c>
      <c r="AC65" s="99">
        <f t="shared" si="39"/>
        <v>0</v>
      </c>
      <c r="AD65" s="105">
        <f t="shared" si="40"/>
        <v>0</v>
      </c>
      <c r="AE65" s="108">
        <f>IFERROR(VLOOKUP($E65&amp;AE$6,Base!$A:$E,5,0),0)</f>
        <v>0</v>
      </c>
      <c r="AF65" s="101">
        <f>IFERROR(VLOOKUP($E65&amp;AF$6,Base!$G:$K,5,0),0)</f>
        <v>0</v>
      </c>
      <c r="AG65" s="101">
        <f>IFERROR(VLOOKUP($E65&amp;AF$6,Base!$M:$Q,5,0),0)</f>
        <v>0</v>
      </c>
      <c r="AH65" s="109"/>
      <c r="AI65" s="108">
        <f>IFERROR(VLOOKUP($E65&amp;AI$6,Base!$A:$E,5,0),0)</f>
        <v>0</v>
      </c>
      <c r="AJ65" s="101">
        <f>IFERROR(VLOOKUP($E65&amp;AJ$6,Base!$G:$K,5,0),0)</f>
        <v>0</v>
      </c>
      <c r="AK65" s="101">
        <f>IFERROR(VLOOKUP($E65&amp;AJ$6,Base!$M:$Q,5,0),0)</f>
        <v>0</v>
      </c>
      <c r="AL65" s="109">
        <v>0</v>
      </c>
      <c r="AM65" s="108">
        <f>IFERROR(VLOOKUP($E65&amp;AM$6,Base!$A:$E,5,0),0)</f>
        <v>0</v>
      </c>
      <c r="AN65" s="101">
        <f>IFERROR(VLOOKUP($E65&amp;AN$6,Base!$G:$K,5,0),0)</f>
        <v>0</v>
      </c>
      <c r="AO65" s="101">
        <f>IFERROR(VLOOKUP($E65&amp;AN$6,Base!$M:$Q,5,0),0)</f>
        <v>0</v>
      </c>
      <c r="AP65" s="109"/>
      <c r="AR65" s="104">
        <f t="shared" si="41"/>
        <v>0</v>
      </c>
      <c r="AS65" s="99">
        <f t="shared" si="42"/>
        <v>0</v>
      </c>
      <c r="AT65" s="99">
        <f t="shared" si="43"/>
        <v>0</v>
      </c>
      <c r="AU65" s="105">
        <f t="shared" si="48"/>
        <v>0</v>
      </c>
      <c r="AV65" s="108">
        <f>IFERROR(VLOOKUP($E65&amp;AV$6,Base!$A:$E,5,0),0)</f>
        <v>0</v>
      </c>
      <c r="AW65" s="101">
        <f>IFERROR(VLOOKUP($E65&amp;AW$6,Base!$G:$K,5,0),0)</f>
        <v>0</v>
      </c>
      <c r="AX65" s="101">
        <f>IFERROR(VLOOKUP($E65&amp;AW$6,Base!$M:$Q,5,0),0)</f>
        <v>0</v>
      </c>
      <c r="AY65" s="109">
        <v>0</v>
      </c>
      <c r="AZ65" s="108">
        <f>IFERROR(VLOOKUP($E65&amp;AZ$6,Base!$A:$E,5,0),0)</f>
        <v>0</v>
      </c>
      <c r="BA65" s="101">
        <f>IFERROR(VLOOKUP($E65&amp;BA$6,Base!$G:$K,5,0),0)</f>
        <v>0</v>
      </c>
      <c r="BB65" s="101">
        <f>IFERROR(VLOOKUP($E65&amp;BA$6,Base!$M:$Q,5,0),0)</f>
        <v>0</v>
      </c>
      <c r="BC65" s="109">
        <v>0</v>
      </c>
      <c r="BD65" s="108">
        <f>IFERROR(VLOOKUP($E65&amp;BD$6,Base!$A:$E,5,0),0)</f>
        <v>0</v>
      </c>
      <c r="BE65" s="101">
        <f>IFERROR(VLOOKUP($E65&amp;BE$6,Base!$G:$K,5,0),0)</f>
        <v>0</v>
      </c>
      <c r="BF65" s="101">
        <f>IFERROR(VLOOKUP($E65&amp;BE$6,Base!$M:$Q,5,0),0)</f>
        <v>0</v>
      </c>
      <c r="BG65" s="109">
        <v>0</v>
      </c>
      <c r="BI65" s="104">
        <f t="shared" si="44"/>
        <v>0</v>
      </c>
      <c r="BJ65" s="99">
        <f t="shared" si="45"/>
        <v>0</v>
      </c>
      <c r="BK65" s="99">
        <f t="shared" si="46"/>
        <v>0</v>
      </c>
      <c r="BL65" s="111">
        <f t="shared" si="47"/>
        <v>0</v>
      </c>
      <c r="BM65" s="108">
        <f>IFERROR(VLOOKUP($E65&amp;BM$6,Base!$A:$E,5,0),0)</f>
        <v>0</v>
      </c>
      <c r="BN65" s="101">
        <f>IFERROR(VLOOKUP($E65&amp;BN$6,Base!$G:$K,5,0),0)</f>
        <v>0</v>
      </c>
      <c r="BO65" s="101">
        <f>IFERROR(VLOOKUP($E65&amp;BN$6,Base!$M:$Q,5,0),0)</f>
        <v>0</v>
      </c>
      <c r="BP65" s="109">
        <v>0</v>
      </c>
      <c r="BQ65" s="108">
        <f>IFERROR(VLOOKUP($E65&amp;BQ$6,Base!$A:$E,5,0),0)</f>
        <v>0</v>
      </c>
      <c r="BR65" s="101">
        <f>IFERROR(VLOOKUP($E65&amp;BR$6,Base!$G:$K,5,0),0)</f>
        <v>0</v>
      </c>
      <c r="BS65" s="101">
        <f>IFERROR(VLOOKUP($E65&amp;BR$6,Base!$M:$Q,5,0),0)</f>
        <v>0</v>
      </c>
      <c r="BT65" s="109">
        <v>0</v>
      </c>
      <c r="BU65" s="108">
        <f>IFERROR(VLOOKUP($E65&amp;BU$6,Base!$A:$E,5,0),0)</f>
        <v>0</v>
      </c>
      <c r="BV65" s="101">
        <f>IFERROR(VLOOKUP($E65&amp;BV$6,Base!$G:$K,5,0),0)</f>
        <v>0</v>
      </c>
      <c r="BW65" s="101">
        <f>IFERROR(VLOOKUP($E65&amp;BV$6,Base!$M:$Q,5,0),0)</f>
        <v>0</v>
      </c>
      <c r="BX65" s="109">
        <f>IFERROR(VLOOKUP($E65,Base!$U:$W,3,0),0)</f>
        <v>0</v>
      </c>
    </row>
    <row r="66" spans="2:76" x14ac:dyDescent="0.35">
      <c r="B66" s="53" t="s">
        <v>97</v>
      </c>
      <c r="C66" s="51">
        <v>179</v>
      </c>
      <c r="D66" s="51" t="s">
        <v>4</v>
      </c>
      <c r="E66" s="51">
        <v>51123</v>
      </c>
      <c r="F66" s="96" t="s">
        <v>477</v>
      </c>
      <c r="G66" s="42" t="s">
        <v>111</v>
      </c>
      <c r="H66" s="98" t="s">
        <v>99</v>
      </c>
      <c r="I66" s="143" t="s">
        <v>144</v>
      </c>
      <c r="J66" s="104">
        <f t="shared" si="33"/>
        <v>0</v>
      </c>
      <c r="K66" s="99">
        <f t="shared" si="34"/>
        <v>0</v>
      </c>
      <c r="L66" s="99">
        <f t="shared" si="35"/>
        <v>0</v>
      </c>
      <c r="M66" s="105">
        <f t="shared" si="36"/>
        <v>0</v>
      </c>
      <c r="N66" s="108">
        <f>IFERROR(VLOOKUP($E66&amp;N$6,Base!$A:$E,5,0),0)</f>
        <v>0</v>
      </c>
      <c r="O66" s="101">
        <v>0</v>
      </c>
      <c r="P66" s="101">
        <v>0</v>
      </c>
      <c r="Q66" s="101"/>
      <c r="R66" s="108">
        <f>IFERROR(VLOOKUP($E66&amp;R$6,Base!$A:$E,5,0),0)</f>
        <v>0</v>
      </c>
      <c r="S66" s="101">
        <f>IFERROR(VLOOKUP($E66&amp;S$6,Base!$G:$K,5,0),0)</f>
        <v>0</v>
      </c>
      <c r="T66" s="101">
        <f>IFERROR(VLOOKUP($E66&amp;S$6,Base!$M:$Q,5,0),0)</f>
        <v>0</v>
      </c>
      <c r="U66" s="109"/>
      <c r="V66" s="108">
        <f>IFERROR(VLOOKUP($E66&amp;V$6,Base!$A:$E,5,0),0)</f>
        <v>0</v>
      </c>
      <c r="W66" s="101">
        <f>IFERROR(VLOOKUP($E66&amp;W$6,Base!$G:$K,5,0),0)</f>
        <v>0</v>
      </c>
      <c r="X66" s="101">
        <f>IFERROR(VLOOKUP($E66&amp;W$6,Base!$M:$Q,5,0),0)</f>
        <v>0</v>
      </c>
      <c r="Y66" s="109"/>
      <c r="AA66" s="104">
        <f t="shared" si="37"/>
        <v>0</v>
      </c>
      <c r="AB66" s="99">
        <f t="shared" si="38"/>
        <v>0</v>
      </c>
      <c r="AC66" s="99">
        <f t="shared" si="39"/>
        <v>0</v>
      </c>
      <c r="AD66" s="105">
        <f t="shared" si="40"/>
        <v>0</v>
      </c>
      <c r="AE66" s="108">
        <f>IFERROR(VLOOKUP($E66&amp;AE$6,Base!$A:$E,5,0),0)</f>
        <v>0</v>
      </c>
      <c r="AF66" s="101">
        <f>IFERROR(VLOOKUP($E66&amp;AF$6,Base!$G:$K,5,0),0)</f>
        <v>0</v>
      </c>
      <c r="AG66" s="101">
        <f>IFERROR(VLOOKUP($E66&amp;AF$6,Base!$M:$Q,5,0),0)</f>
        <v>0</v>
      </c>
      <c r="AH66" s="109"/>
      <c r="AI66" s="108">
        <f>IFERROR(VLOOKUP($E66&amp;AI$6,Base!$A:$E,5,0),0)</f>
        <v>0</v>
      </c>
      <c r="AJ66" s="101">
        <f>IFERROR(VLOOKUP($E66&amp;AJ$6,Base!$G:$K,5,0),0)</f>
        <v>0</v>
      </c>
      <c r="AK66" s="101">
        <f>IFERROR(VLOOKUP($E66&amp;AJ$6,Base!$M:$Q,5,0),0)</f>
        <v>0</v>
      </c>
      <c r="AL66" s="109">
        <v>0</v>
      </c>
      <c r="AM66" s="108">
        <f>IFERROR(VLOOKUP($E66&amp;AM$6,Base!$A:$E,5,0),0)</f>
        <v>0</v>
      </c>
      <c r="AN66" s="101">
        <f>IFERROR(VLOOKUP($E66&amp;AN$6,Base!$G:$K,5,0),0)</f>
        <v>0</v>
      </c>
      <c r="AO66" s="101">
        <f>IFERROR(VLOOKUP($E66&amp;AN$6,Base!$M:$Q,5,0),0)</f>
        <v>0</v>
      </c>
      <c r="AP66" s="109"/>
      <c r="AR66" s="104">
        <f t="shared" si="41"/>
        <v>0</v>
      </c>
      <c r="AS66" s="99">
        <f t="shared" si="42"/>
        <v>0</v>
      </c>
      <c r="AT66" s="99">
        <f t="shared" si="43"/>
        <v>0</v>
      </c>
      <c r="AU66" s="105">
        <f t="shared" si="48"/>
        <v>0</v>
      </c>
      <c r="AV66" s="108">
        <f>IFERROR(VLOOKUP($E66&amp;AV$6,Base!$A:$E,5,0),0)</f>
        <v>0</v>
      </c>
      <c r="AW66" s="101">
        <f>IFERROR(VLOOKUP($E66&amp;AW$6,Base!$G:$K,5,0),0)</f>
        <v>0</v>
      </c>
      <c r="AX66" s="101">
        <f>IFERROR(VLOOKUP($E66&amp;AW$6,Base!$M:$Q,5,0),0)</f>
        <v>0</v>
      </c>
      <c r="AY66" s="109">
        <v>0</v>
      </c>
      <c r="AZ66" s="108">
        <f>IFERROR(VLOOKUP($E66&amp;AZ$6,Base!$A:$E,5,0),0)</f>
        <v>0</v>
      </c>
      <c r="BA66" s="101">
        <f>IFERROR(VLOOKUP($E66&amp;BA$6,Base!$G:$K,5,0),0)</f>
        <v>0</v>
      </c>
      <c r="BB66" s="101">
        <f>IFERROR(VLOOKUP($E66&amp;BA$6,Base!$M:$Q,5,0),0)</f>
        <v>0</v>
      </c>
      <c r="BC66" s="109">
        <v>0</v>
      </c>
      <c r="BD66" s="108">
        <f>IFERROR(VLOOKUP($E66&amp;BD$6,Base!$A:$E,5,0),0)</f>
        <v>0</v>
      </c>
      <c r="BE66" s="101">
        <f>IFERROR(VLOOKUP($E66&amp;BE$6,Base!$G:$K,5,0),0)</f>
        <v>0</v>
      </c>
      <c r="BF66" s="101">
        <f>IFERROR(VLOOKUP($E66&amp;BE$6,Base!$M:$Q,5,0),0)</f>
        <v>0</v>
      </c>
      <c r="BG66" s="109">
        <v>0</v>
      </c>
      <c r="BI66" s="104">
        <f t="shared" si="44"/>
        <v>0</v>
      </c>
      <c r="BJ66" s="99">
        <f t="shared" si="45"/>
        <v>0</v>
      </c>
      <c r="BK66" s="99">
        <f t="shared" si="46"/>
        <v>0</v>
      </c>
      <c r="BL66" s="111">
        <f t="shared" si="47"/>
        <v>0</v>
      </c>
      <c r="BM66" s="108">
        <f>IFERROR(VLOOKUP($E66&amp;BM$6,Base!$A:$E,5,0),0)</f>
        <v>0</v>
      </c>
      <c r="BN66" s="101">
        <f>IFERROR(VLOOKUP($E66&amp;BN$6,Base!$G:$K,5,0),0)</f>
        <v>0</v>
      </c>
      <c r="BO66" s="101">
        <f>IFERROR(VLOOKUP($E66&amp;BN$6,Base!$M:$Q,5,0),0)</f>
        <v>0</v>
      </c>
      <c r="BP66" s="109">
        <v>0</v>
      </c>
      <c r="BQ66" s="108">
        <f>IFERROR(VLOOKUP($E66&amp;BQ$6,Base!$A:$E,5,0),0)</f>
        <v>0</v>
      </c>
      <c r="BR66" s="101">
        <f>IFERROR(VLOOKUP($E66&amp;BR$6,Base!$G:$K,5,0),0)</f>
        <v>0</v>
      </c>
      <c r="BS66" s="101">
        <f>IFERROR(VLOOKUP($E66&amp;BR$6,Base!$M:$Q,5,0),0)</f>
        <v>0</v>
      </c>
      <c r="BT66" s="109">
        <v>0</v>
      </c>
      <c r="BU66" s="108">
        <f>IFERROR(VLOOKUP($E66&amp;BU$6,Base!$A:$E,5,0),0)</f>
        <v>0</v>
      </c>
      <c r="BV66" s="101">
        <f>IFERROR(VLOOKUP($E66&amp;BV$6,Base!$G:$K,5,0),0)</f>
        <v>0</v>
      </c>
      <c r="BW66" s="101">
        <f>IFERROR(VLOOKUP($E66&amp;BV$6,Base!$M:$Q,5,0),0)</f>
        <v>0</v>
      </c>
      <c r="BX66" s="109">
        <f>IFERROR(VLOOKUP($E66,Base!$U:$W,3,0),0)</f>
        <v>0</v>
      </c>
    </row>
    <row r="67" spans="2:76" x14ac:dyDescent="0.35">
      <c r="B67" s="53" t="s">
        <v>97</v>
      </c>
      <c r="C67" s="51">
        <v>179</v>
      </c>
      <c r="D67" s="51" t="s">
        <v>4</v>
      </c>
      <c r="E67" s="51">
        <v>57679</v>
      </c>
      <c r="F67" s="96" t="s">
        <v>479</v>
      </c>
      <c r="G67" s="42" t="s">
        <v>112</v>
      </c>
      <c r="H67" s="98" t="s">
        <v>99</v>
      </c>
      <c r="I67" s="143" t="s">
        <v>144</v>
      </c>
      <c r="J67" s="104">
        <f t="shared" si="33"/>
        <v>1707.9580000000001</v>
      </c>
      <c r="K67" s="99">
        <f t="shared" si="34"/>
        <v>1828</v>
      </c>
      <c r="L67" s="99">
        <f t="shared" si="35"/>
        <v>15</v>
      </c>
      <c r="M67" s="105">
        <f t="shared" si="36"/>
        <v>0</v>
      </c>
      <c r="N67" s="108">
        <f>IFERROR(VLOOKUP($E67&amp;N$6,Base!$A:$E,5,0),0)</f>
        <v>504</v>
      </c>
      <c r="O67" s="101">
        <v>109</v>
      </c>
      <c r="P67" s="101">
        <v>0</v>
      </c>
      <c r="Q67" s="101"/>
      <c r="R67" s="108">
        <f>IFERROR(VLOOKUP($E67&amp;R$6,Base!$A:$E,5,0),0)</f>
        <v>204.958</v>
      </c>
      <c r="S67" s="101">
        <f>IFERROR(VLOOKUP($E67&amp;S$6,Base!$G:$K,5,0),0)</f>
        <v>1458</v>
      </c>
      <c r="T67" s="101">
        <f>IFERROR(VLOOKUP($E67&amp;S$6,Base!$M:$Q,5,0),0)</f>
        <v>15</v>
      </c>
      <c r="U67" s="109"/>
      <c r="V67" s="108">
        <f>IFERROR(VLOOKUP($E67&amp;V$6,Base!$A:$E,5,0),0)</f>
        <v>999</v>
      </c>
      <c r="W67" s="101">
        <f>IFERROR(VLOOKUP($E67&amp;W$6,Base!$G:$K,5,0),0)</f>
        <v>261</v>
      </c>
      <c r="X67" s="101">
        <f>IFERROR(VLOOKUP($E67&amp;W$6,Base!$M:$Q,5,0),0)</f>
        <v>0</v>
      </c>
      <c r="Y67" s="109"/>
      <c r="AA67" s="104">
        <f t="shared" si="37"/>
        <v>2156</v>
      </c>
      <c r="AB67" s="99">
        <f t="shared" si="38"/>
        <v>1741.75</v>
      </c>
      <c r="AC67" s="99">
        <f t="shared" si="39"/>
        <v>3</v>
      </c>
      <c r="AD67" s="105">
        <f t="shared" si="40"/>
        <v>0</v>
      </c>
      <c r="AE67" s="108">
        <f>IFERROR(VLOOKUP($E67&amp;AE$6,Base!$A:$E,5,0),0)</f>
        <v>624</v>
      </c>
      <c r="AF67" s="101">
        <f>IFERROR(VLOOKUP($E67&amp;AF$6,Base!$G:$K,5,0),0)</f>
        <v>548.75</v>
      </c>
      <c r="AG67" s="101">
        <f>IFERROR(VLOOKUP($E67&amp;AF$6,Base!$M:$Q,5,0),0)</f>
        <v>0</v>
      </c>
      <c r="AH67" s="109"/>
      <c r="AI67" s="108">
        <f>IFERROR(VLOOKUP($E67&amp;AI$6,Base!$A:$E,5,0),0)</f>
        <v>945</v>
      </c>
      <c r="AJ67" s="101">
        <f>IFERROR(VLOOKUP($E67&amp;AJ$6,Base!$G:$K,5,0),0)</f>
        <v>578</v>
      </c>
      <c r="AK67" s="101">
        <f>IFERROR(VLOOKUP($E67&amp;AJ$6,Base!$M:$Q,5,0),0)</f>
        <v>3</v>
      </c>
      <c r="AL67" s="109">
        <v>0</v>
      </c>
      <c r="AM67" s="108">
        <f>IFERROR(VLOOKUP($E67&amp;AM$6,Base!$A:$E,5,0),0)</f>
        <v>587</v>
      </c>
      <c r="AN67" s="101">
        <f>IFERROR(VLOOKUP($E67&amp;AN$6,Base!$G:$K,5,0),0)</f>
        <v>615</v>
      </c>
      <c r="AO67" s="101">
        <f>IFERROR(VLOOKUP($E67&amp;AN$6,Base!$M:$Q,5,0),0)</f>
        <v>0</v>
      </c>
      <c r="AP67" s="109"/>
      <c r="AR67" s="104">
        <f t="shared" si="41"/>
        <v>2145.4169999999999</v>
      </c>
      <c r="AS67" s="99">
        <f t="shared" si="42"/>
        <v>1714.875</v>
      </c>
      <c r="AT67" s="99">
        <f t="shared" si="43"/>
        <v>25</v>
      </c>
      <c r="AU67" s="105">
        <f t="shared" si="48"/>
        <v>0</v>
      </c>
      <c r="AV67" s="108">
        <f>IFERROR(VLOOKUP($E67&amp;AV$6,Base!$A:$E,5,0),0)</f>
        <v>517</v>
      </c>
      <c r="AW67" s="101">
        <f>IFERROR(VLOOKUP($E67&amp;AW$6,Base!$G:$K,5,0),0)</f>
        <v>235.917</v>
      </c>
      <c r="AX67" s="101">
        <f>IFERROR(VLOOKUP($E67&amp;AW$6,Base!$M:$Q,5,0),0)</f>
        <v>0</v>
      </c>
      <c r="AY67" s="109">
        <v>0</v>
      </c>
      <c r="AZ67" s="108">
        <f>IFERROR(VLOOKUP($E67&amp;AZ$6,Base!$A:$E,5,0),0)</f>
        <v>408</v>
      </c>
      <c r="BA67" s="101">
        <f>IFERROR(VLOOKUP($E67&amp;BA$6,Base!$G:$K,5,0),0)</f>
        <v>790.95799999999997</v>
      </c>
      <c r="BB67" s="101">
        <f>IFERROR(VLOOKUP($E67&amp;BA$6,Base!$M:$Q,5,0),0)</f>
        <v>12</v>
      </c>
      <c r="BC67" s="109">
        <v>0</v>
      </c>
      <c r="BD67" s="108">
        <f>IFERROR(VLOOKUP($E67&amp;BD$6,Base!$A:$E,5,0),0)</f>
        <v>1220.4169999999999</v>
      </c>
      <c r="BE67" s="101">
        <f>IFERROR(VLOOKUP($E67&amp;BE$6,Base!$G:$K,5,0),0)</f>
        <v>688</v>
      </c>
      <c r="BF67" s="101">
        <f>IFERROR(VLOOKUP($E67&amp;BE$6,Base!$M:$Q,5,0),0)</f>
        <v>13</v>
      </c>
      <c r="BG67" s="109">
        <v>0</v>
      </c>
      <c r="BI67" s="104">
        <f t="shared" si="44"/>
        <v>1078.25</v>
      </c>
      <c r="BJ67" s="99">
        <f t="shared" si="45"/>
        <v>1087</v>
      </c>
      <c r="BK67" s="99">
        <f t="shared" si="46"/>
        <v>18</v>
      </c>
      <c r="BL67" s="111">
        <f t="shared" si="47"/>
        <v>59</v>
      </c>
      <c r="BM67" s="108">
        <f>IFERROR(VLOOKUP($E67&amp;BM$6,Base!$A:$E,5,0),0)</f>
        <v>179.25</v>
      </c>
      <c r="BN67" s="101">
        <f>IFERROR(VLOOKUP($E67&amp;BN$6,Base!$G:$K,5,0),0)</f>
        <v>365</v>
      </c>
      <c r="BO67" s="101">
        <f>IFERROR(VLOOKUP($E67&amp;BN$6,Base!$M:$Q,5,0),0)</f>
        <v>3</v>
      </c>
      <c r="BP67" s="109">
        <v>0</v>
      </c>
      <c r="BQ67" s="108">
        <f>IFERROR(VLOOKUP($E67&amp;BQ$6,Base!$A:$E,5,0),0)</f>
        <v>490</v>
      </c>
      <c r="BR67" s="101">
        <f>IFERROR(VLOOKUP($E67&amp;BR$6,Base!$G:$K,5,0),0)</f>
        <v>518</v>
      </c>
      <c r="BS67" s="101">
        <f>IFERROR(VLOOKUP($E67&amp;BR$6,Base!$M:$Q,5,0),0)</f>
        <v>15</v>
      </c>
      <c r="BT67" s="109">
        <v>0</v>
      </c>
      <c r="BU67" s="108">
        <f>IFERROR(VLOOKUP($E67&amp;BU$6,Base!$A:$E,5,0),0)</f>
        <v>409</v>
      </c>
      <c r="BV67" s="101">
        <f>IFERROR(VLOOKUP($E67&amp;BV$6,Base!$G:$K,5,0),0)</f>
        <v>204</v>
      </c>
      <c r="BW67" s="101">
        <f>IFERROR(VLOOKUP($E67&amp;BV$6,Base!$M:$Q,5,0),0)</f>
        <v>0</v>
      </c>
      <c r="BX67" s="109">
        <f>IFERROR(VLOOKUP($E67,Base!$U:$W,3,0),0)</f>
        <v>59</v>
      </c>
    </row>
    <row r="68" spans="2:76" x14ac:dyDescent="0.35">
      <c r="B68" s="53" t="s">
        <v>97</v>
      </c>
      <c r="C68" s="51">
        <v>179</v>
      </c>
      <c r="D68" s="51" t="s">
        <v>4</v>
      </c>
      <c r="E68" s="51">
        <v>57802</v>
      </c>
      <c r="F68" s="96" t="s">
        <v>481</v>
      </c>
      <c r="G68" s="42" t="s">
        <v>120</v>
      </c>
      <c r="H68" s="98" t="s">
        <v>99</v>
      </c>
      <c r="I68" s="143" t="s">
        <v>144</v>
      </c>
      <c r="J68" s="104">
        <f t="shared" si="33"/>
        <v>0</v>
      </c>
      <c r="K68" s="99">
        <f t="shared" si="34"/>
        <v>0</v>
      </c>
      <c r="L68" s="99">
        <f t="shared" si="35"/>
        <v>0</v>
      </c>
      <c r="M68" s="105">
        <f t="shared" si="36"/>
        <v>0</v>
      </c>
      <c r="N68" s="108">
        <f>IFERROR(VLOOKUP($E68&amp;N$6,Base!$A:$E,5,0),0)</f>
        <v>0</v>
      </c>
      <c r="O68" s="101">
        <v>0</v>
      </c>
      <c r="P68" s="101">
        <v>0</v>
      </c>
      <c r="Q68" s="101"/>
      <c r="R68" s="108">
        <f>IFERROR(VLOOKUP($E68&amp;R$6,Base!$A:$E,5,0),0)</f>
        <v>0</v>
      </c>
      <c r="S68" s="101">
        <f>IFERROR(VLOOKUP($E68&amp;S$6,Base!$G:$K,5,0),0)</f>
        <v>0</v>
      </c>
      <c r="T68" s="101">
        <f>IFERROR(VLOOKUP($E68&amp;S$6,Base!$M:$Q,5,0),0)</f>
        <v>0</v>
      </c>
      <c r="U68" s="109"/>
      <c r="V68" s="108">
        <f>IFERROR(VLOOKUP($E68&amp;V$6,Base!$A:$E,5,0),0)</f>
        <v>0</v>
      </c>
      <c r="W68" s="101">
        <f>IFERROR(VLOOKUP($E68&amp;W$6,Base!$G:$K,5,0),0)</f>
        <v>0</v>
      </c>
      <c r="X68" s="101">
        <f>IFERROR(VLOOKUP($E68&amp;W$6,Base!$M:$Q,5,0),0)</f>
        <v>0</v>
      </c>
      <c r="Y68" s="109"/>
      <c r="AA68" s="104">
        <f t="shared" si="37"/>
        <v>0</v>
      </c>
      <c r="AB68" s="99">
        <f t="shared" si="38"/>
        <v>0</v>
      </c>
      <c r="AC68" s="99">
        <f t="shared" si="39"/>
        <v>0</v>
      </c>
      <c r="AD68" s="105">
        <f t="shared" si="40"/>
        <v>0</v>
      </c>
      <c r="AE68" s="108">
        <f>IFERROR(VLOOKUP($E68&amp;AE$6,Base!$A:$E,5,0),0)</f>
        <v>0</v>
      </c>
      <c r="AF68" s="101">
        <f>IFERROR(VLOOKUP($E68&amp;AF$6,Base!$G:$K,5,0),0)</f>
        <v>0</v>
      </c>
      <c r="AG68" s="101">
        <f>IFERROR(VLOOKUP($E68&amp;AF$6,Base!$M:$Q,5,0),0)</f>
        <v>0</v>
      </c>
      <c r="AH68" s="109"/>
      <c r="AI68" s="108">
        <f>IFERROR(VLOOKUP($E68&amp;AI$6,Base!$A:$E,5,0),0)</f>
        <v>0</v>
      </c>
      <c r="AJ68" s="101">
        <f>IFERROR(VLOOKUP($E68&amp;AJ$6,Base!$G:$K,5,0),0)</f>
        <v>0</v>
      </c>
      <c r="AK68" s="101">
        <f>IFERROR(VLOOKUP($E68&amp;AJ$6,Base!$M:$Q,5,0),0)</f>
        <v>0</v>
      </c>
      <c r="AL68" s="109">
        <v>0</v>
      </c>
      <c r="AM68" s="108">
        <f>IFERROR(VLOOKUP($E68&amp;AM$6,Base!$A:$E,5,0),0)</f>
        <v>0</v>
      </c>
      <c r="AN68" s="101">
        <f>IFERROR(VLOOKUP($E68&amp;AN$6,Base!$G:$K,5,0),0)</f>
        <v>0</v>
      </c>
      <c r="AO68" s="101">
        <f>IFERROR(VLOOKUP($E68&amp;AN$6,Base!$M:$Q,5,0),0)</f>
        <v>0</v>
      </c>
      <c r="AP68" s="109"/>
      <c r="AR68" s="104">
        <f t="shared" si="41"/>
        <v>0</v>
      </c>
      <c r="AS68" s="99">
        <f t="shared" si="42"/>
        <v>0</v>
      </c>
      <c r="AT68" s="99">
        <f t="shared" si="43"/>
        <v>0</v>
      </c>
      <c r="AU68" s="105">
        <f t="shared" si="48"/>
        <v>0</v>
      </c>
      <c r="AV68" s="108">
        <f>IFERROR(VLOOKUP($E68&amp;AV$6,Base!$A:$E,5,0),0)</f>
        <v>0</v>
      </c>
      <c r="AW68" s="101">
        <f>IFERROR(VLOOKUP($E68&amp;AW$6,Base!$G:$K,5,0),0)</f>
        <v>0</v>
      </c>
      <c r="AX68" s="101">
        <f>IFERROR(VLOOKUP($E68&amp;AW$6,Base!$M:$Q,5,0),0)</f>
        <v>0</v>
      </c>
      <c r="AY68" s="109">
        <v>0</v>
      </c>
      <c r="AZ68" s="108">
        <f>IFERROR(VLOOKUP($E68&amp;AZ$6,Base!$A:$E,5,0),0)</f>
        <v>0</v>
      </c>
      <c r="BA68" s="101">
        <f>IFERROR(VLOOKUP($E68&amp;BA$6,Base!$G:$K,5,0),0)</f>
        <v>0</v>
      </c>
      <c r="BB68" s="101">
        <f>IFERROR(VLOOKUP($E68&amp;BA$6,Base!$M:$Q,5,0),0)</f>
        <v>0</v>
      </c>
      <c r="BC68" s="109">
        <v>0</v>
      </c>
      <c r="BD68" s="108">
        <f>IFERROR(VLOOKUP($E68&amp;BD$6,Base!$A:$E,5,0),0)</f>
        <v>0</v>
      </c>
      <c r="BE68" s="101">
        <f>IFERROR(VLOOKUP($E68&amp;BE$6,Base!$G:$K,5,0),0)</f>
        <v>0</v>
      </c>
      <c r="BF68" s="101">
        <f>IFERROR(VLOOKUP($E68&amp;BE$6,Base!$M:$Q,5,0),0)</f>
        <v>0</v>
      </c>
      <c r="BG68" s="109">
        <v>0</v>
      </c>
      <c r="BI68" s="104">
        <f t="shared" si="44"/>
        <v>0</v>
      </c>
      <c r="BJ68" s="99">
        <f t="shared" si="45"/>
        <v>0</v>
      </c>
      <c r="BK68" s="99">
        <f t="shared" si="46"/>
        <v>0</v>
      </c>
      <c r="BL68" s="111">
        <f t="shared" si="47"/>
        <v>0</v>
      </c>
      <c r="BM68" s="108">
        <f>IFERROR(VLOOKUP($E68&amp;BM$6,Base!$A:$E,5,0),0)</f>
        <v>0</v>
      </c>
      <c r="BN68" s="101">
        <f>IFERROR(VLOOKUP($E68&amp;BN$6,Base!$G:$K,5,0),0)</f>
        <v>0</v>
      </c>
      <c r="BO68" s="101">
        <f>IFERROR(VLOOKUP($E68&amp;BN$6,Base!$M:$Q,5,0),0)</f>
        <v>0</v>
      </c>
      <c r="BP68" s="109">
        <v>0</v>
      </c>
      <c r="BQ68" s="108">
        <f>IFERROR(VLOOKUP($E68&amp;BQ$6,Base!$A:$E,5,0),0)</f>
        <v>0</v>
      </c>
      <c r="BR68" s="101">
        <f>IFERROR(VLOOKUP($E68&amp;BR$6,Base!$G:$K,5,0),0)</f>
        <v>0</v>
      </c>
      <c r="BS68" s="101">
        <f>IFERROR(VLOOKUP($E68&amp;BR$6,Base!$M:$Q,5,0),0)</f>
        <v>0</v>
      </c>
      <c r="BT68" s="109">
        <v>0</v>
      </c>
      <c r="BU68" s="108">
        <f>IFERROR(VLOOKUP($E68&amp;BU$6,Base!$A:$E,5,0),0)</f>
        <v>0</v>
      </c>
      <c r="BV68" s="101">
        <f>IFERROR(VLOOKUP($E68&amp;BV$6,Base!$G:$K,5,0),0)</f>
        <v>0</v>
      </c>
      <c r="BW68" s="101">
        <f>IFERROR(VLOOKUP($E68&amp;BV$6,Base!$M:$Q,5,0),0)</f>
        <v>0</v>
      </c>
      <c r="BX68" s="109">
        <f>IFERROR(VLOOKUP($E68,Base!$U:$W,3,0),0)</f>
        <v>0</v>
      </c>
    </row>
    <row r="69" spans="2:76" x14ac:dyDescent="0.35">
      <c r="B69" s="53" t="s">
        <v>97</v>
      </c>
      <c r="C69" s="51">
        <v>179</v>
      </c>
      <c r="D69" s="51" t="s">
        <v>4</v>
      </c>
      <c r="E69" s="51">
        <v>65621</v>
      </c>
      <c r="F69" s="96" t="s">
        <v>484</v>
      </c>
      <c r="G69" s="42" t="s">
        <v>114</v>
      </c>
      <c r="H69" s="98" t="s">
        <v>99</v>
      </c>
      <c r="I69" s="143" t="s">
        <v>144</v>
      </c>
      <c r="J69" s="104">
        <f t="shared" si="33"/>
        <v>0</v>
      </c>
      <c r="K69" s="99">
        <f t="shared" si="34"/>
        <v>0</v>
      </c>
      <c r="L69" s="99">
        <f t="shared" si="35"/>
        <v>0</v>
      </c>
      <c r="M69" s="105">
        <f t="shared" si="36"/>
        <v>0</v>
      </c>
      <c r="N69" s="108">
        <f>IFERROR(VLOOKUP($E69&amp;N$6,Base!$A:$E,5,0),0)</f>
        <v>0</v>
      </c>
      <c r="O69" s="101">
        <v>0</v>
      </c>
      <c r="P69" s="101">
        <v>0</v>
      </c>
      <c r="Q69" s="101"/>
      <c r="R69" s="108">
        <f>IFERROR(VLOOKUP($E69&amp;R$6,Base!$A:$E,5,0),0)</f>
        <v>0</v>
      </c>
      <c r="S69" s="101">
        <f>IFERROR(VLOOKUP($E69&amp;S$6,Base!$G:$K,5,0),0)</f>
        <v>0</v>
      </c>
      <c r="T69" s="101">
        <f>IFERROR(VLOOKUP($E69&amp;S$6,Base!$M:$Q,5,0),0)</f>
        <v>0</v>
      </c>
      <c r="U69" s="109"/>
      <c r="V69" s="108">
        <f>IFERROR(VLOOKUP($E69&amp;V$6,Base!$A:$E,5,0),0)</f>
        <v>0</v>
      </c>
      <c r="W69" s="101">
        <f>IFERROR(VLOOKUP($E69&amp;W$6,Base!$G:$K,5,0),0)</f>
        <v>0</v>
      </c>
      <c r="X69" s="101">
        <f>IFERROR(VLOOKUP($E69&amp;W$6,Base!$M:$Q,5,0),0)</f>
        <v>0</v>
      </c>
      <c r="Y69" s="109"/>
      <c r="AA69" s="104">
        <f t="shared" si="37"/>
        <v>0</v>
      </c>
      <c r="AB69" s="99">
        <f t="shared" si="38"/>
        <v>0</v>
      </c>
      <c r="AC69" s="99">
        <f t="shared" si="39"/>
        <v>0</v>
      </c>
      <c r="AD69" s="105">
        <f t="shared" si="40"/>
        <v>0</v>
      </c>
      <c r="AE69" s="108">
        <f>IFERROR(VLOOKUP($E69&amp;AE$6,Base!$A:$E,5,0),0)</f>
        <v>0</v>
      </c>
      <c r="AF69" s="101">
        <f>IFERROR(VLOOKUP($E69&amp;AF$6,Base!$G:$K,5,0),0)</f>
        <v>0</v>
      </c>
      <c r="AG69" s="101">
        <f>IFERROR(VLOOKUP($E69&amp;AF$6,Base!$M:$Q,5,0),0)</f>
        <v>0</v>
      </c>
      <c r="AH69" s="109"/>
      <c r="AI69" s="108">
        <f>IFERROR(VLOOKUP($E69&amp;AI$6,Base!$A:$E,5,0),0)</f>
        <v>0</v>
      </c>
      <c r="AJ69" s="101">
        <f>IFERROR(VLOOKUP($E69&amp;AJ$6,Base!$G:$K,5,0),0)</f>
        <v>0</v>
      </c>
      <c r="AK69" s="101">
        <f>IFERROR(VLOOKUP($E69&amp;AJ$6,Base!$M:$Q,5,0),0)</f>
        <v>0</v>
      </c>
      <c r="AL69" s="109">
        <v>0</v>
      </c>
      <c r="AM69" s="108">
        <f>IFERROR(VLOOKUP($E69&amp;AM$6,Base!$A:$E,5,0),0)</f>
        <v>0</v>
      </c>
      <c r="AN69" s="101">
        <f>IFERROR(VLOOKUP($E69&amp;AN$6,Base!$G:$K,5,0),0)</f>
        <v>0</v>
      </c>
      <c r="AO69" s="101">
        <f>IFERROR(VLOOKUP($E69&amp;AN$6,Base!$M:$Q,5,0),0)</f>
        <v>0</v>
      </c>
      <c r="AP69" s="109"/>
      <c r="AR69" s="104">
        <f t="shared" si="41"/>
        <v>0</v>
      </c>
      <c r="AS69" s="99">
        <f t="shared" si="42"/>
        <v>0</v>
      </c>
      <c r="AT69" s="99">
        <f t="shared" si="43"/>
        <v>0</v>
      </c>
      <c r="AU69" s="105">
        <f t="shared" si="48"/>
        <v>0</v>
      </c>
      <c r="AV69" s="108">
        <f>IFERROR(VLOOKUP($E69&amp;AV$6,Base!$A:$E,5,0),0)</f>
        <v>0</v>
      </c>
      <c r="AW69" s="101">
        <f>IFERROR(VLOOKUP($E69&amp;AW$6,Base!$G:$K,5,0),0)</f>
        <v>0</v>
      </c>
      <c r="AX69" s="101">
        <f>IFERROR(VLOOKUP($E69&amp;AW$6,Base!$M:$Q,5,0),0)</f>
        <v>0</v>
      </c>
      <c r="AY69" s="109">
        <v>0</v>
      </c>
      <c r="AZ69" s="108">
        <f>IFERROR(VLOOKUP($E69&amp;AZ$6,Base!$A:$E,5,0),0)</f>
        <v>0</v>
      </c>
      <c r="BA69" s="101">
        <f>IFERROR(VLOOKUP($E69&amp;BA$6,Base!$G:$K,5,0),0)</f>
        <v>0</v>
      </c>
      <c r="BB69" s="101">
        <f>IFERROR(VLOOKUP($E69&amp;BA$6,Base!$M:$Q,5,0),0)</f>
        <v>0</v>
      </c>
      <c r="BC69" s="109">
        <v>0</v>
      </c>
      <c r="BD69" s="108">
        <f>IFERROR(VLOOKUP($E69&amp;BD$6,Base!$A:$E,5,0),0)</f>
        <v>0</v>
      </c>
      <c r="BE69" s="101">
        <f>IFERROR(VLOOKUP($E69&amp;BE$6,Base!$G:$K,5,0),0)</f>
        <v>0</v>
      </c>
      <c r="BF69" s="101">
        <f>IFERROR(VLOOKUP($E69&amp;BE$6,Base!$M:$Q,5,0),0)</f>
        <v>0</v>
      </c>
      <c r="BG69" s="109">
        <v>0</v>
      </c>
      <c r="BI69" s="104">
        <f t="shared" si="44"/>
        <v>0</v>
      </c>
      <c r="BJ69" s="99">
        <f t="shared" si="45"/>
        <v>0</v>
      </c>
      <c r="BK69" s="99">
        <f t="shared" si="46"/>
        <v>0</v>
      </c>
      <c r="BL69" s="111">
        <f t="shared" si="47"/>
        <v>0</v>
      </c>
      <c r="BM69" s="108">
        <f>IFERROR(VLOOKUP($E69&amp;BM$6,Base!$A:$E,5,0),0)</f>
        <v>0</v>
      </c>
      <c r="BN69" s="101">
        <f>IFERROR(VLOOKUP($E69&amp;BN$6,Base!$G:$K,5,0),0)</f>
        <v>0</v>
      </c>
      <c r="BO69" s="101">
        <f>IFERROR(VLOOKUP($E69&amp;BN$6,Base!$M:$Q,5,0),0)</f>
        <v>0</v>
      </c>
      <c r="BP69" s="109">
        <v>0</v>
      </c>
      <c r="BQ69" s="108">
        <f>IFERROR(VLOOKUP($E69&amp;BQ$6,Base!$A:$E,5,0),0)</f>
        <v>0</v>
      </c>
      <c r="BR69" s="101">
        <f>IFERROR(VLOOKUP($E69&amp;BR$6,Base!$G:$K,5,0),0)</f>
        <v>0</v>
      </c>
      <c r="BS69" s="101">
        <f>IFERROR(VLOOKUP($E69&amp;BR$6,Base!$M:$Q,5,0),0)</f>
        <v>0</v>
      </c>
      <c r="BT69" s="109">
        <v>0</v>
      </c>
      <c r="BU69" s="108">
        <f>IFERROR(VLOOKUP($E69&amp;BU$6,Base!$A:$E,5,0),0)</f>
        <v>0</v>
      </c>
      <c r="BV69" s="101">
        <f>IFERROR(VLOOKUP($E69&amp;BV$6,Base!$G:$K,5,0),0)</f>
        <v>0</v>
      </c>
      <c r="BW69" s="101">
        <f>IFERROR(VLOOKUP($E69&amp;BV$6,Base!$M:$Q,5,0),0)</f>
        <v>0</v>
      </c>
      <c r="BX69" s="109">
        <f>IFERROR(VLOOKUP($E69,Base!$U:$W,3,0),0)</f>
        <v>0</v>
      </c>
    </row>
    <row r="70" spans="2:76" x14ac:dyDescent="0.35">
      <c r="B70" s="53" t="s">
        <v>97</v>
      </c>
      <c r="C70" s="51">
        <v>179</v>
      </c>
      <c r="D70" s="51" t="s">
        <v>4</v>
      </c>
      <c r="E70" s="51">
        <v>66764</v>
      </c>
      <c r="F70" s="96" t="s">
        <v>486</v>
      </c>
      <c r="G70" s="42" t="s">
        <v>115</v>
      </c>
      <c r="H70" s="98" t="s">
        <v>99</v>
      </c>
      <c r="I70" s="143" t="s">
        <v>144</v>
      </c>
      <c r="J70" s="104">
        <f t="shared" si="33"/>
        <v>0</v>
      </c>
      <c r="K70" s="99">
        <f t="shared" si="34"/>
        <v>0</v>
      </c>
      <c r="L70" s="99">
        <f t="shared" si="35"/>
        <v>0</v>
      </c>
      <c r="M70" s="105">
        <f t="shared" si="36"/>
        <v>0</v>
      </c>
      <c r="N70" s="108">
        <f>IFERROR(VLOOKUP($E70&amp;N$6,Base!$A:$E,5,0),0)</f>
        <v>0</v>
      </c>
      <c r="O70" s="101">
        <v>0</v>
      </c>
      <c r="P70" s="101">
        <v>0</v>
      </c>
      <c r="Q70" s="101"/>
      <c r="R70" s="108">
        <f>IFERROR(VLOOKUP($E70&amp;R$6,Base!$A:$E,5,0),0)</f>
        <v>0</v>
      </c>
      <c r="S70" s="101">
        <f>IFERROR(VLOOKUP($E70&amp;S$6,Base!$G:$K,5,0),0)</f>
        <v>0</v>
      </c>
      <c r="T70" s="101">
        <f>IFERROR(VLOOKUP($E70&amp;S$6,Base!$M:$Q,5,0),0)</f>
        <v>0</v>
      </c>
      <c r="U70" s="109"/>
      <c r="V70" s="108">
        <f>IFERROR(VLOOKUP($E70&amp;V$6,Base!$A:$E,5,0),0)</f>
        <v>0</v>
      </c>
      <c r="W70" s="101">
        <f>IFERROR(VLOOKUP($E70&amp;W$6,Base!$G:$K,5,0),0)</f>
        <v>0</v>
      </c>
      <c r="X70" s="101">
        <f>IFERROR(VLOOKUP($E70&amp;W$6,Base!$M:$Q,5,0),0)</f>
        <v>0</v>
      </c>
      <c r="Y70" s="109"/>
      <c r="AA70" s="104">
        <f t="shared" si="37"/>
        <v>0</v>
      </c>
      <c r="AB70" s="99">
        <f t="shared" si="38"/>
        <v>0</v>
      </c>
      <c r="AC70" s="99">
        <f t="shared" si="39"/>
        <v>0</v>
      </c>
      <c r="AD70" s="105">
        <f t="shared" si="40"/>
        <v>0</v>
      </c>
      <c r="AE70" s="108">
        <f>IFERROR(VLOOKUP($E70&amp;AE$6,Base!$A:$E,5,0),0)</f>
        <v>0</v>
      </c>
      <c r="AF70" s="101">
        <f>IFERROR(VLOOKUP($E70&amp;AF$6,Base!$G:$K,5,0),0)</f>
        <v>0</v>
      </c>
      <c r="AG70" s="101">
        <f>IFERROR(VLOOKUP($E70&amp;AF$6,Base!$M:$Q,5,0),0)</f>
        <v>0</v>
      </c>
      <c r="AH70" s="109"/>
      <c r="AI70" s="108">
        <f>IFERROR(VLOOKUP($E70&amp;AI$6,Base!$A:$E,5,0),0)</f>
        <v>0</v>
      </c>
      <c r="AJ70" s="101">
        <f>IFERROR(VLOOKUP($E70&amp;AJ$6,Base!$G:$K,5,0),0)</f>
        <v>0</v>
      </c>
      <c r="AK70" s="101">
        <f>IFERROR(VLOOKUP($E70&amp;AJ$6,Base!$M:$Q,5,0),0)</f>
        <v>0</v>
      </c>
      <c r="AL70" s="109">
        <v>0</v>
      </c>
      <c r="AM70" s="108">
        <f>IFERROR(VLOOKUP($E70&amp;AM$6,Base!$A:$E,5,0),0)</f>
        <v>0</v>
      </c>
      <c r="AN70" s="101">
        <f>IFERROR(VLOOKUP($E70&amp;AN$6,Base!$G:$K,5,0),0)</f>
        <v>0</v>
      </c>
      <c r="AO70" s="101">
        <f>IFERROR(VLOOKUP($E70&amp;AN$6,Base!$M:$Q,5,0),0)</f>
        <v>0</v>
      </c>
      <c r="AP70" s="109"/>
      <c r="AR70" s="104">
        <f t="shared" si="41"/>
        <v>0</v>
      </c>
      <c r="AS70" s="99">
        <f t="shared" si="42"/>
        <v>0</v>
      </c>
      <c r="AT70" s="99">
        <f t="shared" si="43"/>
        <v>0</v>
      </c>
      <c r="AU70" s="105">
        <f t="shared" si="48"/>
        <v>0</v>
      </c>
      <c r="AV70" s="108">
        <f>IFERROR(VLOOKUP($E70&amp;AV$6,Base!$A:$E,5,0),0)</f>
        <v>0</v>
      </c>
      <c r="AW70" s="101">
        <f>IFERROR(VLOOKUP($E70&amp;AW$6,Base!$G:$K,5,0),0)</f>
        <v>0</v>
      </c>
      <c r="AX70" s="101">
        <f>IFERROR(VLOOKUP($E70&amp;AW$6,Base!$M:$Q,5,0),0)</f>
        <v>0</v>
      </c>
      <c r="AY70" s="109">
        <v>0</v>
      </c>
      <c r="AZ70" s="108">
        <f>IFERROR(VLOOKUP($E70&amp;AZ$6,Base!$A:$E,5,0),0)</f>
        <v>0</v>
      </c>
      <c r="BA70" s="101">
        <f>IFERROR(VLOOKUP($E70&amp;BA$6,Base!$G:$K,5,0),0)</f>
        <v>0</v>
      </c>
      <c r="BB70" s="101">
        <f>IFERROR(VLOOKUP($E70&amp;BA$6,Base!$M:$Q,5,0),0)</f>
        <v>0</v>
      </c>
      <c r="BC70" s="109">
        <v>0</v>
      </c>
      <c r="BD70" s="108">
        <f>IFERROR(VLOOKUP($E70&amp;BD$6,Base!$A:$E,5,0),0)</f>
        <v>0</v>
      </c>
      <c r="BE70" s="101">
        <f>IFERROR(VLOOKUP($E70&amp;BE$6,Base!$G:$K,5,0),0)</f>
        <v>0</v>
      </c>
      <c r="BF70" s="101">
        <f>IFERROR(VLOOKUP($E70&amp;BE$6,Base!$M:$Q,5,0),0)</f>
        <v>0</v>
      </c>
      <c r="BG70" s="109">
        <v>0</v>
      </c>
      <c r="BI70" s="104">
        <f t="shared" si="44"/>
        <v>0</v>
      </c>
      <c r="BJ70" s="99">
        <f t="shared" si="45"/>
        <v>0</v>
      </c>
      <c r="BK70" s="99">
        <f t="shared" si="46"/>
        <v>0</v>
      </c>
      <c r="BL70" s="111">
        <f t="shared" si="47"/>
        <v>0</v>
      </c>
      <c r="BM70" s="108">
        <f>IFERROR(VLOOKUP($E70&amp;BM$6,Base!$A:$E,5,0),0)</f>
        <v>0</v>
      </c>
      <c r="BN70" s="101">
        <f>IFERROR(VLOOKUP($E70&amp;BN$6,Base!$G:$K,5,0),0)</f>
        <v>0</v>
      </c>
      <c r="BO70" s="101">
        <f>IFERROR(VLOOKUP($E70&amp;BN$6,Base!$M:$Q,5,0),0)</f>
        <v>0</v>
      </c>
      <c r="BP70" s="109">
        <v>0</v>
      </c>
      <c r="BQ70" s="108">
        <f>IFERROR(VLOOKUP($E70&amp;BQ$6,Base!$A:$E,5,0),0)</f>
        <v>0</v>
      </c>
      <c r="BR70" s="101">
        <f>IFERROR(VLOOKUP($E70&amp;BR$6,Base!$G:$K,5,0),0)</f>
        <v>0</v>
      </c>
      <c r="BS70" s="101">
        <f>IFERROR(VLOOKUP($E70&amp;BR$6,Base!$M:$Q,5,0),0)</f>
        <v>0</v>
      </c>
      <c r="BT70" s="109">
        <v>0</v>
      </c>
      <c r="BU70" s="108">
        <f>IFERROR(VLOOKUP($E70&amp;BU$6,Base!$A:$E,5,0),0)</f>
        <v>0</v>
      </c>
      <c r="BV70" s="101">
        <f>IFERROR(VLOOKUP($E70&amp;BV$6,Base!$G:$K,5,0),0)</f>
        <v>0</v>
      </c>
      <c r="BW70" s="101">
        <f>IFERROR(VLOOKUP($E70&amp;BV$6,Base!$M:$Q,5,0),0)</f>
        <v>0</v>
      </c>
      <c r="BX70" s="109">
        <f>IFERROR(VLOOKUP($E70,Base!$U:$W,3,0),0)</f>
        <v>0</v>
      </c>
    </row>
    <row r="71" spans="2:76" x14ac:dyDescent="0.35">
      <c r="B71" s="53" t="s">
        <v>97</v>
      </c>
      <c r="C71" s="51">
        <v>179</v>
      </c>
      <c r="D71" s="51" t="s">
        <v>4</v>
      </c>
      <c r="E71" s="51">
        <v>181619</v>
      </c>
      <c r="F71" s="96" t="s">
        <v>488</v>
      </c>
      <c r="G71" s="42" t="s">
        <v>119</v>
      </c>
      <c r="H71" s="98" t="s">
        <v>99</v>
      </c>
      <c r="I71" s="143" t="s">
        <v>144</v>
      </c>
      <c r="J71" s="104">
        <f t="shared" si="33"/>
        <v>0</v>
      </c>
      <c r="K71" s="99">
        <f t="shared" si="34"/>
        <v>0</v>
      </c>
      <c r="L71" s="99">
        <f t="shared" si="35"/>
        <v>0</v>
      </c>
      <c r="M71" s="105">
        <f t="shared" si="36"/>
        <v>0</v>
      </c>
      <c r="N71" s="108">
        <f>IFERROR(VLOOKUP($E71&amp;N$6,Base!$A:$E,5,0),0)</f>
        <v>0</v>
      </c>
      <c r="O71" s="101">
        <v>0</v>
      </c>
      <c r="P71" s="101">
        <v>0</v>
      </c>
      <c r="Q71" s="101"/>
      <c r="R71" s="108">
        <f>IFERROR(VLOOKUP($E71&amp;R$6,Base!$A:$E,5,0),0)</f>
        <v>0</v>
      </c>
      <c r="S71" s="101">
        <f>IFERROR(VLOOKUP($E71&amp;S$6,Base!$G:$K,5,0),0)</f>
        <v>0</v>
      </c>
      <c r="T71" s="101">
        <f>IFERROR(VLOOKUP($E71&amp;S$6,Base!$M:$Q,5,0),0)</f>
        <v>0</v>
      </c>
      <c r="U71" s="109"/>
      <c r="V71" s="108">
        <f>IFERROR(VLOOKUP($E71&amp;V$6,Base!$A:$E,5,0),0)</f>
        <v>0</v>
      </c>
      <c r="W71" s="101">
        <f>IFERROR(VLOOKUP($E71&amp;W$6,Base!$G:$K,5,0),0)</f>
        <v>0</v>
      </c>
      <c r="X71" s="101">
        <f>IFERROR(VLOOKUP($E71&amp;W$6,Base!$M:$Q,5,0),0)</f>
        <v>0</v>
      </c>
      <c r="Y71" s="109"/>
      <c r="AA71" s="104">
        <f t="shared" si="37"/>
        <v>0</v>
      </c>
      <c r="AB71" s="99">
        <f t="shared" si="38"/>
        <v>0</v>
      </c>
      <c r="AC71" s="99">
        <f t="shared" si="39"/>
        <v>0</v>
      </c>
      <c r="AD71" s="105">
        <f t="shared" si="40"/>
        <v>0</v>
      </c>
      <c r="AE71" s="108">
        <f>IFERROR(VLOOKUP($E71&amp;AE$6,Base!$A:$E,5,0),0)</f>
        <v>0</v>
      </c>
      <c r="AF71" s="101">
        <f>IFERROR(VLOOKUP($E71&amp;AF$6,Base!$G:$K,5,0),0)</f>
        <v>0</v>
      </c>
      <c r="AG71" s="101">
        <f>IFERROR(VLOOKUP($E71&amp;AF$6,Base!$M:$Q,5,0),0)</f>
        <v>0</v>
      </c>
      <c r="AH71" s="109"/>
      <c r="AI71" s="108">
        <f>IFERROR(VLOOKUP($E71&amp;AI$6,Base!$A:$E,5,0),0)</f>
        <v>0</v>
      </c>
      <c r="AJ71" s="101">
        <f>IFERROR(VLOOKUP($E71&amp;AJ$6,Base!$G:$K,5,0),0)</f>
        <v>0</v>
      </c>
      <c r="AK71" s="101">
        <f>IFERROR(VLOOKUP($E71&amp;AJ$6,Base!$M:$Q,5,0),0)</f>
        <v>0</v>
      </c>
      <c r="AL71" s="109">
        <v>0</v>
      </c>
      <c r="AM71" s="108">
        <f>IFERROR(VLOOKUP($E71&amp;AM$6,Base!$A:$E,5,0),0)</f>
        <v>0</v>
      </c>
      <c r="AN71" s="101">
        <f>IFERROR(VLOOKUP($E71&amp;AN$6,Base!$G:$K,5,0),0)</f>
        <v>0</v>
      </c>
      <c r="AO71" s="101">
        <f>IFERROR(VLOOKUP($E71&amp;AN$6,Base!$M:$Q,5,0),0)</f>
        <v>0</v>
      </c>
      <c r="AP71" s="109"/>
      <c r="AR71" s="104">
        <f t="shared" si="41"/>
        <v>0</v>
      </c>
      <c r="AS71" s="99">
        <f t="shared" si="42"/>
        <v>0</v>
      </c>
      <c r="AT71" s="99">
        <f t="shared" si="43"/>
        <v>0</v>
      </c>
      <c r="AU71" s="105">
        <f t="shared" si="48"/>
        <v>0</v>
      </c>
      <c r="AV71" s="108">
        <f>IFERROR(VLOOKUP($E71&amp;AV$6,Base!$A:$E,5,0),0)</f>
        <v>0</v>
      </c>
      <c r="AW71" s="101">
        <f>IFERROR(VLOOKUP($E71&amp;AW$6,Base!$G:$K,5,0),0)</f>
        <v>0</v>
      </c>
      <c r="AX71" s="101">
        <f>IFERROR(VLOOKUP($E71&amp;AW$6,Base!$M:$Q,5,0),0)</f>
        <v>0</v>
      </c>
      <c r="AY71" s="109">
        <v>0</v>
      </c>
      <c r="AZ71" s="108">
        <f>IFERROR(VLOOKUP($E71&amp;AZ$6,Base!$A:$E,5,0),0)</f>
        <v>0</v>
      </c>
      <c r="BA71" s="101">
        <f>IFERROR(VLOOKUP($E71&amp;BA$6,Base!$G:$K,5,0),0)</f>
        <v>0</v>
      </c>
      <c r="BB71" s="101">
        <f>IFERROR(VLOOKUP($E71&amp;BA$6,Base!$M:$Q,5,0),0)</f>
        <v>0</v>
      </c>
      <c r="BC71" s="109">
        <v>0</v>
      </c>
      <c r="BD71" s="108">
        <f>IFERROR(VLOOKUP($E71&amp;BD$6,Base!$A:$E,5,0),0)</f>
        <v>0</v>
      </c>
      <c r="BE71" s="101">
        <f>IFERROR(VLOOKUP($E71&amp;BE$6,Base!$G:$K,5,0),0)</f>
        <v>0</v>
      </c>
      <c r="BF71" s="101">
        <f>IFERROR(VLOOKUP($E71&amp;BE$6,Base!$M:$Q,5,0),0)</f>
        <v>0</v>
      </c>
      <c r="BG71" s="109">
        <v>0</v>
      </c>
      <c r="BI71" s="104">
        <f t="shared" si="44"/>
        <v>0</v>
      </c>
      <c r="BJ71" s="99">
        <f t="shared" si="45"/>
        <v>0</v>
      </c>
      <c r="BK71" s="99">
        <f t="shared" si="46"/>
        <v>0</v>
      </c>
      <c r="BL71" s="111">
        <f t="shared" si="47"/>
        <v>0</v>
      </c>
      <c r="BM71" s="108">
        <f>IFERROR(VLOOKUP($E71&amp;BM$6,Base!$A:$E,5,0),0)</f>
        <v>0</v>
      </c>
      <c r="BN71" s="101">
        <f>IFERROR(VLOOKUP($E71&amp;BN$6,Base!$G:$K,5,0),0)</f>
        <v>0</v>
      </c>
      <c r="BO71" s="101">
        <f>IFERROR(VLOOKUP($E71&amp;BN$6,Base!$M:$Q,5,0),0)</f>
        <v>0</v>
      </c>
      <c r="BP71" s="109">
        <v>0</v>
      </c>
      <c r="BQ71" s="108">
        <f>IFERROR(VLOOKUP($E71&amp;BQ$6,Base!$A:$E,5,0),0)</f>
        <v>0</v>
      </c>
      <c r="BR71" s="101">
        <f>IFERROR(VLOOKUP($E71&amp;BR$6,Base!$G:$K,5,0),0)</f>
        <v>0</v>
      </c>
      <c r="BS71" s="101">
        <f>IFERROR(VLOOKUP($E71&amp;BR$6,Base!$M:$Q,5,0),0)</f>
        <v>0</v>
      </c>
      <c r="BT71" s="109">
        <v>0</v>
      </c>
      <c r="BU71" s="108">
        <f>IFERROR(VLOOKUP($E71&amp;BU$6,Base!$A:$E,5,0),0)</f>
        <v>0</v>
      </c>
      <c r="BV71" s="101">
        <f>IFERROR(VLOOKUP($E71&amp;BV$6,Base!$G:$K,5,0),0)</f>
        <v>0</v>
      </c>
      <c r="BW71" s="101">
        <f>IFERROR(VLOOKUP($E71&amp;BV$6,Base!$M:$Q,5,0),0)</f>
        <v>0</v>
      </c>
      <c r="BX71" s="109">
        <f>IFERROR(VLOOKUP($E71,Base!$U:$W,3,0),0)</f>
        <v>0</v>
      </c>
    </row>
    <row r="72" spans="2:76" x14ac:dyDescent="0.35">
      <c r="B72" s="53" t="s">
        <v>97</v>
      </c>
      <c r="C72" s="51">
        <v>359</v>
      </c>
      <c r="D72" s="51" t="s">
        <v>489</v>
      </c>
      <c r="E72" s="51">
        <v>132039</v>
      </c>
      <c r="F72" s="96" t="s">
        <v>491</v>
      </c>
      <c r="G72" s="42" t="s">
        <v>26</v>
      </c>
      <c r="H72" s="98" t="s">
        <v>106</v>
      </c>
      <c r="I72" s="143" t="s">
        <v>144</v>
      </c>
      <c r="J72" s="104">
        <f t="shared" si="33"/>
        <v>601.10399999999993</v>
      </c>
      <c r="K72" s="99">
        <f t="shared" si="34"/>
        <v>314.20799999999997</v>
      </c>
      <c r="L72" s="99">
        <f t="shared" si="35"/>
        <v>13.625</v>
      </c>
      <c r="M72" s="105">
        <f t="shared" si="36"/>
        <v>0</v>
      </c>
      <c r="N72" s="108">
        <f>IFERROR(VLOOKUP($E72&amp;N$6,Base!$A:$E,5,0),0)</f>
        <v>0</v>
      </c>
      <c r="O72" s="101">
        <v>6.875</v>
      </c>
      <c r="P72" s="101">
        <v>11</v>
      </c>
      <c r="Q72" s="101"/>
      <c r="R72" s="108">
        <f>IFERROR(VLOOKUP($E72&amp;R$6,Base!$A:$E,5,0),0)</f>
        <v>28.021000000000001</v>
      </c>
      <c r="S72" s="101">
        <f>IFERROR(VLOOKUP($E72&amp;S$6,Base!$G:$K,5,0),0)</f>
        <v>281</v>
      </c>
      <c r="T72" s="101">
        <f>IFERROR(VLOOKUP($E72&amp;S$6,Base!$M:$Q,5,0),0)</f>
        <v>2.625</v>
      </c>
      <c r="U72" s="109"/>
      <c r="V72" s="108">
        <f>IFERROR(VLOOKUP($E72&amp;V$6,Base!$A:$E,5,0),0)</f>
        <v>573.08299999999997</v>
      </c>
      <c r="W72" s="101">
        <f>IFERROR(VLOOKUP($E72&amp;W$6,Base!$G:$K,5,0),0)</f>
        <v>26.332999999999998</v>
      </c>
      <c r="X72" s="101">
        <f>IFERROR(VLOOKUP($E72&amp;W$6,Base!$M:$Q,5,0),0)</f>
        <v>0</v>
      </c>
      <c r="Y72" s="109"/>
      <c r="AA72" s="104">
        <f t="shared" si="37"/>
        <v>142</v>
      </c>
      <c r="AB72" s="99">
        <f t="shared" si="38"/>
        <v>81.167000000000002</v>
      </c>
      <c r="AC72" s="99">
        <f t="shared" si="39"/>
        <v>0</v>
      </c>
      <c r="AD72" s="105">
        <f t="shared" si="40"/>
        <v>0</v>
      </c>
      <c r="AE72" s="108">
        <f>IFERROR(VLOOKUP($E72&amp;AE$6,Base!$A:$E,5,0),0)</f>
        <v>131</v>
      </c>
      <c r="AF72" s="101">
        <f>IFERROR(VLOOKUP($E72&amp;AF$6,Base!$G:$K,5,0),0)</f>
        <v>4.625</v>
      </c>
      <c r="AG72" s="101">
        <f>IFERROR(VLOOKUP($E72&amp;AF$6,Base!$M:$Q,5,0),0)</f>
        <v>0</v>
      </c>
      <c r="AH72" s="109"/>
      <c r="AI72" s="108">
        <f>IFERROR(VLOOKUP($E72&amp;AI$6,Base!$A:$E,5,0),0)</f>
        <v>11</v>
      </c>
      <c r="AJ72" s="101">
        <f>IFERROR(VLOOKUP($E72&amp;AJ$6,Base!$G:$K,5,0),0)</f>
        <v>26</v>
      </c>
      <c r="AK72" s="101">
        <f>IFERROR(VLOOKUP($E72&amp;AJ$6,Base!$M:$Q,5,0),0)</f>
        <v>0</v>
      </c>
      <c r="AL72" s="109">
        <v>0</v>
      </c>
      <c r="AM72" s="108">
        <f>IFERROR(VLOOKUP($E72&amp;AM$6,Base!$A:$E,5,0),0)</f>
        <v>0</v>
      </c>
      <c r="AN72" s="101">
        <f>IFERROR(VLOOKUP($E72&amp;AN$6,Base!$G:$K,5,0),0)</f>
        <v>50.542000000000002</v>
      </c>
      <c r="AO72" s="101">
        <f>IFERROR(VLOOKUP($E72&amp;AN$6,Base!$M:$Q,5,0),0)</f>
        <v>0</v>
      </c>
      <c r="AP72" s="109"/>
      <c r="AR72" s="104">
        <f t="shared" si="41"/>
        <v>261.25</v>
      </c>
      <c r="AS72" s="99">
        <f t="shared" si="42"/>
        <v>188.5</v>
      </c>
      <c r="AT72" s="99">
        <f t="shared" si="43"/>
        <v>11</v>
      </c>
      <c r="AU72" s="105">
        <f t="shared" si="48"/>
        <v>0</v>
      </c>
      <c r="AV72" s="108">
        <f>IFERROR(VLOOKUP($E72&amp;AV$6,Base!$A:$E,5,0),0)</f>
        <v>35</v>
      </c>
      <c r="AW72" s="101">
        <f>IFERROR(VLOOKUP($E72&amp;AW$6,Base!$G:$K,5,0),0)</f>
        <v>42.082999999999998</v>
      </c>
      <c r="AX72" s="101">
        <f>IFERROR(VLOOKUP($E72&amp;AW$6,Base!$M:$Q,5,0),0)</f>
        <v>5</v>
      </c>
      <c r="AY72" s="109">
        <v>0</v>
      </c>
      <c r="AZ72" s="108">
        <f>IFERROR(VLOOKUP($E72&amp;AZ$6,Base!$A:$E,5,0),0)</f>
        <v>5</v>
      </c>
      <c r="BA72" s="101">
        <f>IFERROR(VLOOKUP($E72&amp;BA$6,Base!$G:$K,5,0),0)</f>
        <v>13.167</v>
      </c>
      <c r="BB72" s="101">
        <f>IFERROR(VLOOKUP($E72&amp;BA$6,Base!$M:$Q,5,0),0)</f>
        <v>0</v>
      </c>
      <c r="BC72" s="109">
        <v>0</v>
      </c>
      <c r="BD72" s="108">
        <f>IFERROR(VLOOKUP($E72&amp;BD$6,Base!$A:$E,5,0),0)</f>
        <v>221.25</v>
      </c>
      <c r="BE72" s="101">
        <f>IFERROR(VLOOKUP($E72&amp;BE$6,Base!$G:$K,5,0),0)</f>
        <v>133.25</v>
      </c>
      <c r="BF72" s="101">
        <f>IFERROR(VLOOKUP($E72&amp;BE$6,Base!$M:$Q,5,0),0)</f>
        <v>6</v>
      </c>
      <c r="BG72" s="109">
        <v>0</v>
      </c>
      <c r="BI72" s="104">
        <f t="shared" si="44"/>
        <v>195</v>
      </c>
      <c r="BJ72" s="99">
        <f t="shared" si="45"/>
        <v>52</v>
      </c>
      <c r="BK72" s="99">
        <f t="shared" si="46"/>
        <v>0</v>
      </c>
      <c r="BL72" s="111">
        <f t="shared" si="47"/>
        <v>0</v>
      </c>
      <c r="BM72" s="108">
        <f>IFERROR(VLOOKUP($E72&amp;BM$6,Base!$A:$E,5,0),0)</f>
        <v>0</v>
      </c>
      <c r="BN72" s="101">
        <f>IFERROR(VLOOKUP($E72&amp;BN$6,Base!$G:$K,5,0),0)</f>
        <v>28.582999999999998</v>
      </c>
      <c r="BO72" s="101">
        <f>IFERROR(VLOOKUP($E72&amp;BN$6,Base!$M:$Q,5,0),0)</f>
        <v>0</v>
      </c>
      <c r="BP72" s="109">
        <v>0</v>
      </c>
      <c r="BQ72" s="108">
        <f>IFERROR(VLOOKUP($E72&amp;BQ$6,Base!$A:$E,5,0),0)</f>
        <v>0</v>
      </c>
      <c r="BR72" s="101">
        <f>IFERROR(VLOOKUP($E72&amp;BR$6,Base!$G:$K,5,0),0)</f>
        <v>9.25</v>
      </c>
      <c r="BS72" s="101">
        <f>IFERROR(VLOOKUP($E72&amp;BR$6,Base!$M:$Q,5,0),0)</f>
        <v>0</v>
      </c>
      <c r="BT72" s="109">
        <v>0</v>
      </c>
      <c r="BU72" s="108">
        <f>IFERROR(VLOOKUP($E72&amp;BU$6,Base!$A:$E,5,0),0)</f>
        <v>195</v>
      </c>
      <c r="BV72" s="101">
        <f>IFERROR(VLOOKUP($E72&amp;BV$6,Base!$G:$K,5,0),0)</f>
        <v>14.167</v>
      </c>
      <c r="BW72" s="101">
        <f>IFERROR(VLOOKUP($E72&amp;BV$6,Base!$M:$Q,5,0),0)</f>
        <v>0</v>
      </c>
      <c r="BX72" s="109">
        <f>IFERROR(VLOOKUP($E72,Base!$U:$W,3,0),0)</f>
        <v>0</v>
      </c>
    </row>
    <row r="73" spans="2:76" x14ac:dyDescent="0.35">
      <c r="B73" s="53" t="s">
        <v>97</v>
      </c>
      <c r="C73" s="51">
        <v>359</v>
      </c>
      <c r="D73" s="51" t="s">
        <v>489</v>
      </c>
      <c r="E73" s="51">
        <v>168551</v>
      </c>
      <c r="F73" s="96" t="s">
        <v>493</v>
      </c>
      <c r="G73" s="42" t="s">
        <v>26</v>
      </c>
      <c r="H73" s="98" t="s">
        <v>106</v>
      </c>
      <c r="I73" s="143" t="s">
        <v>144</v>
      </c>
      <c r="J73" s="104">
        <f t="shared" si="33"/>
        <v>66</v>
      </c>
      <c r="K73" s="99">
        <f t="shared" si="34"/>
        <v>35.875</v>
      </c>
      <c r="L73" s="99">
        <f t="shared" si="35"/>
        <v>0</v>
      </c>
      <c r="M73" s="105">
        <f t="shared" si="36"/>
        <v>0</v>
      </c>
      <c r="N73" s="108">
        <f>IFERROR(VLOOKUP($E73&amp;N$6,Base!$A:$E,5,0),0)</f>
        <v>28</v>
      </c>
      <c r="O73" s="101">
        <v>13.375</v>
      </c>
      <c r="P73" s="101">
        <v>0</v>
      </c>
      <c r="Q73" s="101"/>
      <c r="R73" s="108">
        <f>IFERROR(VLOOKUP($E73&amp;R$6,Base!$A:$E,5,0),0)</f>
        <v>0</v>
      </c>
      <c r="S73" s="101">
        <f>IFERROR(VLOOKUP($E73&amp;S$6,Base!$G:$K,5,0),0)</f>
        <v>4</v>
      </c>
      <c r="T73" s="101">
        <f>IFERROR(VLOOKUP($E73&amp;S$6,Base!$M:$Q,5,0),0)</f>
        <v>0</v>
      </c>
      <c r="U73" s="109"/>
      <c r="V73" s="108">
        <f>IFERROR(VLOOKUP($E73&amp;V$6,Base!$A:$E,5,0),0)</f>
        <v>38</v>
      </c>
      <c r="W73" s="101">
        <f>IFERROR(VLOOKUP($E73&amp;W$6,Base!$G:$K,5,0),0)</f>
        <v>18.5</v>
      </c>
      <c r="X73" s="101">
        <f>IFERROR(VLOOKUP($E73&amp;W$6,Base!$M:$Q,5,0),0)</f>
        <v>0</v>
      </c>
      <c r="Y73" s="109"/>
      <c r="AA73" s="104">
        <f t="shared" si="37"/>
        <v>168.667</v>
      </c>
      <c r="AB73" s="99">
        <f t="shared" si="38"/>
        <v>51.334000000000003</v>
      </c>
      <c r="AC73" s="99">
        <f t="shared" si="39"/>
        <v>0</v>
      </c>
      <c r="AD73" s="105">
        <f t="shared" si="40"/>
        <v>0</v>
      </c>
      <c r="AE73" s="108">
        <f>IFERROR(VLOOKUP($E73&amp;AE$6,Base!$A:$E,5,0),0)</f>
        <v>118.625</v>
      </c>
      <c r="AF73" s="101">
        <f>IFERROR(VLOOKUP($E73&amp;AF$6,Base!$G:$K,5,0),0)</f>
        <v>5</v>
      </c>
      <c r="AG73" s="101">
        <f>IFERROR(VLOOKUP($E73&amp;AF$6,Base!$M:$Q,5,0),0)</f>
        <v>0</v>
      </c>
      <c r="AH73" s="109"/>
      <c r="AI73" s="108">
        <f>IFERROR(VLOOKUP($E73&amp;AI$6,Base!$A:$E,5,0),0)</f>
        <v>30.042000000000002</v>
      </c>
      <c r="AJ73" s="101">
        <f>IFERROR(VLOOKUP($E73&amp;AJ$6,Base!$G:$K,5,0),0)</f>
        <v>22.542000000000002</v>
      </c>
      <c r="AK73" s="101">
        <f>IFERROR(VLOOKUP($E73&amp;AJ$6,Base!$M:$Q,5,0),0)</f>
        <v>0</v>
      </c>
      <c r="AL73" s="109">
        <v>0</v>
      </c>
      <c r="AM73" s="108">
        <f>IFERROR(VLOOKUP($E73&amp;AM$6,Base!$A:$E,5,0),0)</f>
        <v>20</v>
      </c>
      <c r="AN73" s="101">
        <f>IFERROR(VLOOKUP($E73&amp;AN$6,Base!$G:$K,5,0),0)</f>
        <v>23.792000000000002</v>
      </c>
      <c r="AO73" s="101">
        <f>IFERROR(VLOOKUP($E73&amp;AN$6,Base!$M:$Q,5,0),0)</f>
        <v>0</v>
      </c>
      <c r="AP73" s="109"/>
      <c r="AR73" s="104">
        <f t="shared" si="41"/>
        <v>105.375</v>
      </c>
      <c r="AS73" s="99">
        <f t="shared" si="42"/>
        <v>143.999</v>
      </c>
      <c r="AT73" s="99">
        <f t="shared" si="43"/>
        <v>0</v>
      </c>
      <c r="AU73" s="105">
        <f t="shared" si="48"/>
        <v>0</v>
      </c>
      <c r="AV73" s="108">
        <f>IFERROR(VLOOKUP($E73&amp;AV$6,Base!$A:$E,5,0),0)</f>
        <v>34</v>
      </c>
      <c r="AW73" s="101">
        <f>IFERROR(VLOOKUP($E73&amp;AW$6,Base!$G:$K,5,0),0)</f>
        <v>41.457999999999998</v>
      </c>
      <c r="AX73" s="101">
        <f>IFERROR(VLOOKUP($E73&amp;AW$6,Base!$M:$Q,5,0),0)</f>
        <v>0</v>
      </c>
      <c r="AY73" s="109">
        <v>0</v>
      </c>
      <c r="AZ73" s="108">
        <f>IFERROR(VLOOKUP($E73&amp;AZ$6,Base!$A:$E,5,0),0)</f>
        <v>70.375</v>
      </c>
      <c r="BA73" s="101">
        <f>IFERROR(VLOOKUP($E73&amp;BA$6,Base!$G:$K,5,0),0)</f>
        <v>26.332999999999998</v>
      </c>
      <c r="BB73" s="101">
        <f>IFERROR(VLOOKUP($E73&amp;BA$6,Base!$M:$Q,5,0),0)</f>
        <v>0</v>
      </c>
      <c r="BC73" s="109">
        <v>0</v>
      </c>
      <c r="BD73" s="108">
        <f>IFERROR(VLOOKUP($E73&amp;BD$6,Base!$A:$E,5,0),0)</f>
        <v>1</v>
      </c>
      <c r="BE73" s="101">
        <f>IFERROR(VLOOKUP($E73&amp;BE$6,Base!$G:$K,5,0),0)</f>
        <v>76.207999999999998</v>
      </c>
      <c r="BF73" s="101">
        <f>IFERROR(VLOOKUP($E73&amp;BE$6,Base!$M:$Q,5,0),0)</f>
        <v>0</v>
      </c>
      <c r="BG73" s="109">
        <v>0</v>
      </c>
      <c r="BI73" s="104">
        <f t="shared" si="44"/>
        <v>41.957999999999998</v>
      </c>
      <c r="BJ73" s="99">
        <f t="shared" si="45"/>
        <v>57.917000000000002</v>
      </c>
      <c r="BK73" s="99">
        <f t="shared" si="46"/>
        <v>0</v>
      </c>
      <c r="BL73" s="111">
        <f t="shared" si="47"/>
        <v>0</v>
      </c>
      <c r="BM73" s="108">
        <f>IFERROR(VLOOKUP($E73&amp;BM$6,Base!$A:$E,5,0),0)</f>
        <v>27.957999999999998</v>
      </c>
      <c r="BN73" s="101">
        <f>IFERROR(VLOOKUP($E73&amp;BN$6,Base!$G:$K,5,0),0)</f>
        <v>26.332999999999998</v>
      </c>
      <c r="BO73" s="101">
        <f>IFERROR(VLOOKUP($E73&amp;BN$6,Base!$M:$Q,5,0),0)</f>
        <v>0</v>
      </c>
      <c r="BP73" s="109">
        <v>0</v>
      </c>
      <c r="BQ73" s="108">
        <f>IFERROR(VLOOKUP($E73&amp;BQ$6,Base!$A:$E,5,0),0)</f>
        <v>6</v>
      </c>
      <c r="BR73" s="101">
        <f>IFERROR(VLOOKUP($E73&amp;BR$6,Base!$G:$K,5,0),0)</f>
        <v>13.667</v>
      </c>
      <c r="BS73" s="101">
        <f>IFERROR(VLOOKUP($E73&amp;BR$6,Base!$M:$Q,5,0),0)</f>
        <v>0</v>
      </c>
      <c r="BT73" s="109">
        <v>0</v>
      </c>
      <c r="BU73" s="108">
        <f>IFERROR(VLOOKUP($E73&amp;BU$6,Base!$A:$E,5,0),0)</f>
        <v>8</v>
      </c>
      <c r="BV73" s="101">
        <f>IFERROR(VLOOKUP($E73&amp;BV$6,Base!$G:$K,5,0),0)</f>
        <v>17.917000000000002</v>
      </c>
      <c r="BW73" s="101">
        <f>IFERROR(VLOOKUP($E73&amp;BV$6,Base!$M:$Q,5,0),0)</f>
        <v>0</v>
      </c>
      <c r="BX73" s="109">
        <f>IFERROR(VLOOKUP($E73,Base!$U:$W,3,0),0)</f>
        <v>0</v>
      </c>
    </row>
    <row r="74" spans="2:76" x14ac:dyDescent="0.35">
      <c r="B74" s="53" t="s">
        <v>97</v>
      </c>
      <c r="C74" s="51">
        <v>359</v>
      </c>
      <c r="D74" s="51" t="s">
        <v>489</v>
      </c>
      <c r="E74" s="51">
        <v>178205</v>
      </c>
      <c r="F74" s="96" t="s">
        <v>495</v>
      </c>
      <c r="G74" s="42" t="s">
        <v>109</v>
      </c>
      <c r="H74" s="98" t="s">
        <v>110</v>
      </c>
      <c r="I74" s="143" t="s">
        <v>144</v>
      </c>
      <c r="J74" s="104">
        <f t="shared" si="33"/>
        <v>1600.0749999999998</v>
      </c>
      <c r="K74" s="99">
        <f t="shared" si="34"/>
        <v>741.79200000000003</v>
      </c>
      <c r="L74" s="99">
        <f t="shared" si="35"/>
        <v>6.625</v>
      </c>
      <c r="M74" s="105">
        <f t="shared" si="36"/>
        <v>0</v>
      </c>
      <c r="N74" s="108">
        <f>IFERROR(VLOOKUP($E74&amp;N$6,Base!$A:$E,5,0),0)</f>
        <v>139.90799999999999</v>
      </c>
      <c r="O74" s="101">
        <v>76.792000000000002</v>
      </c>
      <c r="P74" s="101">
        <v>0.75</v>
      </c>
      <c r="Q74" s="101"/>
      <c r="R74" s="108">
        <f>IFERROR(VLOOKUP($E74&amp;R$6,Base!$A:$E,5,0),0)</f>
        <v>1105</v>
      </c>
      <c r="S74" s="101">
        <f>IFERROR(VLOOKUP($E74&amp;S$6,Base!$G:$K,5,0),0)</f>
        <v>379</v>
      </c>
      <c r="T74" s="101">
        <f>IFERROR(VLOOKUP($E74&amp;S$6,Base!$M:$Q,5,0),0)</f>
        <v>1.375</v>
      </c>
      <c r="U74" s="109"/>
      <c r="V74" s="108">
        <f>IFERROR(VLOOKUP($E74&amp;V$6,Base!$A:$E,5,0),0)</f>
        <v>355.16699999999997</v>
      </c>
      <c r="W74" s="101">
        <f>IFERROR(VLOOKUP($E74&amp;W$6,Base!$G:$K,5,0),0)</f>
        <v>286</v>
      </c>
      <c r="X74" s="101">
        <f>IFERROR(VLOOKUP($E74&amp;W$6,Base!$M:$Q,5,0),0)</f>
        <v>4.5</v>
      </c>
      <c r="Y74" s="109"/>
      <c r="AA74" s="104">
        <f t="shared" si="37"/>
        <v>635</v>
      </c>
      <c r="AB74" s="99">
        <f t="shared" si="38"/>
        <v>403.5</v>
      </c>
      <c r="AC74" s="99">
        <f t="shared" si="39"/>
        <v>27.332999999999998</v>
      </c>
      <c r="AD74" s="105">
        <f t="shared" si="40"/>
        <v>0</v>
      </c>
      <c r="AE74" s="108">
        <f>IFERROR(VLOOKUP($E74&amp;AE$6,Base!$A:$E,5,0),0)</f>
        <v>142</v>
      </c>
      <c r="AF74" s="101">
        <f>IFERROR(VLOOKUP($E74&amp;AF$6,Base!$G:$K,5,0),0)</f>
        <v>69</v>
      </c>
      <c r="AG74" s="101">
        <f>IFERROR(VLOOKUP($E74&amp;AF$6,Base!$M:$Q,5,0),0)</f>
        <v>0</v>
      </c>
      <c r="AH74" s="109"/>
      <c r="AI74" s="108">
        <f>IFERROR(VLOOKUP($E74&amp;AI$6,Base!$A:$E,5,0),0)</f>
        <v>493</v>
      </c>
      <c r="AJ74" s="101">
        <f>IFERROR(VLOOKUP($E74&amp;AJ$6,Base!$G:$K,5,0),0)</f>
        <v>107</v>
      </c>
      <c r="AK74" s="101">
        <f>IFERROR(VLOOKUP($E74&amp;AJ$6,Base!$M:$Q,5,0),0)</f>
        <v>7.3330000000000002</v>
      </c>
      <c r="AL74" s="109">
        <v>0</v>
      </c>
      <c r="AM74" s="108">
        <f>IFERROR(VLOOKUP($E74&amp;AM$6,Base!$A:$E,5,0),0)</f>
        <v>0</v>
      </c>
      <c r="AN74" s="101">
        <f>IFERROR(VLOOKUP($E74&amp;AN$6,Base!$G:$K,5,0),0)</f>
        <v>227.5</v>
      </c>
      <c r="AO74" s="101">
        <f>IFERROR(VLOOKUP($E74&amp;AN$6,Base!$M:$Q,5,0),0)</f>
        <v>20</v>
      </c>
      <c r="AP74" s="109"/>
      <c r="AR74" s="104">
        <f t="shared" si="41"/>
        <v>641.58300000000008</v>
      </c>
      <c r="AS74" s="99">
        <f t="shared" si="42"/>
        <v>433.375</v>
      </c>
      <c r="AT74" s="99">
        <f t="shared" si="43"/>
        <v>67</v>
      </c>
      <c r="AU74" s="105">
        <f t="shared" si="48"/>
        <v>0</v>
      </c>
      <c r="AV74" s="108">
        <f>IFERROR(VLOOKUP($E74&amp;AV$6,Base!$A:$E,5,0),0)</f>
        <v>63</v>
      </c>
      <c r="AW74" s="101">
        <f>IFERROR(VLOOKUP($E74&amp;AW$6,Base!$G:$K,5,0),0)</f>
        <v>107</v>
      </c>
      <c r="AX74" s="101">
        <f>IFERROR(VLOOKUP($E74&amp;AW$6,Base!$M:$Q,5,0),0)</f>
        <v>4</v>
      </c>
      <c r="AY74" s="109">
        <v>0</v>
      </c>
      <c r="AZ74" s="108">
        <f>IFERROR(VLOOKUP($E74&amp;AZ$6,Base!$A:$E,5,0),0)</f>
        <v>146</v>
      </c>
      <c r="BA74" s="101">
        <f>IFERROR(VLOOKUP($E74&amp;BA$6,Base!$G:$K,5,0),0)</f>
        <v>83.375</v>
      </c>
      <c r="BB74" s="101">
        <f>IFERROR(VLOOKUP($E74&amp;BA$6,Base!$M:$Q,5,0),0)</f>
        <v>25</v>
      </c>
      <c r="BC74" s="109">
        <v>0</v>
      </c>
      <c r="BD74" s="108">
        <f>IFERROR(VLOOKUP($E74&amp;BD$6,Base!$A:$E,5,0),0)</f>
        <v>432.58300000000003</v>
      </c>
      <c r="BE74" s="101">
        <f>IFERROR(VLOOKUP($E74&amp;BE$6,Base!$G:$K,5,0),0)</f>
        <v>243</v>
      </c>
      <c r="BF74" s="101">
        <f>IFERROR(VLOOKUP($E74&amp;BE$6,Base!$M:$Q,5,0),0)</f>
        <v>38</v>
      </c>
      <c r="BG74" s="109">
        <v>0</v>
      </c>
      <c r="BI74" s="104">
        <f t="shared" si="44"/>
        <v>411.77100000000002</v>
      </c>
      <c r="BJ74" s="99">
        <f t="shared" si="45"/>
        <v>555.70900000000006</v>
      </c>
      <c r="BK74" s="99">
        <f t="shared" si="46"/>
        <v>82.542000000000002</v>
      </c>
      <c r="BL74" s="111">
        <f t="shared" si="47"/>
        <v>0</v>
      </c>
      <c r="BM74" s="108">
        <f>IFERROR(VLOOKUP($E74&amp;BM$6,Base!$A:$E,5,0),0)</f>
        <v>116.104</v>
      </c>
      <c r="BN74" s="101">
        <f>IFERROR(VLOOKUP($E74&amp;BN$6,Base!$G:$K,5,0),0)</f>
        <v>149.68799999999999</v>
      </c>
      <c r="BO74" s="101">
        <f>IFERROR(VLOOKUP($E74&amp;BN$6,Base!$M:$Q,5,0),0)</f>
        <v>30.292000000000002</v>
      </c>
      <c r="BP74" s="109">
        <v>0</v>
      </c>
      <c r="BQ74" s="108">
        <f>IFERROR(VLOOKUP($E74&amp;BQ$6,Base!$A:$E,5,0),0)</f>
        <v>75.667000000000002</v>
      </c>
      <c r="BR74" s="101">
        <f>IFERROR(VLOOKUP($E74&amp;BR$6,Base!$G:$K,5,0),0)</f>
        <v>102</v>
      </c>
      <c r="BS74" s="101">
        <f>IFERROR(VLOOKUP($E74&amp;BR$6,Base!$M:$Q,5,0),0)</f>
        <v>8.4169999999999998</v>
      </c>
      <c r="BT74" s="109">
        <v>0</v>
      </c>
      <c r="BU74" s="108">
        <f>IFERROR(VLOOKUP($E74&amp;BU$6,Base!$A:$E,5,0),0)</f>
        <v>220</v>
      </c>
      <c r="BV74" s="101">
        <f>IFERROR(VLOOKUP($E74&amp;BV$6,Base!$G:$K,5,0),0)</f>
        <v>304.02100000000002</v>
      </c>
      <c r="BW74" s="101">
        <f>IFERROR(VLOOKUP($E74&amp;BV$6,Base!$M:$Q,5,0),0)</f>
        <v>43.832999999999998</v>
      </c>
      <c r="BX74" s="109">
        <f>IFERROR(VLOOKUP($E74,Base!$U:$W,3,0),0)</f>
        <v>0</v>
      </c>
    </row>
    <row r="75" spans="2:76" x14ac:dyDescent="0.35">
      <c r="B75" s="53" t="s">
        <v>97</v>
      </c>
      <c r="C75" s="51">
        <v>359</v>
      </c>
      <c r="D75" s="51" t="s">
        <v>489</v>
      </c>
      <c r="E75" s="51">
        <v>48248</v>
      </c>
      <c r="F75" s="96" t="s">
        <v>497</v>
      </c>
      <c r="G75" s="42" t="s">
        <v>7</v>
      </c>
      <c r="H75" s="98" t="s">
        <v>103</v>
      </c>
      <c r="I75" s="143" t="s">
        <v>144</v>
      </c>
      <c r="J75" s="104">
        <f t="shared" si="33"/>
        <v>115</v>
      </c>
      <c r="K75" s="99">
        <f t="shared" si="34"/>
        <v>5.875</v>
      </c>
      <c r="L75" s="99">
        <f t="shared" si="35"/>
        <v>0.25</v>
      </c>
      <c r="M75" s="105">
        <f t="shared" si="36"/>
        <v>0</v>
      </c>
      <c r="N75" s="108">
        <f>IFERROR(VLOOKUP($E75&amp;N$6,Base!$A:$E,5,0),0)</f>
        <v>0</v>
      </c>
      <c r="O75" s="101">
        <v>0</v>
      </c>
      <c r="P75" s="101">
        <v>0</v>
      </c>
      <c r="Q75" s="101"/>
      <c r="R75" s="108">
        <f>IFERROR(VLOOKUP($E75&amp;R$6,Base!$A:$E,5,0),0)</f>
        <v>0</v>
      </c>
      <c r="S75" s="101">
        <f>IFERROR(VLOOKUP($E75&amp;S$6,Base!$G:$K,5,0),0)</f>
        <v>5.875</v>
      </c>
      <c r="T75" s="101">
        <f>IFERROR(VLOOKUP($E75&amp;S$6,Base!$M:$Q,5,0),0)</f>
        <v>0.25</v>
      </c>
      <c r="U75" s="109"/>
      <c r="V75" s="108">
        <f>IFERROR(VLOOKUP($E75&amp;V$6,Base!$A:$E,5,0),0)</f>
        <v>115</v>
      </c>
      <c r="W75" s="101">
        <f>IFERROR(VLOOKUP($E75&amp;W$6,Base!$G:$K,5,0),0)</f>
        <v>0</v>
      </c>
      <c r="X75" s="101">
        <f>IFERROR(VLOOKUP($E75&amp;W$6,Base!$M:$Q,5,0),0)</f>
        <v>0</v>
      </c>
      <c r="Y75" s="109"/>
      <c r="AA75" s="104">
        <f t="shared" si="37"/>
        <v>116</v>
      </c>
      <c r="AB75" s="99">
        <f t="shared" si="38"/>
        <v>30.167000000000002</v>
      </c>
      <c r="AC75" s="99">
        <f t="shared" si="39"/>
        <v>0</v>
      </c>
      <c r="AD75" s="105">
        <f t="shared" si="40"/>
        <v>0</v>
      </c>
      <c r="AE75" s="108">
        <f>IFERROR(VLOOKUP($E75&amp;AE$6,Base!$A:$E,5,0),0)</f>
        <v>0</v>
      </c>
      <c r="AF75" s="101">
        <f>IFERROR(VLOOKUP($E75&amp;AF$6,Base!$G:$K,5,0),0)</f>
        <v>5</v>
      </c>
      <c r="AG75" s="101">
        <f>IFERROR(VLOOKUP($E75&amp;AF$6,Base!$M:$Q,5,0),0)</f>
        <v>0</v>
      </c>
      <c r="AH75" s="109"/>
      <c r="AI75" s="108">
        <f>IFERROR(VLOOKUP($E75&amp;AI$6,Base!$A:$E,5,0),0)</f>
        <v>91</v>
      </c>
      <c r="AJ75" s="101">
        <f>IFERROR(VLOOKUP($E75&amp;AJ$6,Base!$G:$K,5,0),0)</f>
        <v>11.167</v>
      </c>
      <c r="AK75" s="101">
        <f>IFERROR(VLOOKUP($E75&amp;AJ$6,Base!$M:$Q,5,0),0)</f>
        <v>0</v>
      </c>
      <c r="AL75" s="109">
        <v>0</v>
      </c>
      <c r="AM75" s="108">
        <f>IFERROR(VLOOKUP($E75&amp;AM$6,Base!$A:$E,5,0),0)</f>
        <v>25</v>
      </c>
      <c r="AN75" s="101">
        <f>IFERROR(VLOOKUP($E75&amp;AN$6,Base!$G:$K,5,0),0)</f>
        <v>14</v>
      </c>
      <c r="AO75" s="101">
        <f>IFERROR(VLOOKUP($E75&amp;AN$6,Base!$M:$Q,5,0),0)</f>
        <v>0</v>
      </c>
      <c r="AP75" s="109"/>
      <c r="AR75" s="104">
        <f t="shared" si="41"/>
        <v>147.125</v>
      </c>
      <c r="AS75" s="99">
        <f t="shared" si="42"/>
        <v>47.75</v>
      </c>
      <c r="AT75" s="99">
        <f t="shared" si="43"/>
        <v>0</v>
      </c>
      <c r="AU75" s="105">
        <f t="shared" ref="AU75:AU107" si="49">AY75+BC75+BG75</f>
        <v>0</v>
      </c>
      <c r="AV75" s="108">
        <f>IFERROR(VLOOKUP($E75&amp;AV$6,Base!$A:$E,5,0),0)</f>
        <v>30</v>
      </c>
      <c r="AW75" s="101">
        <f>IFERROR(VLOOKUP($E75&amp;AW$6,Base!$G:$K,5,0),0)</f>
        <v>5.5</v>
      </c>
      <c r="AX75" s="101">
        <f>IFERROR(VLOOKUP($E75&amp;AW$6,Base!$M:$Q,5,0),0)</f>
        <v>0</v>
      </c>
      <c r="AY75" s="109">
        <v>0</v>
      </c>
      <c r="AZ75" s="108">
        <f>IFERROR(VLOOKUP($E75&amp;AZ$6,Base!$A:$E,5,0),0)</f>
        <v>0</v>
      </c>
      <c r="BA75" s="101">
        <f>IFERROR(VLOOKUP($E75&amp;BA$6,Base!$G:$K,5,0),0)</f>
        <v>10.75</v>
      </c>
      <c r="BB75" s="101">
        <f>IFERROR(VLOOKUP($E75&amp;BA$6,Base!$M:$Q,5,0),0)</f>
        <v>0</v>
      </c>
      <c r="BC75" s="109">
        <v>0</v>
      </c>
      <c r="BD75" s="108">
        <f>IFERROR(VLOOKUP($E75&amp;BD$6,Base!$A:$E,5,0),0)</f>
        <v>117.125</v>
      </c>
      <c r="BE75" s="101">
        <f>IFERROR(VLOOKUP($E75&amp;BE$6,Base!$G:$K,5,0),0)</f>
        <v>31.5</v>
      </c>
      <c r="BF75" s="101">
        <f>IFERROR(VLOOKUP($E75&amp;BE$6,Base!$M:$Q,5,0),0)</f>
        <v>0</v>
      </c>
      <c r="BG75" s="109">
        <v>0</v>
      </c>
      <c r="BI75" s="104">
        <f t="shared" si="44"/>
        <v>88.832999999999998</v>
      </c>
      <c r="BJ75" s="99">
        <f t="shared" si="45"/>
        <v>29.417000000000002</v>
      </c>
      <c r="BK75" s="99">
        <f t="shared" si="46"/>
        <v>0</v>
      </c>
      <c r="BL75" s="111">
        <f t="shared" si="47"/>
        <v>5</v>
      </c>
      <c r="BM75" s="108">
        <f>IFERROR(VLOOKUP($E75&amp;BM$6,Base!$A:$E,5,0),0)</f>
        <v>48</v>
      </c>
      <c r="BN75" s="101">
        <f>IFERROR(VLOOKUP($E75&amp;BN$6,Base!$G:$K,5,0),0)</f>
        <v>11</v>
      </c>
      <c r="BO75" s="101">
        <f>IFERROR(VLOOKUP($E75&amp;BN$6,Base!$M:$Q,5,0),0)</f>
        <v>0</v>
      </c>
      <c r="BP75" s="109">
        <v>0</v>
      </c>
      <c r="BQ75" s="108">
        <f>IFERROR(VLOOKUP($E75&amp;BQ$6,Base!$A:$E,5,0),0)</f>
        <v>10.833</v>
      </c>
      <c r="BR75" s="101">
        <f>IFERROR(VLOOKUP($E75&amp;BR$6,Base!$G:$K,5,0),0)</f>
        <v>18.417000000000002</v>
      </c>
      <c r="BS75" s="101">
        <f>IFERROR(VLOOKUP($E75&amp;BR$6,Base!$M:$Q,5,0),0)</f>
        <v>0</v>
      </c>
      <c r="BT75" s="109">
        <v>0</v>
      </c>
      <c r="BU75" s="108">
        <f>IFERROR(VLOOKUP($E75&amp;BU$6,Base!$A:$E,5,0),0)</f>
        <v>30</v>
      </c>
      <c r="BV75" s="101">
        <f>IFERROR(VLOOKUP($E75&amp;BV$6,Base!$G:$K,5,0),0)</f>
        <v>0</v>
      </c>
      <c r="BW75" s="101">
        <f>IFERROR(VLOOKUP($E75&amp;BV$6,Base!$M:$Q,5,0),0)</f>
        <v>0</v>
      </c>
      <c r="BX75" s="109">
        <f>IFERROR(VLOOKUP($E75,Base!$U:$W,3,0),0)</f>
        <v>5</v>
      </c>
    </row>
    <row r="76" spans="2:76" x14ac:dyDescent="0.35">
      <c r="B76" s="53" t="s">
        <v>97</v>
      </c>
      <c r="C76" s="51">
        <v>359</v>
      </c>
      <c r="D76" s="51" t="s">
        <v>489</v>
      </c>
      <c r="E76" s="51">
        <v>64883</v>
      </c>
      <c r="F76" s="96" t="s">
        <v>499</v>
      </c>
      <c r="G76" s="42" t="s">
        <v>7</v>
      </c>
      <c r="H76" s="98" t="s">
        <v>103</v>
      </c>
      <c r="I76" s="143" t="s">
        <v>144</v>
      </c>
      <c r="J76" s="104">
        <f t="shared" si="33"/>
        <v>735.70799999999997</v>
      </c>
      <c r="K76" s="99">
        <f t="shared" si="34"/>
        <v>1489.875</v>
      </c>
      <c r="L76" s="99">
        <f t="shared" si="35"/>
        <v>0.25</v>
      </c>
      <c r="M76" s="105">
        <f t="shared" si="36"/>
        <v>0</v>
      </c>
      <c r="N76" s="108">
        <f>IFERROR(VLOOKUP($E76&amp;N$6,Base!$A:$E,5,0),0)</f>
        <v>-0.66700000000000004</v>
      </c>
      <c r="O76" s="101">
        <v>-1</v>
      </c>
      <c r="P76" s="101">
        <v>0</v>
      </c>
      <c r="Q76" s="101"/>
      <c r="R76" s="108">
        <f>IFERROR(VLOOKUP($E76&amp;R$6,Base!$A:$E,5,0),0)</f>
        <v>523.625</v>
      </c>
      <c r="S76" s="101">
        <f>IFERROR(VLOOKUP($E76&amp;S$6,Base!$G:$K,5,0),0)</f>
        <v>224.875</v>
      </c>
      <c r="T76" s="101">
        <f>IFERROR(VLOOKUP($E76&amp;S$6,Base!$M:$Q,5,0),0)</f>
        <v>0.25</v>
      </c>
      <c r="U76" s="109"/>
      <c r="V76" s="108">
        <f>IFERROR(VLOOKUP($E76&amp;V$6,Base!$A:$E,5,0),0)</f>
        <v>212.75</v>
      </c>
      <c r="W76" s="101">
        <f>IFERROR(VLOOKUP($E76&amp;W$6,Base!$G:$K,5,0),0)</f>
        <v>1266</v>
      </c>
      <c r="X76" s="101">
        <f>IFERROR(VLOOKUP($E76&amp;W$6,Base!$M:$Q,5,0),0)</f>
        <v>0</v>
      </c>
      <c r="Y76" s="109"/>
      <c r="AA76" s="104">
        <f t="shared" si="37"/>
        <v>497.89599999999996</v>
      </c>
      <c r="AB76" s="99">
        <f t="shared" si="38"/>
        <v>171.709</v>
      </c>
      <c r="AC76" s="99">
        <f t="shared" si="39"/>
        <v>0</v>
      </c>
      <c r="AD76" s="105">
        <f t="shared" si="40"/>
        <v>0</v>
      </c>
      <c r="AE76" s="108">
        <f>IFERROR(VLOOKUP($E76&amp;AE$6,Base!$A:$E,5,0),0)</f>
        <v>96.521000000000001</v>
      </c>
      <c r="AF76" s="101">
        <f>IFERROR(VLOOKUP($E76&amp;AF$6,Base!$G:$K,5,0),0)</f>
        <v>25.542000000000002</v>
      </c>
      <c r="AG76" s="101">
        <f>IFERROR(VLOOKUP($E76&amp;AF$6,Base!$M:$Q,5,0),0)</f>
        <v>0</v>
      </c>
      <c r="AH76" s="109"/>
      <c r="AI76" s="108">
        <f>IFERROR(VLOOKUP($E76&amp;AI$6,Base!$A:$E,5,0),0)</f>
        <v>-4.5419999999999998</v>
      </c>
      <c r="AJ76" s="101">
        <f>IFERROR(VLOOKUP($E76&amp;AJ$6,Base!$G:$K,5,0),0)</f>
        <v>107.167</v>
      </c>
      <c r="AK76" s="101">
        <f>IFERROR(VLOOKUP($E76&amp;AJ$6,Base!$M:$Q,5,0),0)</f>
        <v>0</v>
      </c>
      <c r="AL76" s="109">
        <v>0</v>
      </c>
      <c r="AM76" s="108">
        <f>IFERROR(VLOOKUP($E76&amp;AM$6,Base!$A:$E,5,0),0)</f>
        <v>405.91699999999997</v>
      </c>
      <c r="AN76" s="101">
        <f>IFERROR(VLOOKUP($E76&amp;AN$6,Base!$G:$K,5,0),0)</f>
        <v>39</v>
      </c>
      <c r="AO76" s="101">
        <f>IFERROR(VLOOKUP($E76&amp;AN$6,Base!$M:$Q,5,0),0)</f>
        <v>0</v>
      </c>
      <c r="AP76" s="109"/>
      <c r="AR76" s="104">
        <f t="shared" si="41"/>
        <v>368.02100000000002</v>
      </c>
      <c r="AS76" s="99">
        <f t="shared" si="42"/>
        <v>177.25</v>
      </c>
      <c r="AT76" s="99">
        <f t="shared" si="43"/>
        <v>3</v>
      </c>
      <c r="AU76" s="105">
        <f t="shared" si="49"/>
        <v>0</v>
      </c>
      <c r="AV76" s="108">
        <f>IFERROR(VLOOKUP($E76&amp;AV$6,Base!$A:$E,5,0),0)</f>
        <v>48.167000000000002</v>
      </c>
      <c r="AW76" s="101">
        <f>IFERROR(VLOOKUP($E76&amp;AW$6,Base!$G:$K,5,0),0)</f>
        <v>35</v>
      </c>
      <c r="AX76" s="101">
        <f>IFERROR(VLOOKUP($E76&amp;AW$6,Base!$M:$Q,5,0),0)</f>
        <v>0</v>
      </c>
      <c r="AY76" s="109">
        <v>0</v>
      </c>
      <c r="AZ76" s="108">
        <f>IFERROR(VLOOKUP($E76&amp;AZ$6,Base!$A:$E,5,0),0)</f>
        <v>99.103999999999999</v>
      </c>
      <c r="BA76" s="101">
        <f>IFERROR(VLOOKUP($E76&amp;BA$6,Base!$G:$K,5,0),0)</f>
        <v>35.332999999999998</v>
      </c>
      <c r="BB76" s="101">
        <f>IFERROR(VLOOKUP($E76&amp;BA$6,Base!$M:$Q,5,0),0)</f>
        <v>0</v>
      </c>
      <c r="BC76" s="109">
        <v>0</v>
      </c>
      <c r="BD76" s="108">
        <f>IFERROR(VLOOKUP($E76&amp;BD$6,Base!$A:$E,5,0),0)</f>
        <v>220.75</v>
      </c>
      <c r="BE76" s="101">
        <f>IFERROR(VLOOKUP($E76&amp;BE$6,Base!$G:$K,5,0),0)</f>
        <v>106.917</v>
      </c>
      <c r="BF76" s="101">
        <f>IFERROR(VLOOKUP($E76&amp;BE$6,Base!$M:$Q,5,0),0)</f>
        <v>3</v>
      </c>
      <c r="BG76" s="109">
        <v>0</v>
      </c>
      <c r="BI76" s="104">
        <f t="shared" si="44"/>
        <v>332.25</v>
      </c>
      <c r="BJ76" s="99">
        <f t="shared" si="45"/>
        <v>127.416</v>
      </c>
      <c r="BK76" s="99">
        <f t="shared" si="46"/>
        <v>12</v>
      </c>
      <c r="BL76" s="111">
        <f t="shared" si="47"/>
        <v>110</v>
      </c>
      <c r="BM76" s="108">
        <f>IFERROR(VLOOKUP($E76&amp;BM$6,Base!$A:$E,5,0),0)</f>
        <v>105</v>
      </c>
      <c r="BN76" s="101">
        <f>IFERROR(VLOOKUP($E76&amp;BN$6,Base!$G:$K,5,0),0)</f>
        <v>40.832999999999998</v>
      </c>
      <c r="BO76" s="101">
        <f>IFERROR(VLOOKUP($E76&amp;BN$6,Base!$M:$Q,5,0),0)</f>
        <v>0</v>
      </c>
      <c r="BP76" s="109">
        <v>0</v>
      </c>
      <c r="BQ76" s="108">
        <f>IFERROR(VLOOKUP($E76&amp;BQ$6,Base!$A:$E,5,0),0)</f>
        <v>29.25</v>
      </c>
      <c r="BR76" s="101">
        <f>IFERROR(VLOOKUP($E76&amp;BR$6,Base!$G:$K,5,0),0)</f>
        <v>28.582999999999998</v>
      </c>
      <c r="BS76" s="101">
        <f>IFERROR(VLOOKUP($E76&amp;BR$6,Base!$M:$Q,5,0),0)</f>
        <v>0</v>
      </c>
      <c r="BT76" s="109">
        <v>0</v>
      </c>
      <c r="BU76" s="108">
        <f>IFERROR(VLOOKUP($E76&amp;BU$6,Base!$A:$E,5,0),0)</f>
        <v>198</v>
      </c>
      <c r="BV76" s="101">
        <f>IFERROR(VLOOKUP($E76&amp;BV$6,Base!$G:$K,5,0),0)</f>
        <v>58</v>
      </c>
      <c r="BW76" s="101">
        <f>IFERROR(VLOOKUP($E76&amp;BV$6,Base!$M:$Q,5,0),0)</f>
        <v>12</v>
      </c>
      <c r="BX76" s="109">
        <f>IFERROR(VLOOKUP($E76,Base!$U:$W,3,0),0)</f>
        <v>110</v>
      </c>
    </row>
    <row r="77" spans="2:76" x14ac:dyDescent="0.35">
      <c r="B77" s="53" t="s">
        <v>97</v>
      </c>
      <c r="C77" s="51">
        <v>359</v>
      </c>
      <c r="D77" s="51" t="s">
        <v>489</v>
      </c>
      <c r="E77" s="51">
        <v>73977</v>
      </c>
      <c r="F77" s="96" t="s">
        <v>501</v>
      </c>
      <c r="G77" s="42" t="s">
        <v>7</v>
      </c>
      <c r="H77" s="98" t="s">
        <v>103</v>
      </c>
      <c r="I77" s="143" t="s">
        <v>144</v>
      </c>
      <c r="J77" s="104">
        <f t="shared" si="33"/>
        <v>80.5</v>
      </c>
      <c r="K77" s="99">
        <f t="shared" si="34"/>
        <v>5.875</v>
      </c>
      <c r="L77" s="99">
        <f t="shared" si="35"/>
        <v>0.25</v>
      </c>
      <c r="M77" s="105">
        <f t="shared" si="36"/>
        <v>0</v>
      </c>
      <c r="N77" s="108">
        <f>IFERROR(VLOOKUP($E77&amp;N$6,Base!$A:$E,5,0),0)</f>
        <v>0</v>
      </c>
      <c r="O77" s="101">
        <v>0</v>
      </c>
      <c r="P77" s="101">
        <v>0</v>
      </c>
      <c r="Q77" s="101"/>
      <c r="R77" s="108">
        <f>IFERROR(VLOOKUP($E77&amp;R$6,Base!$A:$E,5,0),0)</f>
        <v>80.5</v>
      </c>
      <c r="S77" s="101">
        <f>IFERROR(VLOOKUP($E77&amp;S$6,Base!$G:$K,5,0),0)</f>
        <v>5.875</v>
      </c>
      <c r="T77" s="101">
        <f>IFERROR(VLOOKUP($E77&amp;S$6,Base!$M:$Q,5,0),0)</f>
        <v>0.25</v>
      </c>
      <c r="U77" s="109"/>
      <c r="V77" s="108">
        <f>IFERROR(VLOOKUP($E77&amp;V$6,Base!$A:$E,5,0),0)</f>
        <v>0</v>
      </c>
      <c r="W77" s="101">
        <f>IFERROR(VLOOKUP($E77&amp;W$6,Base!$G:$K,5,0),0)</f>
        <v>0</v>
      </c>
      <c r="X77" s="101">
        <f>IFERROR(VLOOKUP($E77&amp;W$6,Base!$M:$Q,5,0),0)</f>
        <v>0</v>
      </c>
      <c r="Y77" s="109"/>
      <c r="AA77" s="104">
        <f t="shared" si="37"/>
        <v>147</v>
      </c>
      <c r="AB77" s="99">
        <f t="shared" si="38"/>
        <v>0</v>
      </c>
      <c r="AC77" s="99">
        <f t="shared" si="39"/>
        <v>0</v>
      </c>
      <c r="AD77" s="105">
        <f t="shared" si="40"/>
        <v>0</v>
      </c>
      <c r="AE77" s="108">
        <f>IFERROR(VLOOKUP($E77&amp;AE$6,Base!$A:$E,5,0),0)</f>
        <v>131</v>
      </c>
      <c r="AF77" s="101">
        <f>IFERROR(VLOOKUP($E77&amp;AF$6,Base!$G:$K,5,0),0)</f>
        <v>0</v>
      </c>
      <c r="AG77" s="101">
        <f>IFERROR(VLOOKUP($E77&amp;AF$6,Base!$M:$Q,5,0),0)</f>
        <v>0</v>
      </c>
      <c r="AH77" s="109"/>
      <c r="AI77" s="108">
        <f>IFERROR(VLOOKUP($E77&amp;AI$6,Base!$A:$E,5,0),0)</f>
        <v>-42</v>
      </c>
      <c r="AJ77" s="101">
        <f>IFERROR(VLOOKUP($E77&amp;AJ$6,Base!$G:$K,5,0),0)</f>
        <v>0</v>
      </c>
      <c r="AK77" s="101">
        <f>IFERROR(VLOOKUP($E77&amp;AJ$6,Base!$M:$Q,5,0),0)</f>
        <v>0</v>
      </c>
      <c r="AL77" s="109">
        <v>0</v>
      </c>
      <c r="AM77" s="108">
        <f>IFERROR(VLOOKUP($E77&amp;AM$6,Base!$A:$E,5,0),0)</f>
        <v>58</v>
      </c>
      <c r="AN77" s="101">
        <f>IFERROR(VLOOKUP($E77&amp;AN$6,Base!$G:$K,5,0),0)</f>
        <v>0</v>
      </c>
      <c r="AO77" s="101">
        <f>IFERROR(VLOOKUP($E77&amp;AN$6,Base!$M:$Q,5,0),0)</f>
        <v>0</v>
      </c>
      <c r="AP77" s="109"/>
      <c r="AR77" s="104">
        <f t="shared" si="41"/>
        <v>91.625</v>
      </c>
      <c r="AS77" s="99">
        <f t="shared" si="42"/>
        <v>6.3330000000000002</v>
      </c>
      <c r="AT77" s="99">
        <f t="shared" si="43"/>
        <v>0</v>
      </c>
      <c r="AU77" s="105">
        <f t="shared" si="49"/>
        <v>0</v>
      </c>
      <c r="AV77" s="108">
        <f>IFERROR(VLOOKUP($E77&amp;AV$6,Base!$A:$E,5,0),0)</f>
        <v>15</v>
      </c>
      <c r="AW77" s="101">
        <f>IFERROR(VLOOKUP($E77&amp;AW$6,Base!$G:$K,5,0),0)</f>
        <v>0</v>
      </c>
      <c r="AX77" s="101">
        <f>IFERROR(VLOOKUP($E77&amp;AW$6,Base!$M:$Q,5,0),0)</f>
        <v>0</v>
      </c>
      <c r="AY77" s="109">
        <v>0</v>
      </c>
      <c r="AZ77" s="108">
        <f>IFERROR(VLOOKUP($E77&amp;AZ$6,Base!$A:$E,5,0),0)</f>
        <v>0</v>
      </c>
      <c r="BA77" s="101">
        <f>IFERROR(VLOOKUP($E77&amp;BA$6,Base!$G:$K,5,0),0)</f>
        <v>0</v>
      </c>
      <c r="BB77" s="101">
        <f>IFERROR(VLOOKUP($E77&amp;BA$6,Base!$M:$Q,5,0),0)</f>
        <v>0</v>
      </c>
      <c r="BC77" s="109">
        <v>0</v>
      </c>
      <c r="BD77" s="108">
        <f>IFERROR(VLOOKUP($E77&amp;BD$6,Base!$A:$E,5,0),0)</f>
        <v>76.625</v>
      </c>
      <c r="BE77" s="101">
        <f>IFERROR(VLOOKUP($E77&amp;BE$6,Base!$G:$K,5,0),0)</f>
        <v>6.3330000000000002</v>
      </c>
      <c r="BF77" s="101">
        <f>IFERROR(VLOOKUP($E77&amp;BE$6,Base!$M:$Q,5,0),0)</f>
        <v>0</v>
      </c>
      <c r="BG77" s="109">
        <v>0</v>
      </c>
      <c r="BI77" s="104">
        <f t="shared" si="44"/>
        <v>54</v>
      </c>
      <c r="BJ77" s="99">
        <f t="shared" si="45"/>
        <v>27.917000000000002</v>
      </c>
      <c r="BK77" s="99">
        <f t="shared" si="46"/>
        <v>0</v>
      </c>
      <c r="BL77" s="111">
        <f t="shared" si="47"/>
        <v>0</v>
      </c>
      <c r="BM77" s="108">
        <f>IFERROR(VLOOKUP($E77&amp;BM$6,Base!$A:$E,5,0),0)</f>
        <v>35</v>
      </c>
      <c r="BN77" s="101">
        <f>IFERROR(VLOOKUP($E77&amp;BN$6,Base!$G:$K,5,0),0)</f>
        <v>11.5</v>
      </c>
      <c r="BO77" s="101">
        <f>IFERROR(VLOOKUP($E77&amp;BN$6,Base!$M:$Q,5,0),0)</f>
        <v>0</v>
      </c>
      <c r="BP77" s="109">
        <v>0</v>
      </c>
      <c r="BQ77" s="108">
        <f>IFERROR(VLOOKUP($E77&amp;BQ$6,Base!$A:$E,5,0),0)</f>
        <v>0</v>
      </c>
      <c r="BR77" s="101">
        <f>IFERROR(VLOOKUP($E77&amp;BR$6,Base!$G:$K,5,0),0)</f>
        <v>16.417000000000002</v>
      </c>
      <c r="BS77" s="101">
        <f>IFERROR(VLOOKUP($E77&amp;BR$6,Base!$M:$Q,5,0),0)</f>
        <v>0</v>
      </c>
      <c r="BT77" s="109">
        <v>0</v>
      </c>
      <c r="BU77" s="108">
        <f>IFERROR(VLOOKUP($E77&amp;BU$6,Base!$A:$E,5,0),0)</f>
        <v>19</v>
      </c>
      <c r="BV77" s="101">
        <f>IFERROR(VLOOKUP($E77&amp;BV$6,Base!$G:$K,5,0),0)</f>
        <v>0</v>
      </c>
      <c r="BW77" s="101">
        <f>IFERROR(VLOOKUP($E77&amp;BV$6,Base!$M:$Q,5,0),0)</f>
        <v>0</v>
      </c>
      <c r="BX77" s="109">
        <f>IFERROR(VLOOKUP($E77,Base!$U:$W,3,0),0)</f>
        <v>0</v>
      </c>
    </row>
    <row r="78" spans="2:76" x14ac:dyDescent="0.35">
      <c r="B78" s="53" t="s">
        <v>97</v>
      </c>
      <c r="C78" s="51">
        <v>359</v>
      </c>
      <c r="D78" s="51" t="s">
        <v>489</v>
      </c>
      <c r="E78" s="51">
        <v>184994</v>
      </c>
      <c r="F78" s="96" t="s">
        <v>503</v>
      </c>
      <c r="G78" s="42" t="s">
        <v>7</v>
      </c>
      <c r="H78" s="98" t="s">
        <v>103</v>
      </c>
      <c r="I78" s="143" t="s">
        <v>144</v>
      </c>
      <c r="J78" s="104">
        <f t="shared" si="33"/>
        <v>334</v>
      </c>
      <c r="K78" s="99">
        <f t="shared" si="34"/>
        <v>5.7919999999999998</v>
      </c>
      <c r="L78" s="99">
        <f t="shared" si="35"/>
        <v>0.25</v>
      </c>
      <c r="M78" s="105">
        <f t="shared" si="36"/>
        <v>0</v>
      </c>
      <c r="N78" s="108">
        <f>IFERROR(VLOOKUP($E78&amp;N$6,Base!$A:$E,5,0),0)</f>
        <v>0</v>
      </c>
      <c r="O78" s="101">
        <v>0</v>
      </c>
      <c r="P78" s="101">
        <v>0</v>
      </c>
      <c r="Q78" s="101"/>
      <c r="R78" s="108">
        <f>IFERROR(VLOOKUP($E78&amp;R$6,Base!$A:$E,5,0),0)</f>
        <v>109</v>
      </c>
      <c r="S78" s="101">
        <f>IFERROR(VLOOKUP($E78&amp;S$6,Base!$G:$K,5,0),0)</f>
        <v>5.875</v>
      </c>
      <c r="T78" s="101">
        <f>IFERROR(VLOOKUP($E78&amp;S$6,Base!$M:$Q,5,0),0)</f>
        <v>0.25</v>
      </c>
      <c r="U78" s="109"/>
      <c r="V78" s="108">
        <f>IFERROR(VLOOKUP($E78&amp;V$6,Base!$A:$E,5,0),0)</f>
        <v>225</v>
      </c>
      <c r="W78" s="101">
        <f>IFERROR(VLOOKUP($E78&amp;W$6,Base!$G:$K,5,0),0)</f>
        <v>-8.3000000000000004E-2</v>
      </c>
      <c r="X78" s="101">
        <f>IFERROR(VLOOKUP($E78&amp;W$6,Base!$M:$Q,5,0),0)</f>
        <v>0</v>
      </c>
      <c r="Y78" s="109"/>
      <c r="AA78" s="104">
        <f t="shared" si="37"/>
        <v>209</v>
      </c>
      <c r="AB78" s="99">
        <f t="shared" si="38"/>
        <v>51</v>
      </c>
      <c r="AC78" s="99">
        <f t="shared" si="39"/>
        <v>0</v>
      </c>
      <c r="AD78" s="105">
        <f t="shared" si="40"/>
        <v>0</v>
      </c>
      <c r="AE78" s="108">
        <f>IFERROR(VLOOKUP($E78&amp;AE$6,Base!$A:$E,5,0),0)</f>
        <v>32</v>
      </c>
      <c r="AF78" s="101">
        <f>IFERROR(VLOOKUP($E78&amp;AF$6,Base!$G:$K,5,0),0)</f>
        <v>22</v>
      </c>
      <c r="AG78" s="101">
        <f>IFERROR(VLOOKUP($E78&amp;AF$6,Base!$M:$Q,5,0),0)</f>
        <v>0</v>
      </c>
      <c r="AH78" s="109"/>
      <c r="AI78" s="108">
        <f>IFERROR(VLOOKUP($E78&amp;AI$6,Base!$A:$E,5,0),0)</f>
        <v>-32</v>
      </c>
      <c r="AJ78" s="101">
        <f>IFERROR(VLOOKUP($E78&amp;AJ$6,Base!$G:$K,5,0),0)</f>
        <v>0</v>
      </c>
      <c r="AK78" s="101">
        <f>IFERROR(VLOOKUP($E78&amp;AJ$6,Base!$M:$Q,5,0),0)</f>
        <v>0</v>
      </c>
      <c r="AL78" s="109">
        <v>0</v>
      </c>
      <c r="AM78" s="108">
        <f>IFERROR(VLOOKUP($E78&amp;AM$6,Base!$A:$E,5,0),0)</f>
        <v>209</v>
      </c>
      <c r="AN78" s="101">
        <f>IFERROR(VLOOKUP($E78&amp;AN$6,Base!$G:$K,5,0),0)</f>
        <v>29</v>
      </c>
      <c r="AO78" s="101">
        <f>IFERROR(VLOOKUP($E78&amp;AN$6,Base!$M:$Q,5,0),0)</f>
        <v>0</v>
      </c>
      <c r="AP78" s="109"/>
      <c r="AR78" s="104">
        <f t="shared" si="41"/>
        <v>84.625</v>
      </c>
      <c r="AS78" s="99">
        <f t="shared" si="42"/>
        <v>99.582999999999998</v>
      </c>
      <c r="AT78" s="99">
        <f t="shared" si="43"/>
        <v>0</v>
      </c>
      <c r="AU78" s="105">
        <f t="shared" si="49"/>
        <v>0</v>
      </c>
      <c r="AV78" s="108">
        <f>IFERROR(VLOOKUP($E78&amp;AV$6,Base!$A:$E,5,0),0)</f>
        <v>-33</v>
      </c>
      <c r="AW78" s="101">
        <f>IFERROR(VLOOKUP($E78&amp;AW$6,Base!$G:$K,5,0),0)</f>
        <v>20.582999999999998</v>
      </c>
      <c r="AX78" s="101">
        <f>IFERROR(VLOOKUP($E78&amp;AW$6,Base!$M:$Q,5,0),0)</f>
        <v>0</v>
      </c>
      <c r="AY78" s="109">
        <v>0</v>
      </c>
      <c r="AZ78" s="108">
        <f>IFERROR(VLOOKUP($E78&amp;AZ$6,Base!$A:$E,5,0),0)</f>
        <v>0</v>
      </c>
      <c r="BA78" s="101">
        <f>IFERROR(VLOOKUP($E78&amp;BA$6,Base!$G:$K,5,0),0)</f>
        <v>24</v>
      </c>
      <c r="BB78" s="101">
        <f>IFERROR(VLOOKUP($E78&amp;BA$6,Base!$M:$Q,5,0),0)</f>
        <v>0</v>
      </c>
      <c r="BC78" s="109">
        <v>0</v>
      </c>
      <c r="BD78" s="108">
        <f>IFERROR(VLOOKUP($E78&amp;BD$6,Base!$A:$E,5,0),0)</f>
        <v>117.625</v>
      </c>
      <c r="BE78" s="101">
        <f>IFERROR(VLOOKUP($E78&amp;BE$6,Base!$G:$K,5,0),0)</f>
        <v>55</v>
      </c>
      <c r="BF78" s="101">
        <f>IFERROR(VLOOKUP($E78&amp;BE$6,Base!$M:$Q,5,0),0)</f>
        <v>0</v>
      </c>
      <c r="BG78" s="109">
        <v>0</v>
      </c>
      <c r="BI78" s="104">
        <f t="shared" si="44"/>
        <v>48</v>
      </c>
      <c r="BJ78" s="99">
        <f t="shared" si="45"/>
        <v>52.417000000000002</v>
      </c>
      <c r="BK78" s="99">
        <f t="shared" si="46"/>
        <v>0</v>
      </c>
      <c r="BL78" s="111">
        <f t="shared" si="47"/>
        <v>6</v>
      </c>
      <c r="BM78" s="108">
        <f>IFERROR(VLOOKUP($E78&amp;BM$6,Base!$A:$E,5,0),0)</f>
        <v>0</v>
      </c>
      <c r="BN78" s="101">
        <f>IFERROR(VLOOKUP($E78&amp;BN$6,Base!$G:$K,5,0),0)</f>
        <v>17</v>
      </c>
      <c r="BO78" s="101">
        <f>IFERROR(VLOOKUP($E78&amp;BN$6,Base!$M:$Q,5,0),0)</f>
        <v>0</v>
      </c>
      <c r="BP78" s="109">
        <v>0</v>
      </c>
      <c r="BQ78" s="108">
        <f>IFERROR(VLOOKUP($E78&amp;BQ$6,Base!$A:$E,5,0),0)</f>
        <v>0</v>
      </c>
      <c r="BR78" s="101">
        <f>IFERROR(VLOOKUP($E78&amp;BR$6,Base!$G:$K,5,0),0)</f>
        <v>35.417000000000002</v>
      </c>
      <c r="BS78" s="101">
        <f>IFERROR(VLOOKUP($E78&amp;BR$6,Base!$M:$Q,5,0),0)</f>
        <v>0</v>
      </c>
      <c r="BT78" s="109">
        <v>0</v>
      </c>
      <c r="BU78" s="108">
        <f>IFERROR(VLOOKUP($E78&amp;BU$6,Base!$A:$E,5,0),0)</f>
        <v>48</v>
      </c>
      <c r="BV78" s="101">
        <f>IFERROR(VLOOKUP($E78&amp;BV$6,Base!$G:$K,5,0),0)</f>
        <v>0</v>
      </c>
      <c r="BW78" s="101">
        <f>IFERROR(VLOOKUP($E78&amp;BV$6,Base!$M:$Q,5,0),0)</f>
        <v>0</v>
      </c>
      <c r="BX78" s="109">
        <f>IFERROR(VLOOKUP($E78,Base!$U:$W,3,0),0)</f>
        <v>6</v>
      </c>
    </row>
    <row r="79" spans="2:76" x14ac:dyDescent="0.35">
      <c r="B79" s="53" t="s">
        <v>97</v>
      </c>
      <c r="C79" s="51">
        <v>4066</v>
      </c>
      <c r="D79" s="51" t="s">
        <v>504</v>
      </c>
      <c r="E79" s="51">
        <v>59280</v>
      </c>
      <c r="F79" s="96" t="s">
        <v>506</v>
      </c>
      <c r="G79" s="42" t="s">
        <v>83</v>
      </c>
      <c r="H79" s="98" t="s">
        <v>108</v>
      </c>
      <c r="I79" s="143" t="s">
        <v>144</v>
      </c>
      <c r="J79" s="104">
        <f t="shared" si="33"/>
        <v>651.25</v>
      </c>
      <c r="K79" s="99">
        <f t="shared" si="34"/>
        <v>396.45800000000003</v>
      </c>
      <c r="L79" s="99">
        <f t="shared" si="35"/>
        <v>12.75</v>
      </c>
      <c r="M79" s="105">
        <f t="shared" si="36"/>
        <v>0</v>
      </c>
      <c r="N79" s="108">
        <f>IFERROR(VLOOKUP($E79&amp;N$6,Base!$A:$E,5,0),0)</f>
        <v>75.832999999999998</v>
      </c>
      <c r="O79" s="101">
        <v>145.375</v>
      </c>
      <c r="P79" s="101">
        <v>9.75</v>
      </c>
      <c r="Q79" s="101"/>
      <c r="R79" s="108">
        <f>IFERROR(VLOOKUP($E79&amp;R$6,Base!$A:$E,5,0),0)</f>
        <v>72.75</v>
      </c>
      <c r="S79" s="101">
        <f>IFERROR(VLOOKUP($E79&amp;S$6,Base!$G:$K,5,0),0)</f>
        <v>259.58300000000003</v>
      </c>
      <c r="T79" s="101">
        <f>IFERROR(VLOOKUP($E79&amp;S$6,Base!$M:$Q,5,0),0)</f>
        <v>3</v>
      </c>
      <c r="U79" s="109"/>
      <c r="V79" s="108">
        <f>IFERROR(VLOOKUP($E79&amp;V$6,Base!$A:$E,5,0),0)</f>
        <v>502.66699999999997</v>
      </c>
      <c r="W79" s="101">
        <f>IFERROR(VLOOKUP($E79&amp;W$6,Base!$G:$K,5,0),0)</f>
        <v>-8.5</v>
      </c>
      <c r="X79" s="101">
        <f>IFERROR(VLOOKUP($E79&amp;W$6,Base!$M:$Q,5,0),0)</f>
        <v>0</v>
      </c>
      <c r="Y79" s="109"/>
      <c r="AA79" s="104">
        <f t="shared" si="37"/>
        <v>179</v>
      </c>
      <c r="AB79" s="99">
        <f t="shared" si="38"/>
        <v>113.916</v>
      </c>
      <c r="AC79" s="99">
        <f t="shared" si="39"/>
        <v>1.25</v>
      </c>
      <c r="AD79" s="105">
        <f t="shared" si="40"/>
        <v>0</v>
      </c>
      <c r="AE79" s="108">
        <f>IFERROR(VLOOKUP($E79&amp;AE$6,Base!$A:$E,5,0),0)</f>
        <v>78.5</v>
      </c>
      <c r="AF79" s="101">
        <f>IFERROR(VLOOKUP($E79&amp;AF$6,Base!$G:$K,5,0),0)</f>
        <v>25.082999999999998</v>
      </c>
      <c r="AG79" s="101">
        <f>IFERROR(VLOOKUP($E79&amp;AF$6,Base!$M:$Q,5,0),0)</f>
        <v>0</v>
      </c>
      <c r="AH79" s="109"/>
      <c r="AI79" s="108">
        <f>IFERROR(VLOOKUP($E79&amp;AI$6,Base!$A:$E,5,0),0)</f>
        <v>58.5</v>
      </c>
      <c r="AJ79" s="101">
        <f>IFERROR(VLOOKUP($E79&amp;AJ$6,Base!$G:$K,5,0),0)</f>
        <v>65</v>
      </c>
      <c r="AK79" s="101">
        <f>IFERROR(VLOOKUP($E79&amp;AJ$6,Base!$M:$Q,5,0),0)</f>
        <v>1.25</v>
      </c>
      <c r="AL79" s="109">
        <v>0</v>
      </c>
      <c r="AM79" s="108">
        <f>IFERROR(VLOOKUP($E79&amp;AM$6,Base!$A:$E,5,0),0)</f>
        <v>42</v>
      </c>
      <c r="AN79" s="101">
        <f>IFERROR(VLOOKUP($E79&amp;AN$6,Base!$G:$K,5,0),0)</f>
        <v>23.832999999999998</v>
      </c>
      <c r="AO79" s="101">
        <f>IFERROR(VLOOKUP($E79&amp;AN$6,Base!$M:$Q,5,0),0)</f>
        <v>0</v>
      </c>
      <c r="AP79" s="109"/>
      <c r="AR79" s="104">
        <f t="shared" si="41"/>
        <v>358.75</v>
      </c>
      <c r="AS79" s="99">
        <f t="shared" si="42"/>
        <v>373.91700000000003</v>
      </c>
      <c r="AT79" s="99">
        <f t="shared" si="43"/>
        <v>28.25</v>
      </c>
      <c r="AU79" s="105">
        <f t="shared" si="49"/>
        <v>0</v>
      </c>
      <c r="AV79" s="108">
        <f>IFERROR(VLOOKUP($E79&amp;AV$6,Base!$A:$E,5,0),0)</f>
        <v>38.5</v>
      </c>
      <c r="AW79" s="101">
        <f>IFERROR(VLOOKUP($E79&amp;AW$6,Base!$G:$K,5,0),0)</f>
        <v>65.167000000000002</v>
      </c>
      <c r="AX79" s="101">
        <f>IFERROR(VLOOKUP($E79&amp;AW$6,Base!$M:$Q,5,0),0)</f>
        <v>1.75</v>
      </c>
      <c r="AY79" s="109">
        <v>0</v>
      </c>
      <c r="AZ79" s="108">
        <f>IFERROR(VLOOKUP($E79&amp;AZ$6,Base!$A:$E,5,0),0)</f>
        <v>152.25</v>
      </c>
      <c r="BA79" s="101">
        <f>IFERROR(VLOOKUP($E79&amp;BA$6,Base!$G:$K,5,0),0)</f>
        <v>113.417</v>
      </c>
      <c r="BB79" s="101">
        <f>IFERROR(VLOOKUP($E79&amp;BA$6,Base!$M:$Q,5,0),0)</f>
        <v>2.5</v>
      </c>
      <c r="BC79" s="109">
        <v>0</v>
      </c>
      <c r="BD79" s="108">
        <f>IFERROR(VLOOKUP($E79&amp;BD$6,Base!$A:$E,5,0),0)</f>
        <v>168</v>
      </c>
      <c r="BE79" s="101">
        <f>IFERROR(VLOOKUP($E79&amp;BE$6,Base!$G:$K,5,0),0)</f>
        <v>195.333</v>
      </c>
      <c r="BF79" s="101">
        <f>IFERROR(VLOOKUP($E79&amp;BE$6,Base!$M:$Q,5,0),0)</f>
        <v>24</v>
      </c>
      <c r="BG79" s="109">
        <v>0</v>
      </c>
      <c r="BI79" s="104">
        <f t="shared" si="44"/>
        <v>121.125</v>
      </c>
      <c r="BJ79" s="99">
        <f t="shared" si="45"/>
        <v>160.667</v>
      </c>
      <c r="BK79" s="99">
        <f t="shared" si="46"/>
        <v>19.957999999999998</v>
      </c>
      <c r="BL79" s="111">
        <f t="shared" si="47"/>
        <v>45</v>
      </c>
      <c r="BM79" s="108">
        <f>IFERROR(VLOOKUP($E79&amp;BM$6,Base!$A:$E,5,0),0)</f>
        <v>62.25</v>
      </c>
      <c r="BN79" s="101">
        <f>IFERROR(VLOOKUP($E79&amp;BN$6,Base!$G:$K,5,0),0)</f>
        <v>26.667000000000002</v>
      </c>
      <c r="BO79" s="101">
        <f>IFERROR(VLOOKUP($E79&amp;BN$6,Base!$M:$Q,5,0),0)</f>
        <v>0.83299999999999996</v>
      </c>
      <c r="BP79" s="109">
        <v>0</v>
      </c>
      <c r="BQ79" s="108">
        <f>IFERROR(VLOOKUP($E79&amp;BQ$6,Base!$A:$E,5,0),0)</f>
        <v>50.875</v>
      </c>
      <c r="BR79" s="101">
        <f>IFERROR(VLOOKUP($E79&amp;BR$6,Base!$G:$K,5,0),0)</f>
        <v>30.667000000000002</v>
      </c>
      <c r="BS79" s="101">
        <f>IFERROR(VLOOKUP($E79&amp;BR$6,Base!$M:$Q,5,0),0)</f>
        <v>3.1669999999999998</v>
      </c>
      <c r="BT79" s="109">
        <v>0</v>
      </c>
      <c r="BU79" s="108">
        <f>IFERROR(VLOOKUP($E79&amp;BU$6,Base!$A:$E,5,0),0)</f>
        <v>8</v>
      </c>
      <c r="BV79" s="101">
        <f>IFERROR(VLOOKUP($E79&amp;BV$6,Base!$G:$K,5,0),0)</f>
        <v>103.333</v>
      </c>
      <c r="BW79" s="101">
        <f>IFERROR(VLOOKUP($E79&amp;BV$6,Base!$M:$Q,5,0),0)</f>
        <v>15.958</v>
      </c>
      <c r="BX79" s="109">
        <f>IFERROR(VLOOKUP($E79,Base!$U:$W,3,0),0)</f>
        <v>45</v>
      </c>
    </row>
    <row r="80" spans="2:76" x14ac:dyDescent="0.35">
      <c r="B80" s="53" t="s">
        <v>97</v>
      </c>
      <c r="C80" s="51">
        <v>3655</v>
      </c>
      <c r="D80" s="51" t="s">
        <v>77</v>
      </c>
      <c r="E80" s="51">
        <v>48951</v>
      </c>
      <c r="F80" s="96" t="s">
        <v>264</v>
      </c>
      <c r="G80" s="42" t="s">
        <v>133</v>
      </c>
      <c r="H80" s="98" t="s">
        <v>134</v>
      </c>
      <c r="I80" s="143" t="s">
        <v>144</v>
      </c>
      <c r="J80" s="104">
        <f t="shared" si="33"/>
        <v>0</v>
      </c>
      <c r="K80" s="99">
        <f t="shared" si="34"/>
        <v>0</v>
      </c>
      <c r="L80" s="99">
        <f t="shared" si="35"/>
        <v>0</v>
      </c>
      <c r="M80" s="105">
        <f t="shared" si="36"/>
        <v>0</v>
      </c>
      <c r="N80" s="108">
        <f>IFERROR(VLOOKUP($E80&amp;N$6,Base!$A:$E,5,0),0)</f>
        <v>0</v>
      </c>
      <c r="O80" s="101">
        <v>0</v>
      </c>
      <c r="P80" s="101">
        <v>0</v>
      </c>
      <c r="Q80" s="101"/>
      <c r="R80" s="108">
        <f>IFERROR(VLOOKUP($E80&amp;R$6,Base!$A:$E,5,0),0)</f>
        <v>0</v>
      </c>
      <c r="S80" s="101">
        <f>IFERROR(VLOOKUP($E80&amp;S$6,Base!$G:$K,5,0),0)</f>
        <v>0</v>
      </c>
      <c r="T80" s="101">
        <f>IFERROR(VLOOKUP($E80&amp;S$6,Base!$M:$Q,5,0),0)</f>
        <v>0</v>
      </c>
      <c r="U80" s="109"/>
      <c r="V80" s="108">
        <f>IFERROR(VLOOKUP($E80&amp;V$6,Base!$A:$E,5,0),0)</f>
        <v>0</v>
      </c>
      <c r="W80" s="101">
        <f>IFERROR(VLOOKUP($E80&amp;W$6,Base!$G:$K,5,0),0)</f>
        <v>0</v>
      </c>
      <c r="X80" s="101">
        <f>IFERROR(VLOOKUP($E80&amp;W$6,Base!$M:$Q,5,0),0)</f>
        <v>0</v>
      </c>
      <c r="Y80" s="109"/>
      <c r="AA80" s="104">
        <f t="shared" si="37"/>
        <v>0</v>
      </c>
      <c r="AB80" s="99">
        <f t="shared" si="38"/>
        <v>0</v>
      </c>
      <c r="AC80" s="99">
        <f t="shared" si="39"/>
        <v>0</v>
      </c>
      <c r="AD80" s="105">
        <f t="shared" si="40"/>
        <v>0</v>
      </c>
      <c r="AE80" s="108">
        <f>IFERROR(VLOOKUP($E80&amp;AE$6,Base!$A:$E,5,0),0)</f>
        <v>0</v>
      </c>
      <c r="AF80" s="101">
        <f>IFERROR(VLOOKUP($E80&amp;AF$6,Base!$G:$K,5,0),0)</f>
        <v>0</v>
      </c>
      <c r="AG80" s="101">
        <f>IFERROR(VLOOKUP($E80&amp;AF$6,Base!$M:$Q,5,0),0)</f>
        <v>0</v>
      </c>
      <c r="AH80" s="109"/>
      <c r="AI80" s="108">
        <f>IFERROR(VLOOKUP($E80&amp;AI$6,Base!$A:$E,5,0),0)</f>
        <v>0</v>
      </c>
      <c r="AJ80" s="101">
        <f>IFERROR(VLOOKUP($E80&amp;AJ$6,Base!$G:$K,5,0),0)</f>
        <v>0</v>
      </c>
      <c r="AK80" s="101">
        <f>IFERROR(VLOOKUP($E80&amp;AJ$6,Base!$M:$Q,5,0),0)</f>
        <v>0</v>
      </c>
      <c r="AL80" s="109">
        <v>0</v>
      </c>
      <c r="AM80" s="108">
        <f>IFERROR(VLOOKUP($E80&amp;AM$6,Base!$A:$E,5,0),0)</f>
        <v>0</v>
      </c>
      <c r="AN80" s="101">
        <f>IFERROR(VLOOKUP($E80&amp;AN$6,Base!$G:$K,5,0),0)</f>
        <v>0</v>
      </c>
      <c r="AO80" s="101">
        <f>IFERROR(VLOOKUP($E80&amp;AN$6,Base!$M:$Q,5,0),0)</f>
        <v>0</v>
      </c>
      <c r="AP80" s="109"/>
      <c r="AR80" s="104">
        <f t="shared" si="41"/>
        <v>0</v>
      </c>
      <c r="AS80" s="99">
        <f t="shared" si="42"/>
        <v>0</v>
      </c>
      <c r="AT80" s="99">
        <f t="shared" si="43"/>
        <v>0</v>
      </c>
      <c r="AU80" s="105">
        <f t="shared" si="49"/>
        <v>0</v>
      </c>
      <c r="AV80" s="108">
        <f>IFERROR(VLOOKUP($E80&amp;AV$6,Base!$A:$E,5,0),0)</f>
        <v>0</v>
      </c>
      <c r="AW80" s="101">
        <f>IFERROR(VLOOKUP($E80&amp;AW$6,Base!$G:$K,5,0),0)</f>
        <v>0</v>
      </c>
      <c r="AX80" s="101">
        <f>IFERROR(VLOOKUP($E80&amp;AW$6,Base!$M:$Q,5,0),0)</f>
        <v>0</v>
      </c>
      <c r="AY80" s="109">
        <v>0</v>
      </c>
      <c r="AZ80" s="108">
        <f>IFERROR(VLOOKUP($E80&amp;AZ$6,Base!$A:$E,5,0),0)</f>
        <v>0</v>
      </c>
      <c r="BA80" s="101">
        <f>IFERROR(VLOOKUP($E80&amp;BA$6,Base!$G:$K,5,0),0)</f>
        <v>0</v>
      </c>
      <c r="BB80" s="101">
        <f>IFERROR(VLOOKUP($E80&amp;BA$6,Base!$M:$Q,5,0),0)</f>
        <v>0</v>
      </c>
      <c r="BC80" s="109">
        <v>0</v>
      </c>
      <c r="BD80" s="108">
        <f>IFERROR(VLOOKUP($E80&amp;BD$6,Base!$A:$E,5,0),0)</f>
        <v>0</v>
      </c>
      <c r="BE80" s="101">
        <f>IFERROR(VLOOKUP($E80&amp;BE$6,Base!$G:$K,5,0),0)</f>
        <v>0</v>
      </c>
      <c r="BF80" s="101">
        <f>IFERROR(VLOOKUP($E80&amp;BE$6,Base!$M:$Q,5,0),0)</f>
        <v>0</v>
      </c>
      <c r="BG80" s="109">
        <v>0</v>
      </c>
      <c r="BI80" s="104">
        <f t="shared" si="44"/>
        <v>0</v>
      </c>
      <c r="BJ80" s="99">
        <f t="shared" si="45"/>
        <v>6.5</v>
      </c>
      <c r="BK80" s="99">
        <f t="shared" si="46"/>
        <v>0</v>
      </c>
      <c r="BL80" s="111">
        <f t="shared" si="47"/>
        <v>0</v>
      </c>
      <c r="BM80" s="108">
        <f>IFERROR(VLOOKUP($E80&amp;BM$6,Base!$A:$E,5,0),0)</f>
        <v>0</v>
      </c>
      <c r="BN80" s="101">
        <f>IFERROR(VLOOKUP($E80&amp;BN$6,Base!$G:$K,5,0),0)</f>
        <v>6.5</v>
      </c>
      <c r="BO80" s="101">
        <f>IFERROR(VLOOKUP($E80&amp;BN$6,Base!$M:$Q,5,0),0)</f>
        <v>0</v>
      </c>
      <c r="BP80" s="109">
        <v>0</v>
      </c>
      <c r="BQ80" s="108">
        <f>IFERROR(VLOOKUP($E80&amp;BQ$6,Base!$A:$E,5,0),0)</f>
        <v>0</v>
      </c>
      <c r="BR80" s="101">
        <f>IFERROR(VLOOKUP($E80&amp;BR$6,Base!$G:$K,5,0),0)</f>
        <v>0</v>
      </c>
      <c r="BS80" s="101">
        <f>IFERROR(VLOOKUP($E80&amp;BR$6,Base!$M:$Q,5,0),0)</f>
        <v>0</v>
      </c>
      <c r="BT80" s="109">
        <v>0</v>
      </c>
      <c r="BU80" s="108">
        <f>IFERROR(VLOOKUP($E80&amp;BU$6,Base!$A:$E,5,0),0)</f>
        <v>0</v>
      </c>
      <c r="BV80" s="101">
        <f>IFERROR(VLOOKUP($E80&amp;BV$6,Base!$G:$K,5,0),0)</f>
        <v>0</v>
      </c>
      <c r="BW80" s="101">
        <f>IFERROR(VLOOKUP($E80&amp;BV$6,Base!$M:$Q,5,0),0)</f>
        <v>0</v>
      </c>
      <c r="BX80" s="109">
        <f>IFERROR(VLOOKUP($E80,Base!$U:$W,3,0),0)</f>
        <v>0</v>
      </c>
    </row>
    <row r="81" spans="2:76" x14ac:dyDescent="0.35">
      <c r="B81" s="53" t="s">
        <v>97</v>
      </c>
      <c r="C81" s="51">
        <v>3655</v>
      </c>
      <c r="D81" s="51" t="s">
        <v>77</v>
      </c>
      <c r="E81" s="51">
        <v>107838</v>
      </c>
      <c r="F81" s="96" t="s">
        <v>267</v>
      </c>
      <c r="G81" s="42" t="s">
        <v>132</v>
      </c>
      <c r="H81" s="98" t="s">
        <v>134</v>
      </c>
      <c r="I81" s="143" t="s">
        <v>144</v>
      </c>
      <c r="J81" s="104">
        <f t="shared" si="33"/>
        <v>0</v>
      </c>
      <c r="K81" s="99">
        <f t="shared" si="34"/>
        <v>0</v>
      </c>
      <c r="L81" s="99">
        <f t="shared" si="35"/>
        <v>0</v>
      </c>
      <c r="M81" s="105">
        <f t="shared" si="36"/>
        <v>0</v>
      </c>
      <c r="N81" s="108">
        <f>IFERROR(VLOOKUP($E81&amp;N$6,Base!$A:$E,5,0),0)</f>
        <v>0</v>
      </c>
      <c r="O81" s="101">
        <v>0</v>
      </c>
      <c r="P81" s="101">
        <v>0</v>
      </c>
      <c r="Q81" s="101"/>
      <c r="R81" s="108">
        <f>IFERROR(VLOOKUP($E81&amp;R$6,Base!$A:$E,5,0),0)</f>
        <v>0</v>
      </c>
      <c r="S81" s="101">
        <f>IFERROR(VLOOKUP($E81&amp;S$6,Base!$G:$K,5,0),0)</f>
        <v>0</v>
      </c>
      <c r="T81" s="101">
        <f>IFERROR(VLOOKUP($E81&amp;S$6,Base!$M:$Q,5,0),0)</f>
        <v>0</v>
      </c>
      <c r="U81" s="109"/>
      <c r="V81" s="108">
        <f>IFERROR(VLOOKUP($E81&amp;V$6,Base!$A:$E,5,0),0)</f>
        <v>0</v>
      </c>
      <c r="W81" s="101">
        <f>IFERROR(VLOOKUP($E81&amp;W$6,Base!$G:$K,5,0),0)</f>
        <v>0</v>
      </c>
      <c r="X81" s="101">
        <f>IFERROR(VLOOKUP($E81&amp;W$6,Base!$M:$Q,5,0),0)</f>
        <v>0</v>
      </c>
      <c r="Y81" s="109"/>
      <c r="AA81" s="104">
        <f t="shared" si="37"/>
        <v>0</v>
      </c>
      <c r="AB81" s="99">
        <f t="shared" si="38"/>
        <v>0</v>
      </c>
      <c r="AC81" s="99">
        <f t="shared" si="39"/>
        <v>0</v>
      </c>
      <c r="AD81" s="105">
        <f t="shared" si="40"/>
        <v>0</v>
      </c>
      <c r="AE81" s="108">
        <f>IFERROR(VLOOKUP($E81&amp;AE$6,Base!$A:$E,5,0),0)</f>
        <v>0</v>
      </c>
      <c r="AF81" s="101">
        <f>IFERROR(VLOOKUP($E81&amp;AF$6,Base!$G:$K,5,0),0)</f>
        <v>0</v>
      </c>
      <c r="AG81" s="101">
        <f>IFERROR(VLOOKUP($E81&amp;AF$6,Base!$M:$Q,5,0),0)</f>
        <v>0</v>
      </c>
      <c r="AH81" s="109"/>
      <c r="AI81" s="108">
        <f>IFERROR(VLOOKUP($E81&amp;AI$6,Base!$A:$E,5,0),0)</f>
        <v>0</v>
      </c>
      <c r="AJ81" s="101">
        <f>IFERROR(VLOOKUP($E81&amp;AJ$6,Base!$G:$K,5,0),0)</f>
        <v>0</v>
      </c>
      <c r="AK81" s="101">
        <f>IFERROR(VLOOKUP($E81&amp;AJ$6,Base!$M:$Q,5,0),0)</f>
        <v>0</v>
      </c>
      <c r="AL81" s="109">
        <v>0</v>
      </c>
      <c r="AM81" s="108">
        <f>IFERROR(VLOOKUP($E81&amp;AM$6,Base!$A:$E,5,0),0)</f>
        <v>0</v>
      </c>
      <c r="AN81" s="101">
        <f>IFERROR(VLOOKUP($E81&amp;AN$6,Base!$G:$K,5,0),0)</f>
        <v>0</v>
      </c>
      <c r="AO81" s="101">
        <f>IFERROR(VLOOKUP($E81&amp;AN$6,Base!$M:$Q,5,0),0)</f>
        <v>0</v>
      </c>
      <c r="AP81" s="109"/>
      <c r="AR81" s="104">
        <f t="shared" si="41"/>
        <v>0</v>
      </c>
      <c r="AS81" s="99">
        <f t="shared" si="42"/>
        <v>0</v>
      </c>
      <c r="AT81" s="99">
        <f t="shared" si="43"/>
        <v>0</v>
      </c>
      <c r="AU81" s="105">
        <f t="shared" si="49"/>
        <v>0</v>
      </c>
      <c r="AV81" s="108">
        <f>IFERROR(VLOOKUP($E81&amp;AV$6,Base!$A:$E,5,0),0)</f>
        <v>0</v>
      </c>
      <c r="AW81" s="101">
        <f>IFERROR(VLOOKUP($E81&amp;AW$6,Base!$G:$K,5,0),0)</f>
        <v>0</v>
      </c>
      <c r="AX81" s="101">
        <f>IFERROR(VLOOKUP($E81&amp;AW$6,Base!$M:$Q,5,0),0)</f>
        <v>0</v>
      </c>
      <c r="AY81" s="109">
        <v>0</v>
      </c>
      <c r="AZ81" s="108">
        <f>IFERROR(VLOOKUP($E81&amp;AZ$6,Base!$A:$E,5,0),0)</f>
        <v>0</v>
      </c>
      <c r="BA81" s="101">
        <f>IFERROR(VLOOKUP($E81&amp;BA$6,Base!$G:$K,5,0),0)</f>
        <v>0</v>
      </c>
      <c r="BB81" s="101">
        <f>IFERROR(VLOOKUP($E81&amp;BA$6,Base!$M:$Q,5,0),0)</f>
        <v>0</v>
      </c>
      <c r="BC81" s="109">
        <v>0</v>
      </c>
      <c r="BD81" s="108">
        <f>IFERROR(VLOOKUP($E81&amp;BD$6,Base!$A:$E,5,0),0)</f>
        <v>0</v>
      </c>
      <c r="BE81" s="101">
        <f>IFERROR(VLOOKUP($E81&amp;BE$6,Base!$G:$K,5,0),0)</f>
        <v>0</v>
      </c>
      <c r="BF81" s="101">
        <f>IFERROR(VLOOKUP($E81&amp;BE$6,Base!$M:$Q,5,0),0)</f>
        <v>0</v>
      </c>
      <c r="BG81" s="109">
        <v>0</v>
      </c>
      <c r="BI81" s="104">
        <f t="shared" si="44"/>
        <v>0</v>
      </c>
      <c r="BJ81" s="99">
        <f t="shared" si="45"/>
        <v>6.5</v>
      </c>
      <c r="BK81" s="99">
        <f t="shared" si="46"/>
        <v>0</v>
      </c>
      <c r="BL81" s="111">
        <f t="shared" si="47"/>
        <v>0</v>
      </c>
      <c r="BM81" s="108">
        <f>IFERROR(VLOOKUP($E81&amp;BM$6,Base!$A:$E,5,0),0)</f>
        <v>0</v>
      </c>
      <c r="BN81" s="101">
        <f>IFERROR(VLOOKUP($E81&amp;BN$6,Base!$G:$K,5,0),0)</f>
        <v>6.5</v>
      </c>
      <c r="BO81" s="101">
        <f>IFERROR(VLOOKUP($E81&amp;BN$6,Base!$M:$Q,5,0),0)</f>
        <v>0</v>
      </c>
      <c r="BP81" s="109">
        <v>0</v>
      </c>
      <c r="BQ81" s="108">
        <f>IFERROR(VLOOKUP($E81&amp;BQ$6,Base!$A:$E,5,0),0)</f>
        <v>0</v>
      </c>
      <c r="BR81" s="101">
        <f>IFERROR(VLOOKUP($E81&amp;BR$6,Base!$G:$K,5,0),0)</f>
        <v>0</v>
      </c>
      <c r="BS81" s="101">
        <f>IFERROR(VLOOKUP($E81&amp;BR$6,Base!$M:$Q,5,0),0)</f>
        <v>0</v>
      </c>
      <c r="BT81" s="109">
        <v>0</v>
      </c>
      <c r="BU81" s="108">
        <f>IFERROR(VLOOKUP($E81&amp;BU$6,Base!$A:$E,5,0),0)</f>
        <v>0</v>
      </c>
      <c r="BV81" s="101">
        <f>IFERROR(VLOOKUP($E81&amp;BV$6,Base!$G:$K,5,0),0)</f>
        <v>0</v>
      </c>
      <c r="BW81" s="101">
        <f>IFERROR(VLOOKUP($E81&amp;BV$6,Base!$M:$Q,5,0),0)</f>
        <v>0</v>
      </c>
      <c r="BX81" s="109">
        <f>IFERROR(VLOOKUP($E81,Base!$U:$W,3,0),0)</f>
        <v>0</v>
      </c>
    </row>
    <row r="82" spans="2:76" x14ac:dyDescent="0.35">
      <c r="B82" s="53" t="s">
        <v>97</v>
      </c>
      <c r="C82" s="51">
        <v>3655</v>
      </c>
      <c r="D82" s="51" t="s">
        <v>77</v>
      </c>
      <c r="E82" s="51">
        <v>124155</v>
      </c>
      <c r="F82" s="96" t="s">
        <v>271</v>
      </c>
      <c r="G82" s="42" t="s">
        <v>130</v>
      </c>
      <c r="H82" s="98" t="s">
        <v>134</v>
      </c>
      <c r="I82" s="143" t="s">
        <v>144</v>
      </c>
      <c r="J82" s="104">
        <f t="shared" si="33"/>
        <v>0</v>
      </c>
      <c r="K82" s="99">
        <f t="shared" si="34"/>
        <v>0</v>
      </c>
      <c r="L82" s="99">
        <f t="shared" si="35"/>
        <v>0</v>
      </c>
      <c r="M82" s="105">
        <f t="shared" si="36"/>
        <v>0</v>
      </c>
      <c r="N82" s="108">
        <f>IFERROR(VLOOKUP($E82&amp;N$6,Base!$A:$E,5,0),0)</f>
        <v>0</v>
      </c>
      <c r="O82" s="101">
        <v>0</v>
      </c>
      <c r="P82" s="101">
        <v>0</v>
      </c>
      <c r="Q82" s="101"/>
      <c r="R82" s="108">
        <f>IFERROR(VLOOKUP($E82&amp;R$6,Base!$A:$E,5,0),0)</f>
        <v>0</v>
      </c>
      <c r="S82" s="101">
        <f>IFERROR(VLOOKUP($E82&amp;S$6,Base!$G:$K,5,0),0)</f>
        <v>0</v>
      </c>
      <c r="T82" s="101">
        <f>IFERROR(VLOOKUP($E82&amp;S$6,Base!$M:$Q,5,0),0)</f>
        <v>0</v>
      </c>
      <c r="U82" s="109"/>
      <c r="V82" s="108">
        <f>IFERROR(VLOOKUP($E82&amp;V$6,Base!$A:$E,5,0),0)</f>
        <v>0</v>
      </c>
      <c r="W82" s="101">
        <f>IFERROR(VLOOKUP($E82&amp;W$6,Base!$G:$K,5,0),0)</f>
        <v>0</v>
      </c>
      <c r="X82" s="101">
        <f>IFERROR(VLOOKUP($E82&amp;W$6,Base!$M:$Q,5,0),0)</f>
        <v>0</v>
      </c>
      <c r="Y82" s="109"/>
      <c r="AA82" s="104">
        <f t="shared" si="37"/>
        <v>0</v>
      </c>
      <c r="AB82" s="99">
        <f t="shared" si="38"/>
        <v>0</v>
      </c>
      <c r="AC82" s="99">
        <f t="shared" si="39"/>
        <v>0</v>
      </c>
      <c r="AD82" s="105">
        <f t="shared" si="40"/>
        <v>0</v>
      </c>
      <c r="AE82" s="108">
        <f>IFERROR(VLOOKUP($E82&amp;AE$6,Base!$A:$E,5,0),0)</f>
        <v>0</v>
      </c>
      <c r="AF82" s="101">
        <f>IFERROR(VLOOKUP($E82&amp;AF$6,Base!$G:$K,5,0),0)</f>
        <v>0</v>
      </c>
      <c r="AG82" s="101">
        <f>IFERROR(VLOOKUP($E82&amp;AF$6,Base!$M:$Q,5,0),0)</f>
        <v>0</v>
      </c>
      <c r="AH82" s="109"/>
      <c r="AI82" s="108">
        <f>IFERROR(VLOOKUP($E82&amp;AI$6,Base!$A:$E,5,0),0)</f>
        <v>0</v>
      </c>
      <c r="AJ82" s="101">
        <f>IFERROR(VLOOKUP($E82&amp;AJ$6,Base!$G:$K,5,0),0)</f>
        <v>0</v>
      </c>
      <c r="AK82" s="101">
        <f>IFERROR(VLOOKUP($E82&amp;AJ$6,Base!$M:$Q,5,0),0)</f>
        <v>0</v>
      </c>
      <c r="AL82" s="109">
        <v>0</v>
      </c>
      <c r="AM82" s="108">
        <f>IFERROR(VLOOKUP($E82&amp;AM$6,Base!$A:$E,5,0),0)</f>
        <v>0</v>
      </c>
      <c r="AN82" s="101">
        <f>IFERROR(VLOOKUP($E82&amp;AN$6,Base!$G:$K,5,0),0)</f>
        <v>0</v>
      </c>
      <c r="AO82" s="101">
        <f>IFERROR(VLOOKUP($E82&amp;AN$6,Base!$M:$Q,5,0),0)</f>
        <v>0</v>
      </c>
      <c r="AP82" s="109"/>
      <c r="AR82" s="104">
        <f t="shared" si="41"/>
        <v>0</v>
      </c>
      <c r="AS82" s="99">
        <f t="shared" si="42"/>
        <v>0</v>
      </c>
      <c r="AT82" s="99">
        <f t="shared" si="43"/>
        <v>0</v>
      </c>
      <c r="AU82" s="105">
        <f t="shared" si="49"/>
        <v>0</v>
      </c>
      <c r="AV82" s="108">
        <f>IFERROR(VLOOKUP($E82&amp;AV$6,Base!$A:$E,5,0),0)</f>
        <v>0</v>
      </c>
      <c r="AW82" s="101">
        <f>IFERROR(VLOOKUP($E82&amp;AW$6,Base!$G:$K,5,0),0)</f>
        <v>0</v>
      </c>
      <c r="AX82" s="101">
        <f>IFERROR(VLOOKUP($E82&amp;AW$6,Base!$M:$Q,5,0),0)</f>
        <v>0</v>
      </c>
      <c r="AY82" s="109">
        <v>0</v>
      </c>
      <c r="AZ82" s="108">
        <f>IFERROR(VLOOKUP($E82&amp;AZ$6,Base!$A:$E,5,0),0)</f>
        <v>0</v>
      </c>
      <c r="BA82" s="101">
        <f>IFERROR(VLOOKUP($E82&amp;BA$6,Base!$G:$K,5,0),0)</f>
        <v>0</v>
      </c>
      <c r="BB82" s="101">
        <f>IFERROR(VLOOKUP($E82&amp;BA$6,Base!$M:$Q,5,0),0)</f>
        <v>0</v>
      </c>
      <c r="BC82" s="109">
        <v>0</v>
      </c>
      <c r="BD82" s="108">
        <f>IFERROR(VLOOKUP($E82&amp;BD$6,Base!$A:$E,5,0),0)</f>
        <v>0</v>
      </c>
      <c r="BE82" s="101">
        <f>IFERROR(VLOOKUP($E82&amp;BE$6,Base!$G:$K,5,0),0)</f>
        <v>0</v>
      </c>
      <c r="BF82" s="101">
        <f>IFERROR(VLOOKUP($E82&amp;BE$6,Base!$M:$Q,5,0),0)</f>
        <v>0</v>
      </c>
      <c r="BG82" s="109">
        <v>0</v>
      </c>
      <c r="BI82" s="104">
        <f t="shared" si="44"/>
        <v>0</v>
      </c>
      <c r="BJ82" s="99">
        <f t="shared" si="45"/>
        <v>6.5</v>
      </c>
      <c r="BK82" s="99">
        <f t="shared" si="46"/>
        <v>0</v>
      </c>
      <c r="BL82" s="111">
        <f t="shared" si="47"/>
        <v>0</v>
      </c>
      <c r="BM82" s="108">
        <f>IFERROR(VLOOKUP($E82&amp;BM$6,Base!$A:$E,5,0),0)</f>
        <v>0</v>
      </c>
      <c r="BN82" s="101">
        <f>IFERROR(VLOOKUP($E82&amp;BN$6,Base!$G:$K,5,0),0)</f>
        <v>6.5</v>
      </c>
      <c r="BO82" s="101">
        <f>IFERROR(VLOOKUP($E82&amp;BN$6,Base!$M:$Q,5,0),0)</f>
        <v>0</v>
      </c>
      <c r="BP82" s="109">
        <v>0</v>
      </c>
      <c r="BQ82" s="108">
        <f>IFERROR(VLOOKUP($E82&amp;BQ$6,Base!$A:$E,5,0),0)</f>
        <v>0</v>
      </c>
      <c r="BR82" s="101">
        <f>IFERROR(VLOOKUP($E82&amp;BR$6,Base!$G:$K,5,0),0)</f>
        <v>0</v>
      </c>
      <c r="BS82" s="101">
        <f>IFERROR(VLOOKUP($E82&amp;BR$6,Base!$M:$Q,5,0),0)</f>
        <v>0</v>
      </c>
      <c r="BT82" s="109">
        <v>0</v>
      </c>
      <c r="BU82" s="108">
        <f>IFERROR(VLOOKUP($E82&amp;BU$6,Base!$A:$E,5,0),0)</f>
        <v>0</v>
      </c>
      <c r="BV82" s="101">
        <f>IFERROR(VLOOKUP($E82&amp;BV$6,Base!$G:$K,5,0),0)</f>
        <v>0</v>
      </c>
      <c r="BW82" s="101">
        <f>IFERROR(VLOOKUP($E82&amp;BV$6,Base!$M:$Q,5,0),0)</f>
        <v>0</v>
      </c>
      <c r="BX82" s="109">
        <f>IFERROR(VLOOKUP($E82,Base!$U:$W,3,0),0)</f>
        <v>0</v>
      </c>
    </row>
    <row r="83" spans="2:76" x14ac:dyDescent="0.35">
      <c r="B83" s="53" t="s">
        <v>97</v>
      </c>
      <c r="C83" s="51">
        <v>3655</v>
      </c>
      <c r="D83" s="51" t="s">
        <v>77</v>
      </c>
      <c r="E83" s="51">
        <v>144056</v>
      </c>
      <c r="F83" s="96" t="s">
        <v>273</v>
      </c>
      <c r="G83" s="42" t="s">
        <v>131</v>
      </c>
      <c r="H83" s="98" t="s">
        <v>134</v>
      </c>
      <c r="I83" s="143" t="s">
        <v>144</v>
      </c>
      <c r="J83" s="104">
        <f t="shared" si="33"/>
        <v>0</v>
      </c>
      <c r="K83" s="99">
        <f t="shared" si="34"/>
        <v>0</v>
      </c>
      <c r="L83" s="99">
        <f t="shared" si="35"/>
        <v>0</v>
      </c>
      <c r="M83" s="105">
        <f t="shared" si="36"/>
        <v>0</v>
      </c>
      <c r="N83" s="108">
        <f>IFERROR(VLOOKUP($E83&amp;N$6,Base!$A:$E,5,0),0)</f>
        <v>0</v>
      </c>
      <c r="O83" s="101">
        <v>0</v>
      </c>
      <c r="P83" s="101">
        <v>0</v>
      </c>
      <c r="Q83" s="101"/>
      <c r="R83" s="108">
        <f>IFERROR(VLOOKUP($E83&amp;R$6,Base!$A:$E,5,0),0)</f>
        <v>0</v>
      </c>
      <c r="S83" s="101">
        <f>IFERROR(VLOOKUP($E83&amp;S$6,Base!$G:$K,5,0),0)</f>
        <v>0</v>
      </c>
      <c r="T83" s="101">
        <f>IFERROR(VLOOKUP($E83&amp;S$6,Base!$M:$Q,5,0),0)</f>
        <v>0</v>
      </c>
      <c r="U83" s="109"/>
      <c r="V83" s="108">
        <f>IFERROR(VLOOKUP($E83&amp;V$6,Base!$A:$E,5,0),0)</f>
        <v>0</v>
      </c>
      <c r="W83" s="101">
        <f>IFERROR(VLOOKUP($E83&amp;W$6,Base!$G:$K,5,0),0)</f>
        <v>0</v>
      </c>
      <c r="X83" s="101">
        <f>IFERROR(VLOOKUP($E83&amp;W$6,Base!$M:$Q,5,0),0)</f>
        <v>0</v>
      </c>
      <c r="Y83" s="109"/>
      <c r="AA83" s="104">
        <f t="shared" si="37"/>
        <v>0</v>
      </c>
      <c r="AB83" s="99">
        <f t="shared" si="38"/>
        <v>0</v>
      </c>
      <c r="AC83" s="99">
        <f t="shared" si="39"/>
        <v>0</v>
      </c>
      <c r="AD83" s="105">
        <f t="shared" si="40"/>
        <v>0</v>
      </c>
      <c r="AE83" s="108">
        <f>IFERROR(VLOOKUP($E83&amp;AE$6,Base!$A:$E,5,0),0)</f>
        <v>0</v>
      </c>
      <c r="AF83" s="101">
        <f>IFERROR(VLOOKUP($E83&amp;AF$6,Base!$G:$K,5,0),0)</f>
        <v>0</v>
      </c>
      <c r="AG83" s="101">
        <f>IFERROR(VLOOKUP($E83&amp;AF$6,Base!$M:$Q,5,0),0)</f>
        <v>0</v>
      </c>
      <c r="AH83" s="109"/>
      <c r="AI83" s="108">
        <f>IFERROR(VLOOKUP($E83&amp;AI$6,Base!$A:$E,5,0),0)</f>
        <v>0</v>
      </c>
      <c r="AJ83" s="101">
        <f>IFERROR(VLOOKUP($E83&amp;AJ$6,Base!$G:$K,5,0),0)</f>
        <v>0</v>
      </c>
      <c r="AK83" s="101">
        <f>IFERROR(VLOOKUP($E83&amp;AJ$6,Base!$M:$Q,5,0),0)</f>
        <v>0</v>
      </c>
      <c r="AL83" s="109">
        <v>0</v>
      </c>
      <c r="AM83" s="108">
        <f>IFERROR(VLOOKUP($E83&amp;AM$6,Base!$A:$E,5,0),0)</f>
        <v>0</v>
      </c>
      <c r="AN83" s="101">
        <f>IFERROR(VLOOKUP($E83&amp;AN$6,Base!$G:$K,5,0),0)</f>
        <v>0</v>
      </c>
      <c r="AO83" s="101">
        <f>IFERROR(VLOOKUP($E83&amp;AN$6,Base!$M:$Q,5,0),0)</f>
        <v>0</v>
      </c>
      <c r="AP83" s="109"/>
      <c r="AR83" s="104">
        <f t="shared" si="41"/>
        <v>0</v>
      </c>
      <c r="AS83" s="99">
        <f t="shared" si="42"/>
        <v>0</v>
      </c>
      <c r="AT83" s="99">
        <f t="shared" si="43"/>
        <v>0</v>
      </c>
      <c r="AU83" s="105">
        <f t="shared" si="49"/>
        <v>0</v>
      </c>
      <c r="AV83" s="108">
        <f>IFERROR(VLOOKUP($E83&amp;AV$6,Base!$A:$E,5,0),0)</f>
        <v>0</v>
      </c>
      <c r="AW83" s="101">
        <f>IFERROR(VLOOKUP($E83&amp;AW$6,Base!$G:$K,5,0),0)</f>
        <v>0</v>
      </c>
      <c r="AX83" s="101">
        <f>IFERROR(VLOOKUP($E83&amp;AW$6,Base!$M:$Q,5,0),0)</f>
        <v>0</v>
      </c>
      <c r="AY83" s="109">
        <v>0</v>
      </c>
      <c r="AZ83" s="108">
        <f>IFERROR(VLOOKUP($E83&amp;AZ$6,Base!$A:$E,5,0),0)</f>
        <v>0</v>
      </c>
      <c r="BA83" s="101">
        <f>IFERROR(VLOOKUP($E83&amp;BA$6,Base!$G:$K,5,0),0)</f>
        <v>0</v>
      </c>
      <c r="BB83" s="101">
        <f>IFERROR(VLOOKUP($E83&amp;BA$6,Base!$M:$Q,5,0),0)</f>
        <v>0</v>
      </c>
      <c r="BC83" s="109">
        <v>0</v>
      </c>
      <c r="BD83" s="108">
        <f>IFERROR(VLOOKUP($E83&amp;BD$6,Base!$A:$E,5,0),0)</f>
        <v>0</v>
      </c>
      <c r="BE83" s="101">
        <f>IFERROR(VLOOKUP($E83&amp;BE$6,Base!$G:$K,5,0),0)</f>
        <v>0</v>
      </c>
      <c r="BF83" s="101">
        <f>IFERROR(VLOOKUP($E83&amp;BE$6,Base!$M:$Q,5,0),0)</f>
        <v>0</v>
      </c>
      <c r="BG83" s="109">
        <v>0</v>
      </c>
      <c r="BI83" s="104">
        <f t="shared" si="44"/>
        <v>0</v>
      </c>
      <c r="BJ83" s="99">
        <f t="shared" si="45"/>
        <v>6.5</v>
      </c>
      <c r="BK83" s="99">
        <f t="shared" si="46"/>
        <v>0</v>
      </c>
      <c r="BL83" s="111">
        <f t="shared" si="47"/>
        <v>0</v>
      </c>
      <c r="BM83" s="108">
        <f>IFERROR(VLOOKUP($E83&amp;BM$6,Base!$A:$E,5,0),0)</f>
        <v>0</v>
      </c>
      <c r="BN83" s="101">
        <f>IFERROR(VLOOKUP($E83&amp;BN$6,Base!$G:$K,5,0),0)</f>
        <v>6.5</v>
      </c>
      <c r="BO83" s="101">
        <f>IFERROR(VLOOKUP($E83&amp;BN$6,Base!$M:$Q,5,0),0)</f>
        <v>0</v>
      </c>
      <c r="BP83" s="109">
        <v>0</v>
      </c>
      <c r="BQ83" s="108">
        <f>IFERROR(VLOOKUP($E83&amp;BQ$6,Base!$A:$E,5,0),0)</f>
        <v>0</v>
      </c>
      <c r="BR83" s="101">
        <f>IFERROR(VLOOKUP($E83&amp;BR$6,Base!$G:$K,5,0),0)</f>
        <v>0</v>
      </c>
      <c r="BS83" s="101">
        <f>IFERROR(VLOOKUP($E83&amp;BR$6,Base!$M:$Q,5,0),0)</f>
        <v>0</v>
      </c>
      <c r="BT83" s="109">
        <v>0</v>
      </c>
      <c r="BU83" s="108">
        <f>IFERROR(VLOOKUP($E83&amp;BU$6,Base!$A:$E,5,0),0)</f>
        <v>0</v>
      </c>
      <c r="BV83" s="101">
        <f>IFERROR(VLOOKUP($E83&amp;BV$6,Base!$G:$K,5,0),0)</f>
        <v>0</v>
      </c>
      <c r="BW83" s="101">
        <f>IFERROR(VLOOKUP($E83&amp;BV$6,Base!$M:$Q,5,0),0)</f>
        <v>0</v>
      </c>
      <c r="BX83" s="109">
        <f>IFERROR(VLOOKUP($E83,Base!$U:$W,3,0),0)</f>
        <v>0</v>
      </c>
    </row>
    <row r="84" spans="2:76" x14ac:dyDescent="0.35">
      <c r="B84" s="53" t="s">
        <v>97</v>
      </c>
      <c r="C84" s="51">
        <v>3655</v>
      </c>
      <c r="D84" s="51" t="s">
        <v>77</v>
      </c>
      <c r="E84" s="51">
        <v>165045</v>
      </c>
      <c r="F84" s="96" t="s">
        <v>277</v>
      </c>
      <c r="G84" s="42" t="s">
        <v>274</v>
      </c>
      <c r="H84" s="98" t="s">
        <v>134</v>
      </c>
      <c r="I84" s="143" t="s">
        <v>144</v>
      </c>
      <c r="J84" s="104">
        <f t="shared" si="33"/>
        <v>1092.75</v>
      </c>
      <c r="K84" s="99">
        <f t="shared" si="34"/>
        <v>2591.6590000000001</v>
      </c>
      <c r="L84" s="99">
        <f t="shared" si="35"/>
        <v>0.41699999999999998</v>
      </c>
      <c r="M84" s="105">
        <f t="shared" si="36"/>
        <v>0</v>
      </c>
      <c r="N84" s="108">
        <f>IFERROR(VLOOKUP($E84&amp;N$6,Base!$A:$E,5,0),0)</f>
        <v>436.75</v>
      </c>
      <c r="O84" s="101">
        <v>626</v>
      </c>
      <c r="P84" s="101">
        <v>0</v>
      </c>
      <c r="Q84" s="101"/>
      <c r="R84" s="108">
        <f>IFERROR(VLOOKUP($E84&amp;R$6,Base!$A:$E,5,0),0)</f>
        <v>239</v>
      </c>
      <c r="S84" s="101">
        <f>IFERROR(VLOOKUP($E84&amp;S$6,Base!$G:$K,5,0),0)</f>
        <v>172.667</v>
      </c>
      <c r="T84" s="101">
        <f>IFERROR(VLOOKUP($E84&amp;S$6,Base!$M:$Q,5,0),0)</f>
        <v>0.41699999999999998</v>
      </c>
      <c r="U84" s="109"/>
      <c r="V84" s="108">
        <f>IFERROR(VLOOKUP($E84&amp;V$6,Base!$A:$E,5,0),0)</f>
        <v>417</v>
      </c>
      <c r="W84" s="101">
        <f>IFERROR(VLOOKUP($E84&amp;W$6,Base!$G:$K,5,0),0)</f>
        <v>1792.992</v>
      </c>
      <c r="X84" s="101">
        <f>IFERROR(VLOOKUP($E84&amp;W$6,Base!$M:$Q,5,0),0)</f>
        <v>0</v>
      </c>
      <c r="Y84" s="109"/>
      <c r="AA84" s="104">
        <f t="shared" si="37"/>
        <v>4926.1669999999995</v>
      </c>
      <c r="AB84" s="99">
        <f t="shared" si="38"/>
        <v>2142.8330000000001</v>
      </c>
      <c r="AC84" s="99">
        <f t="shared" si="39"/>
        <v>11</v>
      </c>
      <c r="AD84" s="105">
        <f t="shared" si="40"/>
        <v>0</v>
      </c>
      <c r="AE84" s="108">
        <f>IFERROR(VLOOKUP($E84&amp;AE$6,Base!$A:$E,5,0),0)</f>
        <v>2393.5830000000001</v>
      </c>
      <c r="AF84" s="101">
        <f>IFERROR(VLOOKUP($E84&amp;AF$6,Base!$G:$K,5,0),0)</f>
        <v>1159.8330000000001</v>
      </c>
      <c r="AG84" s="101">
        <f>IFERROR(VLOOKUP($E84&amp;AF$6,Base!$M:$Q,5,0),0)</f>
        <v>0</v>
      </c>
      <c r="AH84" s="109"/>
      <c r="AI84" s="108">
        <f>IFERROR(VLOOKUP($E84&amp;AI$6,Base!$A:$E,5,0),0)</f>
        <v>1487.9169999999999</v>
      </c>
      <c r="AJ84" s="101">
        <f>IFERROR(VLOOKUP($E84&amp;AJ$6,Base!$G:$K,5,0),0)</f>
        <v>319</v>
      </c>
      <c r="AK84" s="101">
        <f>IFERROR(VLOOKUP($E84&amp;AJ$6,Base!$M:$Q,5,0),0)</f>
        <v>0</v>
      </c>
      <c r="AL84" s="109">
        <v>0</v>
      </c>
      <c r="AM84" s="108">
        <f>IFERROR(VLOOKUP($E84&amp;AM$6,Base!$A:$E,5,0),0)</f>
        <v>1044.6669999999999</v>
      </c>
      <c r="AN84" s="101">
        <f>IFERROR(VLOOKUP($E84&amp;AN$6,Base!$G:$K,5,0),0)</f>
        <v>664</v>
      </c>
      <c r="AO84" s="101">
        <f>IFERROR(VLOOKUP($E84&amp;AN$6,Base!$M:$Q,5,0),0)</f>
        <v>11</v>
      </c>
      <c r="AP84" s="109"/>
      <c r="AR84" s="104">
        <f t="shared" si="41"/>
        <v>1411.25</v>
      </c>
      <c r="AS84" s="99">
        <f t="shared" si="42"/>
        <v>3123.9920000000002</v>
      </c>
      <c r="AT84" s="99">
        <f t="shared" si="43"/>
        <v>11</v>
      </c>
      <c r="AU84" s="105">
        <f t="shared" si="49"/>
        <v>0</v>
      </c>
      <c r="AV84" s="108">
        <f>IFERROR(VLOOKUP($E84&amp;AV$6,Base!$A:$E,5,0),0)</f>
        <v>339</v>
      </c>
      <c r="AW84" s="101">
        <f>IFERROR(VLOOKUP($E84&amp;AW$6,Base!$G:$K,5,0),0)</f>
        <v>873</v>
      </c>
      <c r="AX84" s="101">
        <f>IFERROR(VLOOKUP($E84&amp;AW$6,Base!$M:$Q,5,0),0)</f>
        <v>11</v>
      </c>
      <c r="AY84" s="109">
        <v>0</v>
      </c>
      <c r="AZ84" s="108">
        <f>IFERROR(VLOOKUP($E84&amp;AZ$6,Base!$A:$E,5,0),0)</f>
        <v>873.66700000000003</v>
      </c>
      <c r="BA84" s="101">
        <f>IFERROR(VLOOKUP($E84&amp;BA$6,Base!$G:$K,5,0),0)</f>
        <v>1116.992</v>
      </c>
      <c r="BB84" s="101">
        <f>IFERROR(VLOOKUP($E84&amp;BA$6,Base!$M:$Q,5,0),0)</f>
        <v>0</v>
      </c>
      <c r="BC84" s="109">
        <v>0</v>
      </c>
      <c r="BD84" s="108">
        <f>IFERROR(VLOOKUP($E84&amp;BD$6,Base!$A:$E,5,0),0)</f>
        <v>198.583</v>
      </c>
      <c r="BE84" s="101">
        <f>IFERROR(VLOOKUP($E84&amp;BE$6,Base!$G:$K,5,0),0)</f>
        <v>1134</v>
      </c>
      <c r="BF84" s="101">
        <f>IFERROR(VLOOKUP($E84&amp;BE$6,Base!$M:$Q,5,0),0)</f>
        <v>0</v>
      </c>
      <c r="BG84" s="109">
        <v>0</v>
      </c>
      <c r="BI84" s="104">
        <f t="shared" si="44"/>
        <v>1217.242</v>
      </c>
      <c r="BJ84" s="99">
        <f t="shared" si="45"/>
        <v>1144</v>
      </c>
      <c r="BK84" s="99">
        <f t="shared" si="46"/>
        <v>0</v>
      </c>
      <c r="BL84" s="111">
        <f t="shared" si="47"/>
        <v>0</v>
      </c>
      <c r="BM84" s="108">
        <f>IFERROR(VLOOKUP($E84&amp;BM$6,Base!$A:$E,5,0),0)</f>
        <v>326.32499999999999</v>
      </c>
      <c r="BN84" s="101">
        <f>IFERROR(VLOOKUP($E84&amp;BN$6,Base!$G:$K,5,0),0)</f>
        <v>35</v>
      </c>
      <c r="BO84" s="101">
        <f>IFERROR(VLOOKUP($E84&amp;BN$6,Base!$M:$Q,5,0),0)</f>
        <v>0</v>
      </c>
      <c r="BP84" s="109">
        <v>0</v>
      </c>
      <c r="BQ84" s="108">
        <f>IFERROR(VLOOKUP($E84&amp;BQ$6,Base!$A:$E,5,0),0)</f>
        <v>606</v>
      </c>
      <c r="BR84" s="101">
        <f>IFERROR(VLOOKUP($E84&amp;BR$6,Base!$G:$K,5,0),0)</f>
        <v>1113</v>
      </c>
      <c r="BS84" s="101">
        <f>IFERROR(VLOOKUP($E84&amp;BR$6,Base!$M:$Q,5,0),0)</f>
        <v>0</v>
      </c>
      <c r="BT84" s="109">
        <v>0</v>
      </c>
      <c r="BU84" s="108">
        <f>IFERROR(VLOOKUP($E84&amp;BU$6,Base!$A:$E,5,0),0)</f>
        <v>284.91699999999997</v>
      </c>
      <c r="BV84" s="101">
        <f>IFERROR(VLOOKUP($E84&amp;BV$6,Base!$G:$K,5,0),0)</f>
        <v>-4</v>
      </c>
      <c r="BW84" s="101">
        <f>IFERROR(VLOOKUP($E84&amp;BV$6,Base!$M:$Q,5,0),0)</f>
        <v>0</v>
      </c>
      <c r="BX84" s="109">
        <f>IFERROR(VLOOKUP($E84,Base!$U:$W,3,0),0)</f>
        <v>0</v>
      </c>
    </row>
    <row r="85" spans="2:76" x14ac:dyDescent="0.35">
      <c r="B85" s="53" t="s">
        <v>97</v>
      </c>
      <c r="C85" s="51">
        <v>3655</v>
      </c>
      <c r="D85" s="51" t="s">
        <v>77</v>
      </c>
      <c r="E85" s="51">
        <v>166873</v>
      </c>
      <c r="F85" s="96" t="s">
        <v>229</v>
      </c>
      <c r="G85" s="42" t="s">
        <v>128</v>
      </c>
      <c r="H85" s="98" t="s">
        <v>134</v>
      </c>
      <c r="I85" s="143" t="s">
        <v>144</v>
      </c>
      <c r="J85" s="104">
        <f t="shared" si="33"/>
        <v>0</v>
      </c>
      <c r="K85" s="99">
        <f t="shared" si="34"/>
        <v>0</v>
      </c>
      <c r="L85" s="99">
        <f t="shared" si="35"/>
        <v>0</v>
      </c>
      <c r="M85" s="105">
        <f t="shared" si="36"/>
        <v>0</v>
      </c>
      <c r="N85" s="108">
        <f>IFERROR(VLOOKUP($E85&amp;N$6,Base!$A:$E,5,0),0)</f>
        <v>0</v>
      </c>
      <c r="O85" s="101">
        <v>0</v>
      </c>
      <c r="P85" s="101">
        <v>0</v>
      </c>
      <c r="Q85" s="101"/>
      <c r="R85" s="108">
        <f>IFERROR(VLOOKUP($E85&amp;R$6,Base!$A:$E,5,0),0)</f>
        <v>0</v>
      </c>
      <c r="S85" s="101">
        <f>IFERROR(VLOOKUP($E85&amp;S$6,Base!$G:$K,5,0),0)</f>
        <v>0</v>
      </c>
      <c r="T85" s="101">
        <f>IFERROR(VLOOKUP($E85&amp;S$6,Base!$M:$Q,5,0),0)</f>
        <v>0</v>
      </c>
      <c r="U85" s="109"/>
      <c r="V85" s="108">
        <f>IFERROR(VLOOKUP($E85&amp;V$6,Base!$A:$E,5,0),0)</f>
        <v>0</v>
      </c>
      <c r="W85" s="101">
        <f>IFERROR(VLOOKUP($E85&amp;W$6,Base!$G:$K,5,0),0)</f>
        <v>0</v>
      </c>
      <c r="X85" s="101">
        <f>IFERROR(VLOOKUP($E85&amp;W$6,Base!$M:$Q,5,0),0)</f>
        <v>0</v>
      </c>
      <c r="Y85" s="109"/>
      <c r="AA85" s="104">
        <f t="shared" si="37"/>
        <v>0</v>
      </c>
      <c r="AB85" s="99">
        <f t="shared" si="38"/>
        <v>0</v>
      </c>
      <c r="AC85" s="99">
        <f t="shared" si="39"/>
        <v>0</v>
      </c>
      <c r="AD85" s="105">
        <f t="shared" si="40"/>
        <v>0</v>
      </c>
      <c r="AE85" s="108">
        <f>IFERROR(VLOOKUP($E85&amp;AE$6,Base!$A:$E,5,0),0)</f>
        <v>0</v>
      </c>
      <c r="AF85" s="101">
        <f>IFERROR(VLOOKUP($E85&amp;AF$6,Base!$G:$K,5,0),0)</f>
        <v>0</v>
      </c>
      <c r="AG85" s="101">
        <f>IFERROR(VLOOKUP($E85&amp;AF$6,Base!$M:$Q,5,0),0)</f>
        <v>0</v>
      </c>
      <c r="AH85" s="109"/>
      <c r="AI85" s="108">
        <f>IFERROR(VLOOKUP($E85&amp;AI$6,Base!$A:$E,5,0),0)</f>
        <v>0</v>
      </c>
      <c r="AJ85" s="101">
        <f>IFERROR(VLOOKUP($E85&amp;AJ$6,Base!$G:$K,5,0),0)</f>
        <v>0</v>
      </c>
      <c r="AK85" s="101">
        <f>IFERROR(VLOOKUP($E85&amp;AJ$6,Base!$M:$Q,5,0),0)</f>
        <v>0</v>
      </c>
      <c r="AL85" s="109">
        <v>0</v>
      </c>
      <c r="AM85" s="108">
        <f>IFERROR(VLOOKUP($E85&amp;AM$6,Base!$A:$E,5,0),0)</f>
        <v>0</v>
      </c>
      <c r="AN85" s="101">
        <f>IFERROR(VLOOKUP($E85&amp;AN$6,Base!$G:$K,5,0),0)</f>
        <v>0</v>
      </c>
      <c r="AO85" s="101">
        <f>IFERROR(VLOOKUP($E85&amp;AN$6,Base!$M:$Q,5,0),0)</f>
        <v>0</v>
      </c>
      <c r="AP85" s="109"/>
      <c r="AR85" s="104">
        <f t="shared" si="41"/>
        <v>0</v>
      </c>
      <c r="AS85" s="99">
        <f t="shared" si="42"/>
        <v>0</v>
      </c>
      <c r="AT85" s="99">
        <f t="shared" si="43"/>
        <v>0</v>
      </c>
      <c r="AU85" s="105">
        <f t="shared" si="49"/>
        <v>0</v>
      </c>
      <c r="AV85" s="108">
        <f>IFERROR(VLOOKUP($E85&amp;AV$6,Base!$A:$E,5,0),0)</f>
        <v>0</v>
      </c>
      <c r="AW85" s="101">
        <f>IFERROR(VLOOKUP($E85&amp;AW$6,Base!$G:$K,5,0),0)</f>
        <v>0</v>
      </c>
      <c r="AX85" s="101">
        <f>IFERROR(VLOOKUP($E85&amp;AW$6,Base!$M:$Q,5,0),0)</f>
        <v>0</v>
      </c>
      <c r="AY85" s="109">
        <v>0</v>
      </c>
      <c r="AZ85" s="108">
        <f>IFERROR(VLOOKUP($E85&amp;AZ$6,Base!$A:$E,5,0),0)</f>
        <v>0</v>
      </c>
      <c r="BA85" s="101">
        <f>IFERROR(VLOOKUP($E85&amp;BA$6,Base!$G:$K,5,0),0)</f>
        <v>0</v>
      </c>
      <c r="BB85" s="101">
        <f>IFERROR(VLOOKUP($E85&amp;BA$6,Base!$M:$Q,5,0),0)</f>
        <v>0</v>
      </c>
      <c r="BC85" s="109">
        <v>0</v>
      </c>
      <c r="BD85" s="108">
        <f>IFERROR(VLOOKUP($E85&amp;BD$6,Base!$A:$E,5,0),0)</f>
        <v>0</v>
      </c>
      <c r="BE85" s="101">
        <f>IFERROR(VLOOKUP($E85&amp;BE$6,Base!$G:$K,5,0),0)</f>
        <v>0</v>
      </c>
      <c r="BF85" s="101">
        <f>IFERROR(VLOOKUP($E85&amp;BE$6,Base!$M:$Q,5,0),0)</f>
        <v>0</v>
      </c>
      <c r="BG85" s="109">
        <v>0</v>
      </c>
      <c r="BI85" s="104">
        <f t="shared" si="44"/>
        <v>0</v>
      </c>
      <c r="BJ85" s="99">
        <f t="shared" si="45"/>
        <v>6.5</v>
      </c>
      <c r="BK85" s="99">
        <f t="shared" si="46"/>
        <v>0</v>
      </c>
      <c r="BL85" s="111">
        <f t="shared" si="47"/>
        <v>0</v>
      </c>
      <c r="BM85" s="108">
        <f>IFERROR(VLOOKUP($E85&amp;BM$6,Base!$A:$E,5,0),0)</f>
        <v>0</v>
      </c>
      <c r="BN85" s="101">
        <f>IFERROR(VLOOKUP($E85&amp;BN$6,Base!$G:$K,5,0),0)</f>
        <v>6.5</v>
      </c>
      <c r="BO85" s="101">
        <f>IFERROR(VLOOKUP($E85&amp;BN$6,Base!$M:$Q,5,0),0)</f>
        <v>0</v>
      </c>
      <c r="BP85" s="109">
        <v>0</v>
      </c>
      <c r="BQ85" s="108">
        <f>IFERROR(VLOOKUP($E85&amp;BQ$6,Base!$A:$E,5,0),0)</f>
        <v>0</v>
      </c>
      <c r="BR85" s="101">
        <f>IFERROR(VLOOKUP($E85&amp;BR$6,Base!$G:$K,5,0),0)</f>
        <v>0</v>
      </c>
      <c r="BS85" s="101">
        <f>IFERROR(VLOOKUP($E85&amp;BR$6,Base!$M:$Q,5,0),0)</f>
        <v>0</v>
      </c>
      <c r="BT85" s="109">
        <v>0</v>
      </c>
      <c r="BU85" s="108">
        <f>IFERROR(VLOOKUP($E85&amp;BU$6,Base!$A:$E,5,0),0)</f>
        <v>0</v>
      </c>
      <c r="BV85" s="101">
        <f>IFERROR(VLOOKUP($E85&amp;BV$6,Base!$G:$K,5,0),0)</f>
        <v>0</v>
      </c>
      <c r="BW85" s="101">
        <f>IFERROR(VLOOKUP($E85&amp;BV$6,Base!$M:$Q,5,0),0)</f>
        <v>0</v>
      </c>
      <c r="BX85" s="109">
        <f>IFERROR(VLOOKUP($E85,Base!$U:$W,3,0),0)</f>
        <v>0</v>
      </c>
    </row>
    <row r="86" spans="2:76" x14ac:dyDescent="0.35">
      <c r="B86" s="53" t="s">
        <v>97</v>
      </c>
      <c r="C86" s="51">
        <v>3655</v>
      </c>
      <c r="D86" s="51" t="s">
        <v>77</v>
      </c>
      <c r="E86" s="51">
        <v>186321</v>
      </c>
      <c r="F86" s="96" t="s">
        <v>282</v>
      </c>
      <c r="G86" s="42" t="s">
        <v>140</v>
      </c>
      <c r="H86" s="98" t="s">
        <v>134</v>
      </c>
      <c r="I86" s="143" t="s">
        <v>144</v>
      </c>
      <c r="J86" s="104">
        <f t="shared" si="33"/>
        <v>0</v>
      </c>
      <c r="K86" s="99">
        <f t="shared" si="34"/>
        <v>0</v>
      </c>
      <c r="L86" s="99">
        <f t="shared" si="35"/>
        <v>0</v>
      </c>
      <c r="M86" s="105">
        <f t="shared" si="36"/>
        <v>0</v>
      </c>
      <c r="N86" s="108">
        <f>IFERROR(VLOOKUP($E86&amp;N$6,Base!$A:$E,5,0),0)</f>
        <v>0</v>
      </c>
      <c r="O86" s="101">
        <v>0</v>
      </c>
      <c r="P86" s="101">
        <v>0</v>
      </c>
      <c r="Q86" s="101"/>
      <c r="R86" s="108">
        <f>IFERROR(VLOOKUP($E86&amp;R$6,Base!$A:$E,5,0),0)</f>
        <v>0</v>
      </c>
      <c r="S86" s="101">
        <f>IFERROR(VLOOKUP($E86&amp;S$6,Base!$G:$K,5,0),0)</f>
        <v>0</v>
      </c>
      <c r="T86" s="101">
        <f>IFERROR(VLOOKUP($E86&amp;S$6,Base!$M:$Q,5,0),0)</f>
        <v>0</v>
      </c>
      <c r="U86" s="109"/>
      <c r="V86" s="108">
        <f>IFERROR(VLOOKUP($E86&amp;V$6,Base!$A:$E,5,0),0)</f>
        <v>0</v>
      </c>
      <c r="W86" s="101">
        <f>IFERROR(VLOOKUP($E86&amp;W$6,Base!$G:$K,5,0),0)</f>
        <v>0</v>
      </c>
      <c r="X86" s="101">
        <f>IFERROR(VLOOKUP($E86&amp;W$6,Base!$M:$Q,5,0),0)</f>
        <v>0</v>
      </c>
      <c r="Y86" s="109"/>
      <c r="AA86" s="104">
        <f t="shared" si="37"/>
        <v>0</v>
      </c>
      <c r="AB86" s="99">
        <f t="shared" si="38"/>
        <v>0</v>
      </c>
      <c r="AC86" s="99">
        <f t="shared" si="39"/>
        <v>0</v>
      </c>
      <c r="AD86" s="105">
        <f t="shared" si="40"/>
        <v>0</v>
      </c>
      <c r="AE86" s="108">
        <f>IFERROR(VLOOKUP($E86&amp;AE$6,Base!$A:$E,5,0),0)</f>
        <v>0</v>
      </c>
      <c r="AF86" s="101">
        <f>IFERROR(VLOOKUP($E86&amp;AF$6,Base!$G:$K,5,0),0)</f>
        <v>0</v>
      </c>
      <c r="AG86" s="101">
        <f>IFERROR(VLOOKUP($E86&amp;AF$6,Base!$M:$Q,5,0),0)</f>
        <v>0</v>
      </c>
      <c r="AH86" s="109"/>
      <c r="AI86" s="108">
        <f>IFERROR(VLOOKUP($E86&amp;AI$6,Base!$A:$E,5,0),0)</f>
        <v>0</v>
      </c>
      <c r="AJ86" s="101">
        <f>IFERROR(VLOOKUP($E86&amp;AJ$6,Base!$G:$K,5,0),0)</f>
        <v>0</v>
      </c>
      <c r="AK86" s="101">
        <f>IFERROR(VLOOKUP($E86&amp;AJ$6,Base!$M:$Q,5,0),0)</f>
        <v>0</v>
      </c>
      <c r="AL86" s="109">
        <v>0</v>
      </c>
      <c r="AM86" s="108">
        <f>IFERROR(VLOOKUP($E86&amp;AM$6,Base!$A:$E,5,0),0)</f>
        <v>0</v>
      </c>
      <c r="AN86" s="101">
        <f>IFERROR(VLOOKUP($E86&amp;AN$6,Base!$G:$K,5,0),0)</f>
        <v>0</v>
      </c>
      <c r="AO86" s="101">
        <f>IFERROR(VLOOKUP($E86&amp;AN$6,Base!$M:$Q,5,0),0)</f>
        <v>0</v>
      </c>
      <c r="AP86" s="109"/>
      <c r="AR86" s="104">
        <f t="shared" si="41"/>
        <v>0</v>
      </c>
      <c r="AS86" s="99">
        <f t="shared" si="42"/>
        <v>0</v>
      </c>
      <c r="AT86" s="99">
        <f t="shared" si="43"/>
        <v>0</v>
      </c>
      <c r="AU86" s="105">
        <f t="shared" si="49"/>
        <v>0</v>
      </c>
      <c r="AV86" s="108">
        <f>IFERROR(VLOOKUP($E86&amp;AV$6,Base!$A:$E,5,0),0)</f>
        <v>0</v>
      </c>
      <c r="AW86" s="101">
        <f>IFERROR(VLOOKUP($E86&amp;AW$6,Base!$G:$K,5,0),0)</f>
        <v>0</v>
      </c>
      <c r="AX86" s="101">
        <f>IFERROR(VLOOKUP($E86&amp;AW$6,Base!$M:$Q,5,0),0)</f>
        <v>0</v>
      </c>
      <c r="AY86" s="109">
        <v>0</v>
      </c>
      <c r="AZ86" s="108">
        <f>IFERROR(VLOOKUP($E86&amp;AZ$6,Base!$A:$E,5,0),0)</f>
        <v>0</v>
      </c>
      <c r="BA86" s="101">
        <f>IFERROR(VLOOKUP($E86&amp;BA$6,Base!$G:$K,5,0),0)</f>
        <v>0</v>
      </c>
      <c r="BB86" s="101">
        <f>IFERROR(VLOOKUP($E86&amp;BA$6,Base!$M:$Q,5,0),0)</f>
        <v>0</v>
      </c>
      <c r="BC86" s="109">
        <v>0</v>
      </c>
      <c r="BD86" s="108">
        <f>IFERROR(VLOOKUP($E86&amp;BD$6,Base!$A:$E,5,0),0)</f>
        <v>0</v>
      </c>
      <c r="BE86" s="101">
        <f>IFERROR(VLOOKUP($E86&amp;BE$6,Base!$G:$K,5,0),0)</f>
        <v>0</v>
      </c>
      <c r="BF86" s="101">
        <f>IFERROR(VLOOKUP($E86&amp;BE$6,Base!$M:$Q,5,0),0)</f>
        <v>0</v>
      </c>
      <c r="BG86" s="109">
        <v>0</v>
      </c>
      <c r="BI86" s="104">
        <f t="shared" si="44"/>
        <v>0</v>
      </c>
      <c r="BJ86" s="99">
        <f t="shared" si="45"/>
        <v>0</v>
      </c>
      <c r="BK86" s="99">
        <f t="shared" si="46"/>
        <v>0</v>
      </c>
      <c r="BL86" s="111">
        <f t="shared" si="47"/>
        <v>0</v>
      </c>
      <c r="BM86" s="108">
        <f>IFERROR(VLOOKUP($E86&amp;BM$6,Base!$A:$E,5,0),0)</f>
        <v>0</v>
      </c>
      <c r="BN86" s="101">
        <f>IFERROR(VLOOKUP($E86&amp;BN$6,Base!$G:$K,5,0),0)</f>
        <v>0</v>
      </c>
      <c r="BO86" s="101">
        <f>IFERROR(VLOOKUP($E86&amp;BN$6,Base!$M:$Q,5,0),0)</f>
        <v>0</v>
      </c>
      <c r="BP86" s="109">
        <v>0</v>
      </c>
      <c r="BQ86" s="108">
        <f>IFERROR(VLOOKUP($E86&amp;BQ$6,Base!$A:$E,5,0),0)</f>
        <v>0</v>
      </c>
      <c r="BR86" s="101">
        <f>IFERROR(VLOOKUP($E86&amp;BR$6,Base!$G:$K,5,0),0)</f>
        <v>0</v>
      </c>
      <c r="BS86" s="101">
        <f>IFERROR(VLOOKUP($E86&amp;BR$6,Base!$M:$Q,5,0),0)</f>
        <v>0</v>
      </c>
      <c r="BT86" s="109">
        <v>0</v>
      </c>
      <c r="BU86" s="108">
        <f>IFERROR(VLOOKUP($E86&amp;BU$6,Base!$A:$E,5,0),0)</f>
        <v>0</v>
      </c>
      <c r="BV86" s="101">
        <f>IFERROR(VLOOKUP($E86&amp;BV$6,Base!$G:$K,5,0),0)</f>
        <v>0</v>
      </c>
      <c r="BW86" s="101">
        <f>IFERROR(VLOOKUP($E86&amp;BV$6,Base!$M:$Q,5,0),0)</f>
        <v>0</v>
      </c>
      <c r="BX86" s="109">
        <f>IFERROR(VLOOKUP($E86,Base!$U:$W,3,0),0)</f>
        <v>0</v>
      </c>
    </row>
    <row r="87" spans="2:76" x14ac:dyDescent="0.35">
      <c r="B87" s="53" t="s">
        <v>97</v>
      </c>
      <c r="C87" s="51">
        <v>3655</v>
      </c>
      <c r="D87" s="51" t="s">
        <v>77</v>
      </c>
      <c r="E87" s="51">
        <v>184830</v>
      </c>
      <c r="F87" s="96" t="s">
        <v>225</v>
      </c>
      <c r="G87" s="42" t="s">
        <v>143</v>
      </c>
      <c r="H87" s="98" t="s">
        <v>134</v>
      </c>
      <c r="I87" s="143" t="s">
        <v>144</v>
      </c>
      <c r="J87" s="104">
        <f t="shared" si="33"/>
        <v>0</v>
      </c>
      <c r="K87" s="99">
        <f t="shared" si="34"/>
        <v>0</v>
      </c>
      <c r="L87" s="99">
        <f t="shared" si="35"/>
        <v>0</v>
      </c>
      <c r="M87" s="105">
        <f t="shared" si="36"/>
        <v>0</v>
      </c>
      <c r="N87" s="108">
        <f>IFERROR(VLOOKUP($E87&amp;N$6,Base!$A:$E,5,0),0)</f>
        <v>0</v>
      </c>
      <c r="O87" s="101">
        <v>0</v>
      </c>
      <c r="P87" s="101">
        <v>0</v>
      </c>
      <c r="Q87" s="101"/>
      <c r="R87" s="108">
        <f>IFERROR(VLOOKUP($E87&amp;R$6,Base!$A:$E,5,0),0)</f>
        <v>0</v>
      </c>
      <c r="S87" s="101">
        <f>IFERROR(VLOOKUP($E87&amp;S$6,Base!$G:$K,5,0),0)</f>
        <v>0</v>
      </c>
      <c r="T87" s="101">
        <f>IFERROR(VLOOKUP($E87&amp;S$6,Base!$M:$Q,5,0),0)</f>
        <v>0</v>
      </c>
      <c r="U87" s="109"/>
      <c r="V87" s="108">
        <f>IFERROR(VLOOKUP($E87&amp;V$6,Base!$A:$E,5,0),0)</f>
        <v>0</v>
      </c>
      <c r="W87" s="101">
        <f>IFERROR(VLOOKUP($E87&amp;W$6,Base!$G:$K,5,0),0)</f>
        <v>0</v>
      </c>
      <c r="X87" s="101">
        <f>IFERROR(VLOOKUP($E87&amp;W$6,Base!$M:$Q,5,0),0)</f>
        <v>0</v>
      </c>
      <c r="Y87" s="109"/>
      <c r="AA87" s="104">
        <f t="shared" si="37"/>
        <v>0</v>
      </c>
      <c r="AB87" s="99">
        <f t="shared" si="38"/>
        <v>0</v>
      </c>
      <c r="AC87" s="99">
        <f t="shared" si="39"/>
        <v>0</v>
      </c>
      <c r="AD87" s="105">
        <f t="shared" si="40"/>
        <v>0</v>
      </c>
      <c r="AE87" s="108">
        <f>IFERROR(VLOOKUP($E87&amp;AE$6,Base!$A:$E,5,0),0)</f>
        <v>0</v>
      </c>
      <c r="AF87" s="101">
        <f>IFERROR(VLOOKUP($E87&amp;AF$6,Base!$G:$K,5,0),0)</f>
        <v>0</v>
      </c>
      <c r="AG87" s="101">
        <f>IFERROR(VLOOKUP($E87&amp;AF$6,Base!$M:$Q,5,0),0)</f>
        <v>0</v>
      </c>
      <c r="AH87" s="109"/>
      <c r="AI87" s="108">
        <f>IFERROR(VLOOKUP($E87&amp;AI$6,Base!$A:$E,5,0),0)</f>
        <v>0</v>
      </c>
      <c r="AJ87" s="101">
        <f>IFERROR(VLOOKUP($E87&amp;AJ$6,Base!$G:$K,5,0),0)</f>
        <v>0</v>
      </c>
      <c r="AK87" s="101">
        <f>IFERROR(VLOOKUP($E87&amp;AJ$6,Base!$M:$Q,5,0),0)</f>
        <v>0</v>
      </c>
      <c r="AL87" s="109">
        <v>0</v>
      </c>
      <c r="AM87" s="108">
        <f>IFERROR(VLOOKUP($E87&amp;AM$6,Base!$A:$E,5,0),0)</f>
        <v>0</v>
      </c>
      <c r="AN87" s="101">
        <f>IFERROR(VLOOKUP($E87&amp;AN$6,Base!$G:$K,5,0),0)</f>
        <v>0</v>
      </c>
      <c r="AO87" s="101">
        <f>IFERROR(VLOOKUP($E87&amp;AN$6,Base!$M:$Q,5,0),0)</f>
        <v>0</v>
      </c>
      <c r="AP87" s="109"/>
      <c r="AR87" s="104">
        <f t="shared" si="41"/>
        <v>0</v>
      </c>
      <c r="AS87" s="99">
        <f t="shared" si="42"/>
        <v>0</v>
      </c>
      <c r="AT87" s="99">
        <f t="shared" si="43"/>
        <v>0</v>
      </c>
      <c r="AU87" s="105">
        <f t="shared" si="49"/>
        <v>0</v>
      </c>
      <c r="AV87" s="108">
        <f>IFERROR(VLOOKUP($E87&amp;AV$6,Base!$A:$E,5,0),0)</f>
        <v>0</v>
      </c>
      <c r="AW87" s="101">
        <f>IFERROR(VLOOKUP($E87&amp;AW$6,Base!$G:$K,5,0),0)</f>
        <v>0</v>
      </c>
      <c r="AX87" s="101">
        <f>IFERROR(VLOOKUP($E87&amp;AW$6,Base!$M:$Q,5,0),0)</f>
        <v>0</v>
      </c>
      <c r="AY87" s="109">
        <v>0</v>
      </c>
      <c r="AZ87" s="108">
        <f>IFERROR(VLOOKUP($E87&amp;AZ$6,Base!$A:$E,5,0),0)</f>
        <v>0</v>
      </c>
      <c r="BA87" s="101">
        <f>IFERROR(VLOOKUP($E87&amp;BA$6,Base!$G:$K,5,0),0)</f>
        <v>0</v>
      </c>
      <c r="BB87" s="101">
        <f>IFERROR(VLOOKUP($E87&amp;BA$6,Base!$M:$Q,5,0),0)</f>
        <v>0</v>
      </c>
      <c r="BC87" s="109">
        <v>0</v>
      </c>
      <c r="BD87" s="108">
        <f>IFERROR(VLOOKUP($E87&amp;BD$6,Base!$A:$E,5,0),0)</f>
        <v>0</v>
      </c>
      <c r="BE87" s="101">
        <f>IFERROR(VLOOKUP($E87&amp;BE$6,Base!$G:$K,5,0),0)</f>
        <v>0</v>
      </c>
      <c r="BF87" s="101">
        <f>IFERROR(VLOOKUP($E87&amp;BE$6,Base!$M:$Q,5,0),0)</f>
        <v>0</v>
      </c>
      <c r="BG87" s="109">
        <v>0</v>
      </c>
      <c r="BI87" s="104">
        <f t="shared" si="44"/>
        <v>0</v>
      </c>
      <c r="BJ87" s="99">
        <f t="shared" si="45"/>
        <v>0</v>
      </c>
      <c r="BK87" s="99">
        <f t="shared" si="46"/>
        <v>0</v>
      </c>
      <c r="BL87" s="111">
        <f t="shared" si="47"/>
        <v>0</v>
      </c>
      <c r="BM87" s="108">
        <f>IFERROR(VLOOKUP($E87&amp;BM$6,Base!$A:$E,5,0),0)</f>
        <v>0</v>
      </c>
      <c r="BN87" s="101">
        <f>IFERROR(VLOOKUP($E87&amp;BN$6,Base!$G:$K,5,0),0)</f>
        <v>0</v>
      </c>
      <c r="BO87" s="101">
        <f>IFERROR(VLOOKUP($E87&amp;BN$6,Base!$M:$Q,5,0),0)</f>
        <v>0</v>
      </c>
      <c r="BP87" s="109">
        <v>0</v>
      </c>
      <c r="BQ87" s="108">
        <f>IFERROR(VLOOKUP($E87&amp;BQ$6,Base!$A:$E,5,0),0)</f>
        <v>0</v>
      </c>
      <c r="BR87" s="101">
        <f>IFERROR(VLOOKUP($E87&amp;BR$6,Base!$G:$K,5,0),0)</f>
        <v>0</v>
      </c>
      <c r="BS87" s="101">
        <f>IFERROR(VLOOKUP($E87&amp;BR$6,Base!$M:$Q,5,0),0)</f>
        <v>0</v>
      </c>
      <c r="BT87" s="109">
        <v>0</v>
      </c>
      <c r="BU87" s="108">
        <f>IFERROR(VLOOKUP($E87&amp;BU$6,Base!$A:$E,5,0),0)</f>
        <v>0</v>
      </c>
      <c r="BV87" s="101">
        <f>IFERROR(VLOOKUP($E87&amp;BV$6,Base!$G:$K,5,0),0)</f>
        <v>0</v>
      </c>
      <c r="BW87" s="101">
        <f>IFERROR(VLOOKUP($E87&amp;BV$6,Base!$M:$Q,5,0),0)</f>
        <v>0</v>
      </c>
      <c r="BX87" s="109">
        <f>IFERROR(VLOOKUP($E87,Base!$U:$W,3,0),0)</f>
        <v>0</v>
      </c>
    </row>
    <row r="88" spans="2:76" x14ac:dyDescent="0.35">
      <c r="B88" s="53" t="s">
        <v>97</v>
      </c>
      <c r="C88" s="51">
        <v>3655</v>
      </c>
      <c r="D88" s="51" t="s">
        <v>77</v>
      </c>
      <c r="E88" s="51">
        <v>187744</v>
      </c>
      <c r="F88" s="96" t="s">
        <v>285</v>
      </c>
      <c r="G88" s="42" t="s">
        <v>140</v>
      </c>
      <c r="H88" s="98" t="s">
        <v>134</v>
      </c>
      <c r="I88" s="143" t="s">
        <v>144</v>
      </c>
      <c r="J88" s="104">
        <f t="shared" si="33"/>
        <v>0</v>
      </c>
      <c r="K88" s="99">
        <f t="shared" si="34"/>
        <v>0</v>
      </c>
      <c r="L88" s="99">
        <f t="shared" si="35"/>
        <v>0</v>
      </c>
      <c r="M88" s="105">
        <f t="shared" si="36"/>
        <v>0</v>
      </c>
      <c r="N88" s="108">
        <f>IFERROR(VLOOKUP($E88&amp;N$6,Base!$A:$E,5,0),0)</f>
        <v>0</v>
      </c>
      <c r="O88" s="101">
        <v>0</v>
      </c>
      <c r="P88" s="101">
        <v>0</v>
      </c>
      <c r="Q88" s="101"/>
      <c r="R88" s="108">
        <f>IFERROR(VLOOKUP($E88&amp;R$6,Base!$A:$E,5,0),0)</f>
        <v>0</v>
      </c>
      <c r="S88" s="101">
        <f>IFERROR(VLOOKUP($E88&amp;S$6,Base!$G:$K,5,0),0)</f>
        <v>0</v>
      </c>
      <c r="T88" s="101">
        <f>IFERROR(VLOOKUP($E88&amp;S$6,Base!$M:$Q,5,0),0)</f>
        <v>0</v>
      </c>
      <c r="U88" s="109"/>
      <c r="V88" s="108">
        <f>IFERROR(VLOOKUP($E88&amp;V$6,Base!$A:$E,5,0),0)</f>
        <v>0</v>
      </c>
      <c r="W88" s="101">
        <f>IFERROR(VLOOKUP($E88&amp;W$6,Base!$G:$K,5,0),0)</f>
        <v>0</v>
      </c>
      <c r="X88" s="101">
        <f>IFERROR(VLOOKUP($E88&amp;W$6,Base!$M:$Q,5,0),0)</f>
        <v>0</v>
      </c>
      <c r="Y88" s="109"/>
      <c r="AA88" s="104">
        <f t="shared" si="37"/>
        <v>0</v>
      </c>
      <c r="AB88" s="99">
        <f t="shared" si="38"/>
        <v>0</v>
      </c>
      <c r="AC88" s="99">
        <f t="shared" si="39"/>
        <v>0</v>
      </c>
      <c r="AD88" s="105">
        <f t="shared" si="40"/>
        <v>0</v>
      </c>
      <c r="AE88" s="108">
        <f>IFERROR(VLOOKUP($E88&amp;AE$6,Base!$A:$E,5,0),0)</f>
        <v>0</v>
      </c>
      <c r="AF88" s="101">
        <f>IFERROR(VLOOKUP($E88&amp;AF$6,Base!$G:$K,5,0),0)</f>
        <v>0</v>
      </c>
      <c r="AG88" s="101">
        <f>IFERROR(VLOOKUP($E88&amp;AF$6,Base!$M:$Q,5,0),0)</f>
        <v>0</v>
      </c>
      <c r="AH88" s="109"/>
      <c r="AI88" s="108">
        <f>IFERROR(VLOOKUP($E88&amp;AI$6,Base!$A:$E,5,0),0)</f>
        <v>0</v>
      </c>
      <c r="AJ88" s="101">
        <f>IFERROR(VLOOKUP($E88&amp;AJ$6,Base!$G:$K,5,0),0)</f>
        <v>0</v>
      </c>
      <c r="AK88" s="101">
        <f>IFERROR(VLOOKUP($E88&amp;AJ$6,Base!$M:$Q,5,0),0)</f>
        <v>0</v>
      </c>
      <c r="AL88" s="109">
        <v>0</v>
      </c>
      <c r="AM88" s="108">
        <f>IFERROR(VLOOKUP($E88&amp;AM$6,Base!$A:$E,5,0),0)</f>
        <v>0</v>
      </c>
      <c r="AN88" s="101">
        <f>IFERROR(VLOOKUP($E88&amp;AN$6,Base!$G:$K,5,0),0)</f>
        <v>0</v>
      </c>
      <c r="AO88" s="101">
        <f>IFERROR(VLOOKUP($E88&amp;AN$6,Base!$M:$Q,5,0),0)</f>
        <v>0</v>
      </c>
      <c r="AP88" s="109"/>
      <c r="AR88" s="104">
        <f t="shared" si="41"/>
        <v>0</v>
      </c>
      <c r="AS88" s="99">
        <f t="shared" si="42"/>
        <v>0</v>
      </c>
      <c r="AT88" s="99">
        <f t="shared" si="43"/>
        <v>0</v>
      </c>
      <c r="AU88" s="105">
        <f t="shared" si="49"/>
        <v>0</v>
      </c>
      <c r="AV88" s="108">
        <f>IFERROR(VLOOKUP($E88&amp;AV$6,Base!$A:$E,5,0),0)</f>
        <v>0</v>
      </c>
      <c r="AW88" s="101">
        <f>IFERROR(VLOOKUP($E88&amp;AW$6,Base!$G:$K,5,0),0)</f>
        <v>0</v>
      </c>
      <c r="AX88" s="101">
        <f>IFERROR(VLOOKUP($E88&amp;AW$6,Base!$M:$Q,5,0),0)</f>
        <v>0</v>
      </c>
      <c r="AY88" s="109">
        <v>0</v>
      </c>
      <c r="AZ88" s="108">
        <f>IFERROR(VLOOKUP($E88&amp;AZ$6,Base!$A:$E,5,0),0)</f>
        <v>0</v>
      </c>
      <c r="BA88" s="101">
        <f>IFERROR(VLOOKUP($E88&amp;BA$6,Base!$G:$K,5,0),0)</f>
        <v>0</v>
      </c>
      <c r="BB88" s="101">
        <f>IFERROR(VLOOKUP($E88&amp;BA$6,Base!$M:$Q,5,0),0)</f>
        <v>0</v>
      </c>
      <c r="BC88" s="109">
        <v>0</v>
      </c>
      <c r="BD88" s="108">
        <f>IFERROR(VLOOKUP($E88&amp;BD$6,Base!$A:$E,5,0),0)</f>
        <v>0</v>
      </c>
      <c r="BE88" s="101">
        <f>IFERROR(VLOOKUP($E88&amp;BE$6,Base!$G:$K,5,0),0)</f>
        <v>0</v>
      </c>
      <c r="BF88" s="101">
        <f>IFERROR(VLOOKUP($E88&amp;BE$6,Base!$M:$Q,5,0),0)</f>
        <v>0</v>
      </c>
      <c r="BG88" s="109">
        <v>0</v>
      </c>
      <c r="BI88" s="104">
        <f t="shared" si="44"/>
        <v>0</v>
      </c>
      <c r="BJ88" s="99">
        <f t="shared" si="45"/>
        <v>0</v>
      </c>
      <c r="BK88" s="99">
        <f t="shared" si="46"/>
        <v>0</v>
      </c>
      <c r="BL88" s="111">
        <f t="shared" si="47"/>
        <v>0</v>
      </c>
      <c r="BM88" s="108">
        <f>IFERROR(VLOOKUP($E88&amp;BM$6,Base!$A:$E,5,0),0)</f>
        <v>0</v>
      </c>
      <c r="BN88" s="101">
        <f>IFERROR(VLOOKUP($E88&amp;BN$6,Base!$G:$K,5,0),0)</f>
        <v>0</v>
      </c>
      <c r="BO88" s="101">
        <f>IFERROR(VLOOKUP($E88&amp;BN$6,Base!$M:$Q,5,0),0)</f>
        <v>0</v>
      </c>
      <c r="BP88" s="109">
        <v>0</v>
      </c>
      <c r="BQ88" s="108">
        <f>IFERROR(VLOOKUP($E88&amp;BQ$6,Base!$A:$E,5,0),0)</f>
        <v>0</v>
      </c>
      <c r="BR88" s="101">
        <f>IFERROR(VLOOKUP($E88&amp;BR$6,Base!$G:$K,5,0),0)</f>
        <v>0</v>
      </c>
      <c r="BS88" s="101">
        <f>IFERROR(VLOOKUP($E88&amp;BR$6,Base!$M:$Q,5,0),0)</f>
        <v>0</v>
      </c>
      <c r="BT88" s="109">
        <v>0</v>
      </c>
      <c r="BU88" s="108">
        <f>IFERROR(VLOOKUP($E88&amp;BU$6,Base!$A:$E,5,0),0)</f>
        <v>0</v>
      </c>
      <c r="BV88" s="101">
        <f>IFERROR(VLOOKUP($E88&amp;BV$6,Base!$G:$K,5,0),0)</f>
        <v>0</v>
      </c>
      <c r="BW88" s="101">
        <f>IFERROR(VLOOKUP($E88&amp;BV$6,Base!$M:$Q,5,0),0)</f>
        <v>0</v>
      </c>
      <c r="BX88" s="109">
        <f>IFERROR(VLOOKUP($E88,Base!$U:$W,3,0),0)</f>
        <v>0</v>
      </c>
    </row>
    <row r="89" spans="2:76" x14ac:dyDescent="0.35">
      <c r="B89" s="53" t="s">
        <v>97</v>
      </c>
      <c r="C89" s="51">
        <v>3655</v>
      </c>
      <c r="D89" s="51" t="s">
        <v>77</v>
      </c>
      <c r="E89" s="51">
        <v>182636</v>
      </c>
      <c r="F89" s="96" t="s">
        <v>291</v>
      </c>
      <c r="G89" s="42" t="s">
        <v>121</v>
      </c>
      <c r="H89" s="98" t="s">
        <v>134</v>
      </c>
      <c r="I89" s="143" t="s">
        <v>144</v>
      </c>
      <c r="J89" s="104">
        <f t="shared" si="33"/>
        <v>0</v>
      </c>
      <c r="K89" s="99">
        <f t="shared" si="34"/>
        <v>0</v>
      </c>
      <c r="L89" s="99">
        <f t="shared" si="35"/>
        <v>0</v>
      </c>
      <c r="M89" s="105">
        <f t="shared" si="36"/>
        <v>0</v>
      </c>
      <c r="N89" s="108">
        <f>IFERROR(VLOOKUP($E89&amp;N$6,Base!$A:$E,5,0),0)</f>
        <v>0</v>
      </c>
      <c r="O89" s="101">
        <v>0</v>
      </c>
      <c r="P89" s="101">
        <v>0</v>
      </c>
      <c r="Q89" s="101"/>
      <c r="R89" s="108">
        <f>IFERROR(VLOOKUP($E89&amp;R$6,Base!$A:$E,5,0),0)</f>
        <v>0</v>
      </c>
      <c r="S89" s="101">
        <f>IFERROR(VLOOKUP($E89&amp;S$6,Base!$G:$K,5,0),0)</f>
        <v>0</v>
      </c>
      <c r="T89" s="101">
        <f>IFERROR(VLOOKUP($E89&amp;S$6,Base!$M:$Q,5,0),0)</f>
        <v>0</v>
      </c>
      <c r="U89" s="109"/>
      <c r="V89" s="108">
        <f>IFERROR(VLOOKUP($E89&amp;V$6,Base!$A:$E,5,0),0)</f>
        <v>0</v>
      </c>
      <c r="W89" s="101">
        <f>IFERROR(VLOOKUP($E89&amp;W$6,Base!$G:$K,5,0),0)</f>
        <v>0</v>
      </c>
      <c r="X89" s="101">
        <f>IFERROR(VLOOKUP($E89&amp;W$6,Base!$M:$Q,5,0),0)</f>
        <v>0</v>
      </c>
      <c r="Y89" s="109"/>
      <c r="AA89" s="104">
        <f t="shared" si="37"/>
        <v>0</v>
      </c>
      <c r="AB89" s="99">
        <f t="shared" si="38"/>
        <v>0</v>
      </c>
      <c r="AC89" s="99">
        <f t="shared" si="39"/>
        <v>0</v>
      </c>
      <c r="AD89" s="105">
        <f t="shared" si="40"/>
        <v>0</v>
      </c>
      <c r="AE89" s="108">
        <f>IFERROR(VLOOKUP($E89&amp;AE$6,Base!$A:$E,5,0),0)</f>
        <v>0</v>
      </c>
      <c r="AF89" s="101">
        <f>IFERROR(VLOOKUP($E89&amp;AF$6,Base!$G:$K,5,0),0)</f>
        <v>0</v>
      </c>
      <c r="AG89" s="101">
        <f>IFERROR(VLOOKUP($E89&amp;AF$6,Base!$M:$Q,5,0),0)</f>
        <v>0</v>
      </c>
      <c r="AH89" s="109"/>
      <c r="AI89" s="108">
        <f>IFERROR(VLOOKUP($E89&amp;AI$6,Base!$A:$E,5,0),0)</f>
        <v>0</v>
      </c>
      <c r="AJ89" s="101">
        <f>IFERROR(VLOOKUP($E89&amp;AJ$6,Base!$G:$K,5,0),0)</f>
        <v>0</v>
      </c>
      <c r="AK89" s="101">
        <f>IFERROR(VLOOKUP($E89&amp;AJ$6,Base!$M:$Q,5,0),0)</f>
        <v>0</v>
      </c>
      <c r="AL89" s="109">
        <v>0</v>
      </c>
      <c r="AM89" s="108">
        <f>IFERROR(VLOOKUP($E89&amp;AM$6,Base!$A:$E,5,0),0)</f>
        <v>0</v>
      </c>
      <c r="AN89" s="101">
        <f>IFERROR(VLOOKUP($E89&amp;AN$6,Base!$G:$K,5,0),0)</f>
        <v>0</v>
      </c>
      <c r="AO89" s="101">
        <f>IFERROR(VLOOKUP($E89&amp;AN$6,Base!$M:$Q,5,0),0)</f>
        <v>0</v>
      </c>
      <c r="AP89" s="109"/>
      <c r="AR89" s="104">
        <f t="shared" si="41"/>
        <v>0</v>
      </c>
      <c r="AS89" s="99">
        <f t="shared" si="42"/>
        <v>0</v>
      </c>
      <c r="AT89" s="99">
        <f t="shared" si="43"/>
        <v>0</v>
      </c>
      <c r="AU89" s="105">
        <f t="shared" si="49"/>
        <v>0</v>
      </c>
      <c r="AV89" s="108">
        <f>IFERROR(VLOOKUP($E89&amp;AV$6,Base!$A:$E,5,0),0)</f>
        <v>0</v>
      </c>
      <c r="AW89" s="101">
        <f>IFERROR(VLOOKUP($E89&amp;AW$6,Base!$G:$K,5,0),0)</f>
        <v>0</v>
      </c>
      <c r="AX89" s="101">
        <f>IFERROR(VLOOKUP($E89&amp;AW$6,Base!$M:$Q,5,0),0)</f>
        <v>0</v>
      </c>
      <c r="AY89" s="109">
        <v>0</v>
      </c>
      <c r="AZ89" s="108">
        <f>IFERROR(VLOOKUP($E89&amp;AZ$6,Base!$A:$E,5,0),0)</f>
        <v>0</v>
      </c>
      <c r="BA89" s="101">
        <f>IFERROR(VLOOKUP($E89&amp;BA$6,Base!$G:$K,5,0),0)</f>
        <v>0</v>
      </c>
      <c r="BB89" s="101">
        <f>IFERROR(VLOOKUP($E89&amp;BA$6,Base!$M:$Q,5,0),0)</f>
        <v>0</v>
      </c>
      <c r="BC89" s="109">
        <v>0</v>
      </c>
      <c r="BD89" s="108">
        <f>IFERROR(VLOOKUP($E89&amp;BD$6,Base!$A:$E,5,0),0)</f>
        <v>0</v>
      </c>
      <c r="BE89" s="101">
        <f>IFERROR(VLOOKUP($E89&amp;BE$6,Base!$G:$K,5,0),0)</f>
        <v>0</v>
      </c>
      <c r="BF89" s="101">
        <f>IFERROR(VLOOKUP($E89&amp;BE$6,Base!$M:$Q,5,0),0)</f>
        <v>0</v>
      </c>
      <c r="BG89" s="109">
        <v>0</v>
      </c>
      <c r="BI89" s="104">
        <f t="shared" si="44"/>
        <v>0</v>
      </c>
      <c r="BJ89" s="99">
        <f t="shared" si="45"/>
        <v>0</v>
      </c>
      <c r="BK89" s="99">
        <f t="shared" si="46"/>
        <v>0</v>
      </c>
      <c r="BL89" s="111">
        <f t="shared" si="47"/>
        <v>0</v>
      </c>
      <c r="BM89" s="108">
        <f>IFERROR(VLOOKUP($E89&amp;BM$6,Base!$A:$E,5,0),0)</f>
        <v>0</v>
      </c>
      <c r="BN89" s="101">
        <f>IFERROR(VLOOKUP($E89&amp;BN$6,Base!$G:$K,5,0),0)</f>
        <v>0</v>
      </c>
      <c r="BO89" s="101">
        <f>IFERROR(VLOOKUP($E89&amp;BN$6,Base!$M:$Q,5,0),0)</f>
        <v>0</v>
      </c>
      <c r="BP89" s="109">
        <v>0</v>
      </c>
      <c r="BQ89" s="108">
        <f>IFERROR(VLOOKUP($E89&amp;BQ$6,Base!$A:$E,5,0),0)</f>
        <v>0</v>
      </c>
      <c r="BR89" s="101">
        <f>IFERROR(VLOOKUP($E89&amp;BR$6,Base!$G:$K,5,0),0)</f>
        <v>0</v>
      </c>
      <c r="BS89" s="101">
        <f>IFERROR(VLOOKUP($E89&amp;BR$6,Base!$M:$Q,5,0),0)</f>
        <v>0</v>
      </c>
      <c r="BT89" s="109">
        <v>0</v>
      </c>
      <c r="BU89" s="108">
        <f>IFERROR(VLOOKUP($E89&amp;BU$6,Base!$A:$E,5,0),0)</f>
        <v>0</v>
      </c>
      <c r="BV89" s="101">
        <f>IFERROR(VLOOKUP($E89&amp;BV$6,Base!$G:$K,5,0),0)</f>
        <v>0</v>
      </c>
      <c r="BW89" s="101">
        <f>IFERROR(VLOOKUP($E89&amp;BV$6,Base!$M:$Q,5,0),0)</f>
        <v>0</v>
      </c>
      <c r="BX89" s="109">
        <f>IFERROR(VLOOKUP($E89,Base!$U:$W,3,0),0)</f>
        <v>0</v>
      </c>
    </row>
    <row r="90" spans="2:76" x14ac:dyDescent="0.35">
      <c r="B90" s="53" t="s">
        <v>97</v>
      </c>
      <c r="C90" s="51">
        <v>3655</v>
      </c>
      <c r="D90" s="51" t="s">
        <v>77</v>
      </c>
      <c r="E90" s="51">
        <v>182637</v>
      </c>
      <c r="F90" s="96" t="s">
        <v>294</v>
      </c>
      <c r="G90" s="42" t="s">
        <v>140</v>
      </c>
      <c r="H90" s="98" t="s">
        <v>134</v>
      </c>
      <c r="I90" s="143" t="s">
        <v>144</v>
      </c>
      <c r="J90" s="104">
        <f t="shared" si="33"/>
        <v>0</v>
      </c>
      <c r="K90" s="99">
        <f t="shared" si="34"/>
        <v>0</v>
      </c>
      <c r="L90" s="99">
        <f t="shared" si="35"/>
        <v>0</v>
      </c>
      <c r="M90" s="105">
        <f t="shared" si="36"/>
        <v>0</v>
      </c>
      <c r="N90" s="108">
        <f>IFERROR(VLOOKUP($E90&amp;N$6,Base!$A:$E,5,0),0)</f>
        <v>0</v>
      </c>
      <c r="O90" s="101">
        <v>0</v>
      </c>
      <c r="P90" s="101">
        <v>0</v>
      </c>
      <c r="Q90" s="101"/>
      <c r="R90" s="108">
        <f>IFERROR(VLOOKUP($E90&amp;R$6,Base!$A:$E,5,0),0)</f>
        <v>0</v>
      </c>
      <c r="S90" s="101">
        <f>IFERROR(VLOOKUP($E90&amp;S$6,Base!$G:$K,5,0),0)</f>
        <v>0</v>
      </c>
      <c r="T90" s="101">
        <f>IFERROR(VLOOKUP($E90&amp;S$6,Base!$M:$Q,5,0),0)</f>
        <v>0</v>
      </c>
      <c r="U90" s="109"/>
      <c r="V90" s="108">
        <f>IFERROR(VLOOKUP($E90&amp;V$6,Base!$A:$E,5,0),0)</f>
        <v>0</v>
      </c>
      <c r="W90" s="101">
        <f>IFERROR(VLOOKUP($E90&amp;W$6,Base!$G:$K,5,0),0)</f>
        <v>0</v>
      </c>
      <c r="X90" s="101">
        <f>IFERROR(VLOOKUP($E90&amp;W$6,Base!$M:$Q,5,0),0)</f>
        <v>0</v>
      </c>
      <c r="Y90" s="109"/>
      <c r="AA90" s="104">
        <f t="shared" si="37"/>
        <v>0</v>
      </c>
      <c r="AB90" s="99">
        <f t="shared" si="38"/>
        <v>0</v>
      </c>
      <c r="AC90" s="99">
        <f t="shared" si="39"/>
        <v>0</v>
      </c>
      <c r="AD90" s="105">
        <f t="shared" si="40"/>
        <v>0</v>
      </c>
      <c r="AE90" s="108">
        <f>IFERROR(VLOOKUP($E90&amp;AE$6,Base!$A:$E,5,0),0)</f>
        <v>0</v>
      </c>
      <c r="AF90" s="101">
        <f>IFERROR(VLOOKUP($E90&amp;AF$6,Base!$G:$K,5,0),0)</f>
        <v>0</v>
      </c>
      <c r="AG90" s="101">
        <f>IFERROR(VLOOKUP($E90&amp;AF$6,Base!$M:$Q,5,0),0)</f>
        <v>0</v>
      </c>
      <c r="AH90" s="109"/>
      <c r="AI90" s="108">
        <f>IFERROR(VLOOKUP($E90&amp;AI$6,Base!$A:$E,5,0),0)</f>
        <v>0</v>
      </c>
      <c r="AJ90" s="101">
        <f>IFERROR(VLOOKUP($E90&amp;AJ$6,Base!$G:$K,5,0),0)</f>
        <v>0</v>
      </c>
      <c r="AK90" s="101">
        <f>IFERROR(VLOOKUP($E90&amp;AJ$6,Base!$M:$Q,5,0),0)</f>
        <v>0</v>
      </c>
      <c r="AL90" s="109">
        <v>0</v>
      </c>
      <c r="AM90" s="108">
        <f>IFERROR(VLOOKUP($E90&amp;AM$6,Base!$A:$E,5,0),0)</f>
        <v>0</v>
      </c>
      <c r="AN90" s="101">
        <f>IFERROR(VLOOKUP($E90&amp;AN$6,Base!$G:$K,5,0),0)</f>
        <v>0</v>
      </c>
      <c r="AO90" s="101">
        <f>IFERROR(VLOOKUP($E90&amp;AN$6,Base!$M:$Q,5,0),0)</f>
        <v>0</v>
      </c>
      <c r="AP90" s="109"/>
      <c r="AR90" s="104">
        <f t="shared" si="41"/>
        <v>0</v>
      </c>
      <c r="AS90" s="99">
        <f t="shared" si="42"/>
        <v>0</v>
      </c>
      <c r="AT90" s="99">
        <f t="shared" si="43"/>
        <v>0</v>
      </c>
      <c r="AU90" s="105">
        <f t="shared" si="49"/>
        <v>0</v>
      </c>
      <c r="AV90" s="108">
        <f>IFERROR(VLOOKUP($E90&amp;AV$6,Base!$A:$E,5,0),0)</f>
        <v>0</v>
      </c>
      <c r="AW90" s="101">
        <f>IFERROR(VLOOKUP($E90&amp;AW$6,Base!$G:$K,5,0),0)</f>
        <v>0</v>
      </c>
      <c r="AX90" s="101">
        <f>IFERROR(VLOOKUP($E90&amp;AW$6,Base!$M:$Q,5,0),0)</f>
        <v>0</v>
      </c>
      <c r="AY90" s="109">
        <v>0</v>
      </c>
      <c r="AZ90" s="108">
        <f>IFERROR(VLOOKUP($E90&amp;AZ$6,Base!$A:$E,5,0),0)</f>
        <v>0</v>
      </c>
      <c r="BA90" s="101">
        <f>IFERROR(VLOOKUP($E90&amp;BA$6,Base!$G:$K,5,0),0)</f>
        <v>0</v>
      </c>
      <c r="BB90" s="101">
        <f>IFERROR(VLOOKUP($E90&amp;BA$6,Base!$M:$Q,5,0),0)</f>
        <v>0</v>
      </c>
      <c r="BC90" s="109">
        <v>0</v>
      </c>
      <c r="BD90" s="108">
        <f>IFERROR(VLOOKUP($E90&amp;BD$6,Base!$A:$E,5,0),0)</f>
        <v>0</v>
      </c>
      <c r="BE90" s="101">
        <f>IFERROR(VLOOKUP($E90&amp;BE$6,Base!$G:$K,5,0),0)</f>
        <v>0</v>
      </c>
      <c r="BF90" s="101">
        <f>IFERROR(VLOOKUP($E90&amp;BE$6,Base!$M:$Q,5,0),0)</f>
        <v>0</v>
      </c>
      <c r="BG90" s="109">
        <v>0</v>
      </c>
      <c r="BI90" s="104">
        <f t="shared" si="44"/>
        <v>0</v>
      </c>
      <c r="BJ90" s="99">
        <f t="shared" si="45"/>
        <v>0</v>
      </c>
      <c r="BK90" s="99">
        <f t="shared" si="46"/>
        <v>0</v>
      </c>
      <c r="BL90" s="111">
        <f t="shared" si="47"/>
        <v>0</v>
      </c>
      <c r="BM90" s="108">
        <f>IFERROR(VLOOKUP($E90&amp;BM$6,Base!$A:$E,5,0),0)</f>
        <v>0</v>
      </c>
      <c r="BN90" s="101">
        <f>IFERROR(VLOOKUP($E90&amp;BN$6,Base!$G:$K,5,0),0)</f>
        <v>0</v>
      </c>
      <c r="BO90" s="101">
        <f>IFERROR(VLOOKUP($E90&amp;BN$6,Base!$M:$Q,5,0),0)</f>
        <v>0</v>
      </c>
      <c r="BP90" s="109">
        <v>0</v>
      </c>
      <c r="BQ90" s="108">
        <f>IFERROR(VLOOKUP($E90&amp;BQ$6,Base!$A:$E,5,0),0)</f>
        <v>0</v>
      </c>
      <c r="BR90" s="101">
        <f>IFERROR(VLOOKUP($E90&amp;BR$6,Base!$G:$K,5,0),0)</f>
        <v>0</v>
      </c>
      <c r="BS90" s="101">
        <f>IFERROR(VLOOKUP($E90&amp;BR$6,Base!$M:$Q,5,0),0)</f>
        <v>0</v>
      </c>
      <c r="BT90" s="109">
        <v>0</v>
      </c>
      <c r="BU90" s="108">
        <f>IFERROR(VLOOKUP($E90&amp;BU$6,Base!$A:$E,5,0),0)</f>
        <v>0</v>
      </c>
      <c r="BV90" s="101">
        <f>IFERROR(VLOOKUP($E90&amp;BV$6,Base!$G:$K,5,0),0)</f>
        <v>0</v>
      </c>
      <c r="BW90" s="101">
        <f>IFERROR(VLOOKUP($E90&amp;BV$6,Base!$M:$Q,5,0),0)</f>
        <v>0</v>
      </c>
      <c r="BX90" s="109">
        <f>IFERROR(VLOOKUP($E90,Base!$U:$W,3,0),0)</f>
        <v>0</v>
      </c>
    </row>
    <row r="91" spans="2:76" x14ac:dyDescent="0.35">
      <c r="B91" s="53" t="s">
        <v>97</v>
      </c>
      <c r="C91" s="51">
        <v>3655</v>
      </c>
      <c r="D91" s="51" t="s">
        <v>77</v>
      </c>
      <c r="E91" s="51">
        <v>182638</v>
      </c>
      <c r="F91" s="96" t="s">
        <v>296</v>
      </c>
      <c r="G91" s="42" t="s">
        <v>121</v>
      </c>
      <c r="H91" s="98" t="s">
        <v>134</v>
      </c>
      <c r="I91" s="143" t="s">
        <v>144</v>
      </c>
      <c r="J91" s="104">
        <f t="shared" si="33"/>
        <v>0</v>
      </c>
      <c r="K91" s="99">
        <f t="shared" si="34"/>
        <v>0</v>
      </c>
      <c r="L91" s="99">
        <f t="shared" si="35"/>
        <v>0</v>
      </c>
      <c r="M91" s="105">
        <f t="shared" si="36"/>
        <v>0</v>
      </c>
      <c r="N91" s="108">
        <f>IFERROR(VLOOKUP($E91&amp;N$6,Base!$A:$E,5,0),0)</f>
        <v>0</v>
      </c>
      <c r="O91" s="101">
        <v>0</v>
      </c>
      <c r="P91" s="101">
        <v>0</v>
      </c>
      <c r="Q91" s="101"/>
      <c r="R91" s="108">
        <f>IFERROR(VLOOKUP($E91&amp;R$6,Base!$A:$E,5,0),0)</f>
        <v>0</v>
      </c>
      <c r="S91" s="101">
        <f>IFERROR(VLOOKUP($E91&amp;S$6,Base!$G:$K,5,0),0)</f>
        <v>0</v>
      </c>
      <c r="T91" s="101">
        <f>IFERROR(VLOOKUP($E91&amp;S$6,Base!$M:$Q,5,0),0)</f>
        <v>0</v>
      </c>
      <c r="U91" s="109"/>
      <c r="V91" s="108">
        <f>IFERROR(VLOOKUP($E91&amp;V$6,Base!$A:$E,5,0),0)</f>
        <v>0</v>
      </c>
      <c r="W91" s="101">
        <f>IFERROR(VLOOKUP($E91&amp;W$6,Base!$G:$K,5,0),0)</f>
        <v>0</v>
      </c>
      <c r="X91" s="101">
        <f>IFERROR(VLOOKUP($E91&amp;W$6,Base!$M:$Q,5,0),0)</f>
        <v>0</v>
      </c>
      <c r="Y91" s="109"/>
      <c r="AA91" s="104">
        <f t="shared" si="37"/>
        <v>0</v>
      </c>
      <c r="AB91" s="99">
        <f t="shared" si="38"/>
        <v>0</v>
      </c>
      <c r="AC91" s="99">
        <f t="shared" si="39"/>
        <v>0</v>
      </c>
      <c r="AD91" s="105">
        <f t="shared" si="40"/>
        <v>0</v>
      </c>
      <c r="AE91" s="108">
        <f>IFERROR(VLOOKUP($E91&amp;AE$6,Base!$A:$E,5,0),0)</f>
        <v>0</v>
      </c>
      <c r="AF91" s="101">
        <f>IFERROR(VLOOKUP($E91&amp;AF$6,Base!$G:$K,5,0),0)</f>
        <v>0</v>
      </c>
      <c r="AG91" s="101">
        <f>IFERROR(VLOOKUP($E91&amp;AF$6,Base!$M:$Q,5,0),0)</f>
        <v>0</v>
      </c>
      <c r="AH91" s="109"/>
      <c r="AI91" s="108">
        <f>IFERROR(VLOOKUP($E91&amp;AI$6,Base!$A:$E,5,0),0)</f>
        <v>0</v>
      </c>
      <c r="AJ91" s="101">
        <f>IFERROR(VLOOKUP($E91&amp;AJ$6,Base!$G:$K,5,0),0)</f>
        <v>0</v>
      </c>
      <c r="AK91" s="101">
        <f>IFERROR(VLOOKUP($E91&amp;AJ$6,Base!$M:$Q,5,0),0)</f>
        <v>0</v>
      </c>
      <c r="AL91" s="109">
        <v>0</v>
      </c>
      <c r="AM91" s="108">
        <f>IFERROR(VLOOKUP($E91&amp;AM$6,Base!$A:$E,5,0),0)</f>
        <v>0</v>
      </c>
      <c r="AN91" s="101">
        <f>IFERROR(VLOOKUP($E91&amp;AN$6,Base!$G:$K,5,0),0)</f>
        <v>0</v>
      </c>
      <c r="AO91" s="101">
        <f>IFERROR(VLOOKUP($E91&amp;AN$6,Base!$M:$Q,5,0),0)</f>
        <v>0</v>
      </c>
      <c r="AP91" s="109"/>
      <c r="AR91" s="104">
        <f t="shared" si="41"/>
        <v>0</v>
      </c>
      <c r="AS91" s="99">
        <f t="shared" si="42"/>
        <v>0</v>
      </c>
      <c r="AT91" s="99">
        <f t="shared" si="43"/>
        <v>0</v>
      </c>
      <c r="AU91" s="105">
        <f t="shared" si="49"/>
        <v>0</v>
      </c>
      <c r="AV91" s="108">
        <f>IFERROR(VLOOKUP($E91&amp;AV$6,Base!$A:$E,5,0),0)</f>
        <v>0</v>
      </c>
      <c r="AW91" s="101">
        <f>IFERROR(VLOOKUP($E91&amp;AW$6,Base!$G:$K,5,0),0)</f>
        <v>0</v>
      </c>
      <c r="AX91" s="101">
        <f>IFERROR(VLOOKUP($E91&amp;AW$6,Base!$M:$Q,5,0),0)</f>
        <v>0</v>
      </c>
      <c r="AY91" s="109">
        <v>0</v>
      </c>
      <c r="AZ91" s="108">
        <f>IFERROR(VLOOKUP($E91&amp;AZ$6,Base!$A:$E,5,0),0)</f>
        <v>0</v>
      </c>
      <c r="BA91" s="101">
        <f>IFERROR(VLOOKUP($E91&amp;BA$6,Base!$G:$K,5,0),0)</f>
        <v>0</v>
      </c>
      <c r="BB91" s="101">
        <f>IFERROR(VLOOKUP($E91&amp;BA$6,Base!$M:$Q,5,0),0)</f>
        <v>0</v>
      </c>
      <c r="BC91" s="109">
        <v>0</v>
      </c>
      <c r="BD91" s="108">
        <f>IFERROR(VLOOKUP($E91&amp;BD$6,Base!$A:$E,5,0),0)</f>
        <v>0</v>
      </c>
      <c r="BE91" s="101">
        <f>IFERROR(VLOOKUP($E91&amp;BE$6,Base!$G:$K,5,0),0)</f>
        <v>0</v>
      </c>
      <c r="BF91" s="101">
        <f>IFERROR(VLOOKUP($E91&amp;BE$6,Base!$M:$Q,5,0),0)</f>
        <v>0</v>
      </c>
      <c r="BG91" s="109">
        <v>0</v>
      </c>
      <c r="BI91" s="104">
        <f t="shared" si="44"/>
        <v>0</v>
      </c>
      <c r="BJ91" s="99">
        <f t="shared" si="45"/>
        <v>0</v>
      </c>
      <c r="BK91" s="99">
        <f t="shared" si="46"/>
        <v>0</v>
      </c>
      <c r="BL91" s="111">
        <f t="shared" si="47"/>
        <v>0</v>
      </c>
      <c r="BM91" s="108">
        <f>IFERROR(VLOOKUP($E91&amp;BM$6,Base!$A:$E,5,0),0)</f>
        <v>0</v>
      </c>
      <c r="BN91" s="101">
        <f>IFERROR(VLOOKUP($E91&amp;BN$6,Base!$G:$K,5,0),0)</f>
        <v>0</v>
      </c>
      <c r="BO91" s="101">
        <f>IFERROR(VLOOKUP($E91&amp;BN$6,Base!$M:$Q,5,0),0)</f>
        <v>0</v>
      </c>
      <c r="BP91" s="109">
        <v>0</v>
      </c>
      <c r="BQ91" s="108">
        <f>IFERROR(VLOOKUP($E91&amp;BQ$6,Base!$A:$E,5,0),0)</f>
        <v>0</v>
      </c>
      <c r="BR91" s="101">
        <f>IFERROR(VLOOKUP($E91&amp;BR$6,Base!$G:$K,5,0),0)</f>
        <v>0</v>
      </c>
      <c r="BS91" s="101">
        <f>IFERROR(VLOOKUP($E91&amp;BR$6,Base!$M:$Q,5,0),0)</f>
        <v>0</v>
      </c>
      <c r="BT91" s="109">
        <v>0</v>
      </c>
      <c r="BU91" s="108">
        <f>IFERROR(VLOOKUP($E91&amp;BU$6,Base!$A:$E,5,0),0)</f>
        <v>0</v>
      </c>
      <c r="BV91" s="101">
        <f>IFERROR(VLOOKUP($E91&amp;BV$6,Base!$G:$K,5,0),0)</f>
        <v>0</v>
      </c>
      <c r="BW91" s="101">
        <f>IFERROR(VLOOKUP($E91&amp;BV$6,Base!$M:$Q,5,0),0)</f>
        <v>0</v>
      </c>
      <c r="BX91" s="109">
        <f>IFERROR(VLOOKUP($E91,Base!$U:$W,3,0),0)</f>
        <v>0</v>
      </c>
    </row>
    <row r="92" spans="2:76" x14ac:dyDescent="0.35">
      <c r="B92" s="53" t="s">
        <v>97</v>
      </c>
      <c r="C92" s="51">
        <v>3655</v>
      </c>
      <c r="D92" s="51" t="s">
        <v>77</v>
      </c>
      <c r="E92" s="51">
        <v>182639</v>
      </c>
      <c r="F92" s="96" t="s">
        <v>299</v>
      </c>
      <c r="G92" s="42" t="s">
        <v>121</v>
      </c>
      <c r="H92" s="98" t="s">
        <v>134</v>
      </c>
      <c r="I92" s="143" t="s">
        <v>144</v>
      </c>
      <c r="J92" s="104">
        <f t="shared" si="33"/>
        <v>0</v>
      </c>
      <c r="K92" s="99">
        <f t="shared" si="34"/>
        <v>0</v>
      </c>
      <c r="L92" s="99">
        <f t="shared" si="35"/>
        <v>0</v>
      </c>
      <c r="M92" s="105">
        <f t="shared" si="36"/>
        <v>0</v>
      </c>
      <c r="N92" s="108">
        <f>IFERROR(VLOOKUP($E92&amp;N$6,Base!$A:$E,5,0),0)</f>
        <v>0</v>
      </c>
      <c r="O92" s="101">
        <v>0</v>
      </c>
      <c r="P92" s="101">
        <v>0</v>
      </c>
      <c r="Q92" s="101"/>
      <c r="R92" s="108">
        <f>IFERROR(VLOOKUP($E92&amp;R$6,Base!$A:$E,5,0),0)</f>
        <v>0</v>
      </c>
      <c r="S92" s="101">
        <f>IFERROR(VLOOKUP($E92&amp;S$6,Base!$G:$K,5,0),0)</f>
        <v>0</v>
      </c>
      <c r="T92" s="101">
        <f>IFERROR(VLOOKUP($E92&amp;S$6,Base!$M:$Q,5,0),0)</f>
        <v>0</v>
      </c>
      <c r="U92" s="109"/>
      <c r="V92" s="108">
        <f>IFERROR(VLOOKUP($E92&amp;V$6,Base!$A:$E,5,0),0)</f>
        <v>0</v>
      </c>
      <c r="W92" s="101">
        <f>IFERROR(VLOOKUP($E92&amp;W$6,Base!$G:$K,5,0),0)</f>
        <v>0</v>
      </c>
      <c r="X92" s="101">
        <f>IFERROR(VLOOKUP($E92&amp;W$6,Base!$M:$Q,5,0),0)</f>
        <v>0</v>
      </c>
      <c r="Y92" s="109"/>
      <c r="AA92" s="104">
        <f t="shared" si="37"/>
        <v>0</v>
      </c>
      <c r="AB92" s="99">
        <f t="shared" si="38"/>
        <v>0</v>
      </c>
      <c r="AC92" s="99">
        <f t="shared" si="39"/>
        <v>0</v>
      </c>
      <c r="AD92" s="105">
        <f t="shared" si="40"/>
        <v>0</v>
      </c>
      <c r="AE92" s="108">
        <f>IFERROR(VLOOKUP($E92&amp;AE$6,Base!$A:$E,5,0),0)</f>
        <v>0</v>
      </c>
      <c r="AF92" s="101">
        <f>IFERROR(VLOOKUP($E92&amp;AF$6,Base!$G:$K,5,0),0)</f>
        <v>0</v>
      </c>
      <c r="AG92" s="101">
        <f>IFERROR(VLOOKUP($E92&amp;AF$6,Base!$M:$Q,5,0),0)</f>
        <v>0</v>
      </c>
      <c r="AH92" s="109"/>
      <c r="AI92" s="108">
        <f>IFERROR(VLOOKUP($E92&amp;AI$6,Base!$A:$E,5,0),0)</f>
        <v>0</v>
      </c>
      <c r="AJ92" s="101">
        <f>IFERROR(VLOOKUP($E92&amp;AJ$6,Base!$G:$K,5,0),0)</f>
        <v>0</v>
      </c>
      <c r="AK92" s="101">
        <f>IFERROR(VLOOKUP($E92&amp;AJ$6,Base!$M:$Q,5,0),0)</f>
        <v>0</v>
      </c>
      <c r="AL92" s="109">
        <v>0</v>
      </c>
      <c r="AM92" s="108">
        <f>IFERROR(VLOOKUP($E92&amp;AM$6,Base!$A:$E,5,0),0)</f>
        <v>0</v>
      </c>
      <c r="AN92" s="101">
        <f>IFERROR(VLOOKUP($E92&amp;AN$6,Base!$G:$K,5,0),0)</f>
        <v>0</v>
      </c>
      <c r="AO92" s="101">
        <f>IFERROR(VLOOKUP($E92&amp;AN$6,Base!$M:$Q,5,0),0)</f>
        <v>0</v>
      </c>
      <c r="AP92" s="109"/>
      <c r="AR92" s="104">
        <f t="shared" si="41"/>
        <v>0</v>
      </c>
      <c r="AS92" s="99">
        <f t="shared" si="42"/>
        <v>0</v>
      </c>
      <c r="AT92" s="99">
        <f t="shared" si="43"/>
        <v>0</v>
      </c>
      <c r="AU92" s="105">
        <f t="shared" si="49"/>
        <v>0</v>
      </c>
      <c r="AV92" s="108">
        <f>IFERROR(VLOOKUP($E92&amp;AV$6,Base!$A:$E,5,0),0)</f>
        <v>0</v>
      </c>
      <c r="AW92" s="101">
        <f>IFERROR(VLOOKUP($E92&amp;AW$6,Base!$G:$K,5,0),0)</f>
        <v>0</v>
      </c>
      <c r="AX92" s="101">
        <f>IFERROR(VLOOKUP($E92&amp;AW$6,Base!$M:$Q,5,0),0)</f>
        <v>0</v>
      </c>
      <c r="AY92" s="109">
        <v>0</v>
      </c>
      <c r="AZ92" s="108">
        <f>IFERROR(VLOOKUP($E92&amp;AZ$6,Base!$A:$E,5,0),0)</f>
        <v>0</v>
      </c>
      <c r="BA92" s="101">
        <f>IFERROR(VLOOKUP($E92&amp;BA$6,Base!$G:$K,5,0),0)</f>
        <v>0</v>
      </c>
      <c r="BB92" s="101">
        <f>IFERROR(VLOOKUP($E92&amp;BA$6,Base!$M:$Q,5,0),0)</f>
        <v>0</v>
      </c>
      <c r="BC92" s="109">
        <v>0</v>
      </c>
      <c r="BD92" s="108">
        <f>IFERROR(VLOOKUP($E92&amp;BD$6,Base!$A:$E,5,0),0)</f>
        <v>0</v>
      </c>
      <c r="BE92" s="101">
        <f>IFERROR(VLOOKUP($E92&amp;BE$6,Base!$G:$K,5,0),0)</f>
        <v>0</v>
      </c>
      <c r="BF92" s="101">
        <f>IFERROR(VLOOKUP($E92&amp;BE$6,Base!$M:$Q,5,0),0)</f>
        <v>0</v>
      </c>
      <c r="BG92" s="109">
        <v>0</v>
      </c>
      <c r="BI92" s="104">
        <f t="shared" si="44"/>
        <v>0</v>
      </c>
      <c r="BJ92" s="99">
        <f t="shared" si="45"/>
        <v>0</v>
      </c>
      <c r="BK92" s="99">
        <f t="shared" si="46"/>
        <v>0</v>
      </c>
      <c r="BL92" s="111">
        <f t="shared" si="47"/>
        <v>0</v>
      </c>
      <c r="BM92" s="108">
        <f>IFERROR(VLOOKUP($E92&amp;BM$6,Base!$A:$E,5,0),0)</f>
        <v>0</v>
      </c>
      <c r="BN92" s="101">
        <f>IFERROR(VLOOKUP($E92&amp;BN$6,Base!$G:$K,5,0),0)</f>
        <v>0</v>
      </c>
      <c r="BO92" s="101">
        <f>IFERROR(VLOOKUP($E92&amp;BN$6,Base!$M:$Q,5,0),0)</f>
        <v>0</v>
      </c>
      <c r="BP92" s="109">
        <v>0</v>
      </c>
      <c r="BQ92" s="108">
        <f>IFERROR(VLOOKUP($E92&amp;BQ$6,Base!$A:$E,5,0),0)</f>
        <v>0</v>
      </c>
      <c r="BR92" s="101">
        <f>IFERROR(VLOOKUP($E92&amp;BR$6,Base!$G:$K,5,0),0)</f>
        <v>0</v>
      </c>
      <c r="BS92" s="101">
        <f>IFERROR(VLOOKUP($E92&amp;BR$6,Base!$M:$Q,5,0),0)</f>
        <v>0</v>
      </c>
      <c r="BT92" s="109">
        <v>0</v>
      </c>
      <c r="BU92" s="108">
        <f>IFERROR(VLOOKUP($E92&amp;BU$6,Base!$A:$E,5,0),0)</f>
        <v>0</v>
      </c>
      <c r="BV92" s="101">
        <f>IFERROR(VLOOKUP($E92&amp;BV$6,Base!$G:$K,5,0),0)</f>
        <v>0</v>
      </c>
      <c r="BW92" s="101">
        <f>IFERROR(VLOOKUP($E92&amp;BV$6,Base!$M:$Q,5,0),0)</f>
        <v>0</v>
      </c>
      <c r="BX92" s="109">
        <f>IFERROR(VLOOKUP($E92,Base!$U:$W,3,0),0)</f>
        <v>0</v>
      </c>
    </row>
    <row r="93" spans="2:76" x14ac:dyDescent="0.35">
      <c r="B93" s="53" t="s">
        <v>97</v>
      </c>
      <c r="C93" s="51">
        <v>3655</v>
      </c>
      <c r="D93" s="51" t="s">
        <v>77</v>
      </c>
      <c r="E93" s="51">
        <v>182640</v>
      </c>
      <c r="F93" s="96" t="s">
        <v>302</v>
      </c>
      <c r="G93" s="42" t="s">
        <v>121</v>
      </c>
      <c r="H93" s="98" t="s">
        <v>134</v>
      </c>
      <c r="I93" s="143" t="s">
        <v>144</v>
      </c>
      <c r="J93" s="104">
        <f t="shared" si="33"/>
        <v>0</v>
      </c>
      <c r="K93" s="99">
        <f t="shared" si="34"/>
        <v>0</v>
      </c>
      <c r="L93" s="99">
        <f t="shared" si="35"/>
        <v>0</v>
      </c>
      <c r="M93" s="105">
        <f t="shared" si="36"/>
        <v>0</v>
      </c>
      <c r="N93" s="108">
        <f>IFERROR(VLOOKUP($E93&amp;N$6,Base!$A:$E,5,0),0)</f>
        <v>0</v>
      </c>
      <c r="O93" s="101">
        <v>0</v>
      </c>
      <c r="P93" s="101">
        <v>0</v>
      </c>
      <c r="Q93" s="101"/>
      <c r="R93" s="108">
        <f>IFERROR(VLOOKUP($E93&amp;R$6,Base!$A:$E,5,0),0)</f>
        <v>0</v>
      </c>
      <c r="S93" s="101">
        <f>IFERROR(VLOOKUP($E93&amp;S$6,Base!$G:$K,5,0),0)</f>
        <v>0</v>
      </c>
      <c r="T93" s="101">
        <f>IFERROR(VLOOKUP($E93&amp;S$6,Base!$M:$Q,5,0),0)</f>
        <v>0</v>
      </c>
      <c r="U93" s="109"/>
      <c r="V93" s="108">
        <f>IFERROR(VLOOKUP($E93&amp;V$6,Base!$A:$E,5,0),0)</f>
        <v>0</v>
      </c>
      <c r="W93" s="101">
        <f>IFERROR(VLOOKUP($E93&amp;W$6,Base!$G:$K,5,0),0)</f>
        <v>0</v>
      </c>
      <c r="X93" s="101">
        <f>IFERROR(VLOOKUP($E93&amp;W$6,Base!$M:$Q,5,0),0)</f>
        <v>0</v>
      </c>
      <c r="Y93" s="109"/>
      <c r="AA93" s="104">
        <f t="shared" si="37"/>
        <v>0</v>
      </c>
      <c r="AB93" s="99">
        <f t="shared" si="38"/>
        <v>0</v>
      </c>
      <c r="AC93" s="99">
        <f t="shared" si="39"/>
        <v>0</v>
      </c>
      <c r="AD93" s="105">
        <f t="shared" si="40"/>
        <v>0</v>
      </c>
      <c r="AE93" s="108">
        <f>IFERROR(VLOOKUP($E93&amp;AE$6,Base!$A:$E,5,0),0)</f>
        <v>0</v>
      </c>
      <c r="AF93" s="101">
        <f>IFERROR(VLOOKUP($E93&amp;AF$6,Base!$G:$K,5,0),0)</f>
        <v>0</v>
      </c>
      <c r="AG93" s="101">
        <f>IFERROR(VLOOKUP($E93&amp;AF$6,Base!$M:$Q,5,0),0)</f>
        <v>0</v>
      </c>
      <c r="AH93" s="109"/>
      <c r="AI93" s="108">
        <f>IFERROR(VLOOKUP($E93&amp;AI$6,Base!$A:$E,5,0),0)</f>
        <v>0</v>
      </c>
      <c r="AJ93" s="101">
        <f>IFERROR(VLOOKUP($E93&amp;AJ$6,Base!$G:$K,5,0),0)</f>
        <v>0</v>
      </c>
      <c r="AK93" s="101">
        <f>IFERROR(VLOOKUP($E93&amp;AJ$6,Base!$M:$Q,5,0),0)</f>
        <v>0</v>
      </c>
      <c r="AL93" s="109">
        <v>0</v>
      </c>
      <c r="AM93" s="108">
        <f>IFERROR(VLOOKUP($E93&amp;AM$6,Base!$A:$E,5,0),0)</f>
        <v>0</v>
      </c>
      <c r="AN93" s="101">
        <f>IFERROR(VLOOKUP($E93&amp;AN$6,Base!$G:$K,5,0),0)</f>
        <v>0</v>
      </c>
      <c r="AO93" s="101">
        <f>IFERROR(VLOOKUP($E93&amp;AN$6,Base!$M:$Q,5,0),0)</f>
        <v>0</v>
      </c>
      <c r="AP93" s="109"/>
      <c r="AR93" s="104">
        <f t="shared" si="41"/>
        <v>0</v>
      </c>
      <c r="AS93" s="99">
        <f t="shared" si="42"/>
        <v>0</v>
      </c>
      <c r="AT93" s="99">
        <f t="shared" si="43"/>
        <v>0</v>
      </c>
      <c r="AU93" s="105">
        <f t="shared" si="49"/>
        <v>0</v>
      </c>
      <c r="AV93" s="108">
        <f>IFERROR(VLOOKUP($E93&amp;AV$6,Base!$A:$E,5,0),0)</f>
        <v>0</v>
      </c>
      <c r="AW93" s="101">
        <f>IFERROR(VLOOKUP($E93&amp;AW$6,Base!$G:$K,5,0),0)</f>
        <v>0</v>
      </c>
      <c r="AX93" s="101">
        <f>IFERROR(VLOOKUP($E93&amp;AW$6,Base!$M:$Q,5,0),0)</f>
        <v>0</v>
      </c>
      <c r="AY93" s="109">
        <v>0</v>
      </c>
      <c r="AZ93" s="108">
        <f>IFERROR(VLOOKUP($E93&amp;AZ$6,Base!$A:$E,5,0),0)</f>
        <v>0</v>
      </c>
      <c r="BA93" s="101">
        <f>IFERROR(VLOOKUP($E93&amp;BA$6,Base!$G:$K,5,0),0)</f>
        <v>0</v>
      </c>
      <c r="BB93" s="101">
        <f>IFERROR(VLOOKUP($E93&amp;BA$6,Base!$M:$Q,5,0),0)</f>
        <v>0</v>
      </c>
      <c r="BC93" s="109">
        <v>0</v>
      </c>
      <c r="BD93" s="108">
        <f>IFERROR(VLOOKUP($E93&amp;BD$6,Base!$A:$E,5,0),0)</f>
        <v>0</v>
      </c>
      <c r="BE93" s="101">
        <f>IFERROR(VLOOKUP($E93&amp;BE$6,Base!$G:$K,5,0),0)</f>
        <v>0</v>
      </c>
      <c r="BF93" s="101">
        <f>IFERROR(VLOOKUP($E93&amp;BE$6,Base!$M:$Q,5,0),0)</f>
        <v>0</v>
      </c>
      <c r="BG93" s="109">
        <v>0</v>
      </c>
      <c r="BI93" s="104">
        <f t="shared" si="44"/>
        <v>0</v>
      </c>
      <c r="BJ93" s="99">
        <f t="shared" si="45"/>
        <v>0</v>
      </c>
      <c r="BK93" s="99">
        <f t="shared" si="46"/>
        <v>0</v>
      </c>
      <c r="BL93" s="111">
        <f t="shared" si="47"/>
        <v>0</v>
      </c>
      <c r="BM93" s="108">
        <f>IFERROR(VLOOKUP($E93&amp;BM$6,Base!$A:$E,5,0),0)</f>
        <v>0</v>
      </c>
      <c r="BN93" s="101">
        <f>IFERROR(VLOOKUP($E93&amp;BN$6,Base!$G:$K,5,0),0)</f>
        <v>6.5</v>
      </c>
      <c r="BO93" s="101">
        <f>IFERROR(VLOOKUP($E93&amp;BN$6,Base!$M:$Q,5,0),0)</f>
        <v>0</v>
      </c>
      <c r="BP93" s="109">
        <v>0</v>
      </c>
      <c r="BQ93" s="108">
        <f>IFERROR(VLOOKUP($E93&amp;BQ$6,Base!$A:$E,5,0),0)</f>
        <v>0</v>
      </c>
      <c r="BR93" s="101">
        <f>IFERROR(VLOOKUP($E93&amp;BR$6,Base!$G:$K,5,0),0)</f>
        <v>-6.5</v>
      </c>
      <c r="BS93" s="101">
        <f>IFERROR(VLOOKUP($E93&amp;BR$6,Base!$M:$Q,5,0),0)</f>
        <v>0</v>
      </c>
      <c r="BT93" s="109">
        <v>0</v>
      </c>
      <c r="BU93" s="108">
        <f>IFERROR(VLOOKUP($E93&amp;BU$6,Base!$A:$E,5,0),0)</f>
        <v>0</v>
      </c>
      <c r="BV93" s="101">
        <f>IFERROR(VLOOKUP($E93&amp;BV$6,Base!$G:$K,5,0),0)</f>
        <v>0</v>
      </c>
      <c r="BW93" s="101">
        <f>IFERROR(VLOOKUP($E93&amp;BV$6,Base!$M:$Q,5,0),0)</f>
        <v>0</v>
      </c>
      <c r="BX93" s="109">
        <f>IFERROR(VLOOKUP($E93,Base!$U:$W,3,0),0)</f>
        <v>0</v>
      </c>
    </row>
    <row r="94" spans="2:76" x14ac:dyDescent="0.35">
      <c r="B94" s="53" t="s">
        <v>97</v>
      </c>
      <c r="C94" s="51">
        <v>3655</v>
      </c>
      <c r="D94" s="51" t="s">
        <v>77</v>
      </c>
      <c r="E94" s="51">
        <v>182641</v>
      </c>
      <c r="F94" s="96" t="s">
        <v>305</v>
      </c>
      <c r="G94" s="42" t="s">
        <v>121</v>
      </c>
      <c r="H94" s="98" t="s">
        <v>134</v>
      </c>
      <c r="I94" s="143" t="s">
        <v>144</v>
      </c>
      <c r="J94" s="104">
        <f t="shared" si="33"/>
        <v>0</v>
      </c>
      <c r="K94" s="99">
        <f t="shared" si="34"/>
        <v>0</v>
      </c>
      <c r="L94" s="99">
        <f t="shared" si="35"/>
        <v>0</v>
      </c>
      <c r="M94" s="105">
        <f t="shared" si="36"/>
        <v>0</v>
      </c>
      <c r="N94" s="108">
        <f>IFERROR(VLOOKUP($E94&amp;N$6,Base!$A:$E,5,0),0)</f>
        <v>0</v>
      </c>
      <c r="O94" s="101">
        <v>0</v>
      </c>
      <c r="P94" s="101">
        <v>0</v>
      </c>
      <c r="Q94" s="101"/>
      <c r="R94" s="108">
        <f>IFERROR(VLOOKUP($E94&amp;R$6,Base!$A:$E,5,0),0)</f>
        <v>0</v>
      </c>
      <c r="S94" s="101">
        <f>IFERROR(VLOOKUP($E94&amp;S$6,Base!$G:$K,5,0),0)</f>
        <v>0</v>
      </c>
      <c r="T94" s="101">
        <f>IFERROR(VLOOKUP($E94&amp;S$6,Base!$M:$Q,5,0),0)</f>
        <v>0</v>
      </c>
      <c r="U94" s="109"/>
      <c r="V94" s="108">
        <f>IFERROR(VLOOKUP($E94&amp;V$6,Base!$A:$E,5,0),0)</f>
        <v>0</v>
      </c>
      <c r="W94" s="101">
        <f>IFERROR(VLOOKUP($E94&amp;W$6,Base!$G:$K,5,0),0)</f>
        <v>0</v>
      </c>
      <c r="X94" s="101">
        <f>IFERROR(VLOOKUP($E94&amp;W$6,Base!$M:$Q,5,0),0)</f>
        <v>0</v>
      </c>
      <c r="Y94" s="109"/>
      <c r="AA94" s="104">
        <f t="shared" si="37"/>
        <v>0</v>
      </c>
      <c r="AB94" s="99">
        <f t="shared" si="38"/>
        <v>0</v>
      </c>
      <c r="AC94" s="99">
        <f t="shared" si="39"/>
        <v>0</v>
      </c>
      <c r="AD94" s="105">
        <f t="shared" si="40"/>
        <v>0</v>
      </c>
      <c r="AE94" s="108">
        <f>IFERROR(VLOOKUP($E94&amp;AE$6,Base!$A:$E,5,0),0)</f>
        <v>0</v>
      </c>
      <c r="AF94" s="101">
        <f>IFERROR(VLOOKUP($E94&amp;AF$6,Base!$G:$K,5,0),0)</f>
        <v>0</v>
      </c>
      <c r="AG94" s="101">
        <f>IFERROR(VLOOKUP($E94&amp;AF$6,Base!$M:$Q,5,0),0)</f>
        <v>0</v>
      </c>
      <c r="AH94" s="109"/>
      <c r="AI94" s="108">
        <f>IFERROR(VLOOKUP($E94&amp;AI$6,Base!$A:$E,5,0),0)</f>
        <v>0</v>
      </c>
      <c r="AJ94" s="101">
        <f>IFERROR(VLOOKUP($E94&amp;AJ$6,Base!$G:$K,5,0),0)</f>
        <v>0</v>
      </c>
      <c r="AK94" s="101">
        <f>IFERROR(VLOOKUP($E94&amp;AJ$6,Base!$M:$Q,5,0),0)</f>
        <v>0</v>
      </c>
      <c r="AL94" s="109">
        <v>0</v>
      </c>
      <c r="AM94" s="108">
        <f>IFERROR(VLOOKUP($E94&amp;AM$6,Base!$A:$E,5,0),0)</f>
        <v>0</v>
      </c>
      <c r="AN94" s="101">
        <f>IFERROR(VLOOKUP($E94&amp;AN$6,Base!$G:$K,5,0),0)</f>
        <v>0</v>
      </c>
      <c r="AO94" s="101">
        <f>IFERROR(VLOOKUP($E94&amp;AN$6,Base!$M:$Q,5,0),0)</f>
        <v>0</v>
      </c>
      <c r="AP94" s="109"/>
      <c r="AR94" s="104">
        <f t="shared" si="41"/>
        <v>0</v>
      </c>
      <c r="AS94" s="99">
        <f t="shared" si="42"/>
        <v>0</v>
      </c>
      <c r="AT94" s="99">
        <f t="shared" si="43"/>
        <v>0</v>
      </c>
      <c r="AU94" s="105">
        <f t="shared" si="49"/>
        <v>0</v>
      </c>
      <c r="AV94" s="108">
        <f>IFERROR(VLOOKUP($E94&amp;AV$6,Base!$A:$E,5,0),0)</f>
        <v>0</v>
      </c>
      <c r="AW94" s="101">
        <f>IFERROR(VLOOKUP($E94&amp;AW$6,Base!$G:$K,5,0),0)</f>
        <v>0</v>
      </c>
      <c r="AX94" s="101">
        <f>IFERROR(VLOOKUP($E94&amp;AW$6,Base!$M:$Q,5,0),0)</f>
        <v>0</v>
      </c>
      <c r="AY94" s="109">
        <v>0</v>
      </c>
      <c r="AZ94" s="108">
        <f>IFERROR(VLOOKUP($E94&amp;AZ$6,Base!$A:$E,5,0),0)</f>
        <v>0</v>
      </c>
      <c r="BA94" s="101">
        <f>IFERROR(VLOOKUP($E94&amp;BA$6,Base!$G:$K,5,0),0)</f>
        <v>0</v>
      </c>
      <c r="BB94" s="101">
        <f>IFERROR(VLOOKUP($E94&amp;BA$6,Base!$M:$Q,5,0),0)</f>
        <v>0</v>
      </c>
      <c r="BC94" s="109">
        <v>0</v>
      </c>
      <c r="BD94" s="108">
        <f>IFERROR(VLOOKUP($E94&amp;BD$6,Base!$A:$E,5,0),0)</f>
        <v>0</v>
      </c>
      <c r="BE94" s="101">
        <f>IFERROR(VLOOKUP($E94&amp;BE$6,Base!$G:$K,5,0),0)</f>
        <v>0</v>
      </c>
      <c r="BF94" s="101">
        <f>IFERROR(VLOOKUP($E94&amp;BE$6,Base!$M:$Q,5,0),0)</f>
        <v>0</v>
      </c>
      <c r="BG94" s="109">
        <v>0</v>
      </c>
      <c r="BI94" s="104">
        <f t="shared" si="44"/>
        <v>0</v>
      </c>
      <c r="BJ94" s="99">
        <f t="shared" si="45"/>
        <v>0</v>
      </c>
      <c r="BK94" s="99">
        <f t="shared" si="46"/>
        <v>0</v>
      </c>
      <c r="BL94" s="111">
        <f t="shared" si="47"/>
        <v>0</v>
      </c>
      <c r="BM94" s="108">
        <f>IFERROR(VLOOKUP($E94&amp;BM$6,Base!$A:$E,5,0),0)</f>
        <v>0</v>
      </c>
      <c r="BN94" s="101">
        <f>IFERROR(VLOOKUP($E94&amp;BN$6,Base!$G:$K,5,0),0)</f>
        <v>0</v>
      </c>
      <c r="BO94" s="101">
        <f>IFERROR(VLOOKUP($E94&amp;BN$6,Base!$M:$Q,5,0),0)</f>
        <v>0</v>
      </c>
      <c r="BP94" s="109">
        <v>0</v>
      </c>
      <c r="BQ94" s="108">
        <f>IFERROR(VLOOKUP($E94&amp;BQ$6,Base!$A:$E,5,0),0)</f>
        <v>0</v>
      </c>
      <c r="BR94" s="101">
        <f>IFERROR(VLOOKUP($E94&amp;BR$6,Base!$G:$K,5,0),0)</f>
        <v>0</v>
      </c>
      <c r="BS94" s="101">
        <f>IFERROR(VLOOKUP($E94&amp;BR$6,Base!$M:$Q,5,0),0)</f>
        <v>0</v>
      </c>
      <c r="BT94" s="109">
        <v>0</v>
      </c>
      <c r="BU94" s="108">
        <f>IFERROR(VLOOKUP($E94&amp;BU$6,Base!$A:$E,5,0),0)</f>
        <v>0</v>
      </c>
      <c r="BV94" s="101">
        <f>IFERROR(VLOOKUP($E94&amp;BV$6,Base!$G:$K,5,0),0)</f>
        <v>0</v>
      </c>
      <c r="BW94" s="101">
        <f>IFERROR(VLOOKUP($E94&amp;BV$6,Base!$M:$Q,5,0),0)</f>
        <v>0</v>
      </c>
      <c r="BX94" s="109">
        <f>IFERROR(VLOOKUP($E94,Base!$U:$W,3,0),0)</f>
        <v>0</v>
      </c>
    </row>
    <row r="95" spans="2:76" x14ac:dyDescent="0.35">
      <c r="B95" s="53" t="s">
        <v>97</v>
      </c>
      <c r="C95" s="51">
        <v>3655</v>
      </c>
      <c r="D95" s="51" t="s">
        <v>77</v>
      </c>
      <c r="E95" s="51">
        <v>183292</v>
      </c>
      <c r="F95" s="96" t="s">
        <v>280</v>
      </c>
      <c r="G95" s="42" t="s">
        <v>122</v>
      </c>
      <c r="H95" s="98" t="s">
        <v>134</v>
      </c>
      <c r="I95" s="143" t="s">
        <v>144</v>
      </c>
      <c r="J95" s="104">
        <f t="shared" si="33"/>
        <v>0</v>
      </c>
      <c r="K95" s="99">
        <f t="shared" si="34"/>
        <v>0</v>
      </c>
      <c r="L95" s="99">
        <f t="shared" si="35"/>
        <v>0</v>
      </c>
      <c r="M95" s="105">
        <f t="shared" si="36"/>
        <v>0</v>
      </c>
      <c r="N95" s="108">
        <f>IFERROR(VLOOKUP($E95&amp;N$6,Base!$A:$E,5,0),0)</f>
        <v>0</v>
      </c>
      <c r="O95" s="101">
        <v>0</v>
      </c>
      <c r="P95" s="101">
        <v>0</v>
      </c>
      <c r="Q95" s="101"/>
      <c r="R95" s="108">
        <f>IFERROR(VLOOKUP($E95&amp;R$6,Base!$A:$E,5,0),0)</f>
        <v>0</v>
      </c>
      <c r="S95" s="101">
        <f>IFERROR(VLOOKUP($E95&amp;S$6,Base!$G:$K,5,0),0)</f>
        <v>0</v>
      </c>
      <c r="T95" s="101">
        <f>IFERROR(VLOOKUP($E95&amp;S$6,Base!$M:$Q,5,0),0)</f>
        <v>0</v>
      </c>
      <c r="U95" s="109"/>
      <c r="V95" s="108">
        <f>IFERROR(VLOOKUP($E95&amp;V$6,Base!$A:$E,5,0),0)</f>
        <v>0</v>
      </c>
      <c r="W95" s="101">
        <f>IFERROR(VLOOKUP($E95&amp;W$6,Base!$G:$K,5,0),0)</f>
        <v>0</v>
      </c>
      <c r="X95" s="101">
        <f>IFERROR(VLOOKUP($E95&amp;W$6,Base!$M:$Q,5,0),0)</f>
        <v>0</v>
      </c>
      <c r="Y95" s="109"/>
      <c r="AA95" s="104">
        <f t="shared" si="37"/>
        <v>0</v>
      </c>
      <c r="AB95" s="99">
        <f t="shared" si="38"/>
        <v>0</v>
      </c>
      <c r="AC95" s="99">
        <f t="shared" si="39"/>
        <v>0</v>
      </c>
      <c r="AD95" s="105">
        <f t="shared" si="40"/>
        <v>0</v>
      </c>
      <c r="AE95" s="108">
        <f>IFERROR(VLOOKUP($E95&amp;AE$6,Base!$A:$E,5,0),0)</f>
        <v>0</v>
      </c>
      <c r="AF95" s="101">
        <f>IFERROR(VLOOKUP($E95&amp;AF$6,Base!$G:$K,5,0),0)</f>
        <v>0</v>
      </c>
      <c r="AG95" s="101">
        <f>IFERROR(VLOOKUP($E95&amp;AF$6,Base!$M:$Q,5,0),0)</f>
        <v>0</v>
      </c>
      <c r="AH95" s="109"/>
      <c r="AI95" s="108">
        <f>IFERROR(VLOOKUP($E95&amp;AI$6,Base!$A:$E,5,0),0)</f>
        <v>0</v>
      </c>
      <c r="AJ95" s="101">
        <f>IFERROR(VLOOKUP($E95&amp;AJ$6,Base!$G:$K,5,0),0)</f>
        <v>0</v>
      </c>
      <c r="AK95" s="101">
        <f>IFERROR(VLOOKUP($E95&amp;AJ$6,Base!$M:$Q,5,0),0)</f>
        <v>0</v>
      </c>
      <c r="AL95" s="109">
        <v>0</v>
      </c>
      <c r="AM95" s="108">
        <f>IFERROR(VLOOKUP($E95&amp;AM$6,Base!$A:$E,5,0),0)</f>
        <v>0</v>
      </c>
      <c r="AN95" s="101">
        <f>IFERROR(VLOOKUP($E95&amp;AN$6,Base!$G:$K,5,0),0)</f>
        <v>0</v>
      </c>
      <c r="AO95" s="101">
        <f>IFERROR(VLOOKUP($E95&amp;AN$6,Base!$M:$Q,5,0),0)</f>
        <v>0</v>
      </c>
      <c r="AP95" s="109"/>
      <c r="AR95" s="104">
        <f t="shared" si="41"/>
        <v>0</v>
      </c>
      <c r="AS95" s="99">
        <f t="shared" si="42"/>
        <v>0</v>
      </c>
      <c r="AT95" s="99">
        <f t="shared" si="43"/>
        <v>0</v>
      </c>
      <c r="AU95" s="105">
        <f t="shared" si="49"/>
        <v>0</v>
      </c>
      <c r="AV95" s="108">
        <f>IFERROR(VLOOKUP($E95&amp;AV$6,Base!$A:$E,5,0),0)</f>
        <v>0</v>
      </c>
      <c r="AW95" s="101">
        <f>IFERROR(VLOOKUP($E95&amp;AW$6,Base!$G:$K,5,0),0)</f>
        <v>0</v>
      </c>
      <c r="AX95" s="101">
        <f>IFERROR(VLOOKUP($E95&amp;AW$6,Base!$M:$Q,5,0),0)</f>
        <v>0</v>
      </c>
      <c r="AY95" s="109">
        <v>0</v>
      </c>
      <c r="AZ95" s="108">
        <f>IFERROR(VLOOKUP($E95&amp;AZ$6,Base!$A:$E,5,0),0)</f>
        <v>0</v>
      </c>
      <c r="BA95" s="101">
        <f>IFERROR(VLOOKUP($E95&amp;BA$6,Base!$G:$K,5,0),0)</f>
        <v>0</v>
      </c>
      <c r="BB95" s="101">
        <f>IFERROR(VLOOKUP($E95&amp;BA$6,Base!$M:$Q,5,0),0)</f>
        <v>0</v>
      </c>
      <c r="BC95" s="109">
        <v>0</v>
      </c>
      <c r="BD95" s="108">
        <f>IFERROR(VLOOKUP($E95&amp;BD$6,Base!$A:$E,5,0),0)</f>
        <v>0</v>
      </c>
      <c r="BE95" s="101">
        <f>IFERROR(VLOOKUP($E95&amp;BE$6,Base!$G:$K,5,0),0)</f>
        <v>0</v>
      </c>
      <c r="BF95" s="101">
        <f>IFERROR(VLOOKUP($E95&amp;BE$6,Base!$M:$Q,5,0),0)</f>
        <v>0</v>
      </c>
      <c r="BG95" s="109">
        <v>0</v>
      </c>
      <c r="BI95" s="104">
        <f t="shared" si="44"/>
        <v>0</v>
      </c>
      <c r="BJ95" s="99">
        <f t="shared" si="45"/>
        <v>0</v>
      </c>
      <c r="BK95" s="99">
        <f t="shared" si="46"/>
        <v>0</v>
      </c>
      <c r="BL95" s="111">
        <f t="shared" si="47"/>
        <v>0</v>
      </c>
      <c r="BM95" s="108">
        <f>IFERROR(VLOOKUP($E95&amp;BM$6,Base!$A:$E,5,0),0)</f>
        <v>0</v>
      </c>
      <c r="BN95" s="101">
        <f>IFERROR(VLOOKUP($E95&amp;BN$6,Base!$G:$K,5,0),0)</f>
        <v>0</v>
      </c>
      <c r="BO95" s="101">
        <f>IFERROR(VLOOKUP($E95&amp;BN$6,Base!$M:$Q,5,0),0)</f>
        <v>0</v>
      </c>
      <c r="BP95" s="109">
        <v>0</v>
      </c>
      <c r="BQ95" s="108">
        <f>IFERROR(VLOOKUP($E95&amp;BQ$6,Base!$A:$E,5,0),0)</f>
        <v>0</v>
      </c>
      <c r="BR95" s="101">
        <f>IFERROR(VLOOKUP($E95&amp;BR$6,Base!$G:$K,5,0),0)</f>
        <v>0</v>
      </c>
      <c r="BS95" s="101">
        <f>IFERROR(VLOOKUP($E95&amp;BR$6,Base!$M:$Q,5,0),0)</f>
        <v>0</v>
      </c>
      <c r="BT95" s="109">
        <v>0</v>
      </c>
      <c r="BU95" s="108">
        <f>IFERROR(VLOOKUP($E95&amp;BU$6,Base!$A:$E,5,0),0)</f>
        <v>0</v>
      </c>
      <c r="BV95" s="101">
        <f>IFERROR(VLOOKUP($E95&amp;BV$6,Base!$G:$K,5,0),0)</f>
        <v>0</v>
      </c>
      <c r="BW95" s="101">
        <f>IFERROR(VLOOKUP($E95&amp;BV$6,Base!$M:$Q,5,0),0)</f>
        <v>0</v>
      </c>
      <c r="BX95" s="109">
        <f>IFERROR(VLOOKUP($E95,Base!$U:$W,3,0),0)</f>
        <v>0</v>
      </c>
    </row>
    <row r="96" spans="2:76" x14ac:dyDescent="0.35">
      <c r="B96" s="53" t="s">
        <v>97</v>
      </c>
      <c r="C96" s="51">
        <v>3655</v>
      </c>
      <c r="D96" s="51" t="s">
        <v>77</v>
      </c>
      <c r="E96" s="51">
        <v>48796</v>
      </c>
      <c r="F96" s="96" t="s">
        <v>234</v>
      </c>
      <c r="G96" s="42" t="s">
        <v>128</v>
      </c>
      <c r="H96" s="98" t="s">
        <v>134</v>
      </c>
      <c r="I96" s="143" t="s">
        <v>144</v>
      </c>
      <c r="J96" s="104">
        <f t="shared" si="33"/>
        <v>0</v>
      </c>
      <c r="K96" s="99">
        <f t="shared" si="34"/>
        <v>0</v>
      </c>
      <c r="L96" s="99">
        <f t="shared" si="35"/>
        <v>0</v>
      </c>
      <c r="M96" s="105">
        <f t="shared" si="36"/>
        <v>0</v>
      </c>
      <c r="N96" s="108">
        <f>IFERROR(VLOOKUP($E96&amp;N$6,Base!$A:$E,5,0),0)</f>
        <v>0</v>
      </c>
      <c r="O96" s="101">
        <v>0</v>
      </c>
      <c r="P96" s="101">
        <v>0</v>
      </c>
      <c r="Q96" s="101"/>
      <c r="R96" s="108">
        <f>IFERROR(VLOOKUP($E96&amp;R$6,Base!$A:$E,5,0),0)</f>
        <v>0</v>
      </c>
      <c r="S96" s="101">
        <f>IFERROR(VLOOKUP($E96&amp;S$6,Base!$G:$K,5,0),0)</f>
        <v>0</v>
      </c>
      <c r="T96" s="101">
        <f>IFERROR(VLOOKUP($E96&amp;S$6,Base!$M:$Q,5,0),0)</f>
        <v>0</v>
      </c>
      <c r="U96" s="109"/>
      <c r="V96" s="108">
        <f>IFERROR(VLOOKUP($E96&amp;V$6,Base!$A:$E,5,0),0)</f>
        <v>0</v>
      </c>
      <c r="W96" s="101">
        <f>IFERROR(VLOOKUP($E96&amp;W$6,Base!$G:$K,5,0),0)</f>
        <v>0</v>
      </c>
      <c r="X96" s="101">
        <f>IFERROR(VLOOKUP($E96&amp;W$6,Base!$M:$Q,5,0),0)</f>
        <v>0</v>
      </c>
      <c r="Y96" s="109"/>
      <c r="AA96" s="104">
        <f t="shared" si="37"/>
        <v>0</v>
      </c>
      <c r="AB96" s="99">
        <f t="shared" si="38"/>
        <v>0</v>
      </c>
      <c r="AC96" s="99">
        <f t="shared" si="39"/>
        <v>0</v>
      </c>
      <c r="AD96" s="105">
        <f t="shared" si="40"/>
        <v>0</v>
      </c>
      <c r="AE96" s="108">
        <f>IFERROR(VLOOKUP($E96&amp;AE$6,Base!$A:$E,5,0),0)</f>
        <v>0</v>
      </c>
      <c r="AF96" s="101">
        <f>IFERROR(VLOOKUP($E96&amp;AF$6,Base!$G:$K,5,0),0)</f>
        <v>0</v>
      </c>
      <c r="AG96" s="101">
        <f>IFERROR(VLOOKUP($E96&amp;AF$6,Base!$M:$Q,5,0),0)</f>
        <v>0</v>
      </c>
      <c r="AH96" s="109"/>
      <c r="AI96" s="108">
        <f>IFERROR(VLOOKUP($E96&amp;AI$6,Base!$A:$E,5,0),0)</f>
        <v>0</v>
      </c>
      <c r="AJ96" s="101">
        <f>IFERROR(VLOOKUP($E96&amp;AJ$6,Base!$G:$K,5,0),0)</f>
        <v>0</v>
      </c>
      <c r="AK96" s="101">
        <f>IFERROR(VLOOKUP($E96&amp;AJ$6,Base!$M:$Q,5,0),0)</f>
        <v>0</v>
      </c>
      <c r="AL96" s="109">
        <v>0</v>
      </c>
      <c r="AM96" s="108">
        <f>IFERROR(VLOOKUP($E96&amp;AM$6,Base!$A:$E,5,0),0)</f>
        <v>0</v>
      </c>
      <c r="AN96" s="101">
        <f>IFERROR(VLOOKUP($E96&amp;AN$6,Base!$G:$K,5,0),0)</f>
        <v>0</v>
      </c>
      <c r="AO96" s="101">
        <f>IFERROR(VLOOKUP($E96&amp;AN$6,Base!$M:$Q,5,0),0)</f>
        <v>0</v>
      </c>
      <c r="AP96" s="109"/>
      <c r="AR96" s="104">
        <f t="shared" si="41"/>
        <v>0</v>
      </c>
      <c r="AS96" s="99">
        <f t="shared" si="42"/>
        <v>0</v>
      </c>
      <c r="AT96" s="99">
        <f t="shared" si="43"/>
        <v>0</v>
      </c>
      <c r="AU96" s="105">
        <f t="shared" si="49"/>
        <v>0</v>
      </c>
      <c r="AV96" s="108">
        <f>IFERROR(VLOOKUP($E96&amp;AV$6,Base!$A:$E,5,0),0)</f>
        <v>0</v>
      </c>
      <c r="AW96" s="101">
        <f>IFERROR(VLOOKUP($E96&amp;AW$6,Base!$G:$K,5,0),0)</f>
        <v>0</v>
      </c>
      <c r="AX96" s="101">
        <f>IFERROR(VLOOKUP($E96&amp;AW$6,Base!$M:$Q,5,0),0)</f>
        <v>0</v>
      </c>
      <c r="AY96" s="109">
        <v>0</v>
      </c>
      <c r="AZ96" s="108">
        <f>IFERROR(VLOOKUP($E96&amp;AZ$6,Base!$A:$E,5,0),0)</f>
        <v>0</v>
      </c>
      <c r="BA96" s="101">
        <f>IFERROR(VLOOKUP($E96&amp;BA$6,Base!$G:$K,5,0),0)</f>
        <v>0</v>
      </c>
      <c r="BB96" s="101">
        <f>IFERROR(VLOOKUP($E96&amp;BA$6,Base!$M:$Q,5,0),0)</f>
        <v>0</v>
      </c>
      <c r="BC96" s="109">
        <v>0</v>
      </c>
      <c r="BD96" s="108">
        <f>IFERROR(VLOOKUP($E96&amp;BD$6,Base!$A:$E,5,0),0)</f>
        <v>0</v>
      </c>
      <c r="BE96" s="101">
        <f>IFERROR(VLOOKUP($E96&amp;BE$6,Base!$G:$K,5,0),0)</f>
        <v>0</v>
      </c>
      <c r="BF96" s="101">
        <f>IFERROR(VLOOKUP($E96&amp;BE$6,Base!$M:$Q,5,0),0)</f>
        <v>0</v>
      </c>
      <c r="BG96" s="109">
        <v>0</v>
      </c>
      <c r="BI96" s="104">
        <f t="shared" si="44"/>
        <v>0</v>
      </c>
      <c r="BJ96" s="99">
        <f t="shared" si="45"/>
        <v>6.5</v>
      </c>
      <c r="BK96" s="99">
        <f t="shared" si="46"/>
        <v>0</v>
      </c>
      <c r="BL96" s="111">
        <f t="shared" si="47"/>
        <v>0</v>
      </c>
      <c r="BM96" s="108">
        <f>IFERROR(VLOOKUP($E96&amp;BM$6,Base!$A:$E,5,0),0)</f>
        <v>0</v>
      </c>
      <c r="BN96" s="101">
        <f>IFERROR(VLOOKUP($E96&amp;BN$6,Base!$G:$K,5,0),0)</f>
        <v>6.5</v>
      </c>
      <c r="BO96" s="101">
        <f>IFERROR(VLOOKUP($E96&amp;BN$6,Base!$M:$Q,5,0),0)</f>
        <v>0</v>
      </c>
      <c r="BP96" s="109">
        <v>0</v>
      </c>
      <c r="BQ96" s="108">
        <f>IFERROR(VLOOKUP($E96&amp;BQ$6,Base!$A:$E,5,0),0)</f>
        <v>0</v>
      </c>
      <c r="BR96" s="101">
        <f>IFERROR(VLOOKUP($E96&amp;BR$6,Base!$G:$K,5,0),0)</f>
        <v>0</v>
      </c>
      <c r="BS96" s="101">
        <f>IFERROR(VLOOKUP($E96&amp;BR$6,Base!$M:$Q,5,0),0)</f>
        <v>0</v>
      </c>
      <c r="BT96" s="109">
        <v>0</v>
      </c>
      <c r="BU96" s="108">
        <f>IFERROR(VLOOKUP($E96&amp;BU$6,Base!$A:$E,5,0),0)</f>
        <v>0</v>
      </c>
      <c r="BV96" s="101">
        <f>IFERROR(VLOOKUP($E96&amp;BV$6,Base!$G:$K,5,0),0)</f>
        <v>0</v>
      </c>
      <c r="BW96" s="101">
        <f>IFERROR(VLOOKUP($E96&amp;BV$6,Base!$M:$Q,5,0),0)</f>
        <v>0</v>
      </c>
      <c r="BX96" s="109">
        <f>IFERROR(VLOOKUP($E96,Base!$U:$W,3,0),0)</f>
        <v>0</v>
      </c>
    </row>
    <row r="97" spans="2:76" x14ac:dyDescent="0.35">
      <c r="B97" s="53" t="s">
        <v>97</v>
      </c>
      <c r="C97" s="51">
        <v>3655</v>
      </c>
      <c r="D97" s="51" t="s">
        <v>77</v>
      </c>
      <c r="E97" s="51">
        <v>133136</v>
      </c>
      <c r="F97" s="96" t="s">
        <v>236</v>
      </c>
      <c r="G97" s="42" t="s">
        <v>128</v>
      </c>
      <c r="H97" s="98" t="s">
        <v>134</v>
      </c>
      <c r="I97" s="143" t="s">
        <v>144</v>
      </c>
      <c r="J97" s="104">
        <f t="shared" si="33"/>
        <v>0</v>
      </c>
      <c r="K97" s="99">
        <f t="shared" si="34"/>
        <v>0</v>
      </c>
      <c r="L97" s="99">
        <f t="shared" si="35"/>
        <v>0</v>
      </c>
      <c r="M97" s="105">
        <f t="shared" si="36"/>
        <v>0</v>
      </c>
      <c r="N97" s="108">
        <f>IFERROR(VLOOKUP($E97&amp;N$6,Base!$A:$E,5,0),0)</f>
        <v>0</v>
      </c>
      <c r="O97" s="101">
        <v>0</v>
      </c>
      <c r="P97" s="101">
        <v>0</v>
      </c>
      <c r="Q97" s="101"/>
      <c r="R97" s="108">
        <f>IFERROR(VLOOKUP($E97&amp;R$6,Base!$A:$E,5,0),0)</f>
        <v>0</v>
      </c>
      <c r="S97" s="101">
        <f>IFERROR(VLOOKUP($E97&amp;S$6,Base!$G:$K,5,0),0)</f>
        <v>0</v>
      </c>
      <c r="T97" s="101">
        <f>IFERROR(VLOOKUP($E97&amp;S$6,Base!$M:$Q,5,0),0)</f>
        <v>0</v>
      </c>
      <c r="U97" s="109"/>
      <c r="V97" s="108">
        <f>IFERROR(VLOOKUP($E97&amp;V$6,Base!$A:$E,5,0),0)</f>
        <v>0</v>
      </c>
      <c r="W97" s="101">
        <f>IFERROR(VLOOKUP($E97&amp;W$6,Base!$G:$K,5,0),0)</f>
        <v>0</v>
      </c>
      <c r="X97" s="101">
        <f>IFERROR(VLOOKUP($E97&amp;W$6,Base!$M:$Q,5,0),0)</f>
        <v>0</v>
      </c>
      <c r="Y97" s="109"/>
      <c r="AA97" s="104">
        <f t="shared" si="37"/>
        <v>0</v>
      </c>
      <c r="AB97" s="99">
        <f t="shared" si="38"/>
        <v>0</v>
      </c>
      <c r="AC97" s="99">
        <f t="shared" si="39"/>
        <v>0</v>
      </c>
      <c r="AD97" s="105">
        <f t="shared" si="40"/>
        <v>0</v>
      </c>
      <c r="AE97" s="108">
        <f>IFERROR(VLOOKUP($E97&amp;AE$6,Base!$A:$E,5,0),0)</f>
        <v>0</v>
      </c>
      <c r="AF97" s="101">
        <f>IFERROR(VLOOKUP($E97&amp;AF$6,Base!$G:$K,5,0),0)</f>
        <v>0</v>
      </c>
      <c r="AG97" s="101">
        <f>IFERROR(VLOOKUP($E97&amp;AF$6,Base!$M:$Q,5,0),0)</f>
        <v>0</v>
      </c>
      <c r="AH97" s="109"/>
      <c r="AI97" s="108">
        <f>IFERROR(VLOOKUP($E97&amp;AI$6,Base!$A:$E,5,0),0)</f>
        <v>0</v>
      </c>
      <c r="AJ97" s="101">
        <f>IFERROR(VLOOKUP($E97&amp;AJ$6,Base!$G:$K,5,0),0)</f>
        <v>0</v>
      </c>
      <c r="AK97" s="101">
        <f>IFERROR(VLOOKUP($E97&amp;AJ$6,Base!$M:$Q,5,0),0)</f>
        <v>0</v>
      </c>
      <c r="AL97" s="109">
        <v>0</v>
      </c>
      <c r="AM97" s="108">
        <f>IFERROR(VLOOKUP($E97&amp;AM$6,Base!$A:$E,5,0),0)</f>
        <v>0</v>
      </c>
      <c r="AN97" s="101">
        <f>IFERROR(VLOOKUP($E97&amp;AN$6,Base!$G:$K,5,0),0)</f>
        <v>0</v>
      </c>
      <c r="AO97" s="101">
        <f>IFERROR(VLOOKUP($E97&amp;AN$6,Base!$M:$Q,5,0),0)</f>
        <v>0</v>
      </c>
      <c r="AP97" s="109"/>
      <c r="AR97" s="104">
        <f t="shared" si="41"/>
        <v>0</v>
      </c>
      <c r="AS97" s="99">
        <f t="shared" si="42"/>
        <v>0</v>
      </c>
      <c r="AT97" s="99">
        <f t="shared" si="43"/>
        <v>0</v>
      </c>
      <c r="AU97" s="105">
        <f t="shared" si="49"/>
        <v>0</v>
      </c>
      <c r="AV97" s="108">
        <f>IFERROR(VLOOKUP($E97&amp;AV$6,Base!$A:$E,5,0),0)</f>
        <v>0</v>
      </c>
      <c r="AW97" s="101">
        <f>IFERROR(VLOOKUP($E97&amp;AW$6,Base!$G:$K,5,0),0)</f>
        <v>0</v>
      </c>
      <c r="AX97" s="101">
        <f>IFERROR(VLOOKUP($E97&amp;AW$6,Base!$M:$Q,5,0),0)</f>
        <v>0</v>
      </c>
      <c r="AY97" s="109">
        <v>0</v>
      </c>
      <c r="AZ97" s="108">
        <f>IFERROR(VLOOKUP($E97&amp;AZ$6,Base!$A:$E,5,0),0)</f>
        <v>0</v>
      </c>
      <c r="BA97" s="101">
        <f>IFERROR(VLOOKUP($E97&amp;BA$6,Base!$G:$K,5,0),0)</f>
        <v>0</v>
      </c>
      <c r="BB97" s="101">
        <f>IFERROR(VLOOKUP($E97&amp;BA$6,Base!$M:$Q,5,0),0)</f>
        <v>0</v>
      </c>
      <c r="BC97" s="109">
        <v>0</v>
      </c>
      <c r="BD97" s="108">
        <f>IFERROR(VLOOKUP($E97&amp;BD$6,Base!$A:$E,5,0),0)</f>
        <v>0</v>
      </c>
      <c r="BE97" s="101">
        <f>IFERROR(VLOOKUP($E97&amp;BE$6,Base!$G:$K,5,0),0)</f>
        <v>0</v>
      </c>
      <c r="BF97" s="101">
        <f>IFERROR(VLOOKUP($E97&amp;BE$6,Base!$M:$Q,5,0),0)</f>
        <v>0</v>
      </c>
      <c r="BG97" s="109">
        <v>0</v>
      </c>
      <c r="BI97" s="104">
        <f t="shared" si="44"/>
        <v>0</v>
      </c>
      <c r="BJ97" s="99">
        <f t="shared" si="45"/>
        <v>6.5</v>
      </c>
      <c r="BK97" s="99">
        <f t="shared" si="46"/>
        <v>0</v>
      </c>
      <c r="BL97" s="111">
        <f t="shared" si="47"/>
        <v>0</v>
      </c>
      <c r="BM97" s="108">
        <f>IFERROR(VLOOKUP($E97&amp;BM$6,Base!$A:$E,5,0),0)</f>
        <v>0</v>
      </c>
      <c r="BN97" s="101">
        <f>IFERROR(VLOOKUP($E97&amp;BN$6,Base!$G:$K,5,0),0)</f>
        <v>6.5</v>
      </c>
      <c r="BO97" s="101">
        <f>IFERROR(VLOOKUP($E97&amp;BN$6,Base!$M:$Q,5,0),0)</f>
        <v>0</v>
      </c>
      <c r="BP97" s="109">
        <v>0</v>
      </c>
      <c r="BQ97" s="108">
        <f>IFERROR(VLOOKUP($E97&amp;BQ$6,Base!$A:$E,5,0),0)</f>
        <v>0</v>
      </c>
      <c r="BR97" s="101">
        <f>IFERROR(VLOOKUP($E97&amp;BR$6,Base!$G:$K,5,0),0)</f>
        <v>0</v>
      </c>
      <c r="BS97" s="101">
        <f>IFERROR(VLOOKUP($E97&amp;BR$6,Base!$M:$Q,5,0),0)</f>
        <v>0</v>
      </c>
      <c r="BT97" s="109">
        <v>0</v>
      </c>
      <c r="BU97" s="108">
        <f>IFERROR(VLOOKUP($E97&amp;BU$6,Base!$A:$E,5,0),0)</f>
        <v>0</v>
      </c>
      <c r="BV97" s="101">
        <f>IFERROR(VLOOKUP($E97&amp;BV$6,Base!$G:$K,5,0),0)</f>
        <v>0</v>
      </c>
      <c r="BW97" s="101">
        <f>IFERROR(VLOOKUP($E97&amp;BV$6,Base!$M:$Q,5,0),0)</f>
        <v>0</v>
      </c>
      <c r="BX97" s="109">
        <f>IFERROR(VLOOKUP($E97,Base!$U:$W,3,0),0)</f>
        <v>0</v>
      </c>
    </row>
    <row r="98" spans="2:76" x14ac:dyDescent="0.35">
      <c r="B98" s="53" t="s">
        <v>97</v>
      </c>
      <c r="C98" s="51">
        <v>3655</v>
      </c>
      <c r="D98" s="51" t="s">
        <v>77</v>
      </c>
      <c r="E98" s="51">
        <v>143032</v>
      </c>
      <c r="F98" s="96" t="s">
        <v>239</v>
      </c>
      <c r="G98" s="42" t="s">
        <v>128</v>
      </c>
      <c r="H98" s="98" t="s">
        <v>134</v>
      </c>
      <c r="I98" s="143" t="s">
        <v>144</v>
      </c>
      <c r="J98" s="104">
        <f t="shared" ref="J98:J107" si="50">N98+R98+V98</f>
        <v>0</v>
      </c>
      <c r="K98" s="99">
        <f t="shared" ref="K98:K107" si="51">O98+S98+W98</f>
        <v>0</v>
      </c>
      <c r="L98" s="99">
        <f t="shared" ref="L98:L107" si="52">P98+T98+X98</f>
        <v>0</v>
      </c>
      <c r="M98" s="105">
        <f t="shared" ref="M98:M107" si="53">Q98+U98+Y98</f>
        <v>0</v>
      </c>
      <c r="N98" s="108">
        <f>IFERROR(VLOOKUP($E98&amp;N$6,Base!$A:$E,5,0),0)</f>
        <v>0</v>
      </c>
      <c r="O98" s="101">
        <v>0</v>
      </c>
      <c r="P98" s="101">
        <v>0</v>
      </c>
      <c r="Q98" s="101"/>
      <c r="R98" s="108">
        <f>IFERROR(VLOOKUP($E98&amp;R$6,Base!$A:$E,5,0),0)</f>
        <v>0</v>
      </c>
      <c r="S98" s="101">
        <f>IFERROR(VLOOKUP($E98&amp;S$6,Base!$G:$K,5,0),0)</f>
        <v>0</v>
      </c>
      <c r="T98" s="101">
        <f>IFERROR(VLOOKUP($E98&amp;S$6,Base!$M:$Q,5,0),0)</f>
        <v>0</v>
      </c>
      <c r="U98" s="109"/>
      <c r="V98" s="108">
        <f>IFERROR(VLOOKUP($E98&amp;V$6,Base!$A:$E,5,0),0)</f>
        <v>0</v>
      </c>
      <c r="W98" s="101">
        <f>IFERROR(VLOOKUP($E98&amp;W$6,Base!$G:$K,5,0),0)</f>
        <v>0</v>
      </c>
      <c r="X98" s="101">
        <f>IFERROR(VLOOKUP($E98&amp;W$6,Base!$M:$Q,5,0),0)</f>
        <v>0</v>
      </c>
      <c r="Y98" s="109"/>
      <c r="AA98" s="104">
        <f t="shared" ref="AA98:AA107" si="54">AE98+AI98+AM98</f>
        <v>0</v>
      </c>
      <c r="AB98" s="99">
        <f t="shared" ref="AB98:AB107" si="55">AF98+AJ98+AN98</f>
        <v>0</v>
      </c>
      <c r="AC98" s="99">
        <f t="shared" ref="AC98:AC107" si="56">AG98+AK98+AO98</f>
        <v>0</v>
      </c>
      <c r="AD98" s="105">
        <f t="shared" ref="AD98:AD107" si="57">AH98+AL98+AP98</f>
        <v>0</v>
      </c>
      <c r="AE98" s="108">
        <f>IFERROR(VLOOKUP($E98&amp;AE$6,Base!$A:$E,5,0),0)</f>
        <v>0</v>
      </c>
      <c r="AF98" s="101">
        <f>IFERROR(VLOOKUP($E98&amp;AF$6,Base!$G:$K,5,0),0)</f>
        <v>0</v>
      </c>
      <c r="AG98" s="101">
        <f>IFERROR(VLOOKUP($E98&amp;AF$6,Base!$M:$Q,5,0),0)</f>
        <v>0</v>
      </c>
      <c r="AH98" s="109"/>
      <c r="AI98" s="108">
        <f>IFERROR(VLOOKUP($E98&amp;AI$6,Base!$A:$E,5,0),0)</f>
        <v>0</v>
      </c>
      <c r="AJ98" s="101">
        <f>IFERROR(VLOOKUP($E98&amp;AJ$6,Base!$G:$K,5,0),0)</f>
        <v>0</v>
      </c>
      <c r="AK98" s="101">
        <f>IFERROR(VLOOKUP($E98&amp;AJ$6,Base!$M:$Q,5,0),0)</f>
        <v>0</v>
      </c>
      <c r="AL98" s="109">
        <v>0</v>
      </c>
      <c r="AM98" s="108">
        <f>IFERROR(VLOOKUP($E98&amp;AM$6,Base!$A:$E,5,0),0)</f>
        <v>0</v>
      </c>
      <c r="AN98" s="101">
        <f>IFERROR(VLOOKUP($E98&amp;AN$6,Base!$G:$K,5,0),0)</f>
        <v>0</v>
      </c>
      <c r="AO98" s="101">
        <f>IFERROR(VLOOKUP($E98&amp;AN$6,Base!$M:$Q,5,0),0)</f>
        <v>0</v>
      </c>
      <c r="AP98" s="109"/>
      <c r="AR98" s="104">
        <f t="shared" ref="AR98:AR107" si="58">AV98+AZ98+BD98</f>
        <v>0</v>
      </c>
      <c r="AS98" s="99">
        <f t="shared" ref="AS98:AS107" si="59">AW98+BA98+BE98</f>
        <v>0</v>
      </c>
      <c r="AT98" s="99">
        <f t="shared" ref="AT98:AT107" si="60">AX98+BB98+BF98</f>
        <v>0</v>
      </c>
      <c r="AU98" s="105">
        <f t="shared" si="49"/>
        <v>0</v>
      </c>
      <c r="AV98" s="108">
        <f>IFERROR(VLOOKUP($E98&amp;AV$6,Base!$A:$E,5,0),0)</f>
        <v>0</v>
      </c>
      <c r="AW98" s="101">
        <f>IFERROR(VLOOKUP($E98&amp;AW$6,Base!$G:$K,5,0),0)</f>
        <v>0</v>
      </c>
      <c r="AX98" s="101">
        <f>IFERROR(VLOOKUP($E98&amp;AW$6,Base!$M:$Q,5,0),0)</f>
        <v>0</v>
      </c>
      <c r="AY98" s="109">
        <v>0</v>
      </c>
      <c r="AZ98" s="108">
        <f>IFERROR(VLOOKUP($E98&amp;AZ$6,Base!$A:$E,5,0),0)</f>
        <v>0</v>
      </c>
      <c r="BA98" s="101">
        <f>IFERROR(VLOOKUP($E98&amp;BA$6,Base!$G:$K,5,0),0)</f>
        <v>0</v>
      </c>
      <c r="BB98" s="101">
        <f>IFERROR(VLOOKUP($E98&amp;BA$6,Base!$M:$Q,5,0),0)</f>
        <v>0</v>
      </c>
      <c r="BC98" s="109">
        <v>0</v>
      </c>
      <c r="BD98" s="108">
        <f>IFERROR(VLOOKUP($E98&amp;BD$6,Base!$A:$E,5,0),0)</f>
        <v>0</v>
      </c>
      <c r="BE98" s="101">
        <f>IFERROR(VLOOKUP($E98&amp;BE$6,Base!$G:$K,5,0),0)</f>
        <v>0</v>
      </c>
      <c r="BF98" s="101">
        <f>IFERROR(VLOOKUP($E98&amp;BE$6,Base!$M:$Q,5,0),0)</f>
        <v>0</v>
      </c>
      <c r="BG98" s="109">
        <v>0</v>
      </c>
      <c r="BI98" s="104">
        <f t="shared" ref="BI98:BI107" si="61">BM98+BQ98+BU98</f>
        <v>0</v>
      </c>
      <c r="BJ98" s="99">
        <f t="shared" ref="BJ98:BJ107" si="62">BN98+BR98+BV98</f>
        <v>6.5</v>
      </c>
      <c r="BK98" s="99">
        <f t="shared" ref="BK98:BK107" si="63">BO98+BS98+BW98</f>
        <v>0</v>
      </c>
      <c r="BL98" s="111">
        <f t="shared" ref="BL98:BL107" si="64">BP98+BT98+BX98</f>
        <v>0</v>
      </c>
      <c r="BM98" s="108">
        <f>IFERROR(VLOOKUP($E98&amp;BM$6,Base!$A:$E,5,0),0)</f>
        <v>0</v>
      </c>
      <c r="BN98" s="101">
        <f>IFERROR(VLOOKUP($E98&amp;BN$6,Base!$G:$K,5,0),0)</f>
        <v>6.5</v>
      </c>
      <c r="BO98" s="101">
        <f>IFERROR(VLOOKUP($E98&amp;BN$6,Base!$M:$Q,5,0),0)</f>
        <v>0</v>
      </c>
      <c r="BP98" s="109">
        <v>0</v>
      </c>
      <c r="BQ98" s="108">
        <f>IFERROR(VLOOKUP($E98&amp;BQ$6,Base!$A:$E,5,0),0)</f>
        <v>0</v>
      </c>
      <c r="BR98" s="101">
        <f>IFERROR(VLOOKUP($E98&amp;BR$6,Base!$G:$K,5,0),0)</f>
        <v>0</v>
      </c>
      <c r="BS98" s="101">
        <f>IFERROR(VLOOKUP($E98&amp;BR$6,Base!$M:$Q,5,0),0)</f>
        <v>0</v>
      </c>
      <c r="BT98" s="109">
        <v>0</v>
      </c>
      <c r="BU98" s="108">
        <f>IFERROR(VLOOKUP($E98&amp;BU$6,Base!$A:$E,5,0),0)</f>
        <v>0</v>
      </c>
      <c r="BV98" s="101">
        <f>IFERROR(VLOOKUP($E98&amp;BV$6,Base!$G:$K,5,0),0)</f>
        <v>0</v>
      </c>
      <c r="BW98" s="101">
        <f>IFERROR(VLOOKUP($E98&amp;BV$6,Base!$M:$Q,5,0),0)</f>
        <v>0</v>
      </c>
      <c r="BX98" s="109">
        <f>IFERROR(VLOOKUP($E98,Base!$U:$W,3,0),0)</f>
        <v>0</v>
      </c>
    </row>
    <row r="99" spans="2:76" x14ac:dyDescent="0.35">
      <c r="B99" s="53" t="s">
        <v>97</v>
      </c>
      <c r="C99" s="51">
        <v>3655</v>
      </c>
      <c r="D99" s="51" t="s">
        <v>77</v>
      </c>
      <c r="E99" s="51">
        <v>152153</v>
      </c>
      <c r="F99" s="96" t="s">
        <v>242</v>
      </c>
      <c r="G99" s="42" t="s">
        <v>121</v>
      </c>
      <c r="H99" s="98" t="s">
        <v>134</v>
      </c>
      <c r="I99" s="143" t="s">
        <v>144</v>
      </c>
      <c r="J99" s="104">
        <f t="shared" si="50"/>
        <v>0</v>
      </c>
      <c r="K99" s="99">
        <f t="shared" si="51"/>
        <v>0</v>
      </c>
      <c r="L99" s="99">
        <f t="shared" si="52"/>
        <v>0</v>
      </c>
      <c r="M99" s="105">
        <f t="shared" si="53"/>
        <v>0</v>
      </c>
      <c r="N99" s="108">
        <f>IFERROR(VLOOKUP($E99&amp;N$6,Base!$A:$E,5,0),0)</f>
        <v>0</v>
      </c>
      <c r="O99" s="101">
        <v>0</v>
      </c>
      <c r="P99" s="101">
        <v>0</v>
      </c>
      <c r="Q99" s="101"/>
      <c r="R99" s="108">
        <f>IFERROR(VLOOKUP($E99&amp;R$6,Base!$A:$E,5,0),0)</f>
        <v>0</v>
      </c>
      <c r="S99" s="101">
        <f>IFERROR(VLOOKUP($E99&amp;S$6,Base!$G:$K,5,0),0)</f>
        <v>0</v>
      </c>
      <c r="T99" s="101">
        <f>IFERROR(VLOOKUP($E99&amp;S$6,Base!$M:$Q,5,0),0)</f>
        <v>0</v>
      </c>
      <c r="U99" s="109"/>
      <c r="V99" s="108">
        <f>IFERROR(VLOOKUP($E99&amp;V$6,Base!$A:$E,5,0),0)</f>
        <v>0</v>
      </c>
      <c r="W99" s="101">
        <f>IFERROR(VLOOKUP($E99&amp;W$6,Base!$G:$K,5,0),0)</f>
        <v>0</v>
      </c>
      <c r="X99" s="101">
        <f>IFERROR(VLOOKUP($E99&amp;W$6,Base!$M:$Q,5,0),0)</f>
        <v>0</v>
      </c>
      <c r="Y99" s="109"/>
      <c r="AA99" s="104">
        <f t="shared" si="54"/>
        <v>0</v>
      </c>
      <c r="AB99" s="99">
        <f t="shared" si="55"/>
        <v>0</v>
      </c>
      <c r="AC99" s="99">
        <f t="shared" si="56"/>
        <v>0</v>
      </c>
      <c r="AD99" s="105">
        <f t="shared" si="57"/>
        <v>0</v>
      </c>
      <c r="AE99" s="108">
        <f>IFERROR(VLOOKUP($E99&amp;AE$6,Base!$A:$E,5,0),0)</f>
        <v>0</v>
      </c>
      <c r="AF99" s="101">
        <f>IFERROR(VLOOKUP($E99&amp;AF$6,Base!$G:$K,5,0),0)</f>
        <v>0</v>
      </c>
      <c r="AG99" s="101">
        <f>IFERROR(VLOOKUP($E99&amp;AF$6,Base!$M:$Q,5,0),0)</f>
        <v>0</v>
      </c>
      <c r="AH99" s="109"/>
      <c r="AI99" s="108">
        <f>IFERROR(VLOOKUP($E99&amp;AI$6,Base!$A:$E,5,0),0)</f>
        <v>0</v>
      </c>
      <c r="AJ99" s="101">
        <f>IFERROR(VLOOKUP($E99&amp;AJ$6,Base!$G:$K,5,0),0)</f>
        <v>0</v>
      </c>
      <c r="AK99" s="101">
        <f>IFERROR(VLOOKUP($E99&amp;AJ$6,Base!$M:$Q,5,0),0)</f>
        <v>0</v>
      </c>
      <c r="AL99" s="109">
        <v>0</v>
      </c>
      <c r="AM99" s="108">
        <f>IFERROR(VLOOKUP($E99&amp;AM$6,Base!$A:$E,5,0),0)</f>
        <v>0</v>
      </c>
      <c r="AN99" s="101">
        <f>IFERROR(VLOOKUP($E99&amp;AN$6,Base!$G:$K,5,0),0)</f>
        <v>0</v>
      </c>
      <c r="AO99" s="101">
        <f>IFERROR(VLOOKUP($E99&amp;AN$6,Base!$M:$Q,5,0),0)</f>
        <v>0</v>
      </c>
      <c r="AP99" s="109"/>
      <c r="AR99" s="104">
        <f t="shared" si="58"/>
        <v>0</v>
      </c>
      <c r="AS99" s="99">
        <f t="shared" si="59"/>
        <v>0</v>
      </c>
      <c r="AT99" s="99">
        <f t="shared" si="60"/>
        <v>0</v>
      </c>
      <c r="AU99" s="105">
        <f t="shared" si="49"/>
        <v>0</v>
      </c>
      <c r="AV99" s="108">
        <f>IFERROR(VLOOKUP($E99&amp;AV$6,Base!$A:$E,5,0),0)</f>
        <v>0</v>
      </c>
      <c r="AW99" s="101">
        <f>IFERROR(VLOOKUP($E99&amp;AW$6,Base!$G:$K,5,0),0)</f>
        <v>0</v>
      </c>
      <c r="AX99" s="101">
        <f>IFERROR(VLOOKUP($E99&amp;AW$6,Base!$M:$Q,5,0),0)</f>
        <v>0</v>
      </c>
      <c r="AY99" s="109">
        <v>0</v>
      </c>
      <c r="AZ99" s="108">
        <f>IFERROR(VLOOKUP($E99&amp;AZ$6,Base!$A:$E,5,0),0)</f>
        <v>0</v>
      </c>
      <c r="BA99" s="101">
        <f>IFERROR(VLOOKUP($E99&amp;BA$6,Base!$G:$K,5,0),0)</f>
        <v>0</v>
      </c>
      <c r="BB99" s="101">
        <f>IFERROR(VLOOKUP($E99&amp;BA$6,Base!$M:$Q,5,0),0)</f>
        <v>0</v>
      </c>
      <c r="BC99" s="109">
        <v>0</v>
      </c>
      <c r="BD99" s="108">
        <f>IFERROR(VLOOKUP($E99&amp;BD$6,Base!$A:$E,5,0),0)</f>
        <v>0</v>
      </c>
      <c r="BE99" s="101">
        <f>IFERROR(VLOOKUP($E99&amp;BE$6,Base!$G:$K,5,0),0)</f>
        <v>0</v>
      </c>
      <c r="BF99" s="101">
        <f>IFERROR(VLOOKUP($E99&amp;BE$6,Base!$M:$Q,5,0),0)</f>
        <v>0</v>
      </c>
      <c r="BG99" s="109">
        <v>0</v>
      </c>
      <c r="BI99" s="104">
        <f t="shared" si="61"/>
        <v>0</v>
      </c>
      <c r="BJ99" s="99">
        <f t="shared" si="62"/>
        <v>0</v>
      </c>
      <c r="BK99" s="99">
        <f t="shared" si="63"/>
        <v>0</v>
      </c>
      <c r="BL99" s="111">
        <f t="shared" si="64"/>
        <v>0</v>
      </c>
      <c r="BM99" s="108">
        <f>IFERROR(VLOOKUP($E99&amp;BM$6,Base!$A:$E,5,0),0)</f>
        <v>0</v>
      </c>
      <c r="BN99" s="101">
        <f>IFERROR(VLOOKUP($E99&amp;BN$6,Base!$G:$K,5,0),0)</f>
        <v>0</v>
      </c>
      <c r="BO99" s="101">
        <f>IFERROR(VLOOKUP($E99&amp;BN$6,Base!$M:$Q,5,0),0)</f>
        <v>0</v>
      </c>
      <c r="BP99" s="109">
        <v>0</v>
      </c>
      <c r="BQ99" s="108">
        <f>IFERROR(VLOOKUP($E99&amp;BQ$6,Base!$A:$E,5,0),0)</f>
        <v>0</v>
      </c>
      <c r="BR99" s="101">
        <f>IFERROR(VLOOKUP($E99&amp;BR$6,Base!$G:$K,5,0),0)</f>
        <v>0</v>
      </c>
      <c r="BS99" s="101">
        <f>IFERROR(VLOOKUP($E99&amp;BR$6,Base!$M:$Q,5,0),0)</f>
        <v>0</v>
      </c>
      <c r="BT99" s="109">
        <v>0</v>
      </c>
      <c r="BU99" s="108">
        <f>IFERROR(VLOOKUP($E99&amp;BU$6,Base!$A:$E,5,0),0)</f>
        <v>0</v>
      </c>
      <c r="BV99" s="101">
        <f>IFERROR(VLOOKUP($E99&amp;BV$6,Base!$G:$K,5,0),0)</f>
        <v>0</v>
      </c>
      <c r="BW99" s="101">
        <f>IFERROR(VLOOKUP($E99&amp;BV$6,Base!$M:$Q,5,0),0)</f>
        <v>0</v>
      </c>
      <c r="BX99" s="109">
        <f>IFERROR(VLOOKUP($E99,Base!$U:$W,3,0),0)</f>
        <v>0</v>
      </c>
    </row>
    <row r="100" spans="2:76" x14ac:dyDescent="0.35">
      <c r="B100" s="53" t="s">
        <v>97</v>
      </c>
      <c r="C100" s="51">
        <v>3655</v>
      </c>
      <c r="D100" s="51" t="s">
        <v>77</v>
      </c>
      <c r="E100" s="51">
        <v>152696</v>
      </c>
      <c r="F100" s="96" t="s">
        <v>246</v>
      </c>
      <c r="G100" s="42" t="s">
        <v>124</v>
      </c>
      <c r="H100" s="98" t="s">
        <v>134</v>
      </c>
      <c r="I100" s="143" t="s">
        <v>144</v>
      </c>
      <c r="J100" s="104">
        <f t="shared" si="50"/>
        <v>0</v>
      </c>
      <c r="K100" s="99">
        <f t="shared" si="51"/>
        <v>0</v>
      </c>
      <c r="L100" s="99">
        <f t="shared" si="52"/>
        <v>0</v>
      </c>
      <c r="M100" s="105">
        <f t="shared" si="53"/>
        <v>0</v>
      </c>
      <c r="N100" s="108">
        <f>IFERROR(VLOOKUP($E100&amp;N$6,Base!$A:$E,5,0),0)</f>
        <v>0</v>
      </c>
      <c r="O100" s="101">
        <v>0</v>
      </c>
      <c r="P100" s="101">
        <v>0</v>
      </c>
      <c r="Q100" s="101"/>
      <c r="R100" s="108">
        <f>IFERROR(VLOOKUP($E100&amp;R$6,Base!$A:$E,5,0),0)</f>
        <v>0</v>
      </c>
      <c r="S100" s="101">
        <f>IFERROR(VLOOKUP($E100&amp;S$6,Base!$G:$K,5,0),0)</f>
        <v>0</v>
      </c>
      <c r="T100" s="101">
        <f>IFERROR(VLOOKUP($E100&amp;S$6,Base!$M:$Q,5,0),0)</f>
        <v>0</v>
      </c>
      <c r="U100" s="109"/>
      <c r="V100" s="108">
        <f>IFERROR(VLOOKUP($E100&amp;V$6,Base!$A:$E,5,0),0)</f>
        <v>0</v>
      </c>
      <c r="W100" s="101">
        <f>IFERROR(VLOOKUP($E100&amp;W$6,Base!$G:$K,5,0),0)</f>
        <v>0</v>
      </c>
      <c r="X100" s="101">
        <f>IFERROR(VLOOKUP($E100&amp;W$6,Base!$M:$Q,5,0),0)</f>
        <v>0</v>
      </c>
      <c r="Y100" s="109"/>
      <c r="AA100" s="104">
        <f t="shared" si="54"/>
        <v>0</v>
      </c>
      <c r="AB100" s="99">
        <f t="shared" si="55"/>
        <v>0</v>
      </c>
      <c r="AC100" s="99">
        <f t="shared" si="56"/>
        <v>0</v>
      </c>
      <c r="AD100" s="105">
        <f t="shared" si="57"/>
        <v>0</v>
      </c>
      <c r="AE100" s="108">
        <f>IFERROR(VLOOKUP($E100&amp;AE$6,Base!$A:$E,5,0),0)</f>
        <v>0</v>
      </c>
      <c r="AF100" s="101">
        <f>IFERROR(VLOOKUP($E100&amp;AF$6,Base!$G:$K,5,0),0)</f>
        <v>0</v>
      </c>
      <c r="AG100" s="101">
        <f>IFERROR(VLOOKUP($E100&amp;AF$6,Base!$M:$Q,5,0),0)</f>
        <v>0</v>
      </c>
      <c r="AH100" s="109"/>
      <c r="AI100" s="108">
        <f>IFERROR(VLOOKUP($E100&amp;AI$6,Base!$A:$E,5,0),0)</f>
        <v>0</v>
      </c>
      <c r="AJ100" s="101">
        <f>IFERROR(VLOOKUP($E100&amp;AJ$6,Base!$G:$K,5,0),0)</f>
        <v>0</v>
      </c>
      <c r="AK100" s="101">
        <f>IFERROR(VLOOKUP($E100&amp;AJ$6,Base!$M:$Q,5,0),0)</f>
        <v>0</v>
      </c>
      <c r="AL100" s="109">
        <v>0</v>
      </c>
      <c r="AM100" s="108">
        <f>IFERROR(VLOOKUP($E100&amp;AM$6,Base!$A:$E,5,0),0)</f>
        <v>0</v>
      </c>
      <c r="AN100" s="101">
        <f>IFERROR(VLOOKUP($E100&amp;AN$6,Base!$G:$K,5,0),0)</f>
        <v>0</v>
      </c>
      <c r="AO100" s="101">
        <f>IFERROR(VLOOKUP($E100&amp;AN$6,Base!$M:$Q,5,0),0)</f>
        <v>0</v>
      </c>
      <c r="AP100" s="109"/>
      <c r="AR100" s="104">
        <f t="shared" si="58"/>
        <v>0</v>
      </c>
      <c r="AS100" s="99">
        <f t="shared" si="59"/>
        <v>0</v>
      </c>
      <c r="AT100" s="99">
        <f t="shared" si="60"/>
        <v>0</v>
      </c>
      <c r="AU100" s="105">
        <f t="shared" si="49"/>
        <v>0</v>
      </c>
      <c r="AV100" s="108">
        <f>IFERROR(VLOOKUP($E100&amp;AV$6,Base!$A:$E,5,0),0)</f>
        <v>0</v>
      </c>
      <c r="AW100" s="101">
        <f>IFERROR(VLOOKUP($E100&amp;AW$6,Base!$G:$K,5,0),0)</f>
        <v>0</v>
      </c>
      <c r="AX100" s="101">
        <f>IFERROR(VLOOKUP($E100&amp;AW$6,Base!$M:$Q,5,0),0)</f>
        <v>0</v>
      </c>
      <c r="AY100" s="109">
        <v>0</v>
      </c>
      <c r="AZ100" s="108">
        <f>IFERROR(VLOOKUP($E100&amp;AZ$6,Base!$A:$E,5,0),0)</f>
        <v>0</v>
      </c>
      <c r="BA100" s="101">
        <f>IFERROR(VLOOKUP($E100&amp;BA$6,Base!$G:$K,5,0),0)</f>
        <v>0</v>
      </c>
      <c r="BB100" s="101">
        <f>IFERROR(VLOOKUP($E100&amp;BA$6,Base!$M:$Q,5,0),0)</f>
        <v>0</v>
      </c>
      <c r="BC100" s="109">
        <v>0</v>
      </c>
      <c r="BD100" s="108">
        <f>IFERROR(VLOOKUP($E100&amp;BD$6,Base!$A:$E,5,0),0)</f>
        <v>0</v>
      </c>
      <c r="BE100" s="101">
        <f>IFERROR(VLOOKUP($E100&amp;BE$6,Base!$G:$K,5,0),0)</f>
        <v>0</v>
      </c>
      <c r="BF100" s="101">
        <f>IFERROR(VLOOKUP($E100&amp;BE$6,Base!$M:$Q,5,0),0)</f>
        <v>0</v>
      </c>
      <c r="BG100" s="109">
        <v>0</v>
      </c>
      <c r="BI100" s="104">
        <f t="shared" si="61"/>
        <v>0</v>
      </c>
      <c r="BJ100" s="99">
        <f t="shared" si="62"/>
        <v>6.5</v>
      </c>
      <c r="BK100" s="99">
        <f t="shared" si="63"/>
        <v>0</v>
      </c>
      <c r="BL100" s="111">
        <f t="shared" si="64"/>
        <v>0</v>
      </c>
      <c r="BM100" s="108">
        <f>IFERROR(VLOOKUP($E100&amp;BM$6,Base!$A:$E,5,0),0)</f>
        <v>0</v>
      </c>
      <c r="BN100" s="101">
        <f>IFERROR(VLOOKUP($E100&amp;BN$6,Base!$G:$K,5,0),0)</f>
        <v>6.5</v>
      </c>
      <c r="BO100" s="101">
        <f>IFERROR(VLOOKUP($E100&amp;BN$6,Base!$M:$Q,5,0),0)</f>
        <v>0</v>
      </c>
      <c r="BP100" s="109">
        <v>0</v>
      </c>
      <c r="BQ100" s="108">
        <f>IFERROR(VLOOKUP($E100&amp;BQ$6,Base!$A:$E,5,0),0)</f>
        <v>0</v>
      </c>
      <c r="BR100" s="101">
        <f>IFERROR(VLOOKUP($E100&amp;BR$6,Base!$G:$K,5,0),0)</f>
        <v>0</v>
      </c>
      <c r="BS100" s="101">
        <f>IFERROR(VLOOKUP($E100&amp;BR$6,Base!$M:$Q,5,0),0)</f>
        <v>0</v>
      </c>
      <c r="BT100" s="109">
        <v>0</v>
      </c>
      <c r="BU100" s="108">
        <f>IFERROR(VLOOKUP($E100&amp;BU$6,Base!$A:$E,5,0),0)</f>
        <v>0</v>
      </c>
      <c r="BV100" s="101">
        <f>IFERROR(VLOOKUP($E100&amp;BV$6,Base!$G:$K,5,0),0)</f>
        <v>0</v>
      </c>
      <c r="BW100" s="101">
        <f>IFERROR(VLOOKUP($E100&amp;BV$6,Base!$M:$Q,5,0),0)</f>
        <v>0</v>
      </c>
      <c r="BX100" s="109">
        <f>IFERROR(VLOOKUP($E100,Base!$U:$W,3,0),0)</f>
        <v>0</v>
      </c>
    </row>
    <row r="101" spans="2:76" x14ac:dyDescent="0.35">
      <c r="B101" s="53" t="s">
        <v>97</v>
      </c>
      <c r="C101" s="51">
        <v>3655</v>
      </c>
      <c r="D101" s="51" t="s">
        <v>77</v>
      </c>
      <c r="E101" s="51">
        <v>156263</v>
      </c>
      <c r="F101" s="96" t="s">
        <v>249</v>
      </c>
      <c r="G101" s="42" t="s">
        <v>126</v>
      </c>
      <c r="H101" s="98" t="s">
        <v>134</v>
      </c>
      <c r="I101" s="143" t="s">
        <v>144</v>
      </c>
      <c r="J101" s="104">
        <f t="shared" si="50"/>
        <v>0</v>
      </c>
      <c r="K101" s="99">
        <f t="shared" si="51"/>
        <v>0</v>
      </c>
      <c r="L101" s="99">
        <f t="shared" si="52"/>
        <v>0</v>
      </c>
      <c r="M101" s="105">
        <f t="shared" si="53"/>
        <v>0</v>
      </c>
      <c r="N101" s="108">
        <f>IFERROR(VLOOKUP($E101&amp;N$6,Base!$A:$E,5,0),0)</f>
        <v>0</v>
      </c>
      <c r="O101" s="101">
        <v>0</v>
      </c>
      <c r="P101" s="101">
        <v>0</v>
      </c>
      <c r="Q101" s="101"/>
      <c r="R101" s="108">
        <f>IFERROR(VLOOKUP($E101&amp;R$6,Base!$A:$E,5,0),0)</f>
        <v>0</v>
      </c>
      <c r="S101" s="101">
        <f>IFERROR(VLOOKUP($E101&amp;S$6,Base!$G:$K,5,0),0)</f>
        <v>0</v>
      </c>
      <c r="T101" s="101">
        <f>IFERROR(VLOOKUP($E101&amp;S$6,Base!$M:$Q,5,0),0)</f>
        <v>0</v>
      </c>
      <c r="U101" s="109"/>
      <c r="V101" s="108">
        <f>IFERROR(VLOOKUP($E101&amp;V$6,Base!$A:$E,5,0),0)</f>
        <v>0</v>
      </c>
      <c r="W101" s="101">
        <f>IFERROR(VLOOKUP($E101&amp;W$6,Base!$G:$K,5,0),0)</f>
        <v>0</v>
      </c>
      <c r="X101" s="101">
        <f>IFERROR(VLOOKUP($E101&amp;W$6,Base!$M:$Q,5,0),0)</f>
        <v>0</v>
      </c>
      <c r="Y101" s="109"/>
      <c r="AA101" s="104">
        <f t="shared" si="54"/>
        <v>0</v>
      </c>
      <c r="AB101" s="99">
        <f t="shared" si="55"/>
        <v>0</v>
      </c>
      <c r="AC101" s="99">
        <f t="shared" si="56"/>
        <v>0</v>
      </c>
      <c r="AD101" s="105">
        <f t="shared" si="57"/>
        <v>0</v>
      </c>
      <c r="AE101" s="108">
        <f>IFERROR(VLOOKUP($E101&amp;AE$6,Base!$A:$E,5,0),0)</f>
        <v>0</v>
      </c>
      <c r="AF101" s="101">
        <f>IFERROR(VLOOKUP($E101&amp;AF$6,Base!$G:$K,5,0),0)</f>
        <v>0</v>
      </c>
      <c r="AG101" s="101">
        <f>IFERROR(VLOOKUP($E101&amp;AF$6,Base!$M:$Q,5,0),0)</f>
        <v>0</v>
      </c>
      <c r="AH101" s="109"/>
      <c r="AI101" s="108">
        <f>IFERROR(VLOOKUP($E101&amp;AI$6,Base!$A:$E,5,0),0)</f>
        <v>0</v>
      </c>
      <c r="AJ101" s="101">
        <f>IFERROR(VLOOKUP($E101&amp;AJ$6,Base!$G:$K,5,0),0)</f>
        <v>0</v>
      </c>
      <c r="AK101" s="101">
        <f>IFERROR(VLOOKUP($E101&amp;AJ$6,Base!$M:$Q,5,0),0)</f>
        <v>0</v>
      </c>
      <c r="AL101" s="109">
        <v>0</v>
      </c>
      <c r="AM101" s="108">
        <f>IFERROR(VLOOKUP($E101&amp;AM$6,Base!$A:$E,5,0),0)</f>
        <v>0</v>
      </c>
      <c r="AN101" s="101">
        <f>IFERROR(VLOOKUP($E101&amp;AN$6,Base!$G:$K,5,0),0)</f>
        <v>0</v>
      </c>
      <c r="AO101" s="101">
        <f>IFERROR(VLOOKUP($E101&amp;AN$6,Base!$M:$Q,5,0),0)</f>
        <v>0</v>
      </c>
      <c r="AP101" s="109"/>
      <c r="AR101" s="104">
        <f t="shared" si="58"/>
        <v>0</v>
      </c>
      <c r="AS101" s="99">
        <f t="shared" si="59"/>
        <v>0</v>
      </c>
      <c r="AT101" s="99">
        <f t="shared" si="60"/>
        <v>0</v>
      </c>
      <c r="AU101" s="105">
        <f t="shared" si="49"/>
        <v>0</v>
      </c>
      <c r="AV101" s="108">
        <f>IFERROR(VLOOKUP($E101&amp;AV$6,Base!$A:$E,5,0),0)</f>
        <v>0</v>
      </c>
      <c r="AW101" s="101">
        <f>IFERROR(VLOOKUP($E101&amp;AW$6,Base!$G:$K,5,0),0)</f>
        <v>0</v>
      </c>
      <c r="AX101" s="101">
        <f>IFERROR(VLOOKUP($E101&amp;AW$6,Base!$M:$Q,5,0),0)</f>
        <v>0</v>
      </c>
      <c r="AY101" s="109">
        <v>0</v>
      </c>
      <c r="AZ101" s="108">
        <f>IFERROR(VLOOKUP($E101&amp;AZ$6,Base!$A:$E,5,0),0)</f>
        <v>0</v>
      </c>
      <c r="BA101" s="101">
        <f>IFERROR(VLOOKUP($E101&amp;BA$6,Base!$G:$K,5,0),0)</f>
        <v>0</v>
      </c>
      <c r="BB101" s="101">
        <f>IFERROR(VLOOKUP($E101&amp;BA$6,Base!$M:$Q,5,0),0)</f>
        <v>0</v>
      </c>
      <c r="BC101" s="109">
        <v>0</v>
      </c>
      <c r="BD101" s="108">
        <f>IFERROR(VLOOKUP($E101&amp;BD$6,Base!$A:$E,5,0),0)</f>
        <v>0</v>
      </c>
      <c r="BE101" s="101">
        <f>IFERROR(VLOOKUP($E101&amp;BE$6,Base!$G:$K,5,0),0)</f>
        <v>0</v>
      </c>
      <c r="BF101" s="101">
        <f>IFERROR(VLOOKUP($E101&amp;BE$6,Base!$M:$Q,5,0),0)</f>
        <v>0</v>
      </c>
      <c r="BG101" s="109">
        <v>0</v>
      </c>
      <c r="BI101" s="104">
        <f t="shared" si="61"/>
        <v>0</v>
      </c>
      <c r="BJ101" s="99">
        <f t="shared" si="62"/>
        <v>0</v>
      </c>
      <c r="BK101" s="99">
        <f t="shared" si="63"/>
        <v>0</v>
      </c>
      <c r="BL101" s="111">
        <f t="shared" si="64"/>
        <v>0</v>
      </c>
      <c r="BM101" s="108">
        <f>IFERROR(VLOOKUP($E101&amp;BM$6,Base!$A:$E,5,0),0)</f>
        <v>0</v>
      </c>
      <c r="BN101" s="101">
        <f>IFERROR(VLOOKUP($E101&amp;BN$6,Base!$G:$K,5,0),0)</f>
        <v>0</v>
      </c>
      <c r="BO101" s="101">
        <f>IFERROR(VLOOKUP($E101&amp;BN$6,Base!$M:$Q,5,0),0)</f>
        <v>0</v>
      </c>
      <c r="BP101" s="109">
        <v>0</v>
      </c>
      <c r="BQ101" s="108">
        <f>IFERROR(VLOOKUP($E101&amp;BQ$6,Base!$A:$E,5,0),0)</f>
        <v>0</v>
      </c>
      <c r="BR101" s="101">
        <f>IFERROR(VLOOKUP($E101&amp;BR$6,Base!$G:$K,5,0),0)</f>
        <v>0</v>
      </c>
      <c r="BS101" s="101">
        <f>IFERROR(VLOOKUP($E101&amp;BR$6,Base!$M:$Q,5,0),0)</f>
        <v>0</v>
      </c>
      <c r="BT101" s="109">
        <v>0</v>
      </c>
      <c r="BU101" s="108">
        <f>IFERROR(VLOOKUP($E101&amp;BU$6,Base!$A:$E,5,0),0)</f>
        <v>0</v>
      </c>
      <c r="BV101" s="101">
        <f>IFERROR(VLOOKUP($E101&amp;BV$6,Base!$G:$K,5,0),0)</f>
        <v>0</v>
      </c>
      <c r="BW101" s="101">
        <f>IFERROR(VLOOKUP($E101&amp;BV$6,Base!$M:$Q,5,0),0)</f>
        <v>0</v>
      </c>
      <c r="BX101" s="109">
        <f>IFERROR(VLOOKUP($E101,Base!$U:$W,3,0),0)</f>
        <v>0</v>
      </c>
    </row>
    <row r="102" spans="2:76" x14ac:dyDescent="0.35">
      <c r="B102" s="53" t="s">
        <v>97</v>
      </c>
      <c r="C102" s="51">
        <v>3655</v>
      </c>
      <c r="D102" s="51" t="s">
        <v>77</v>
      </c>
      <c r="E102" s="51">
        <v>157153</v>
      </c>
      <c r="F102" s="96" t="s">
        <v>252</v>
      </c>
      <c r="G102" s="42" t="s">
        <v>129</v>
      </c>
      <c r="H102" s="98" t="s">
        <v>134</v>
      </c>
      <c r="I102" s="143" t="s">
        <v>144</v>
      </c>
      <c r="J102" s="104">
        <f t="shared" si="50"/>
        <v>0</v>
      </c>
      <c r="K102" s="99">
        <f t="shared" si="51"/>
        <v>0</v>
      </c>
      <c r="L102" s="99">
        <f t="shared" si="52"/>
        <v>0</v>
      </c>
      <c r="M102" s="105">
        <f t="shared" si="53"/>
        <v>0</v>
      </c>
      <c r="N102" s="108">
        <f>IFERROR(VLOOKUP($E102&amp;N$6,Base!$A:$E,5,0),0)</f>
        <v>0</v>
      </c>
      <c r="O102" s="101">
        <v>0</v>
      </c>
      <c r="P102" s="101">
        <v>0</v>
      </c>
      <c r="Q102" s="101"/>
      <c r="R102" s="108">
        <f>IFERROR(VLOOKUP($E102&amp;R$6,Base!$A:$E,5,0),0)</f>
        <v>0</v>
      </c>
      <c r="S102" s="101">
        <f>IFERROR(VLOOKUP($E102&amp;S$6,Base!$G:$K,5,0),0)</f>
        <v>0</v>
      </c>
      <c r="T102" s="101">
        <f>IFERROR(VLOOKUP($E102&amp;S$6,Base!$M:$Q,5,0),0)</f>
        <v>0</v>
      </c>
      <c r="U102" s="109"/>
      <c r="V102" s="108">
        <f>IFERROR(VLOOKUP($E102&amp;V$6,Base!$A:$E,5,0),0)</f>
        <v>0</v>
      </c>
      <c r="W102" s="101">
        <f>IFERROR(VLOOKUP($E102&amp;W$6,Base!$G:$K,5,0),0)</f>
        <v>0</v>
      </c>
      <c r="X102" s="101">
        <f>IFERROR(VLOOKUP($E102&amp;W$6,Base!$M:$Q,5,0),0)</f>
        <v>0</v>
      </c>
      <c r="Y102" s="109"/>
      <c r="AA102" s="104">
        <f t="shared" si="54"/>
        <v>0</v>
      </c>
      <c r="AB102" s="99">
        <f t="shared" si="55"/>
        <v>0</v>
      </c>
      <c r="AC102" s="99">
        <f t="shared" si="56"/>
        <v>0</v>
      </c>
      <c r="AD102" s="105">
        <f t="shared" si="57"/>
        <v>0</v>
      </c>
      <c r="AE102" s="108">
        <f>IFERROR(VLOOKUP($E102&amp;AE$6,Base!$A:$E,5,0),0)</f>
        <v>0</v>
      </c>
      <c r="AF102" s="101">
        <f>IFERROR(VLOOKUP($E102&amp;AF$6,Base!$G:$K,5,0),0)</f>
        <v>0</v>
      </c>
      <c r="AG102" s="101">
        <f>IFERROR(VLOOKUP($E102&amp;AF$6,Base!$M:$Q,5,0),0)</f>
        <v>0</v>
      </c>
      <c r="AH102" s="109"/>
      <c r="AI102" s="108">
        <f>IFERROR(VLOOKUP($E102&amp;AI$6,Base!$A:$E,5,0),0)</f>
        <v>0</v>
      </c>
      <c r="AJ102" s="101">
        <f>IFERROR(VLOOKUP($E102&amp;AJ$6,Base!$G:$K,5,0),0)</f>
        <v>0</v>
      </c>
      <c r="AK102" s="101">
        <f>IFERROR(VLOOKUP($E102&amp;AJ$6,Base!$M:$Q,5,0),0)</f>
        <v>0</v>
      </c>
      <c r="AL102" s="109">
        <v>0</v>
      </c>
      <c r="AM102" s="108">
        <f>IFERROR(VLOOKUP($E102&amp;AM$6,Base!$A:$E,5,0),0)</f>
        <v>0</v>
      </c>
      <c r="AN102" s="101">
        <f>IFERROR(VLOOKUP($E102&amp;AN$6,Base!$G:$K,5,0),0)</f>
        <v>0</v>
      </c>
      <c r="AO102" s="101">
        <f>IFERROR(VLOOKUP($E102&amp;AN$6,Base!$M:$Q,5,0),0)</f>
        <v>0</v>
      </c>
      <c r="AP102" s="109"/>
      <c r="AR102" s="104">
        <f t="shared" si="58"/>
        <v>0</v>
      </c>
      <c r="AS102" s="99">
        <f t="shared" si="59"/>
        <v>0</v>
      </c>
      <c r="AT102" s="99">
        <f t="shared" si="60"/>
        <v>0</v>
      </c>
      <c r="AU102" s="105">
        <f t="shared" si="49"/>
        <v>0</v>
      </c>
      <c r="AV102" s="108">
        <f>IFERROR(VLOOKUP($E102&amp;AV$6,Base!$A:$E,5,0),0)</f>
        <v>0</v>
      </c>
      <c r="AW102" s="101">
        <f>IFERROR(VLOOKUP($E102&amp;AW$6,Base!$G:$K,5,0),0)</f>
        <v>0</v>
      </c>
      <c r="AX102" s="101">
        <f>IFERROR(VLOOKUP($E102&amp;AW$6,Base!$M:$Q,5,0),0)</f>
        <v>0</v>
      </c>
      <c r="AY102" s="109">
        <v>0</v>
      </c>
      <c r="AZ102" s="108">
        <f>IFERROR(VLOOKUP($E102&amp;AZ$6,Base!$A:$E,5,0),0)</f>
        <v>0</v>
      </c>
      <c r="BA102" s="101">
        <f>IFERROR(VLOOKUP($E102&amp;BA$6,Base!$G:$K,5,0),0)</f>
        <v>0</v>
      </c>
      <c r="BB102" s="101">
        <f>IFERROR(VLOOKUP($E102&amp;BA$6,Base!$M:$Q,5,0),0)</f>
        <v>0</v>
      </c>
      <c r="BC102" s="109">
        <v>0</v>
      </c>
      <c r="BD102" s="108">
        <f>IFERROR(VLOOKUP($E102&amp;BD$6,Base!$A:$E,5,0),0)</f>
        <v>0</v>
      </c>
      <c r="BE102" s="101">
        <f>IFERROR(VLOOKUP($E102&amp;BE$6,Base!$G:$K,5,0),0)</f>
        <v>0</v>
      </c>
      <c r="BF102" s="101">
        <f>IFERROR(VLOOKUP($E102&amp;BE$6,Base!$M:$Q,5,0),0)</f>
        <v>0</v>
      </c>
      <c r="BG102" s="109">
        <v>0</v>
      </c>
      <c r="BI102" s="104">
        <f t="shared" si="61"/>
        <v>0</v>
      </c>
      <c r="BJ102" s="99">
        <f t="shared" si="62"/>
        <v>6.5</v>
      </c>
      <c r="BK102" s="99">
        <f t="shared" si="63"/>
        <v>0</v>
      </c>
      <c r="BL102" s="111">
        <f t="shared" si="64"/>
        <v>0</v>
      </c>
      <c r="BM102" s="108">
        <f>IFERROR(VLOOKUP($E102&amp;BM$6,Base!$A:$E,5,0),0)</f>
        <v>0</v>
      </c>
      <c r="BN102" s="101">
        <f>IFERROR(VLOOKUP($E102&amp;BN$6,Base!$G:$K,5,0),0)</f>
        <v>6.5</v>
      </c>
      <c r="BO102" s="101">
        <f>IFERROR(VLOOKUP($E102&amp;BN$6,Base!$M:$Q,5,0),0)</f>
        <v>0</v>
      </c>
      <c r="BP102" s="109">
        <v>0</v>
      </c>
      <c r="BQ102" s="108">
        <f>IFERROR(VLOOKUP($E102&amp;BQ$6,Base!$A:$E,5,0),0)</f>
        <v>0</v>
      </c>
      <c r="BR102" s="101">
        <f>IFERROR(VLOOKUP($E102&amp;BR$6,Base!$G:$K,5,0),0)</f>
        <v>0</v>
      </c>
      <c r="BS102" s="101">
        <f>IFERROR(VLOOKUP($E102&amp;BR$6,Base!$M:$Q,5,0),0)</f>
        <v>0</v>
      </c>
      <c r="BT102" s="109">
        <v>0</v>
      </c>
      <c r="BU102" s="108">
        <f>IFERROR(VLOOKUP($E102&amp;BU$6,Base!$A:$E,5,0),0)</f>
        <v>0</v>
      </c>
      <c r="BV102" s="101">
        <f>IFERROR(VLOOKUP($E102&amp;BV$6,Base!$G:$K,5,0),0)</f>
        <v>0</v>
      </c>
      <c r="BW102" s="101">
        <f>IFERROR(VLOOKUP($E102&amp;BV$6,Base!$M:$Q,5,0),0)</f>
        <v>0</v>
      </c>
      <c r="BX102" s="109">
        <f>IFERROR(VLOOKUP($E102,Base!$U:$W,3,0),0)</f>
        <v>0</v>
      </c>
    </row>
    <row r="103" spans="2:76" x14ac:dyDescent="0.35">
      <c r="B103" s="53" t="s">
        <v>97</v>
      </c>
      <c r="C103" s="51">
        <v>3655</v>
      </c>
      <c r="D103" s="51" t="s">
        <v>77</v>
      </c>
      <c r="E103" s="51">
        <v>157637</v>
      </c>
      <c r="F103" s="96" t="s">
        <v>254</v>
      </c>
      <c r="G103" s="42" t="s">
        <v>124</v>
      </c>
      <c r="H103" s="98" t="s">
        <v>134</v>
      </c>
      <c r="I103" s="143" t="s">
        <v>144</v>
      </c>
      <c r="J103" s="104">
        <f t="shared" si="50"/>
        <v>0</v>
      </c>
      <c r="K103" s="99">
        <f t="shared" si="51"/>
        <v>0</v>
      </c>
      <c r="L103" s="99">
        <f t="shared" si="52"/>
        <v>0</v>
      </c>
      <c r="M103" s="105">
        <f t="shared" si="53"/>
        <v>0</v>
      </c>
      <c r="N103" s="108">
        <f>IFERROR(VLOOKUP($E103&amp;N$6,Base!$A:$E,5,0),0)</f>
        <v>0</v>
      </c>
      <c r="O103" s="101">
        <v>0</v>
      </c>
      <c r="P103" s="101">
        <v>0</v>
      </c>
      <c r="Q103" s="101"/>
      <c r="R103" s="108">
        <f>IFERROR(VLOOKUP($E103&amp;R$6,Base!$A:$E,5,0),0)</f>
        <v>0</v>
      </c>
      <c r="S103" s="101">
        <f>IFERROR(VLOOKUP($E103&amp;S$6,Base!$G:$K,5,0),0)</f>
        <v>0</v>
      </c>
      <c r="T103" s="101">
        <f>IFERROR(VLOOKUP($E103&amp;S$6,Base!$M:$Q,5,0),0)</f>
        <v>0</v>
      </c>
      <c r="U103" s="109"/>
      <c r="V103" s="108">
        <f>IFERROR(VLOOKUP($E103&amp;V$6,Base!$A:$E,5,0),0)</f>
        <v>0</v>
      </c>
      <c r="W103" s="101">
        <f>IFERROR(VLOOKUP($E103&amp;W$6,Base!$G:$K,5,0),0)</f>
        <v>0</v>
      </c>
      <c r="X103" s="101">
        <f>IFERROR(VLOOKUP($E103&amp;W$6,Base!$M:$Q,5,0),0)</f>
        <v>0</v>
      </c>
      <c r="Y103" s="109"/>
      <c r="AA103" s="104">
        <f t="shared" si="54"/>
        <v>0</v>
      </c>
      <c r="AB103" s="99">
        <f t="shared" si="55"/>
        <v>0</v>
      </c>
      <c r="AC103" s="99">
        <f t="shared" si="56"/>
        <v>0</v>
      </c>
      <c r="AD103" s="105">
        <f t="shared" si="57"/>
        <v>0</v>
      </c>
      <c r="AE103" s="108">
        <f>IFERROR(VLOOKUP($E103&amp;AE$6,Base!$A:$E,5,0),0)</f>
        <v>0</v>
      </c>
      <c r="AF103" s="101">
        <f>IFERROR(VLOOKUP($E103&amp;AF$6,Base!$G:$K,5,0),0)</f>
        <v>0</v>
      </c>
      <c r="AG103" s="101">
        <f>IFERROR(VLOOKUP($E103&amp;AF$6,Base!$M:$Q,5,0),0)</f>
        <v>0</v>
      </c>
      <c r="AH103" s="109"/>
      <c r="AI103" s="108">
        <f>IFERROR(VLOOKUP($E103&amp;AI$6,Base!$A:$E,5,0),0)</f>
        <v>0</v>
      </c>
      <c r="AJ103" s="101">
        <f>IFERROR(VLOOKUP($E103&amp;AJ$6,Base!$G:$K,5,0),0)</f>
        <v>0</v>
      </c>
      <c r="AK103" s="101">
        <f>IFERROR(VLOOKUP($E103&amp;AJ$6,Base!$M:$Q,5,0),0)</f>
        <v>0</v>
      </c>
      <c r="AL103" s="109">
        <v>0</v>
      </c>
      <c r="AM103" s="108">
        <f>IFERROR(VLOOKUP($E103&amp;AM$6,Base!$A:$E,5,0),0)</f>
        <v>0</v>
      </c>
      <c r="AN103" s="101">
        <f>IFERROR(VLOOKUP($E103&amp;AN$6,Base!$G:$K,5,0),0)</f>
        <v>0</v>
      </c>
      <c r="AO103" s="101">
        <f>IFERROR(VLOOKUP($E103&amp;AN$6,Base!$M:$Q,5,0),0)</f>
        <v>0</v>
      </c>
      <c r="AP103" s="109"/>
      <c r="AR103" s="104">
        <f t="shared" si="58"/>
        <v>0</v>
      </c>
      <c r="AS103" s="99">
        <f t="shared" si="59"/>
        <v>0</v>
      </c>
      <c r="AT103" s="99">
        <f t="shared" si="60"/>
        <v>0</v>
      </c>
      <c r="AU103" s="105">
        <f t="shared" si="49"/>
        <v>0</v>
      </c>
      <c r="AV103" s="108">
        <f>IFERROR(VLOOKUP($E103&amp;AV$6,Base!$A:$E,5,0),0)</f>
        <v>0</v>
      </c>
      <c r="AW103" s="101">
        <f>IFERROR(VLOOKUP($E103&amp;AW$6,Base!$G:$K,5,0),0)</f>
        <v>0</v>
      </c>
      <c r="AX103" s="101">
        <f>IFERROR(VLOOKUP($E103&amp;AW$6,Base!$M:$Q,5,0),0)</f>
        <v>0</v>
      </c>
      <c r="AY103" s="109">
        <v>0</v>
      </c>
      <c r="AZ103" s="108">
        <f>IFERROR(VLOOKUP($E103&amp;AZ$6,Base!$A:$E,5,0),0)</f>
        <v>0</v>
      </c>
      <c r="BA103" s="101">
        <f>IFERROR(VLOOKUP($E103&amp;BA$6,Base!$G:$K,5,0),0)</f>
        <v>0</v>
      </c>
      <c r="BB103" s="101">
        <f>IFERROR(VLOOKUP($E103&amp;BA$6,Base!$M:$Q,5,0),0)</f>
        <v>0</v>
      </c>
      <c r="BC103" s="109">
        <v>0</v>
      </c>
      <c r="BD103" s="108">
        <f>IFERROR(VLOOKUP($E103&amp;BD$6,Base!$A:$E,5,0),0)</f>
        <v>0</v>
      </c>
      <c r="BE103" s="101">
        <f>IFERROR(VLOOKUP($E103&amp;BE$6,Base!$G:$K,5,0),0)</f>
        <v>0</v>
      </c>
      <c r="BF103" s="101">
        <f>IFERROR(VLOOKUP($E103&amp;BE$6,Base!$M:$Q,5,0),0)</f>
        <v>0</v>
      </c>
      <c r="BG103" s="109">
        <v>0</v>
      </c>
      <c r="BI103" s="104">
        <f t="shared" si="61"/>
        <v>0</v>
      </c>
      <c r="BJ103" s="99">
        <f t="shared" si="62"/>
        <v>6.5</v>
      </c>
      <c r="BK103" s="99">
        <f t="shared" si="63"/>
        <v>0</v>
      </c>
      <c r="BL103" s="111">
        <f t="shared" si="64"/>
        <v>0</v>
      </c>
      <c r="BM103" s="108">
        <f>IFERROR(VLOOKUP($E103&amp;BM$6,Base!$A:$E,5,0),0)</f>
        <v>0</v>
      </c>
      <c r="BN103" s="101">
        <f>IFERROR(VLOOKUP($E103&amp;BN$6,Base!$G:$K,5,0),0)</f>
        <v>6.5</v>
      </c>
      <c r="BO103" s="101">
        <f>IFERROR(VLOOKUP($E103&amp;BN$6,Base!$M:$Q,5,0),0)</f>
        <v>0</v>
      </c>
      <c r="BP103" s="109">
        <v>0</v>
      </c>
      <c r="BQ103" s="108">
        <f>IFERROR(VLOOKUP($E103&amp;BQ$6,Base!$A:$E,5,0),0)</f>
        <v>0</v>
      </c>
      <c r="BR103" s="101">
        <f>IFERROR(VLOOKUP($E103&amp;BR$6,Base!$G:$K,5,0),0)</f>
        <v>0</v>
      </c>
      <c r="BS103" s="101">
        <f>IFERROR(VLOOKUP($E103&amp;BR$6,Base!$M:$Q,5,0),0)</f>
        <v>0</v>
      </c>
      <c r="BT103" s="109">
        <v>0</v>
      </c>
      <c r="BU103" s="108">
        <f>IFERROR(VLOOKUP($E103&amp;BU$6,Base!$A:$E,5,0),0)</f>
        <v>0</v>
      </c>
      <c r="BV103" s="101">
        <f>IFERROR(VLOOKUP($E103&amp;BV$6,Base!$G:$K,5,0),0)</f>
        <v>0</v>
      </c>
      <c r="BW103" s="101">
        <f>IFERROR(VLOOKUP($E103&amp;BV$6,Base!$M:$Q,5,0),0)</f>
        <v>0</v>
      </c>
      <c r="BX103" s="109">
        <f>IFERROR(VLOOKUP($E103,Base!$U:$W,3,0),0)</f>
        <v>0</v>
      </c>
    </row>
    <row r="104" spans="2:76" x14ac:dyDescent="0.35">
      <c r="B104" s="53" t="s">
        <v>97</v>
      </c>
      <c r="C104" s="51">
        <v>3655</v>
      </c>
      <c r="D104" s="51" t="s">
        <v>77</v>
      </c>
      <c r="E104" s="51">
        <v>160950</v>
      </c>
      <c r="F104" s="96" t="s">
        <v>257</v>
      </c>
      <c r="G104" s="42" t="s">
        <v>125</v>
      </c>
      <c r="H104" s="98" t="s">
        <v>134</v>
      </c>
      <c r="I104" s="143" t="s">
        <v>144</v>
      </c>
      <c r="J104" s="104">
        <f t="shared" si="50"/>
        <v>0</v>
      </c>
      <c r="K104" s="99">
        <f t="shared" si="51"/>
        <v>0</v>
      </c>
      <c r="L104" s="99">
        <f t="shared" si="52"/>
        <v>0</v>
      </c>
      <c r="M104" s="105">
        <f t="shared" si="53"/>
        <v>0</v>
      </c>
      <c r="N104" s="108">
        <f>IFERROR(VLOOKUP($E104&amp;N$6,Base!$A:$E,5,0),0)</f>
        <v>0</v>
      </c>
      <c r="O104" s="101">
        <v>0</v>
      </c>
      <c r="P104" s="101">
        <v>0</v>
      </c>
      <c r="Q104" s="101"/>
      <c r="R104" s="108">
        <f>IFERROR(VLOOKUP($E104&amp;R$6,Base!$A:$E,5,0),0)</f>
        <v>0</v>
      </c>
      <c r="S104" s="101">
        <f>IFERROR(VLOOKUP($E104&amp;S$6,Base!$G:$K,5,0),0)</f>
        <v>0</v>
      </c>
      <c r="T104" s="101">
        <f>IFERROR(VLOOKUP($E104&amp;S$6,Base!$M:$Q,5,0),0)</f>
        <v>0</v>
      </c>
      <c r="U104" s="109"/>
      <c r="V104" s="108">
        <f>IFERROR(VLOOKUP($E104&amp;V$6,Base!$A:$E,5,0),0)</f>
        <v>0</v>
      </c>
      <c r="W104" s="101">
        <f>IFERROR(VLOOKUP($E104&amp;W$6,Base!$G:$K,5,0),0)</f>
        <v>0</v>
      </c>
      <c r="X104" s="101">
        <f>IFERROR(VLOOKUP($E104&amp;W$6,Base!$M:$Q,5,0),0)</f>
        <v>0</v>
      </c>
      <c r="Y104" s="109"/>
      <c r="AA104" s="104">
        <f t="shared" si="54"/>
        <v>0</v>
      </c>
      <c r="AB104" s="99">
        <f t="shared" si="55"/>
        <v>0</v>
      </c>
      <c r="AC104" s="99">
        <f t="shared" si="56"/>
        <v>0</v>
      </c>
      <c r="AD104" s="105">
        <f t="shared" si="57"/>
        <v>0</v>
      </c>
      <c r="AE104" s="108">
        <f>IFERROR(VLOOKUP($E104&amp;AE$6,Base!$A:$E,5,0),0)</f>
        <v>0</v>
      </c>
      <c r="AF104" s="101">
        <f>IFERROR(VLOOKUP($E104&amp;AF$6,Base!$G:$K,5,0),0)</f>
        <v>0</v>
      </c>
      <c r="AG104" s="101">
        <f>IFERROR(VLOOKUP($E104&amp;AF$6,Base!$M:$Q,5,0),0)</f>
        <v>0</v>
      </c>
      <c r="AH104" s="109"/>
      <c r="AI104" s="108">
        <f>IFERROR(VLOOKUP($E104&amp;AI$6,Base!$A:$E,5,0),0)</f>
        <v>0</v>
      </c>
      <c r="AJ104" s="101">
        <f>IFERROR(VLOOKUP($E104&amp;AJ$6,Base!$G:$K,5,0),0)</f>
        <v>0</v>
      </c>
      <c r="AK104" s="101">
        <f>IFERROR(VLOOKUP($E104&amp;AJ$6,Base!$M:$Q,5,0),0)</f>
        <v>0</v>
      </c>
      <c r="AL104" s="109">
        <v>0</v>
      </c>
      <c r="AM104" s="108">
        <f>IFERROR(VLOOKUP($E104&amp;AM$6,Base!$A:$E,5,0),0)</f>
        <v>0</v>
      </c>
      <c r="AN104" s="101">
        <f>IFERROR(VLOOKUP($E104&amp;AN$6,Base!$G:$K,5,0),0)</f>
        <v>0</v>
      </c>
      <c r="AO104" s="101">
        <f>IFERROR(VLOOKUP($E104&amp;AN$6,Base!$M:$Q,5,0),0)</f>
        <v>0</v>
      </c>
      <c r="AP104" s="109"/>
      <c r="AR104" s="104">
        <f t="shared" si="58"/>
        <v>0</v>
      </c>
      <c r="AS104" s="99">
        <f t="shared" si="59"/>
        <v>0</v>
      </c>
      <c r="AT104" s="99">
        <f t="shared" si="60"/>
        <v>0</v>
      </c>
      <c r="AU104" s="105">
        <f t="shared" si="49"/>
        <v>0</v>
      </c>
      <c r="AV104" s="108">
        <f>IFERROR(VLOOKUP($E104&amp;AV$6,Base!$A:$E,5,0),0)</f>
        <v>0</v>
      </c>
      <c r="AW104" s="101">
        <f>IFERROR(VLOOKUP($E104&amp;AW$6,Base!$G:$K,5,0),0)</f>
        <v>0</v>
      </c>
      <c r="AX104" s="101">
        <f>IFERROR(VLOOKUP($E104&amp;AW$6,Base!$M:$Q,5,0),0)</f>
        <v>0</v>
      </c>
      <c r="AY104" s="109">
        <v>0</v>
      </c>
      <c r="AZ104" s="108">
        <f>IFERROR(VLOOKUP($E104&amp;AZ$6,Base!$A:$E,5,0),0)</f>
        <v>0</v>
      </c>
      <c r="BA104" s="101">
        <f>IFERROR(VLOOKUP($E104&amp;BA$6,Base!$G:$K,5,0),0)</f>
        <v>0</v>
      </c>
      <c r="BB104" s="101">
        <f>IFERROR(VLOOKUP($E104&amp;BA$6,Base!$M:$Q,5,0),0)</f>
        <v>0</v>
      </c>
      <c r="BC104" s="109">
        <v>0</v>
      </c>
      <c r="BD104" s="108">
        <f>IFERROR(VLOOKUP($E104&amp;BD$6,Base!$A:$E,5,0),0)</f>
        <v>0</v>
      </c>
      <c r="BE104" s="101">
        <f>IFERROR(VLOOKUP($E104&amp;BE$6,Base!$G:$K,5,0),0)</f>
        <v>0</v>
      </c>
      <c r="BF104" s="101">
        <f>IFERROR(VLOOKUP($E104&amp;BE$6,Base!$M:$Q,5,0),0)</f>
        <v>0</v>
      </c>
      <c r="BG104" s="109">
        <v>0</v>
      </c>
      <c r="BI104" s="104">
        <f t="shared" si="61"/>
        <v>0</v>
      </c>
      <c r="BJ104" s="99">
        <f t="shared" si="62"/>
        <v>0</v>
      </c>
      <c r="BK104" s="99">
        <f t="shared" si="63"/>
        <v>0</v>
      </c>
      <c r="BL104" s="111">
        <f t="shared" si="64"/>
        <v>0</v>
      </c>
      <c r="BM104" s="108">
        <f>IFERROR(VLOOKUP($E104&amp;BM$6,Base!$A:$E,5,0),0)</f>
        <v>0</v>
      </c>
      <c r="BN104" s="101">
        <f>IFERROR(VLOOKUP($E104&amp;BN$6,Base!$G:$K,5,0),0)</f>
        <v>0</v>
      </c>
      <c r="BO104" s="101">
        <f>IFERROR(VLOOKUP($E104&amp;BN$6,Base!$M:$Q,5,0),0)</f>
        <v>0</v>
      </c>
      <c r="BP104" s="109">
        <v>0</v>
      </c>
      <c r="BQ104" s="108">
        <f>IFERROR(VLOOKUP($E104&amp;BQ$6,Base!$A:$E,5,0),0)</f>
        <v>0</v>
      </c>
      <c r="BR104" s="101">
        <f>IFERROR(VLOOKUP($E104&amp;BR$6,Base!$G:$K,5,0),0)</f>
        <v>0</v>
      </c>
      <c r="BS104" s="101">
        <f>IFERROR(VLOOKUP($E104&amp;BR$6,Base!$M:$Q,5,0),0)</f>
        <v>0</v>
      </c>
      <c r="BT104" s="109">
        <v>0</v>
      </c>
      <c r="BU104" s="108">
        <f>IFERROR(VLOOKUP($E104&amp;BU$6,Base!$A:$E,5,0),0)</f>
        <v>0</v>
      </c>
      <c r="BV104" s="101">
        <f>IFERROR(VLOOKUP($E104&amp;BV$6,Base!$G:$K,5,0),0)</f>
        <v>0</v>
      </c>
      <c r="BW104" s="101">
        <f>IFERROR(VLOOKUP($E104&amp;BV$6,Base!$M:$Q,5,0),0)</f>
        <v>0</v>
      </c>
      <c r="BX104" s="109">
        <f>IFERROR(VLOOKUP($E104,Base!$U:$W,3,0),0)</f>
        <v>0</v>
      </c>
    </row>
    <row r="105" spans="2:76" x14ac:dyDescent="0.35">
      <c r="B105" s="53" t="s">
        <v>97</v>
      </c>
      <c r="C105" s="51">
        <v>3655</v>
      </c>
      <c r="D105" s="51" t="s">
        <v>77</v>
      </c>
      <c r="E105" s="51">
        <v>169160</v>
      </c>
      <c r="F105" s="96" t="s">
        <v>231</v>
      </c>
      <c r="G105" s="42" t="s">
        <v>127</v>
      </c>
      <c r="H105" s="98" t="s">
        <v>134</v>
      </c>
      <c r="I105" s="143" t="s">
        <v>144</v>
      </c>
      <c r="J105" s="104">
        <f t="shared" si="50"/>
        <v>0</v>
      </c>
      <c r="K105" s="99">
        <f t="shared" si="51"/>
        <v>0</v>
      </c>
      <c r="L105" s="99">
        <f t="shared" si="52"/>
        <v>0</v>
      </c>
      <c r="M105" s="105">
        <f t="shared" si="53"/>
        <v>0</v>
      </c>
      <c r="N105" s="108">
        <f>IFERROR(VLOOKUP($E105&amp;N$6,Base!$A:$E,5,0),0)</f>
        <v>0</v>
      </c>
      <c r="O105" s="101">
        <v>0</v>
      </c>
      <c r="P105" s="101">
        <v>0</v>
      </c>
      <c r="Q105" s="101"/>
      <c r="R105" s="108">
        <f>IFERROR(VLOOKUP($E105&amp;R$6,Base!$A:$E,5,0),0)</f>
        <v>0</v>
      </c>
      <c r="S105" s="101">
        <f>IFERROR(VLOOKUP($E105&amp;S$6,Base!$G:$K,5,0),0)</f>
        <v>0</v>
      </c>
      <c r="T105" s="101">
        <f>IFERROR(VLOOKUP($E105&amp;S$6,Base!$M:$Q,5,0),0)</f>
        <v>0</v>
      </c>
      <c r="U105" s="109"/>
      <c r="V105" s="108">
        <f>IFERROR(VLOOKUP($E105&amp;V$6,Base!$A:$E,5,0),0)</f>
        <v>0</v>
      </c>
      <c r="W105" s="101">
        <f>IFERROR(VLOOKUP($E105&amp;W$6,Base!$G:$K,5,0),0)</f>
        <v>0</v>
      </c>
      <c r="X105" s="101">
        <f>IFERROR(VLOOKUP($E105&amp;W$6,Base!$M:$Q,5,0),0)</f>
        <v>0</v>
      </c>
      <c r="Y105" s="109"/>
      <c r="AA105" s="104">
        <f t="shared" si="54"/>
        <v>0</v>
      </c>
      <c r="AB105" s="99">
        <f t="shared" si="55"/>
        <v>0</v>
      </c>
      <c r="AC105" s="99">
        <f t="shared" si="56"/>
        <v>0</v>
      </c>
      <c r="AD105" s="105">
        <f t="shared" si="57"/>
        <v>0</v>
      </c>
      <c r="AE105" s="108">
        <f>IFERROR(VLOOKUP($E105&amp;AE$6,Base!$A:$E,5,0),0)</f>
        <v>0</v>
      </c>
      <c r="AF105" s="101">
        <f>IFERROR(VLOOKUP($E105&amp;AF$6,Base!$G:$K,5,0),0)</f>
        <v>0</v>
      </c>
      <c r="AG105" s="101">
        <f>IFERROR(VLOOKUP($E105&amp;AF$6,Base!$M:$Q,5,0),0)</f>
        <v>0</v>
      </c>
      <c r="AH105" s="109"/>
      <c r="AI105" s="108">
        <f>IFERROR(VLOOKUP($E105&amp;AI$6,Base!$A:$E,5,0),0)</f>
        <v>0</v>
      </c>
      <c r="AJ105" s="101">
        <f>IFERROR(VLOOKUP($E105&amp;AJ$6,Base!$G:$K,5,0),0)</f>
        <v>0</v>
      </c>
      <c r="AK105" s="101">
        <f>IFERROR(VLOOKUP($E105&amp;AJ$6,Base!$M:$Q,5,0),0)</f>
        <v>0</v>
      </c>
      <c r="AL105" s="109">
        <v>0</v>
      </c>
      <c r="AM105" s="108">
        <f>IFERROR(VLOOKUP($E105&amp;AM$6,Base!$A:$E,5,0),0)</f>
        <v>0</v>
      </c>
      <c r="AN105" s="101">
        <f>IFERROR(VLOOKUP($E105&amp;AN$6,Base!$G:$K,5,0),0)</f>
        <v>0</v>
      </c>
      <c r="AO105" s="101">
        <f>IFERROR(VLOOKUP($E105&amp;AN$6,Base!$M:$Q,5,0),0)</f>
        <v>0</v>
      </c>
      <c r="AP105" s="109"/>
      <c r="AR105" s="104">
        <f t="shared" si="58"/>
        <v>0</v>
      </c>
      <c r="AS105" s="99">
        <f t="shared" si="59"/>
        <v>0</v>
      </c>
      <c r="AT105" s="99">
        <f t="shared" si="60"/>
        <v>0</v>
      </c>
      <c r="AU105" s="105">
        <f t="shared" si="49"/>
        <v>0</v>
      </c>
      <c r="AV105" s="108">
        <f>IFERROR(VLOOKUP($E105&amp;AV$6,Base!$A:$E,5,0),0)</f>
        <v>0</v>
      </c>
      <c r="AW105" s="101">
        <f>IFERROR(VLOOKUP($E105&amp;AW$6,Base!$G:$K,5,0),0)</f>
        <v>0</v>
      </c>
      <c r="AX105" s="101">
        <f>IFERROR(VLOOKUP($E105&amp;AW$6,Base!$M:$Q,5,0),0)</f>
        <v>0</v>
      </c>
      <c r="AY105" s="109">
        <v>0</v>
      </c>
      <c r="AZ105" s="108">
        <f>IFERROR(VLOOKUP($E105&amp;AZ$6,Base!$A:$E,5,0),0)</f>
        <v>0</v>
      </c>
      <c r="BA105" s="101">
        <f>IFERROR(VLOOKUP($E105&amp;BA$6,Base!$G:$K,5,0),0)</f>
        <v>0</v>
      </c>
      <c r="BB105" s="101">
        <f>IFERROR(VLOOKUP($E105&amp;BA$6,Base!$M:$Q,5,0),0)</f>
        <v>0</v>
      </c>
      <c r="BC105" s="109">
        <v>0</v>
      </c>
      <c r="BD105" s="108">
        <f>IFERROR(VLOOKUP($E105&amp;BD$6,Base!$A:$E,5,0),0)</f>
        <v>0</v>
      </c>
      <c r="BE105" s="101">
        <f>IFERROR(VLOOKUP($E105&amp;BE$6,Base!$G:$K,5,0),0)</f>
        <v>0</v>
      </c>
      <c r="BF105" s="101">
        <f>IFERROR(VLOOKUP($E105&amp;BE$6,Base!$M:$Q,5,0),0)</f>
        <v>0</v>
      </c>
      <c r="BG105" s="109">
        <v>0</v>
      </c>
      <c r="BI105" s="104">
        <f t="shared" si="61"/>
        <v>0</v>
      </c>
      <c r="BJ105" s="99">
        <f t="shared" si="62"/>
        <v>0</v>
      </c>
      <c r="BK105" s="99">
        <f t="shared" si="63"/>
        <v>0</v>
      </c>
      <c r="BL105" s="111">
        <f t="shared" si="64"/>
        <v>0</v>
      </c>
      <c r="BM105" s="108">
        <f>IFERROR(VLOOKUP($E105&amp;BM$6,Base!$A:$E,5,0),0)</f>
        <v>0</v>
      </c>
      <c r="BN105" s="101">
        <f>IFERROR(VLOOKUP($E105&amp;BN$6,Base!$G:$K,5,0),0)</f>
        <v>0</v>
      </c>
      <c r="BO105" s="101">
        <f>IFERROR(VLOOKUP($E105&amp;BN$6,Base!$M:$Q,5,0),0)</f>
        <v>0</v>
      </c>
      <c r="BP105" s="109">
        <v>0</v>
      </c>
      <c r="BQ105" s="108">
        <f>IFERROR(VLOOKUP($E105&amp;BQ$6,Base!$A:$E,5,0),0)</f>
        <v>0</v>
      </c>
      <c r="BR105" s="101">
        <f>IFERROR(VLOOKUP($E105&amp;BR$6,Base!$G:$K,5,0),0)</f>
        <v>0</v>
      </c>
      <c r="BS105" s="101">
        <f>IFERROR(VLOOKUP($E105&amp;BR$6,Base!$M:$Q,5,0),0)</f>
        <v>0</v>
      </c>
      <c r="BT105" s="109">
        <v>0</v>
      </c>
      <c r="BU105" s="108">
        <f>IFERROR(VLOOKUP($E105&amp;BU$6,Base!$A:$E,5,0),0)</f>
        <v>0</v>
      </c>
      <c r="BV105" s="101">
        <f>IFERROR(VLOOKUP($E105&amp;BV$6,Base!$G:$K,5,0),0)</f>
        <v>0</v>
      </c>
      <c r="BW105" s="101">
        <f>IFERROR(VLOOKUP($E105&amp;BV$6,Base!$M:$Q,5,0),0)</f>
        <v>0</v>
      </c>
      <c r="BX105" s="109">
        <f>IFERROR(VLOOKUP($E105,Base!$U:$W,3,0),0)</f>
        <v>0</v>
      </c>
    </row>
    <row r="106" spans="2:76" x14ac:dyDescent="0.35">
      <c r="B106" s="53" t="s">
        <v>97</v>
      </c>
      <c r="C106" s="51">
        <v>3655</v>
      </c>
      <c r="D106" s="51" t="s">
        <v>77</v>
      </c>
      <c r="E106" s="51">
        <v>169868</v>
      </c>
      <c r="F106" s="96" t="s">
        <v>260</v>
      </c>
      <c r="G106" s="42" t="s">
        <v>123</v>
      </c>
      <c r="H106" s="98" t="s">
        <v>134</v>
      </c>
      <c r="I106" s="143" t="s">
        <v>144</v>
      </c>
      <c r="J106" s="104">
        <f t="shared" si="50"/>
        <v>0</v>
      </c>
      <c r="K106" s="99">
        <f t="shared" si="51"/>
        <v>0</v>
      </c>
      <c r="L106" s="99">
        <f t="shared" si="52"/>
        <v>0</v>
      </c>
      <c r="M106" s="105">
        <f t="shared" si="53"/>
        <v>0</v>
      </c>
      <c r="N106" s="108">
        <f>IFERROR(VLOOKUP($E106&amp;N$6,Base!$A:$E,5,0),0)</f>
        <v>0</v>
      </c>
      <c r="O106" s="101">
        <v>0</v>
      </c>
      <c r="P106" s="101">
        <v>0</v>
      </c>
      <c r="Q106" s="101"/>
      <c r="R106" s="108">
        <f>IFERROR(VLOOKUP($E106&amp;R$6,Base!$A:$E,5,0),0)</f>
        <v>0</v>
      </c>
      <c r="S106" s="101">
        <f>IFERROR(VLOOKUP($E106&amp;S$6,Base!$G:$K,5,0),0)</f>
        <v>0</v>
      </c>
      <c r="T106" s="101">
        <f>IFERROR(VLOOKUP($E106&amp;S$6,Base!$M:$Q,5,0),0)</f>
        <v>0</v>
      </c>
      <c r="U106" s="109"/>
      <c r="V106" s="108">
        <f>IFERROR(VLOOKUP($E106&amp;V$6,Base!$A:$E,5,0),0)</f>
        <v>0</v>
      </c>
      <c r="W106" s="101">
        <f>IFERROR(VLOOKUP($E106&amp;W$6,Base!$G:$K,5,0),0)</f>
        <v>0</v>
      </c>
      <c r="X106" s="101">
        <f>IFERROR(VLOOKUP($E106&amp;W$6,Base!$M:$Q,5,0),0)</f>
        <v>0</v>
      </c>
      <c r="Y106" s="109"/>
      <c r="AA106" s="104">
        <f t="shared" si="54"/>
        <v>0</v>
      </c>
      <c r="AB106" s="99">
        <f t="shared" si="55"/>
        <v>0</v>
      </c>
      <c r="AC106" s="99">
        <f t="shared" si="56"/>
        <v>0</v>
      </c>
      <c r="AD106" s="105">
        <f t="shared" si="57"/>
        <v>0</v>
      </c>
      <c r="AE106" s="108">
        <f>IFERROR(VLOOKUP($E106&amp;AE$6,Base!$A:$E,5,0),0)</f>
        <v>0</v>
      </c>
      <c r="AF106" s="101">
        <f>IFERROR(VLOOKUP($E106&amp;AF$6,Base!$G:$K,5,0),0)</f>
        <v>0</v>
      </c>
      <c r="AG106" s="101">
        <f>IFERROR(VLOOKUP($E106&amp;AF$6,Base!$M:$Q,5,0),0)</f>
        <v>0</v>
      </c>
      <c r="AH106" s="109"/>
      <c r="AI106" s="108">
        <f>IFERROR(VLOOKUP($E106&amp;AI$6,Base!$A:$E,5,0),0)</f>
        <v>0</v>
      </c>
      <c r="AJ106" s="101">
        <f>IFERROR(VLOOKUP($E106&amp;AJ$6,Base!$G:$K,5,0),0)</f>
        <v>0</v>
      </c>
      <c r="AK106" s="101">
        <f>IFERROR(VLOOKUP($E106&amp;AJ$6,Base!$M:$Q,5,0),0)</f>
        <v>0</v>
      </c>
      <c r="AL106" s="109">
        <v>0</v>
      </c>
      <c r="AM106" s="108">
        <f>IFERROR(VLOOKUP($E106&amp;AM$6,Base!$A:$E,5,0),0)</f>
        <v>0</v>
      </c>
      <c r="AN106" s="101">
        <f>IFERROR(VLOOKUP($E106&amp;AN$6,Base!$G:$K,5,0),0)</f>
        <v>0</v>
      </c>
      <c r="AO106" s="101">
        <f>IFERROR(VLOOKUP($E106&amp;AN$6,Base!$M:$Q,5,0),0)</f>
        <v>0</v>
      </c>
      <c r="AP106" s="109"/>
      <c r="AR106" s="104">
        <f t="shared" si="58"/>
        <v>0</v>
      </c>
      <c r="AS106" s="99">
        <f t="shared" si="59"/>
        <v>0</v>
      </c>
      <c r="AT106" s="99">
        <f t="shared" si="60"/>
        <v>0</v>
      </c>
      <c r="AU106" s="105">
        <f t="shared" si="49"/>
        <v>0</v>
      </c>
      <c r="AV106" s="108">
        <f>IFERROR(VLOOKUP($E106&amp;AV$6,Base!$A:$E,5,0),0)</f>
        <v>0</v>
      </c>
      <c r="AW106" s="101">
        <f>IFERROR(VLOOKUP($E106&amp;AW$6,Base!$G:$K,5,0),0)</f>
        <v>0</v>
      </c>
      <c r="AX106" s="101">
        <f>IFERROR(VLOOKUP($E106&amp;AW$6,Base!$M:$Q,5,0),0)</f>
        <v>0</v>
      </c>
      <c r="AY106" s="109">
        <v>0</v>
      </c>
      <c r="AZ106" s="108">
        <f>IFERROR(VLOOKUP($E106&amp;AZ$6,Base!$A:$E,5,0),0)</f>
        <v>0</v>
      </c>
      <c r="BA106" s="101">
        <f>IFERROR(VLOOKUP($E106&amp;BA$6,Base!$G:$K,5,0),0)</f>
        <v>0</v>
      </c>
      <c r="BB106" s="101">
        <f>IFERROR(VLOOKUP($E106&amp;BA$6,Base!$M:$Q,5,0),0)</f>
        <v>0</v>
      </c>
      <c r="BC106" s="109">
        <v>0</v>
      </c>
      <c r="BD106" s="108">
        <f>IFERROR(VLOOKUP($E106&amp;BD$6,Base!$A:$E,5,0),0)</f>
        <v>0</v>
      </c>
      <c r="BE106" s="101">
        <f>IFERROR(VLOOKUP($E106&amp;BE$6,Base!$G:$K,5,0),0)</f>
        <v>0</v>
      </c>
      <c r="BF106" s="101">
        <f>IFERROR(VLOOKUP($E106&amp;BE$6,Base!$M:$Q,5,0),0)</f>
        <v>0</v>
      </c>
      <c r="BG106" s="109">
        <v>0</v>
      </c>
      <c r="BI106" s="104">
        <f t="shared" si="61"/>
        <v>0</v>
      </c>
      <c r="BJ106" s="99">
        <f t="shared" si="62"/>
        <v>6.5</v>
      </c>
      <c r="BK106" s="99">
        <f t="shared" si="63"/>
        <v>0</v>
      </c>
      <c r="BL106" s="111">
        <f t="shared" si="64"/>
        <v>0</v>
      </c>
      <c r="BM106" s="108">
        <f>IFERROR(VLOOKUP($E106&amp;BM$6,Base!$A:$E,5,0),0)</f>
        <v>0</v>
      </c>
      <c r="BN106" s="101">
        <f>IFERROR(VLOOKUP($E106&amp;BN$6,Base!$G:$K,5,0),0)</f>
        <v>6.5</v>
      </c>
      <c r="BO106" s="101">
        <f>IFERROR(VLOOKUP($E106&amp;BN$6,Base!$M:$Q,5,0),0)</f>
        <v>0</v>
      </c>
      <c r="BP106" s="109">
        <v>0</v>
      </c>
      <c r="BQ106" s="108">
        <f>IFERROR(VLOOKUP($E106&amp;BQ$6,Base!$A:$E,5,0),0)</f>
        <v>0</v>
      </c>
      <c r="BR106" s="101">
        <f>IFERROR(VLOOKUP($E106&amp;BR$6,Base!$G:$K,5,0),0)</f>
        <v>0</v>
      </c>
      <c r="BS106" s="101">
        <f>IFERROR(VLOOKUP($E106&amp;BR$6,Base!$M:$Q,5,0),0)</f>
        <v>0</v>
      </c>
      <c r="BT106" s="109">
        <v>0</v>
      </c>
      <c r="BU106" s="108">
        <f>IFERROR(VLOOKUP($E106&amp;BU$6,Base!$A:$E,5,0),0)</f>
        <v>0</v>
      </c>
      <c r="BV106" s="101">
        <f>IFERROR(VLOOKUP($E106&amp;BV$6,Base!$G:$K,5,0),0)</f>
        <v>0</v>
      </c>
      <c r="BW106" s="101">
        <f>IFERROR(VLOOKUP($E106&amp;BV$6,Base!$M:$Q,5,0),0)</f>
        <v>0</v>
      </c>
      <c r="BX106" s="109">
        <f>IFERROR(VLOOKUP($E106,Base!$U:$W,3,0),0)</f>
        <v>0</v>
      </c>
    </row>
    <row r="107" spans="2:76" x14ac:dyDescent="0.35">
      <c r="B107" s="53" t="s">
        <v>97</v>
      </c>
      <c r="C107" s="51">
        <v>3655</v>
      </c>
      <c r="D107" s="51" t="s">
        <v>77</v>
      </c>
      <c r="E107" s="51">
        <v>189159</v>
      </c>
      <c r="F107" s="96" t="s">
        <v>288</v>
      </c>
      <c r="G107" s="42" t="s">
        <v>274</v>
      </c>
      <c r="H107" s="98" t="s">
        <v>134</v>
      </c>
      <c r="I107" s="143" t="s">
        <v>144</v>
      </c>
      <c r="J107" s="104">
        <f t="shared" si="50"/>
        <v>0</v>
      </c>
      <c r="K107" s="99">
        <f t="shared" si="51"/>
        <v>0</v>
      </c>
      <c r="L107" s="99">
        <f t="shared" si="52"/>
        <v>0</v>
      </c>
      <c r="M107" s="105">
        <f t="shared" si="53"/>
        <v>0</v>
      </c>
      <c r="N107" s="108">
        <f>IFERROR(VLOOKUP($E107&amp;N$6,Base!$A:$E,5,0),0)</f>
        <v>0</v>
      </c>
      <c r="O107" s="101">
        <v>0</v>
      </c>
      <c r="P107" s="101">
        <v>0</v>
      </c>
      <c r="Q107" s="101"/>
      <c r="R107" s="108">
        <f>IFERROR(VLOOKUP($E107&amp;R$6,Base!$A:$E,5,0),0)</f>
        <v>0</v>
      </c>
      <c r="S107" s="101">
        <f>IFERROR(VLOOKUP($E107&amp;S$6,Base!$G:$K,5,0),0)</f>
        <v>0</v>
      </c>
      <c r="T107" s="101">
        <f>IFERROR(VLOOKUP($E107&amp;S$6,Base!$M:$Q,5,0),0)</f>
        <v>0</v>
      </c>
      <c r="U107" s="109"/>
      <c r="V107" s="108">
        <f>IFERROR(VLOOKUP($E107&amp;V$6,Base!$A:$E,5,0),0)</f>
        <v>0</v>
      </c>
      <c r="W107" s="101">
        <f>IFERROR(VLOOKUP($E107&amp;W$6,Base!$G:$K,5,0),0)</f>
        <v>0</v>
      </c>
      <c r="X107" s="101">
        <f>IFERROR(VLOOKUP($E107&amp;W$6,Base!$M:$Q,5,0),0)</f>
        <v>0</v>
      </c>
      <c r="Y107" s="109"/>
      <c r="AA107" s="104">
        <f t="shared" si="54"/>
        <v>0</v>
      </c>
      <c r="AB107" s="99">
        <f t="shared" si="55"/>
        <v>0</v>
      </c>
      <c r="AC107" s="99">
        <f t="shared" si="56"/>
        <v>0</v>
      </c>
      <c r="AD107" s="105">
        <f t="shared" si="57"/>
        <v>0</v>
      </c>
      <c r="AE107" s="108">
        <f>IFERROR(VLOOKUP($E107&amp;AE$6,Base!$A:$E,5,0),0)</f>
        <v>0</v>
      </c>
      <c r="AF107" s="101">
        <f>IFERROR(VLOOKUP($E107&amp;AF$6,Base!$G:$K,5,0),0)</f>
        <v>0</v>
      </c>
      <c r="AG107" s="101">
        <f>IFERROR(VLOOKUP($E107&amp;AF$6,Base!$M:$Q,5,0),0)</f>
        <v>0</v>
      </c>
      <c r="AH107" s="109"/>
      <c r="AI107" s="108">
        <f>IFERROR(VLOOKUP($E107&amp;AI$6,Base!$A:$E,5,0),0)</f>
        <v>0</v>
      </c>
      <c r="AJ107" s="101">
        <f>IFERROR(VLOOKUP($E107&amp;AJ$6,Base!$G:$K,5,0),0)</f>
        <v>0</v>
      </c>
      <c r="AK107" s="101">
        <f>IFERROR(VLOOKUP($E107&amp;AJ$6,Base!$M:$Q,5,0),0)</f>
        <v>0</v>
      </c>
      <c r="AL107" s="109">
        <v>0</v>
      </c>
      <c r="AM107" s="108">
        <f>IFERROR(VLOOKUP($E107&amp;AM$6,Base!$A:$E,5,0),0)</f>
        <v>0</v>
      </c>
      <c r="AN107" s="101">
        <f>IFERROR(VLOOKUP($E107&amp;AN$6,Base!$G:$K,5,0),0)</f>
        <v>0</v>
      </c>
      <c r="AO107" s="101">
        <f>IFERROR(VLOOKUP($E107&amp;AN$6,Base!$M:$Q,5,0),0)</f>
        <v>0</v>
      </c>
      <c r="AP107" s="109"/>
      <c r="AR107" s="104">
        <f t="shared" si="58"/>
        <v>0</v>
      </c>
      <c r="AS107" s="99">
        <f t="shared" si="59"/>
        <v>0</v>
      </c>
      <c r="AT107" s="99">
        <f t="shared" si="60"/>
        <v>0</v>
      </c>
      <c r="AU107" s="105">
        <f t="shared" si="49"/>
        <v>0</v>
      </c>
      <c r="AV107" s="108">
        <f>IFERROR(VLOOKUP($E107&amp;AV$6,Base!$A:$E,5,0),0)</f>
        <v>0</v>
      </c>
      <c r="AW107" s="101">
        <f>IFERROR(VLOOKUP($E107&amp;AW$6,Base!$G:$K,5,0),0)</f>
        <v>0</v>
      </c>
      <c r="AX107" s="101">
        <f>IFERROR(VLOOKUP($E107&amp;AW$6,Base!$M:$Q,5,0),0)</f>
        <v>0</v>
      </c>
      <c r="AY107" s="109">
        <v>0</v>
      </c>
      <c r="AZ107" s="108">
        <f>IFERROR(VLOOKUP($E107&amp;AZ$6,Base!$A:$E,5,0),0)</f>
        <v>0</v>
      </c>
      <c r="BA107" s="101">
        <f>IFERROR(VLOOKUP($E107&amp;BA$6,Base!$G:$K,5,0),0)</f>
        <v>0</v>
      </c>
      <c r="BB107" s="101">
        <f>IFERROR(VLOOKUP($E107&amp;BA$6,Base!$M:$Q,5,0),0)</f>
        <v>0</v>
      </c>
      <c r="BC107" s="109">
        <v>0</v>
      </c>
      <c r="BD107" s="108">
        <f>IFERROR(VLOOKUP($E107&amp;BD$6,Base!$A:$E,5,0),0)</f>
        <v>0</v>
      </c>
      <c r="BE107" s="101">
        <f>IFERROR(VLOOKUP($E107&amp;BE$6,Base!$G:$K,5,0),0)</f>
        <v>0</v>
      </c>
      <c r="BF107" s="101">
        <f>IFERROR(VLOOKUP($E107&amp;BE$6,Base!$M:$Q,5,0),0)</f>
        <v>0</v>
      </c>
      <c r="BG107" s="109">
        <v>0</v>
      </c>
      <c r="BI107" s="104">
        <f t="shared" si="61"/>
        <v>0</v>
      </c>
      <c r="BJ107" s="99">
        <f t="shared" si="62"/>
        <v>6.5</v>
      </c>
      <c r="BK107" s="99">
        <f t="shared" si="63"/>
        <v>0</v>
      </c>
      <c r="BL107" s="111">
        <f t="shared" si="64"/>
        <v>0</v>
      </c>
      <c r="BM107" s="108">
        <f>IFERROR(VLOOKUP($E107&amp;BM$6,Base!$A:$E,5,0),0)</f>
        <v>0</v>
      </c>
      <c r="BN107" s="101">
        <f>IFERROR(VLOOKUP($E107&amp;BN$6,Base!$G:$K,5,0),0)</f>
        <v>6.5</v>
      </c>
      <c r="BO107" s="101">
        <f>IFERROR(VLOOKUP($E107&amp;BN$6,Base!$M:$Q,5,0),0)</f>
        <v>0</v>
      </c>
      <c r="BP107" s="109">
        <v>0</v>
      </c>
      <c r="BQ107" s="108">
        <f>IFERROR(VLOOKUP($E107&amp;BQ$6,Base!$A:$E,5,0),0)</f>
        <v>0</v>
      </c>
      <c r="BR107" s="101">
        <f>IFERROR(VLOOKUP($E107&amp;BR$6,Base!$G:$K,5,0),0)</f>
        <v>0</v>
      </c>
      <c r="BS107" s="101">
        <f>IFERROR(VLOOKUP($E107&amp;BR$6,Base!$M:$Q,5,0),0)</f>
        <v>0</v>
      </c>
      <c r="BT107" s="109">
        <v>0</v>
      </c>
      <c r="BU107" s="108">
        <f>IFERROR(VLOOKUP($E107&amp;BU$6,Base!$A:$E,5,0),0)</f>
        <v>0</v>
      </c>
      <c r="BV107" s="101">
        <f>IFERROR(VLOOKUP($E107&amp;BV$6,Base!$G:$K,5,0),0)</f>
        <v>0</v>
      </c>
      <c r="BW107" s="101">
        <f>IFERROR(VLOOKUP($E107&amp;BV$6,Base!$M:$Q,5,0),0)</f>
        <v>0</v>
      </c>
      <c r="BX107" s="109">
        <f>IFERROR(VLOOKUP($E107,Base!$U:$W,3,0),0)</f>
        <v>0</v>
      </c>
    </row>
  </sheetData>
  <autoFilter ref="B9:BX33" xr:uid="{A385D0EF-BEB3-48FE-B5EB-2A3D5B006E56}"/>
  <sortState xmlns:xlrd2="http://schemas.microsoft.com/office/spreadsheetml/2017/richdata2" ref="B10:H33">
    <sortCondition ref="B10:B33"/>
    <sortCondition ref="C10:C33"/>
    <sortCondition ref="H10:H33"/>
  </sortState>
  <mergeCells count="2">
    <mergeCell ref="BI8:BL8"/>
    <mergeCell ref="J8:M8"/>
  </mergeCells>
  <phoneticPr fontId="14" type="noConversion"/>
  <conditionalFormatting sqref="E34:E1048576 E1:E9">
    <cfRule type="duplicateValues" dxfId="1" priority="1"/>
  </conditionalFormatting>
  <pageMargins left="0.51181102362204722" right="0.51181102362204722" top="0.78740157480314965" bottom="0.78740157480314965" header="0.31496062992125984" footer="0.31496062992125984"/>
  <pageSetup paperSize="9" scale="40" orientation="landscape" horizontalDpi="4294967293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2898-0075-4B35-B450-918EC9AD11EA}">
  <sheetPr>
    <pageSetUpPr fitToPage="1"/>
  </sheetPr>
  <dimension ref="B1:V17"/>
  <sheetViews>
    <sheetView showGridLines="0" zoomScale="175" zoomScaleNormal="175" workbookViewId="0">
      <selection activeCell="X11" sqref="X11"/>
    </sheetView>
  </sheetViews>
  <sheetFormatPr defaultRowHeight="14.5" x14ac:dyDescent="0.35"/>
  <cols>
    <col min="1" max="1" width="2.7265625" customWidth="1"/>
    <col min="2" max="2" width="18.26953125" bestFit="1" customWidth="1"/>
    <col min="3" max="13" width="0" hidden="1" customWidth="1"/>
    <col min="14" max="14" width="10.1796875" hidden="1" customWidth="1"/>
    <col min="15" max="15" width="0" hidden="1" customWidth="1"/>
    <col min="16" max="16" width="2.54296875" customWidth="1"/>
    <col min="22" max="22" width="13.81640625" bestFit="1" customWidth="1"/>
  </cols>
  <sheetData>
    <row r="1" spans="2:22" ht="18" x14ac:dyDescent="0.5">
      <c r="H1" s="170">
        <v>2025</v>
      </c>
      <c r="S1" s="170">
        <v>2026</v>
      </c>
    </row>
    <row r="2" spans="2:22" x14ac:dyDescent="0.35">
      <c r="B2" s="149" t="s">
        <v>32</v>
      </c>
      <c r="C2" s="149" t="s">
        <v>33</v>
      </c>
      <c r="D2" s="149" t="s">
        <v>34</v>
      </c>
      <c r="E2" s="149" t="s">
        <v>35</v>
      </c>
      <c r="F2" s="149" t="s">
        <v>36</v>
      </c>
      <c r="G2" s="149" t="s">
        <v>37</v>
      </c>
      <c r="H2" s="149" t="s">
        <v>38</v>
      </c>
      <c r="I2" s="149" t="s">
        <v>39</v>
      </c>
      <c r="J2" s="149" t="s">
        <v>40</v>
      </c>
      <c r="K2" s="149" t="s">
        <v>41</v>
      </c>
      <c r="L2" s="149" t="s">
        <v>42</v>
      </c>
      <c r="M2" s="149" t="s">
        <v>43</v>
      </c>
      <c r="N2" s="149" t="s">
        <v>44</v>
      </c>
      <c r="O2" s="149" t="s">
        <v>786</v>
      </c>
      <c r="Q2" s="149" t="s">
        <v>175</v>
      </c>
      <c r="R2" s="149" t="s">
        <v>176</v>
      </c>
      <c r="S2" s="149" t="s">
        <v>177</v>
      </c>
      <c r="T2" s="149" t="s">
        <v>178</v>
      </c>
      <c r="U2" s="149" t="s">
        <v>785</v>
      </c>
      <c r="V2" s="149" t="s">
        <v>174</v>
      </c>
    </row>
    <row r="3" spans="2:22" x14ac:dyDescent="0.35">
      <c r="B3" s="161" t="s">
        <v>136</v>
      </c>
      <c r="C3" s="162">
        <f>SUMIF('Top Contas 04.07'!$K:$K,Metas!$B3,'Top Contas 04.07'!M:M)</f>
        <v>270.84399999999999</v>
      </c>
      <c r="D3" s="162">
        <f>SUMIF('Top Contas 04.07'!$K:$K,Metas!$B3,'Top Contas 04.07'!N:N)</f>
        <v>854.55799999999999</v>
      </c>
      <c r="E3" s="162">
        <f>SUMIF('Top Contas 04.07'!$K:$K,Metas!$B3,'Top Contas 04.07'!O:O)</f>
        <v>525.54200000000003</v>
      </c>
      <c r="F3" s="162">
        <f>SUMIF('Top Contas 04.07'!$K:$K,Metas!$B3,'Top Contas 04.07'!P:P)</f>
        <v>814.13300000000004</v>
      </c>
      <c r="G3" s="162">
        <f>SUMIF('Top Contas 04.07'!$K:$K,Metas!$B3,'Top Contas 04.07'!Q:Q)</f>
        <v>111.858</v>
      </c>
      <c r="H3" s="162">
        <f>SUMIF('Top Contas 04.07'!$K:$K,Metas!$B3,'Top Contas 04.07'!R:R)</f>
        <v>142.375</v>
      </c>
      <c r="I3" s="162">
        <f>SUMIF('Top Contas 04.07'!$K:$K,Metas!$B3,'Top Contas 04.07'!S:S)</f>
        <v>286.55</v>
      </c>
      <c r="J3" s="162">
        <f>SUMIF('Top Contas 04.07'!$K:$K,Metas!$B3,'Top Contas 04.07'!T:T)</f>
        <v>82.959000000000003</v>
      </c>
      <c r="K3" s="162">
        <f>SUMIF('Top Contas 04.07'!$K:$K,Metas!$B3,'Top Contas 04.07'!U:U)</f>
        <v>86.082999999999998</v>
      </c>
      <c r="L3" s="162">
        <f>SUMIF('Top Contas 04.07'!$K:$K,Metas!$B3,'Top Contas 04.07'!V:V)</f>
        <v>24.082999999999998</v>
      </c>
      <c r="M3" s="162">
        <f>SUMIF('Top Contas 04.07'!$K:$K,Metas!$B3,'Top Contas 04.07'!W:W)</f>
        <v>59.867000000000004</v>
      </c>
      <c r="N3" s="162">
        <f>SUMIF('Top Contas 04.07'!$K:$K,Metas!$B3,'Top Contas 04.07'!X:X)</f>
        <v>67.655000000000001</v>
      </c>
      <c r="O3" s="162">
        <f>SUM(C3:N3)</f>
        <v>3326.507000000001</v>
      </c>
      <c r="Q3" s="124">
        <v>898.53</v>
      </c>
      <c r="R3" s="124">
        <v>770.16614400000026</v>
      </c>
      <c r="S3" s="124">
        <v>724.3607402375967</v>
      </c>
      <c r="T3" s="124">
        <v>771</v>
      </c>
      <c r="U3" s="124">
        <v>3492.3862149210354</v>
      </c>
      <c r="V3" s="124" t="str">
        <f>IF(AVERAGE(C3,D3,E3,F3,G3,H3,I3,J3,K3,L3,M3,N3)&gt;=500,"Diamante","Estrela")</f>
        <v>Estrela</v>
      </c>
    </row>
    <row r="4" spans="2:22" x14ac:dyDescent="0.35">
      <c r="B4" s="161" t="s">
        <v>153</v>
      </c>
      <c r="C4" s="162">
        <f>SUMIF('Top Contas 04.07'!$K:$K,Metas!$B4,'Top Contas 04.07'!M:M)</f>
        <v>-1</v>
      </c>
      <c r="D4" s="162">
        <f>SUMIF('Top Contas 04.07'!$K:$K,Metas!$B4,'Top Contas 04.07'!N:N)</f>
        <v>84</v>
      </c>
      <c r="E4" s="162">
        <f>SUMIF('Top Contas 04.07'!$K:$K,Metas!$B4,'Top Contas 04.07'!O:O)</f>
        <v>-8.3000000000000004E-2</v>
      </c>
      <c r="F4" s="162">
        <f>SUMIF('Top Contas 04.07'!$K:$K,Metas!$B4,'Top Contas 04.07'!P:P)</f>
        <v>1136.604</v>
      </c>
      <c r="G4" s="162">
        <f>SUMIF('Top Contas 04.07'!$K:$K,Metas!$B4,'Top Contas 04.07'!Q:Q)</f>
        <v>60.75</v>
      </c>
      <c r="H4" s="162">
        <f>SUMIF('Top Contas 04.07'!$K:$K,Metas!$B4,'Top Contas 04.07'!R:R)</f>
        <v>9</v>
      </c>
      <c r="I4" s="162">
        <f>SUMIF('Top Contas 04.07'!$K:$K,Metas!$B4,'Top Contas 04.07'!S:S)</f>
        <v>211</v>
      </c>
      <c r="J4" s="162">
        <f>SUMIF('Top Contas 04.07'!$K:$K,Metas!$B4,'Top Contas 04.07'!T:T)</f>
        <v>-2.0830000000000002</v>
      </c>
      <c r="K4" s="162">
        <f>SUMIF('Top Contas 04.07'!$K:$K,Metas!$B4,'Top Contas 04.07'!U:U)</f>
        <v>184.625</v>
      </c>
      <c r="L4" s="162">
        <f>SUMIF('Top Contas 04.07'!$K:$K,Metas!$B4,'Top Contas 04.07'!V:V)</f>
        <v>0</v>
      </c>
      <c r="M4" s="162">
        <f>SUMIF('Top Contas 04.07'!$K:$K,Metas!$B4,'Top Contas 04.07'!W:W)</f>
        <v>102.917</v>
      </c>
      <c r="N4" s="162">
        <f>SUMIF('Top Contas 04.07'!$K:$K,Metas!$B4,'Top Contas 04.07'!X:X)</f>
        <v>84</v>
      </c>
      <c r="O4" s="162">
        <f t="shared" ref="O4:O16" si="0">SUM(C4:N4)</f>
        <v>1869.7299999999998</v>
      </c>
      <c r="Q4" s="124">
        <v>574.64</v>
      </c>
      <c r="R4" s="124">
        <v>492.54739200000012</v>
      </c>
      <c r="S4" s="124">
        <v>463.25328145197932</v>
      </c>
      <c r="T4" s="124">
        <v>495</v>
      </c>
      <c r="U4" s="124">
        <v>2036.6686315488321</v>
      </c>
      <c r="V4" s="124" t="str">
        <f t="shared" ref="V4:V16" si="1">IF(AVERAGE(C4,D4,E4,F4,G4,H4,I4,J4,K4,L4,M4,N4)&gt;=500,"Diamante","Estrela")</f>
        <v>Estrela</v>
      </c>
    </row>
    <row r="5" spans="2:22" x14ac:dyDescent="0.35">
      <c r="B5" s="161" t="s">
        <v>105</v>
      </c>
      <c r="C5" s="162">
        <f>SUMIF('Top Contas 04.07'!$K:$K,Metas!$B5,'Top Contas 04.07'!M:M)</f>
        <v>97.179000000000002</v>
      </c>
      <c r="D5" s="162">
        <f>SUMIF('Top Contas 04.07'!$K:$K,Metas!$B5,'Top Contas 04.07'!N:N)</f>
        <v>80.521000000000001</v>
      </c>
      <c r="E5" s="162">
        <f>SUMIF('Top Contas 04.07'!$K:$K,Metas!$B5,'Top Contas 04.07'!O:O)</f>
        <v>1618.308</v>
      </c>
      <c r="F5" s="162">
        <f>SUMIF('Top Contas 04.07'!$K:$K,Metas!$B5,'Top Contas 04.07'!P:P)</f>
        <v>219.52099999999999</v>
      </c>
      <c r="G5" s="162">
        <f>SUMIF('Top Contas 04.07'!$K:$K,Metas!$B5,'Top Contas 04.07'!Q:Q)</f>
        <v>125.863</v>
      </c>
      <c r="H5" s="162">
        <f>SUMIF('Top Contas 04.07'!$K:$K,Metas!$B5,'Top Contas 04.07'!R:R)</f>
        <v>672.5</v>
      </c>
      <c r="I5" s="162">
        <f>SUMIF('Top Contas 04.07'!$K:$K,Metas!$B5,'Top Contas 04.07'!S:S)</f>
        <v>10.396000000000001</v>
      </c>
      <c r="J5" s="162">
        <f>SUMIF('Top Contas 04.07'!$K:$K,Metas!$B5,'Top Contas 04.07'!T:T)</f>
        <v>70.462999999999994</v>
      </c>
      <c r="K5" s="162">
        <f>SUMIF('Top Contas 04.07'!$K:$K,Metas!$B5,'Top Contas 04.07'!U:U)</f>
        <v>54.207000000000001</v>
      </c>
      <c r="L5" s="162">
        <f>SUMIF('Top Contas 04.07'!$K:$K,Metas!$B5,'Top Contas 04.07'!V:V)</f>
        <v>-3.5830000000000002</v>
      </c>
      <c r="M5" s="162">
        <f>SUMIF('Top Contas 04.07'!$K:$K,Metas!$B5,'Top Contas 04.07'!W:W)</f>
        <v>154.17500000000001</v>
      </c>
      <c r="N5" s="162">
        <f>SUMIF('Top Contas 04.07'!$K:$K,Metas!$B5,'Top Contas 04.07'!X:X)</f>
        <v>-15.007</v>
      </c>
      <c r="O5" s="162">
        <f t="shared" si="0"/>
        <v>3084.5430000000001</v>
      </c>
      <c r="Q5" s="124">
        <v>949.44</v>
      </c>
      <c r="R5" s="124">
        <v>813.80505600000038</v>
      </c>
      <c r="S5" s="124">
        <v>765.40424084554263</v>
      </c>
      <c r="T5" s="124">
        <v>816</v>
      </c>
      <c r="U5" s="124">
        <v>3443.1230494802057</v>
      </c>
      <c r="V5" s="124" t="str">
        <f t="shared" si="1"/>
        <v>Estrela</v>
      </c>
    </row>
    <row r="6" spans="2:22" x14ac:dyDescent="0.35">
      <c r="B6" s="161" t="s">
        <v>107</v>
      </c>
      <c r="C6" s="162">
        <f>SUMIF('Top Contas 04.07'!$K:$K,Metas!$B6,'Top Contas 04.07'!M:M)</f>
        <v>-8.3000000000000004E-2</v>
      </c>
      <c r="D6" s="162">
        <f>SUMIF('Top Contas 04.07'!$K:$K,Metas!$B6,'Top Contas 04.07'!N:N)</f>
        <v>120.583</v>
      </c>
      <c r="E6" s="162">
        <f>SUMIF('Top Contas 04.07'!$K:$K,Metas!$B6,'Top Contas 04.07'!O:O)</f>
        <v>496.66699999999997</v>
      </c>
      <c r="F6" s="162">
        <f>SUMIF('Top Contas 04.07'!$K:$K,Metas!$B6,'Top Contas 04.07'!P:P)</f>
        <v>117</v>
      </c>
      <c r="G6" s="162">
        <f>SUMIF('Top Contas 04.07'!$K:$K,Metas!$B6,'Top Contas 04.07'!Q:Q)</f>
        <v>0</v>
      </c>
      <c r="H6" s="162">
        <f>SUMIF('Top Contas 04.07'!$K:$K,Metas!$B6,'Top Contas 04.07'!R:R)</f>
        <v>290</v>
      </c>
      <c r="I6" s="162">
        <f>SUMIF('Top Contas 04.07'!$K:$K,Metas!$B6,'Top Contas 04.07'!S:S)</f>
        <v>-8</v>
      </c>
      <c r="J6" s="162">
        <f>SUMIF('Top Contas 04.07'!$K:$K,Metas!$B6,'Top Contas 04.07'!T:T)</f>
        <v>215.708</v>
      </c>
      <c r="K6" s="162">
        <f>SUMIF('Top Contas 04.07'!$K:$K,Metas!$B6,'Top Contas 04.07'!U:U)</f>
        <v>278</v>
      </c>
      <c r="L6" s="162">
        <f>SUMIF('Top Contas 04.07'!$K:$K,Metas!$B6,'Top Contas 04.07'!V:V)</f>
        <v>32</v>
      </c>
      <c r="M6" s="162">
        <f>SUMIF('Top Contas 04.07'!$K:$K,Metas!$B6,'Top Contas 04.07'!W:W)</f>
        <v>160.792</v>
      </c>
      <c r="N6" s="162">
        <f>SUMIF('Top Contas 04.07'!$K:$K,Metas!$B6,'Top Contas 04.07'!X:X)</f>
        <v>67.832999999999998</v>
      </c>
      <c r="O6" s="162">
        <f t="shared" si="0"/>
        <v>1770.5</v>
      </c>
      <c r="Q6" s="124">
        <v>529.5</v>
      </c>
      <c r="R6" s="124">
        <v>453.85468800000001</v>
      </c>
      <c r="S6" s="124">
        <v>426.86181458527392</v>
      </c>
      <c r="T6" s="124">
        <v>456</v>
      </c>
      <c r="U6" s="124">
        <v>1818.8</v>
      </c>
      <c r="V6" s="124" t="str">
        <f t="shared" si="1"/>
        <v>Estrela</v>
      </c>
    </row>
    <row r="7" spans="2:22" x14ac:dyDescent="0.35">
      <c r="B7" s="161" t="s">
        <v>102</v>
      </c>
      <c r="C7" s="162">
        <f>SUMIF('Top Contas 04.07'!$K:$K,Metas!$B7,'Top Contas 04.07'!M:M)</f>
        <v>118.792</v>
      </c>
      <c r="D7" s="162">
        <f>SUMIF('Top Contas 04.07'!$K:$K,Metas!$B7,'Top Contas 04.07'!N:N)</f>
        <v>22.167000000000002</v>
      </c>
      <c r="E7" s="162">
        <f>SUMIF('Top Contas 04.07'!$K:$K,Metas!$B7,'Top Contas 04.07'!O:O)</f>
        <v>914.16700000000003</v>
      </c>
      <c r="F7" s="162">
        <f>SUMIF('Top Contas 04.07'!$K:$K,Metas!$B7,'Top Contas 04.07'!P:P)</f>
        <v>102.583</v>
      </c>
      <c r="G7" s="162">
        <f>SUMIF('Top Contas 04.07'!$K:$K,Metas!$B7,'Top Contas 04.07'!Q:Q)</f>
        <v>127</v>
      </c>
      <c r="H7" s="162">
        <f>SUMIF('Top Contas 04.07'!$K:$K,Metas!$B7,'Top Contas 04.07'!R:R)</f>
        <v>449.75</v>
      </c>
      <c r="I7" s="162">
        <f>SUMIF('Top Contas 04.07'!$K:$K,Metas!$B7,'Top Contas 04.07'!S:S)</f>
        <v>-2.8580000000000001</v>
      </c>
      <c r="J7" s="162">
        <f>SUMIF('Top Contas 04.07'!$K:$K,Metas!$B7,'Top Contas 04.07'!T:T)</f>
        <v>67.667000000000002</v>
      </c>
      <c r="K7" s="162">
        <f>SUMIF('Top Contas 04.07'!$K:$K,Metas!$B7,'Top Contas 04.07'!U:U)</f>
        <v>193.85400000000001</v>
      </c>
      <c r="L7" s="162">
        <f>SUMIF('Top Contas 04.07'!$K:$K,Metas!$B7,'Top Contas 04.07'!V:V)</f>
        <v>0.54200000000000004</v>
      </c>
      <c r="M7" s="162">
        <f>SUMIF('Top Contas 04.07'!$K:$K,Metas!$B7,'Top Contas 04.07'!W:W)</f>
        <v>56.332999999999998</v>
      </c>
      <c r="N7" s="162">
        <f>SUMIF('Top Contas 04.07'!$K:$K,Metas!$B7,'Top Contas 04.07'!X:X)</f>
        <v>0</v>
      </c>
      <c r="O7" s="162">
        <f t="shared" si="0"/>
        <v>2049.9969999999998</v>
      </c>
      <c r="Q7" s="124">
        <v>632.71</v>
      </c>
      <c r="R7" s="124">
        <v>542.31897600000002</v>
      </c>
      <c r="S7" s="124">
        <v>510.06471520547041</v>
      </c>
      <c r="T7" s="124">
        <v>543</v>
      </c>
      <c r="U7" s="124">
        <v>2405.3260589181455</v>
      </c>
      <c r="V7" s="124" t="str">
        <f t="shared" si="1"/>
        <v>Estrela</v>
      </c>
    </row>
    <row r="8" spans="2:22" x14ac:dyDescent="0.35">
      <c r="B8" s="161" t="s">
        <v>101</v>
      </c>
      <c r="C8" s="162">
        <f>SUMIF('Top Contas 04.07'!$K:$K,Metas!$B8,'Top Contas 04.07'!M:M)</f>
        <v>44.625</v>
      </c>
      <c r="D8" s="162">
        <f>SUMIF('Top Contas 04.07'!$K:$K,Metas!$B8,'Top Contas 04.07'!N:N)</f>
        <v>854.875</v>
      </c>
      <c r="E8" s="162">
        <f>SUMIF('Top Contas 04.07'!$K:$K,Metas!$B8,'Top Contas 04.07'!O:O)</f>
        <v>2.6669999999999998</v>
      </c>
      <c r="F8" s="162">
        <f>SUMIF('Top Contas 04.07'!$K:$K,Metas!$B8,'Top Contas 04.07'!P:P)</f>
        <v>259.31299999999999</v>
      </c>
      <c r="G8" s="162">
        <f>SUMIF('Top Contas 04.07'!$K:$K,Metas!$B8,'Top Contas 04.07'!Q:Q)</f>
        <v>15</v>
      </c>
      <c r="H8" s="162">
        <f>SUMIF('Top Contas 04.07'!$K:$K,Metas!$B8,'Top Contas 04.07'!R:R)</f>
        <v>194.583</v>
      </c>
      <c r="I8" s="162">
        <f>SUMIF('Top Contas 04.07'!$K:$K,Metas!$B8,'Top Contas 04.07'!S:S)</f>
        <v>281.66700000000003</v>
      </c>
      <c r="J8" s="162">
        <f>SUMIF('Top Contas 04.07'!$K:$K,Metas!$B8,'Top Contas 04.07'!T:T)</f>
        <v>202.666</v>
      </c>
      <c r="K8" s="162">
        <f>SUMIF('Top Contas 04.07'!$K:$K,Metas!$B8,'Top Contas 04.07'!U:U)</f>
        <v>175.958</v>
      </c>
      <c r="L8" s="162">
        <f>SUMIF('Top Contas 04.07'!$K:$K,Metas!$B8,'Top Contas 04.07'!V:V)</f>
        <v>50.790999999999997</v>
      </c>
      <c r="M8" s="162">
        <f>SUMIF('Top Contas 04.07'!$K:$K,Metas!$B8,'Top Contas 04.07'!W:W)</f>
        <v>73.334000000000003</v>
      </c>
      <c r="N8" s="162">
        <f>SUMIF('Top Contas 04.07'!$K:$K,Metas!$B8,'Top Contas 04.07'!X:X)</f>
        <v>57.707999999999998</v>
      </c>
      <c r="O8" s="162">
        <f t="shared" si="0"/>
        <v>2213.1869999999999</v>
      </c>
      <c r="Q8" s="124">
        <v>684.6</v>
      </c>
      <c r="R8" s="171">
        <v>586.80028799999991</v>
      </c>
      <c r="S8" s="124">
        <v>551.90051432241967</v>
      </c>
      <c r="T8" s="124">
        <v>588</v>
      </c>
      <c r="U8" s="124">
        <v>2485.6642140932759</v>
      </c>
      <c r="V8" s="124" t="str">
        <f t="shared" si="1"/>
        <v>Estrela</v>
      </c>
    </row>
    <row r="9" spans="2:22" x14ac:dyDescent="0.35">
      <c r="B9" s="161" t="s">
        <v>154</v>
      </c>
      <c r="C9" s="162">
        <f>SUMIF('Top Contas 04.07'!$K:$K,Metas!$B9,'Top Contas 04.07'!M:M)</f>
        <v>73.957999999999998</v>
      </c>
      <c r="D9" s="162">
        <f>SUMIF('Top Contas 04.07'!$K:$K,Metas!$B9,'Top Contas 04.07'!N:N)</f>
        <v>2</v>
      </c>
      <c r="E9" s="162">
        <f>SUMIF('Top Contas 04.07'!$K:$K,Metas!$B9,'Top Contas 04.07'!O:O)</f>
        <v>544.41700000000003</v>
      </c>
      <c r="F9" s="162">
        <f>SUMIF('Top Contas 04.07'!$K:$K,Metas!$B9,'Top Contas 04.07'!P:P)</f>
        <v>6.3330000000000002</v>
      </c>
      <c r="G9" s="162">
        <f>SUMIF('Top Contas 04.07'!$K:$K,Metas!$B9,'Top Contas 04.07'!Q:Q)</f>
        <v>109.5</v>
      </c>
      <c r="H9" s="162">
        <f>SUMIF('Top Contas 04.07'!$K:$K,Metas!$B9,'Top Contas 04.07'!R:R)</f>
        <v>11.625</v>
      </c>
      <c r="I9" s="162">
        <f>SUMIF('Top Contas 04.07'!$K:$K,Metas!$B9,'Top Contas 04.07'!S:S)</f>
        <v>161.92500000000001</v>
      </c>
      <c r="J9" s="162">
        <f>SUMIF('Top Contas 04.07'!$K:$K,Metas!$B9,'Top Contas 04.07'!T:T)</f>
        <v>47.274999999999999</v>
      </c>
      <c r="K9" s="162">
        <f>SUMIF('Top Contas 04.07'!$K:$K,Metas!$B9,'Top Contas 04.07'!U:U)</f>
        <v>118.696</v>
      </c>
      <c r="L9" s="162">
        <f>SUMIF('Top Contas 04.07'!$K:$K,Metas!$B9,'Top Contas 04.07'!V:V)</f>
        <v>34</v>
      </c>
      <c r="M9" s="162">
        <f>SUMIF('Top Contas 04.07'!$K:$K,Metas!$B9,'Top Contas 04.07'!W:W)</f>
        <v>101</v>
      </c>
      <c r="N9" s="162">
        <f>SUMIF('Top Contas 04.07'!$K:$K,Metas!$B9,'Top Contas 04.07'!X:X)</f>
        <v>183.5</v>
      </c>
      <c r="O9" s="162">
        <f t="shared" si="0"/>
        <v>1394.229</v>
      </c>
      <c r="Q9" s="124">
        <v>419.34</v>
      </c>
      <c r="R9" s="124">
        <v>359.43158400000004</v>
      </c>
      <c r="S9" s="124">
        <v>338.05449678532204</v>
      </c>
      <c r="T9" s="124">
        <v>360</v>
      </c>
      <c r="U9" s="124">
        <v>1291.5769148673207</v>
      </c>
      <c r="V9" s="124" t="str">
        <f t="shared" si="1"/>
        <v>Estrela</v>
      </c>
    </row>
    <row r="10" spans="2:22" x14ac:dyDescent="0.35">
      <c r="B10" s="161" t="s">
        <v>135</v>
      </c>
      <c r="C10" s="162">
        <f>SUMIF('Top Contas 04.07'!$K:$K,Metas!$B10,'Top Contas 04.07'!M:M)</f>
        <v>68</v>
      </c>
      <c r="D10" s="162">
        <f>SUMIF('Top Contas 04.07'!$K:$K,Metas!$B10,'Top Contas 04.07'!N:N)</f>
        <v>512.625</v>
      </c>
      <c r="E10" s="162">
        <f>SUMIF('Top Contas 04.07'!$K:$K,Metas!$B10,'Top Contas 04.07'!O:O)</f>
        <v>50.125</v>
      </c>
      <c r="F10" s="162">
        <f>SUMIF('Top Contas 04.07'!$K:$K,Metas!$B10,'Top Contas 04.07'!P:P)</f>
        <v>34</v>
      </c>
      <c r="G10" s="162">
        <f>SUMIF('Top Contas 04.07'!$K:$K,Metas!$B10,'Top Contas 04.07'!Q:Q)</f>
        <v>27.582999999999998</v>
      </c>
      <c r="H10" s="162">
        <f>SUMIF('Top Contas 04.07'!$K:$K,Metas!$B10,'Top Contas 04.07'!R:R)</f>
        <v>118.486</v>
      </c>
      <c r="I10" s="162">
        <f>SUMIF('Top Contas 04.07'!$K:$K,Metas!$B10,'Top Contas 04.07'!S:S)</f>
        <v>37.5</v>
      </c>
      <c r="J10" s="162">
        <f>SUMIF('Top Contas 04.07'!$K:$K,Metas!$B10,'Top Contas 04.07'!T:T)</f>
        <v>21</v>
      </c>
      <c r="K10" s="162">
        <f>SUMIF('Top Contas 04.07'!$K:$K,Metas!$B10,'Top Contas 04.07'!U:U)</f>
        <v>103.75</v>
      </c>
      <c r="L10" s="162">
        <f>SUMIF('Top Contas 04.07'!$K:$K,Metas!$B10,'Top Contas 04.07'!V:V)</f>
        <v>43.332999999999998</v>
      </c>
      <c r="M10" s="162">
        <f>SUMIF('Top Contas 04.07'!$K:$K,Metas!$B10,'Top Contas 04.07'!W:W)</f>
        <v>23</v>
      </c>
      <c r="N10" s="162">
        <f>SUMIF('Top Contas 04.07'!$K:$K,Metas!$B10,'Top Contas 04.07'!X:X)</f>
        <v>22</v>
      </c>
      <c r="O10" s="162">
        <f t="shared" si="0"/>
        <v>1061.402</v>
      </c>
      <c r="Q10" s="124">
        <v>325.91000000000003</v>
      </c>
      <c r="R10" s="124">
        <v>279.35279999999989</v>
      </c>
      <c r="S10" s="124">
        <v>262.73837479338113</v>
      </c>
      <c r="T10" s="124">
        <v>282</v>
      </c>
      <c r="U10" s="124">
        <v>1256.6693089339362</v>
      </c>
      <c r="V10" s="124" t="str">
        <f t="shared" si="1"/>
        <v>Estrela</v>
      </c>
    </row>
    <row r="11" spans="2:22" x14ac:dyDescent="0.35">
      <c r="B11" s="161" t="s">
        <v>99</v>
      </c>
      <c r="C11" s="162">
        <f>SUMIF('Top Contas 04.07'!$K:$K,Metas!$B11,'Top Contas 04.07'!M:M)</f>
        <v>504</v>
      </c>
      <c r="D11" s="162">
        <f>SUMIF('Top Contas 04.07'!$K:$K,Metas!$B11,'Top Contas 04.07'!N:N)</f>
        <v>204.958</v>
      </c>
      <c r="E11" s="162">
        <f>SUMIF('Top Contas 04.07'!$K:$K,Metas!$B11,'Top Contas 04.07'!O:O)</f>
        <v>999</v>
      </c>
      <c r="F11" s="162">
        <f>SUMIF('Top Contas 04.07'!$K:$K,Metas!$B11,'Top Contas 04.07'!P:P)</f>
        <v>624</v>
      </c>
      <c r="G11" s="162">
        <f>SUMIF('Top Contas 04.07'!$K:$K,Metas!$B11,'Top Contas 04.07'!Q:Q)</f>
        <v>945</v>
      </c>
      <c r="H11" s="162">
        <f>SUMIF('Top Contas 04.07'!$K:$K,Metas!$B11,'Top Contas 04.07'!R:R)</f>
        <v>587</v>
      </c>
      <c r="I11" s="162">
        <f>SUMIF('Top Contas 04.07'!$K:$K,Metas!$B11,'Top Contas 04.07'!S:S)</f>
        <v>517</v>
      </c>
      <c r="J11" s="162">
        <f>SUMIF('Top Contas 04.07'!$K:$K,Metas!$B11,'Top Contas 04.07'!T:T)</f>
        <v>408</v>
      </c>
      <c r="K11" s="162">
        <f>SUMIF('Top Contas 04.07'!$K:$K,Metas!$B11,'Top Contas 04.07'!U:U)</f>
        <v>1220.4169999999999</v>
      </c>
      <c r="L11" s="162">
        <f>SUMIF('Top Contas 04.07'!$K:$K,Metas!$B11,'Top Contas 04.07'!V:V)</f>
        <v>179.25</v>
      </c>
      <c r="M11" s="162">
        <f>SUMIF('Top Contas 04.07'!$K:$K,Metas!$B11,'Top Contas 04.07'!W:W)</f>
        <v>490</v>
      </c>
      <c r="N11" s="162">
        <f>SUMIF('Top Contas 04.07'!$K:$K,Metas!$B11,'Top Contas 04.07'!X:X)</f>
        <v>409</v>
      </c>
      <c r="O11" s="162">
        <f t="shared" si="0"/>
        <v>7087.625</v>
      </c>
      <c r="Q11" s="124">
        <v>2181.2600000000002</v>
      </c>
      <c r="R11" s="124">
        <v>1869.643296</v>
      </c>
      <c r="S11" s="124">
        <v>1758.4468136148289</v>
      </c>
      <c r="T11" s="124">
        <v>1872</v>
      </c>
      <c r="U11" s="124">
        <v>7756.6915118844263</v>
      </c>
      <c r="V11" s="124" t="str">
        <f t="shared" si="1"/>
        <v>Diamante</v>
      </c>
    </row>
    <row r="12" spans="2:22" x14ac:dyDescent="0.35">
      <c r="B12" s="161" t="s">
        <v>106</v>
      </c>
      <c r="C12" s="162">
        <f>SUMIF('Top Contas 04.07'!$K:$K,Metas!$B12,'Top Contas 04.07'!M:M)</f>
        <v>28</v>
      </c>
      <c r="D12" s="162">
        <f>SUMIF('Top Contas 04.07'!$K:$K,Metas!$B12,'Top Contas 04.07'!N:N)</f>
        <v>28.021000000000001</v>
      </c>
      <c r="E12" s="162">
        <f>SUMIF('Top Contas 04.07'!$K:$K,Metas!$B12,'Top Contas 04.07'!O:O)</f>
        <v>611.08299999999997</v>
      </c>
      <c r="F12" s="162">
        <f>SUMIF('Top Contas 04.07'!$K:$K,Metas!$B12,'Top Contas 04.07'!P:P)</f>
        <v>249.625</v>
      </c>
      <c r="G12" s="162">
        <f>SUMIF('Top Contas 04.07'!$K:$K,Metas!$B12,'Top Contas 04.07'!Q:Q)</f>
        <v>41.042000000000002</v>
      </c>
      <c r="H12" s="162">
        <f>SUMIF('Top Contas 04.07'!$K:$K,Metas!$B12,'Top Contas 04.07'!R:R)</f>
        <v>20</v>
      </c>
      <c r="I12" s="162">
        <f>SUMIF('Top Contas 04.07'!$K:$K,Metas!$B12,'Top Contas 04.07'!S:S)</f>
        <v>69</v>
      </c>
      <c r="J12" s="162">
        <f>SUMIF('Top Contas 04.07'!$K:$K,Metas!$B12,'Top Contas 04.07'!T:T)</f>
        <v>75.375</v>
      </c>
      <c r="K12" s="162">
        <f>SUMIF('Top Contas 04.07'!$K:$K,Metas!$B12,'Top Contas 04.07'!U:U)</f>
        <v>222.25</v>
      </c>
      <c r="L12" s="162">
        <f>SUMIF('Top Contas 04.07'!$K:$K,Metas!$B12,'Top Contas 04.07'!V:V)</f>
        <v>27.957999999999998</v>
      </c>
      <c r="M12" s="162">
        <f>SUMIF('Top Contas 04.07'!$K:$K,Metas!$B12,'Top Contas 04.07'!W:W)</f>
        <v>6</v>
      </c>
      <c r="N12" s="162">
        <f>SUMIF('Top Contas 04.07'!$K:$K,Metas!$B12,'Top Contas 04.07'!X:X)</f>
        <v>203</v>
      </c>
      <c r="O12" s="162">
        <f t="shared" si="0"/>
        <v>1581.354</v>
      </c>
      <c r="Q12" s="124">
        <v>482.46</v>
      </c>
      <c r="R12" s="124">
        <v>413.54063999999994</v>
      </c>
      <c r="S12" s="124">
        <v>388.94543267371841</v>
      </c>
      <c r="T12" s="124">
        <v>414</v>
      </c>
      <c r="U12" s="124">
        <v>1631.9421570062145</v>
      </c>
      <c r="V12" s="124" t="str">
        <f t="shared" si="1"/>
        <v>Estrela</v>
      </c>
    </row>
    <row r="13" spans="2:22" x14ac:dyDescent="0.35">
      <c r="B13" s="161" t="s">
        <v>110</v>
      </c>
      <c r="C13" s="162">
        <f>SUMIF('Top Contas 04.07'!$K:$K,Metas!$B13,'Top Contas 04.07'!M:M)</f>
        <v>139.90799999999999</v>
      </c>
      <c r="D13" s="162">
        <f>SUMIF('Top Contas 04.07'!$K:$K,Metas!$B13,'Top Contas 04.07'!N:N)</f>
        <v>1105</v>
      </c>
      <c r="E13" s="162">
        <f>SUMIF('Top Contas 04.07'!$K:$K,Metas!$B13,'Top Contas 04.07'!O:O)</f>
        <v>355.16699999999997</v>
      </c>
      <c r="F13" s="162">
        <f>SUMIF('Top Contas 04.07'!$K:$K,Metas!$B13,'Top Contas 04.07'!P:P)</f>
        <v>142</v>
      </c>
      <c r="G13" s="162">
        <f>SUMIF('Top Contas 04.07'!$K:$K,Metas!$B13,'Top Contas 04.07'!Q:Q)</f>
        <v>493</v>
      </c>
      <c r="H13" s="162">
        <f>SUMIF('Top Contas 04.07'!$K:$K,Metas!$B13,'Top Contas 04.07'!R:R)</f>
        <v>0</v>
      </c>
      <c r="I13" s="162">
        <f>SUMIF('Top Contas 04.07'!$K:$K,Metas!$B13,'Top Contas 04.07'!S:S)</f>
        <v>63</v>
      </c>
      <c r="J13" s="162">
        <f>SUMIF('Top Contas 04.07'!$K:$K,Metas!$B13,'Top Contas 04.07'!T:T)</f>
        <v>146</v>
      </c>
      <c r="K13" s="162">
        <f>SUMIF('Top Contas 04.07'!$K:$K,Metas!$B13,'Top Contas 04.07'!U:U)</f>
        <v>432.58300000000003</v>
      </c>
      <c r="L13" s="162">
        <f>SUMIF('Top Contas 04.07'!$K:$K,Metas!$B13,'Top Contas 04.07'!V:V)</f>
        <v>116.104</v>
      </c>
      <c r="M13" s="162">
        <f>SUMIF('Top Contas 04.07'!$K:$K,Metas!$B13,'Top Contas 04.07'!W:W)</f>
        <v>75.667000000000002</v>
      </c>
      <c r="N13" s="162">
        <f>SUMIF('Top Contas 04.07'!$K:$K,Metas!$B13,'Top Contas 04.07'!X:X)</f>
        <v>220</v>
      </c>
      <c r="O13" s="162">
        <f t="shared" si="0"/>
        <v>3288.4289999999996</v>
      </c>
      <c r="Q13" s="124">
        <v>985.46</v>
      </c>
      <c r="R13" s="124">
        <v>844.67923200000007</v>
      </c>
      <c r="S13" s="124">
        <v>794.44218435398329</v>
      </c>
      <c r="T13" s="124">
        <v>846</v>
      </c>
      <c r="U13" s="124">
        <v>3538.6744860072076</v>
      </c>
      <c r="V13" s="124" t="str">
        <f t="shared" si="1"/>
        <v>Estrela</v>
      </c>
    </row>
    <row r="14" spans="2:22" x14ac:dyDescent="0.35">
      <c r="B14" s="161" t="s">
        <v>103</v>
      </c>
      <c r="C14" s="162">
        <f>SUMIF('Top Contas 04.07'!$K:$K,Metas!$B14,'Top Contas 04.07'!M:M)</f>
        <v>-0.66700000000000004</v>
      </c>
      <c r="D14" s="162">
        <f>SUMIF('Top Contas 04.07'!$K:$K,Metas!$B14,'Top Contas 04.07'!N:N)</f>
        <v>713.125</v>
      </c>
      <c r="E14" s="162">
        <f>SUMIF('Top Contas 04.07'!$K:$K,Metas!$B14,'Top Contas 04.07'!O:O)</f>
        <v>552.75</v>
      </c>
      <c r="F14" s="162">
        <f>SUMIF('Top Contas 04.07'!$K:$K,Metas!$B14,'Top Contas 04.07'!P:P)</f>
        <v>259.52100000000002</v>
      </c>
      <c r="G14" s="162">
        <f>SUMIF('Top Contas 04.07'!$K:$K,Metas!$B14,'Top Contas 04.07'!Q:Q)</f>
        <v>12.457999999999998</v>
      </c>
      <c r="H14" s="162">
        <f>SUMIF('Top Contas 04.07'!$K:$K,Metas!$B14,'Top Contas 04.07'!R:R)</f>
        <v>697.91699999999992</v>
      </c>
      <c r="I14" s="162">
        <f>SUMIF('Top Contas 04.07'!$K:$K,Metas!$B14,'Top Contas 04.07'!S:S)</f>
        <v>60.167000000000002</v>
      </c>
      <c r="J14" s="162">
        <f>SUMIF('Top Contas 04.07'!$K:$K,Metas!$B14,'Top Contas 04.07'!T:T)</f>
        <v>99.103999999999999</v>
      </c>
      <c r="K14" s="162">
        <f>SUMIF('Top Contas 04.07'!$K:$K,Metas!$B14,'Top Contas 04.07'!U:U)</f>
        <v>532.125</v>
      </c>
      <c r="L14" s="162">
        <f>SUMIF('Top Contas 04.07'!$K:$K,Metas!$B14,'Top Contas 04.07'!V:V)</f>
        <v>188</v>
      </c>
      <c r="M14" s="162">
        <f>SUMIF('Top Contas 04.07'!$K:$K,Metas!$B14,'Top Contas 04.07'!W:W)</f>
        <v>40.082999999999998</v>
      </c>
      <c r="N14" s="162">
        <f>SUMIF('Top Contas 04.07'!$K:$K,Metas!$B14,'Top Contas 04.07'!X:X)</f>
        <v>295</v>
      </c>
      <c r="O14" s="162">
        <f t="shared" si="0"/>
        <v>3449.5830000000001</v>
      </c>
      <c r="Q14" s="124">
        <v>1028.44</v>
      </c>
      <c r="R14" s="124">
        <v>881.52398400000027</v>
      </c>
      <c r="S14" s="124">
        <v>829.095605619656</v>
      </c>
      <c r="T14" s="124">
        <v>882</v>
      </c>
      <c r="U14" s="124">
        <v>3760.094139260274</v>
      </c>
      <c r="V14" s="124" t="str">
        <f t="shared" si="1"/>
        <v>Estrela</v>
      </c>
    </row>
    <row r="15" spans="2:22" x14ac:dyDescent="0.35">
      <c r="B15" s="161" t="s">
        <v>108</v>
      </c>
      <c r="C15" s="162">
        <f>SUMIF('Top Contas 04.07'!$K:$K,Metas!$B15,'Top Contas 04.07'!M:M)</f>
        <v>75.832999999999998</v>
      </c>
      <c r="D15" s="162">
        <f>SUMIF('Top Contas 04.07'!$K:$K,Metas!$B15,'Top Contas 04.07'!N:N)</f>
        <v>72.75</v>
      </c>
      <c r="E15" s="162">
        <f>SUMIF('Top Contas 04.07'!$K:$K,Metas!$B15,'Top Contas 04.07'!O:O)</f>
        <v>502.66699999999997</v>
      </c>
      <c r="F15" s="162">
        <f>SUMIF('Top Contas 04.07'!$K:$K,Metas!$B15,'Top Contas 04.07'!P:P)</f>
        <v>78.5</v>
      </c>
      <c r="G15" s="162">
        <f>SUMIF('Top Contas 04.07'!$K:$K,Metas!$B15,'Top Contas 04.07'!Q:Q)</f>
        <v>58.5</v>
      </c>
      <c r="H15" s="162">
        <f>SUMIF('Top Contas 04.07'!$K:$K,Metas!$B15,'Top Contas 04.07'!R:R)</f>
        <v>42</v>
      </c>
      <c r="I15" s="162">
        <f>SUMIF('Top Contas 04.07'!$K:$K,Metas!$B15,'Top Contas 04.07'!S:S)</f>
        <v>38.5</v>
      </c>
      <c r="J15" s="162">
        <f>SUMIF('Top Contas 04.07'!$K:$K,Metas!$B15,'Top Contas 04.07'!T:T)</f>
        <v>152.25</v>
      </c>
      <c r="K15" s="162">
        <f>SUMIF('Top Contas 04.07'!$K:$K,Metas!$B15,'Top Contas 04.07'!U:U)</f>
        <v>168</v>
      </c>
      <c r="L15" s="162">
        <f>SUMIF('Top Contas 04.07'!$K:$K,Metas!$B15,'Top Contas 04.07'!V:V)</f>
        <v>62.25</v>
      </c>
      <c r="M15" s="162">
        <f>SUMIF('Top Contas 04.07'!$K:$K,Metas!$B15,'Top Contas 04.07'!W:W)</f>
        <v>50.875</v>
      </c>
      <c r="N15" s="162">
        <f>SUMIF('Top Contas 04.07'!$K:$K,Metas!$B15,'Top Contas 04.07'!X:X)</f>
        <v>8</v>
      </c>
      <c r="O15" s="162">
        <f t="shared" si="0"/>
        <v>1310.125</v>
      </c>
      <c r="Q15" s="124">
        <v>397.51</v>
      </c>
      <c r="R15" s="124">
        <v>340.72555199999999</v>
      </c>
      <c r="S15" s="124">
        <v>320.46100050924031</v>
      </c>
      <c r="T15" s="124">
        <v>342</v>
      </c>
      <c r="U15" s="124">
        <v>1484.9443673716696</v>
      </c>
      <c r="V15" s="124" t="str">
        <f t="shared" si="1"/>
        <v>Estrela</v>
      </c>
    </row>
    <row r="16" spans="2:22" x14ac:dyDescent="0.35">
      <c r="B16" s="161" t="s">
        <v>134</v>
      </c>
      <c r="C16" s="162">
        <f>SUMIF('Top Contas 04.07'!$K:$K,Metas!$B16,'Top Contas 04.07'!M:M)</f>
        <v>436.75</v>
      </c>
      <c r="D16" s="162">
        <f>SUMIF('Top Contas 04.07'!$K:$K,Metas!$B16,'Top Contas 04.07'!N:N)</f>
        <v>239</v>
      </c>
      <c r="E16" s="162">
        <f>SUMIF('Top Contas 04.07'!$K:$K,Metas!$B16,'Top Contas 04.07'!O:O)</f>
        <v>417</v>
      </c>
      <c r="F16" s="162">
        <f>SUMIF('Top Contas 04.07'!$K:$K,Metas!$B16,'Top Contas 04.07'!P:P)</f>
        <v>2393.5830000000001</v>
      </c>
      <c r="G16" s="162">
        <f>SUMIF('Top Contas 04.07'!$K:$K,Metas!$B16,'Top Contas 04.07'!Q:Q)</f>
        <v>1487.9169999999999</v>
      </c>
      <c r="H16" s="162">
        <f>SUMIF('Top Contas 04.07'!$K:$K,Metas!$B16,'Top Contas 04.07'!R:R)</f>
        <v>1044.6669999999999</v>
      </c>
      <c r="I16" s="162">
        <f>SUMIF('Top Contas 04.07'!$K:$K,Metas!$B16,'Top Contas 04.07'!S:S)</f>
        <v>339</v>
      </c>
      <c r="J16" s="162">
        <f>SUMIF('Top Contas 04.07'!$K:$K,Metas!$B16,'Top Contas 04.07'!T:T)</f>
        <v>873.66700000000003</v>
      </c>
      <c r="K16" s="162">
        <f>SUMIF('Top Contas 04.07'!$K:$K,Metas!$B16,'Top Contas 04.07'!U:U)</f>
        <v>198.583</v>
      </c>
      <c r="L16" s="162">
        <f>SUMIF('Top Contas 04.07'!$K:$K,Metas!$B16,'Top Contas 04.07'!V:V)</f>
        <v>326.32499999999999</v>
      </c>
      <c r="M16" s="162">
        <f>SUMIF('Top Contas 04.07'!$K:$K,Metas!$B16,'Top Contas 04.07'!W:W)</f>
        <v>606</v>
      </c>
      <c r="N16" s="162">
        <f>SUMIF('Top Contas 04.07'!$K:$K,Metas!$B16,'Top Contas 04.07'!X:X)</f>
        <v>284.91699999999997</v>
      </c>
      <c r="O16" s="162">
        <f t="shared" si="0"/>
        <v>8647.4089999999978</v>
      </c>
      <c r="Q16" s="124">
        <v>2551.88</v>
      </c>
      <c r="R16" s="124">
        <v>2187.3286560000001</v>
      </c>
      <c r="S16" s="124">
        <v>2057.2379307328611</v>
      </c>
      <c r="T16" s="124">
        <v>2190</v>
      </c>
      <c r="U16" s="124">
        <v>8670.11</v>
      </c>
      <c r="V16" s="124" t="str">
        <f t="shared" si="1"/>
        <v>Diamante</v>
      </c>
    </row>
    <row r="17" spans="3:21" x14ac:dyDescent="0.35">
      <c r="C17" s="163">
        <f t="shared" ref="C17:O17" si="2">SUM(C3:C16)</f>
        <v>1856.1390000000001</v>
      </c>
      <c r="D17" s="163">
        <f t="shared" si="2"/>
        <v>4894.183</v>
      </c>
      <c r="E17" s="163">
        <f t="shared" si="2"/>
        <v>7589.4769999999999</v>
      </c>
      <c r="F17" s="163">
        <f t="shared" si="2"/>
        <v>6436.7160000000003</v>
      </c>
      <c r="G17" s="163">
        <f t="shared" si="2"/>
        <v>3615.471</v>
      </c>
      <c r="H17" s="163">
        <f t="shared" si="2"/>
        <v>4279.9030000000002</v>
      </c>
      <c r="I17" s="163">
        <f t="shared" si="2"/>
        <v>2064.8469999999998</v>
      </c>
      <c r="J17" s="163">
        <f t="shared" si="2"/>
        <v>2460.0510000000004</v>
      </c>
      <c r="K17" s="163">
        <f t="shared" si="2"/>
        <v>3969.1310000000003</v>
      </c>
      <c r="L17" s="163">
        <f t="shared" si="2"/>
        <v>1081.0530000000001</v>
      </c>
      <c r="M17" s="163">
        <f t="shared" si="2"/>
        <v>2000.0429999999999</v>
      </c>
      <c r="N17" s="163">
        <f t="shared" si="2"/>
        <v>1887.6059999999998</v>
      </c>
      <c r="O17" s="163">
        <f t="shared" si="2"/>
        <v>42134.619999999995</v>
      </c>
      <c r="Q17" s="28">
        <f>SUM(Q3:Q16)</f>
        <v>12641.68</v>
      </c>
      <c r="R17" s="28">
        <f>SUM(R3:R16)</f>
        <v>10835.718288</v>
      </c>
      <c r="S17" s="28">
        <f>SUM(S3:S16)</f>
        <v>10191.267145731274</v>
      </c>
      <c r="T17" s="28">
        <f>SUM(T3:T16)</f>
        <v>10857</v>
      </c>
      <c r="U17" s="169">
        <v>45072.671054292543</v>
      </c>
    </row>
  </sheetData>
  <pageMargins left="0.511811024" right="0.511811024" top="0.78740157499999996" bottom="0.78740157499999996" header="0.31496062000000002" footer="0.31496062000000002"/>
  <pageSetup paperSize="9" scale="61" orientation="landscape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D1E0-CD75-48F2-9AAA-AABC475E49E8}">
  <dimension ref="B1:X99"/>
  <sheetViews>
    <sheetView showGridLines="0" workbookViewId="0">
      <selection activeCell="Q1" sqref="Q1"/>
    </sheetView>
  </sheetViews>
  <sheetFormatPr defaultRowHeight="14.5" outlineLevelCol="1" x14ac:dyDescent="0.35"/>
  <cols>
    <col min="1" max="1" width="1.54296875" customWidth="1"/>
    <col min="2" max="2" width="16.26953125" bestFit="1" customWidth="1"/>
    <col min="5" max="9" width="9.1796875" customWidth="1"/>
    <col min="10" max="10" width="36" customWidth="1"/>
    <col min="11" max="11" width="28.54296875" customWidth="1"/>
    <col min="12" max="12" width="15.81640625" bestFit="1" customWidth="1"/>
    <col min="13" max="13" width="6.7265625" customWidth="1" outlineLevel="1"/>
    <col min="14" max="14" width="7.81640625" customWidth="1" outlineLevel="1"/>
    <col min="15" max="15" width="7.1796875" customWidth="1" outlineLevel="1"/>
    <col min="16" max="16" width="7.7265625" customWidth="1" outlineLevel="1"/>
    <col min="17" max="17" width="8" customWidth="1" outlineLevel="1"/>
    <col min="18" max="18" width="7.54296875" customWidth="1" outlineLevel="1"/>
    <col min="19" max="20" width="7.26953125" customWidth="1" outlineLevel="1"/>
    <col min="21" max="21" width="8.1796875" customWidth="1" outlineLevel="1"/>
    <col min="22" max="22" width="7.54296875" customWidth="1" outlineLevel="1"/>
    <col min="23" max="23" width="7.81640625" customWidth="1" outlineLevel="1"/>
    <col min="24" max="24" width="7.453125" customWidth="1" outlineLevel="1"/>
  </cols>
  <sheetData>
    <row r="1" spans="2:24" x14ac:dyDescent="0.35">
      <c r="E1" t="s">
        <v>507</v>
      </c>
      <c r="K1" t="s">
        <v>507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</row>
    <row r="2" spans="2:24" x14ac:dyDescent="0.35">
      <c r="B2" t="s">
        <v>402</v>
      </c>
      <c r="C2">
        <v>771</v>
      </c>
      <c r="D2" t="s">
        <v>404</v>
      </c>
      <c r="E2">
        <v>142393</v>
      </c>
      <c r="F2" t="s">
        <v>141</v>
      </c>
      <c r="G2" t="s">
        <v>201</v>
      </c>
      <c r="H2" t="s">
        <v>405</v>
      </c>
      <c r="I2" t="s">
        <v>202</v>
      </c>
      <c r="J2" t="s">
        <v>208</v>
      </c>
      <c r="K2" t="s">
        <v>136</v>
      </c>
      <c r="L2" t="s">
        <v>406</v>
      </c>
      <c r="M2">
        <v>270.84399999999999</v>
      </c>
      <c r="N2">
        <v>854.55799999999999</v>
      </c>
      <c r="O2">
        <v>525.54200000000003</v>
      </c>
      <c r="P2">
        <v>814.13300000000004</v>
      </c>
      <c r="Q2">
        <v>79.108000000000004</v>
      </c>
      <c r="R2">
        <v>100.167</v>
      </c>
      <c r="S2">
        <v>180.779</v>
      </c>
      <c r="T2">
        <v>47.792000000000002</v>
      </c>
      <c r="U2">
        <v>52.832999999999998</v>
      </c>
      <c r="V2">
        <v>14.333</v>
      </c>
      <c r="W2">
        <v>14.824999999999999</v>
      </c>
      <c r="X2">
        <v>15.238</v>
      </c>
    </row>
    <row r="3" spans="2:24" x14ac:dyDescent="0.35">
      <c r="B3" t="s">
        <v>402</v>
      </c>
      <c r="C3">
        <v>771</v>
      </c>
      <c r="D3" t="s">
        <v>404</v>
      </c>
      <c r="E3">
        <v>55070</v>
      </c>
      <c r="F3" t="s">
        <v>12</v>
      </c>
      <c r="G3" t="s">
        <v>201</v>
      </c>
      <c r="H3" t="s">
        <v>407</v>
      </c>
      <c r="I3" t="s">
        <v>207</v>
      </c>
      <c r="J3" t="s">
        <v>197</v>
      </c>
      <c r="K3" t="s">
        <v>136</v>
      </c>
      <c r="L3" t="s">
        <v>408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2:24" x14ac:dyDescent="0.35">
      <c r="B4" t="s">
        <v>402</v>
      </c>
      <c r="C4">
        <v>771</v>
      </c>
      <c r="D4" t="s">
        <v>404</v>
      </c>
      <c r="E4">
        <v>69413</v>
      </c>
      <c r="F4" t="s">
        <v>78</v>
      </c>
      <c r="G4" t="s">
        <v>201</v>
      </c>
      <c r="H4" t="s">
        <v>409</v>
      </c>
      <c r="I4" t="s">
        <v>399</v>
      </c>
      <c r="J4" t="s">
        <v>218</v>
      </c>
      <c r="K4" t="s">
        <v>136</v>
      </c>
      <c r="L4" t="s">
        <v>410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2:24" x14ac:dyDescent="0.35">
      <c r="B5" t="s">
        <v>402</v>
      </c>
      <c r="C5">
        <v>771</v>
      </c>
      <c r="D5" t="s">
        <v>404</v>
      </c>
      <c r="E5">
        <v>116011</v>
      </c>
      <c r="F5" t="s">
        <v>78</v>
      </c>
      <c r="G5" t="s">
        <v>201</v>
      </c>
      <c r="H5" t="s">
        <v>411</v>
      </c>
      <c r="I5" t="s">
        <v>412</v>
      </c>
      <c r="J5" t="s">
        <v>218</v>
      </c>
      <c r="K5" t="s">
        <v>136</v>
      </c>
      <c r="L5" t="s">
        <v>413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2:24" x14ac:dyDescent="0.35">
      <c r="B6" t="s">
        <v>402</v>
      </c>
      <c r="C6">
        <v>771</v>
      </c>
      <c r="D6" t="s">
        <v>404</v>
      </c>
      <c r="E6">
        <v>143128</v>
      </c>
      <c r="F6" t="s">
        <v>141</v>
      </c>
      <c r="G6" t="s">
        <v>201</v>
      </c>
      <c r="H6" t="s">
        <v>414</v>
      </c>
      <c r="I6" t="s">
        <v>202</v>
      </c>
      <c r="J6" t="s">
        <v>208</v>
      </c>
      <c r="K6" t="s">
        <v>136</v>
      </c>
      <c r="L6" t="s">
        <v>415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2:24" x14ac:dyDescent="0.35">
      <c r="B7" t="s">
        <v>402</v>
      </c>
      <c r="C7">
        <v>771</v>
      </c>
      <c r="D7" t="s">
        <v>404</v>
      </c>
      <c r="E7">
        <v>171117</v>
      </c>
      <c r="F7" t="s">
        <v>78</v>
      </c>
      <c r="G7" t="s">
        <v>201</v>
      </c>
      <c r="H7" t="s">
        <v>416</v>
      </c>
      <c r="I7" t="s">
        <v>196</v>
      </c>
      <c r="J7" t="s">
        <v>208</v>
      </c>
      <c r="K7" t="s">
        <v>136</v>
      </c>
      <c r="L7" t="s">
        <v>417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2:24" x14ac:dyDescent="0.35">
      <c r="B8" t="s">
        <v>402</v>
      </c>
      <c r="C8">
        <v>771</v>
      </c>
      <c r="D8" t="s">
        <v>404</v>
      </c>
      <c r="E8">
        <v>184604</v>
      </c>
      <c r="F8" t="s">
        <v>141</v>
      </c>
      <c r="G8" t="s">
        <v>201</v>
      </c>
      <c r="H8" t="s">
        <v>418</v>
      </c>
      <c r="I8" t="s">
        <v>207</v>
      </c>
      <c r="J8" t="s">
        <v>194</v>
      </c>
      <c r="K8" t="s">
        <v>136</v>
      </c>
      <c r="L8" t="s">
        <v>419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2:24" x14ac:dyDescent="0.35">
      <c r="B9" t="s">
        <v>402</v>
      </c>
      <c r="C9">
        <v>771</v>
      </c>
      <c r="D9" t="s">
        <v>404</v>
      </c>
      <c r="E9">
        <v>185710</v>
      </c>
      <c r="F9" t="s">
        <v>12</v>
      </c>
      <c r="G9" t="s">
        <v>198</v>
      </c>
      <c r="H9" t="s">
        <v>420</v>
      </c>
      <c r="I9" t="s">
        <v>396</v>
      </c>
      <c r="J9" t="s">
        <v>208</v>
      </c>
      <c r="K9" t="s">
        <v>136</v>
      </c>
      <c r="L9" t="s">
        <v>421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2:24" x14ac:dyDescent="0.35">
      <c r="B10" t="s">
        <v>402</v>
      </c>
      <c r="C10">
        <v>771</v>
      </c>
      <c r="D10" t="s">
        <v>404</v>
      </c>
      <c r="E10">
        <v>185711</v>
      </c>
      <c r="F10" t="s">
        <v>12</v>
      </c>
      <c r="G10" t="s">
        <v>201</v>
      </c>
      <c r="H10" t="s">
        <v>422</v>
      </c>
      <c r="I10" t="s">
        <v>398</v>
      </c>
      <c r="J10" t="s">
        <v>208</v>
      </c>
      <c r="K10" t="s">
        <v>136</v>
      </c>
      <c r="L10" t="s">
        <v>423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2:24" x14ac:dyDescent="0.35">
      <c r="B11" t="s">
        <v>402</v>
      </c>
      <c r="C11">
        <v>771</v>
      </c>
      <c r="D11" t="s">
        <v>404</v>
      </c>
      <c r="E11">
        <v>185712</v>
      </c>
      <c r="F11" t="s">
        <v>12</v>
      </c>
      <c r="G11" t="s">
        <v>201</v>
      </c>
      <c r="H11" t="s">
        <v>424</v>
      </c>
      <c r="I11" t="s">
        <v>202</v>
      </c>
      <c r="J11" t="s">
        <v>208</v>
      </c>
      <c r="K11" t="s">
        <v>136</v>
      </c>
      <c r="L11" t="s">
        <v>425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2:24" x14ac:dyDescent="0.35">
      <c r="B12" t="s">
        <v>402</v>
      </c>
      <c r="C12">
        <v>771</v>
      </c>
      <c r="D12" t="s">
        <v>404</v>
      </c>
      <c r="E12">
        <v>185713</v>
      </c>
      <c r="F12" t="s">
        <v>12</v>
      </c>
      <c r="G12" t="s">
        <v>201</v>
      </c>
      <c r="H12" t="s">
        <v>426</v>
      </c>
      <c r="I12" t="s">
        <v>398</v>
      </c>
      <c r="J12" t="s">
        <v>208</v>
      </c>
      <c r="K12" t="s">
        <v>136</v>
      </c>
      <c r="L12" t="s">
        <v>427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2:24" x14ac:dyDescent="0.35">
      <c r="B13" t="s">
        <v>402</v>
      </c>
      <c r="C13">
        <v>771</v>
      </c>
      <c r="D13" t="s">
        <v>404</v>
      </c>
      <c r="E13">
        <v>185714</v>
      </c>
      <c r="F13" t="s">
        <v>12</v>
      </c>
      <c r="G13" t="s">
        <v>201</v>
      </c>
      <c r="H13" t="s">
        <v>428</v>
      </c>
      <c r="I13" t="s">
        <v>400</v>
      </c>
      <c r="J13" t="s">
        <v>208</v>
      </c>
      <c r="K13" t="s">
        <v>136</v>
      </c>
      <c r="L13" t="s">
        <v>429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2:24" x14ac:dyDescent="0.35">
      <c r="B14" t="s">
        <v>402</v>
      </c>
      <c r="C14">
        <v>771</v>
      </c>
      <c r="D14" t="s">
        <v>404</v>
      </c>
      <c r="E14">
        <v>188239</v>
      </c>
      <c r="F14" t="s">
        <v>141</v>
      </c>
      <c r="G14" t="s">
        <v>200</v>
      </c>
      <c r="H14" t="s">
        <v>430</v>
      </c>
      <c r="I14" t="s">
        <v>397</v>
      </c>
      <c r="J14" t="s">
        <v>218</v>
      </c>
      <c r="K14" t="s">
        <v>136</v>
      </c>
      <c r="L14" t="s">
        <v>431</v>
      </c>
      <c r="M14">
        <v>0</v>
      </c>
      <c r="N14">
        <v>0</v>
      </c>
      <c r="O14">
        <v>0</v>
      </c>
      <c r="P14">
        <v>0</v>
      </c>
      <c r="Q14">
        <v>32.75</v>
      </c>
      <c r="R14">
        <v>42.207999999999998</v>
      </c>
      <c r="S14">
        <v>105.771</v>
      </c>
      <c r="T14">
        <v>35.167000000000002</v>
      </c>
      <c r="U14">
        <v>33.25</v>
      </c>
      <c r="V14">
        <v>9.75</v>
      </c>
      <c r="W14">
        <v>45.042000000000002</v>
      </c>
      <c r="X14">
        <v>52.417000000000002</v>
      </c>
    </row>
    <row r="15" spans="2:24" x14ac:dyDescent="0.35">
      <c r="B15" t="s">
        <v>402</v>
      </c>
      <c r="C15">
        <v>771</v>
      </c>
      <c r="D15" t="s">
        <v>404</v>
      </c>
      <c r="E15">
        <v>189860</v>
      </c>
      <c r="F15" t="s">
        <v>141</v>
      </c>
      <c r="G15" t="s">
        <v>203</v>
      </c>
      <c r="H15" t="s">
        <v>432</v>
      </c>
      <c r="I15" t="s">
        <v>401</v>
      </c>
      <c r="J15" t="s">
        <v>218</v>
      </c>
      <c r="K15" t="s">
        <v>136</v>
      </c>
      <c r="L15" t="s">
        <v>433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2:24" x14ac:dyDescent="0.35">
      <c r="B16" t="s">
        <v>402</v>
      </c>
      <c r="C16">
        <v>3919</v>
      </c>
      <c r="D16" t="s">
        <v>434</v>
      </c>
      <c r="E16">
        <v>53405</v>
      </c>
      <c r="F16" t="s">
        <v>148</v>
      </c>
      <c r="G16" t="s">
        <v>206</v>
      </c>
      <c r="H16" t="s">
        <v>320</v>
      </c>
      <c r="I16" t="s">
        <v>321</v>
      </c>
      <c r="J16" t="s">
        <v>208</v>
      </c>
      <c r="K16" t="s">
        <v>153</v>
      </c>
      <c r="L16" t="s">
        <v>322</v>
      </c>
      <c r="M16">
        <v>0</v>
      </c>
      <c r="N16">
        <v>0</v>
      </c>
      <c r="O16">
        <v>0</v>
      </c>
      <c r="P16">
        <v>5.875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2:24" x14ac:dyDescent="0.35">
      <c r="B17" t="s">
        <v>402</v>
      </c>
      <c r="C17">
        <v>3919</v>
      </c>
      <c r="D17" t="s">
        <v>434</v>
      </c>
      <c r="E17">
        <v>53461</v>
      </c>
      <c r="F17" t="s">
        <v>57</v>
      </c>
      <c r="G17" t="s">
        <v>206</v>
      </c>
      <c r="H17" t="s">
        <v>323</v>
      </c>
      <c r="I17" t="s">
        <v>324</v>
      </c>
      <c r="J17" t="s">
        <v>197</v>
      </c>
      <c r="K17" t="s">
        <v>105</v>
      </c>
      <c r="L17" t="s">
        <v>325</v>
      </c>
      <c r="M17">
        <v>0</v>
      </c>
      <c r="N17">
        <v>5.875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2:24" x14ac:dyDescent="0.35">
      <c r="B18" t="s">
        <v>402</v>
      </c>
      <c r="C18">
        <v>3919</v>
      </c>
      <c r="D18" t="s">
        <v>434</v>
      </c>
      <c r="E18">
        <v>56110</v>
      </c>
      <c r="F18" t="s">
        <v>58</v>
      </c>
      <c r="G18" t="s">
        <v>206</v>
      </c>
      <c r="H18" t="s">
        <v>326</v>
      </c>
      <c r="I18" t="s">
        <v>327</v>
      </c>
      <c r="J18" t="s">
        <v>197</v>
      </c>
      <c r="K18" t="s">
        <v>105</v>
      </c>
      <c r="L18" t="s">
        <v>328</v>
      </c>
      <c r="M18">
        <v>0</v>
      </c>
      <c r="N18">
        <v>5.875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2:24" x14ac:dyDescent="0.35">
      <c r="B19" t="s">
        <v>402</v>
      </c>
      <c r="C19">
        <v>3919</v>
      </c>
      <c r="D19" t="s">
        <v>434</v>
      </c>
      <c r="E19">
        <v>73922</v>
      </c>
      <c r="F19" t="s">
        <v>59</v>
      </c>
      <c r="G19" t="s">
        <v>206</v>
      </c>
      <c r="H19" t="s">
        <v>317</v>
      </c>
      <c r="I19" t="s">
        <v>318</v>
      </c>
      <c r="J19" t="s">
        <v>197</v>
      </c>
      <c r="K19" t="s">
        <v>105</v>
      </c>
      <c r="L19" t="s">
        <v>319</v>
      </c>
      <c r="M19">
        <v>0</v>
      </c>
      <c r="N19">
        <v>5.875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2:24" x14ac:dyDescent="0.35">
      <c r="B20" t="s">
        <v>402</v>
      </c>
      <c r="C20">
        <v>3919</v>
      </c>
      <c r="D20" t="s">
        <v>434</v>
      </c>
      <c r="E20">
        <v>94520</v>
      </c>
      <c r="F20" t="s">
        <v>19</v>
      </c>
      <c r="G20" t="s">
        <v>330</v>
      </c>
      <c r="H20" t="s">
        <v>331</v>
      </c>
      <c r="I20" t="s">
        <v>196</v>
      </c>
      <c r="J20" t="s">
        <v>223</v>
      </c>
      <c r="K20" t="s">
        <v>105</v>
      </c>
      <c r="L20" t="s">
        <v>332</v>
      </c>
      <c r="M20">
        <v>97.179000000000002</v>
      </c>
      <c r="N20">
        <v>21.771000000000001</v>
      </c>
      <c r="O20">
        <v>1618.308</v>
      </c>
      <c r="P20">
        <v>219.52099999999999</v>
      </c>
      <c r="Q20">
        <v>125.863</v>
      </c>
      <c r="R20">
        <v>672.5</v>
      </c>
      <c r="S20">
        <v>10.396000000000001</v>
      </c>
      <c r="T20">
        <v>70.462999999999994</v>
      </c>
      <c r="U20">
        <v>54.207000000000001</v>
      </c>
      <c r="V20">
        <v>-3.5830000000000002</v>
      </c>
      <c r="W20">
        <v>154.17500000000001</v>
      </c>
      <c r="X20">
        <v>-15.007</v>
      </c>
    </row>
    <row r="21" spans="2:24" x14ac:dyDescent="0.35">
      <c r="B21" t="s">
        <v>402</v>
      </c>
      <c r="C21">
        <v>3919</v>
      </c>
      <c r="D21" t="s">
        <v>434</v>
      </c>
      <c r="E21">
        <v>102953</v>
      </c>
      <c r="F21" t="s">
        <v>60</v>
      </c>
      <c r="G21" t="s">
        <v>206</v>
      </c>
      <c r="H21" t="s">
        <v>333</v>
      </c>
      <c r="I21" t="s">
        <v>334</v>
      </c>
      <c r="J21" t="s">
        <v>197</v>
      </c>
      <c r="K21" t="s">
        <v>105</v>
      </c>
      <c r="L21" t="s">
        <v>335</v>
      </c>
      <c r="M21">
        <v>0</v>
      </c>
      <c r="N21">
        <v>5.875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2:24" x14ac:dyDescent="0.35">
      <c r="B22" t="s">
        <v>402</v>
      </c>
      <c r="C22">
        <v>3919</v>
      </c>
      <c r="D22" t="s">
        <v>434</v>
      </c>
      <c r="E22">
        <v>119456</v>
      </c>
      <c r="F22" t="s">
        <v>61</v>
      </c>
      <c r="G22" t="s">
        <v>336</v>
      </c>
      <c r="H22" t="s">
        <v>337</v>
      </c>
      <c r="I22" t="s">
        <v>338</v>
      </c>
      <c r="J22" t="s">
        <v>197</v>
      </c>
      <c r="K22" t="s">
        <v>105</v>
      </c>
      <c r="L22" t="s">
        <v>339</v>
      </c>
      <c r="M22">
        <v>0</v>
      </c>
      <c r="N22">
        <v>5.875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2:24" x14ac:dyDescent="0.35">
      <c r="B23" t="s">
        <v>402</v>
      </c>
      <c r="C23">
        <v>3919</v>
      </c>
      <c r="D23" t="s">
        <v>434</v>
      </c>
      <c r="E23">
        <v>131538</v>
      </c>
      <c r="F23" t="s">
        <v>146</v>
      </c>
      <c r="G23" t="s">
        <v>206</v>
      </c>
      <c r="H23" t="s">
        <v>367</v>
      </c>
      <c r="I23" t="s">
        <v>196</v>
      </c>
      <c r="J23" t="s">
        <v>208</v>
      </c>
      <c r="K23" t="s">
        <v>153</v>
      </c>
      <c r="L23" t="s">
        <v>368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2:24" x14ac:dyDescent="0.35">
      <c r="B24" t="s">
        <v>402</v>
      </c>
      <c r="C24">
        <v>3919</v>
      </c>
      <c r="D24" t="s">
        <v>434</v>
      </c>
      <c r="E24">
        <v>131539</v>
      </c>
      <c r="F24" t="s">
        <v>147</v>
      </c>
      <c r="G24" t="s">
        <v>369</v>
      </c>
      <c r="H24" t="s">
        <v>370</v>
      </c>
      <c r="I24" t="s">
        <v>196</v>
      </c>
      <c r="J24" t="s">
        <v>208</v>
      </c>
      <c r="K24" t="s">
        <v>153</v>
      </c>
      <c r="L24" t="s">
        <v>371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2:24" x14ac:dyDescent="0.35">
      <c r="B25" t="s">
        <v>402</v>
      </c>
      <c r="C25">
        <v>3919</v>
      </c>
      <c r="D25" t="s">
        <v>434</v>
      </c>
      <c r="E25">
        <v>134677</v>
      </c>
      <c r="F25" t="s">
        <v>150</v>
      </c>
      <c r="G25" t="s">
        <v>206</v>
      </c>
      <c r="H25" t="s">
        <v>372</v>
      </c>
      <c r="I25" t="s">
        <v>321</v>
      </c>
      <c r="J25" t="s">
        <v>208</v>
      </c>
      <c r="K25" t="s">
        <v>153</v>
      </c>
      <c r="L25" t="s">
        <v>373</v>
      </c>
      <c r="M25">
        <v>-1</v>
      </c>
      <c r="N25">
        <v>84</v>
      </c>
      <c r="O25">
        <v>-8.3000000000000004E-2</v>
      </c>
      <c r="P25">
        <v>1101.354</v>
      </c>
      <c r="Q25">
        <v>60.75</v>
      </c>
      <c r="R25">
        <v>21</v>
      </c>
      <c r="S25">
        <v>211</v>
      </c>
      <c r="T25">
        <v>-2.0830000000000002</v>
      </c>
      <c r="U25">
        <v>184.625</v>
      </c>
      <c r="V25">
        <v>0</v>
      </c>
      <c r="W25">
        <v>102.917</v>
      </c>
      <c r="X25">
        <v>84</v>
      </c>
    </row>
    <row r="26" spans="2:24" x14ac:dyDescent="0.35">
      <c r="B26" t="s">
        <v>402</v>
      </c>
      <c r="C26">
        <v>3919</v>
      </c>
      <c r="D26" t="s">
        <v>434</v>
      </c>
      <c r="E26">
        <v>150368</v>
      </c>
      <c r="F26" t="s">
        <v>62</v>
      </c>
      <c r="G26" t="s">
        <v>357</v>
      </c>
      <c r="H26" t="s">
        <v>358</v>
      </c>
      <c r="I26" t="s">
        <v>359</v>
      </c>
      <c r="J26" t="s">
        <v>208</v>
      </c>
      <c r="K26" t="s">
        <v>105</v>
      </c>
      <c r="L26" t="s">
        <v>360</v>
      </c>
      <c r="M26">
        <v>0</v>
      </c>
      <c r="N26">
        <v>5.875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2:24" x14ac:dyDescent="0.35">
      <c r="B27" t="s">
        <v>402</v>
      </c>
      <c r="C27">
        <v>3919</v>
      </c>
      <c r="D27" t="s">
        <v>434</v>
      </c>
      <c r="E27">
        <v>152753</v>
      </c>
      <c r="F27" t="s">
        <v>151</v>
      </c>
      <c r="G27" t="s">
        <v>374</v>
      </c>
      <c r="H27" t="s">
        <v>375</v>
      </c>
      <c r="I27" t="s">
        <v>329</v>
      </c>
      <c r="J27" t="s">
        <v>208</v>
      </c>
      <c r="K27" t="s">
        <v>153</v>
      </c>
      <c r="L27" t="s">
        <v>376</v>
      </c>
      <c r="M27">
        <v>0</v>
      </c>
      <c r="N27">
        <v>0</v>
      </c>
      <c r="O27">
        <v>0</v>
      </c>
      <c r="P27">
        <v>5.875</v>
      </c>
      <c r="Q27">
        <v>0</v>
      </c>
      <c r="R27">
        <v>-0.25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2:24" x14ac:dyDescent="0.35">
      <c r="B28" t="s">
        <v>402</v>
      </c>
      <c r="C28">
        <v>3919</v>
      </c>
      <c r="D28" t="s">
        <v>434</v>
      </c>
      <c r="E28">
        <v>164006</v>
      </c>
      <c r="F28" t="s">
        <v>63</v>
      </c>
      <c r="G28" t="s">
        <v>361</v>
      </c>
      <c r="H28" t="s">
        <v>362</v>
      </c>
      <c r="I28" t="s">
        <v>196</v>
      </c>
      <c r="J28" t="s">
        <v>197</v>
      </c>
      <c r="K28" t="s">
        <v>105</v>
      </c>
      <c r="L28" t="s">
        <v>363</v>
      </c>
      <c r="M28">
        <v>0</v>
      </c>
      <c r="N28">
        <v>5.875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2:24" x14ac:dyDescent="0.35">
      <c r="B29" t="s">
        <v>402</v>
      </c>
      <c r="C29">
        <v>3919</v>
      </c>
      <c r="D29" t="s">
        <v>434</v>
      </c>
      <c r="E29">
        <v>166720</v>
      </c>
      <c r="F29" t="s">
        <v>148</v>
      </c>
      <c r="G29" t="s">
        <v>206</v>
      </c>
      <c r="H29" t="s">
        <v>377</v>
      </c>
      <c r="I29" t="s">
        <v>378</v>
      </c>
      <c r="J29" t="s">
        <v>208</v>
      </c>
      <c r="K29" t="s">
        <v>153</v>
      </c>
      <c r="L29" t="s">
        <v>379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2:24" x14ac:dyDescent="0.35">
      <c r="B30" t="s">
        <v>402</v>
      </c>
      <c r="C30">
        <v>3919</v>
      </c>
      <c r="D30" t="s">
        <v>434</v>
      </c>
      <c r="E30">
        <v>167265</v>
      </c>
      <c r="F30" t="s">
        <v>64</v>
      </c>
      <c r="G30" t="s">
        <v>310</v>
      </c>
      <c r="H30" t="s">
        <v>311</v>
      </c>
      <c r="I30" t="s">
        <v>196</v>
      </c>
      <c r="J30" t="s">
        <v>208</v>
      </c>
      <c r="K30" t="s">
        <v>105</v>
      </c>
      <c r="L30" t="s">
        <v>312</v>
      </c>
      <c r="M30">
        <v>0</v>
      </c>
      <c r="N30">
        <v>5.875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2:24" x14ac:dyDescent="0.35">
      <c r="B31" t="s">
        <v>402</v>
      </c>
      <c r="C31">
        <v>3919</v>
      </c>
      <c r="D31" t="s">
        <v>434</v>
      </c>
      <c r="E31">
        <v>182592</v>
      </c>
      <c r="F31" t="s">
        <v>149</v>
      </c>
      <c r="G31" t="s">
        <v>206</v>
      </c>
      <c r="H31" t="s">
        <v>382</v>
      </c>
      <c r="I31" t="s">
        <v>383</v>
      </c>
      <c r="J31" t="s">
        <v>208</v>
      </c>
      <c r="K31" t="s">
        <v>153</v>
      </c>
      <c r="L31" t="s">
        <v>384</v>
      </c>
      <c r="M31">
        <v>0</v>
      </c>
      <c r="N31">
        <v>0</v>
      </c>
      <c r="O31">
        <v>0</v>
      </c>
      <c r="P31">
        <v>5.875</v>
      </c>
      <c r="Q31">
        <v>0</v>
      </c>
      <c r="R31">
        <v>-5.875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2:24" x14ac:dyDescent="0.35">
      <c r="B32" t="s">
        <v>402</v>
      </c>
      <c r="C32">
        <v>3919</v>
      </c>
      <c r="D32" t="s">
        <v>434</v>
      </c>
      <c r="E32">
        <v>184214</v>
      </c>
      <c r="F32" t="s">
        <v>148</v>
      </c>
      <c r="G32" t="s">
        <v>206</v>
      </c>
      <c r="H32" t="s">
        <v>385</v>
      </c>
      <c r="I32" t="s">
        <v>386</v>
      </c>
      <c r="J32" t="s">
        <v>208</v>
      </c>
      <c r="K32" t="s">
        <v>153</v>
      </c>
      <c r="L32" t="s">
        <v>387</v>
      </c>
      <c r="M32">
        <v>0</v>
      </c>
      <c r="N32">
        <v>0</v>
      </c>
      <c r="O32">
        <v>0</v>
      </c>
      <c r="P32">
        <v>5.875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2:24" x14ac:dyDescent="0.35">
      <c r="B33" t="s">
        <v>402</v>
      </c>
      <c r="C33">
        <v>3919</v>
      </c>
      <c r="D33" t="s">
        <v>434</v>
      </c>
      <c r="E33">
        <v>184215</v>
      </c>
      <c r="F33" t="s">
        <v>388</v>
      </c>
      <c r="G33" t="s">
        <v>369</v>
      </c>
      <c r="H33" t="s">
        <v>389</v>
      </c>
      <c r="I33" t="s">
        <v>196</v>
      </c>
      <c r="J33" t="s">
        <v>208</v>
      </c>
      <c r="K33" t="s">
        <v>153</v>
      </c>
      <c r="L33" t="s">
        <v>390</v>
      </c>
      <c r="M33">
        <v>0</v>
      </c>
      <c r="N33">
        <v>0</v>
      </c>
      <c r="O33">
        <v>0</v>
      </c>
      <c r="P33">
        <v>5.875</v>
      </c>
      <c r="Q33">
        <v>0</v>
      </c>
      <c r="R33">
        <v>-5.875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2:24" x14ac:dyDescent="0.35">
      <c r="B34" t="s">
        <v>402</v>
      </c>
      <c r="C34">
        <v>3919</v>
      </c>
      <c r="D34" t="s">
        <v>434</v>
      </c>
      <c r="E34">
        <v>48374</v>
      </c>
      <c r="F34" t="s">
        <v>31</v>
      </c>
      <c r="G34" t="s">
        <v>345</v>
      </c>
      <c r="H34" t="s">
        <v>346</v>
      </c>
      <c r="I34" t="s">
        <v>347</v>
      </c>
      <c r="J34" t="s">
        <v>208</v>
      </c>
      <c r="K34" t="s">
        <v>107</v>
      </c>
      <c r="L34" t="s">
        <v>348</v>
      </c>
      <c r="M34">
        <v>-8.3000000000000004E-2</v>
      </c>
      <c r="N34">
        <v>120.583</v>
      </c>
      <c r="O34">
        <v>496.66699999999997</v>
      </c>
      <c r="P34">
        <v>117</v>
      </c>
      <c r="Q34">
        <v>0</v>
      </c>
      <c r="R34">
        <v>290</v>
      </c>
      <c r="S34">
        <v>-8</v>
      </c>
      <c r="T34">
        <v>215.708</v>
      </c>
      <c r="U34">
        <v>278</v>
      </c>
      <c r="V34">
        <v>32</v>
      </c>
      <c r="W34">
        <v>160.792</v>
      </c>
      <c r="X34">
        <v>67.832999999999998</v>
      </c>
    </row>
    <row r="35" spans="2:24" x14ac:dyDescent="0.35">
      <c r="B35" t="s">
        <v>402</v>
      </c>
      <c r="C35">
        <v>3919</v>
      </c>
      <c r="D35" t="s">
        <v>434</v>
      </c>
      <c r="E35">
        <v>171866</v>
      </c>
      <c r="F35" t="s">
        <v>21</v>
      </c>
      <c r="G35" t="s">
        <v>345</v>
      </c>
      <c r="H35" t="s">
        <v>380</v>
      </c>
      <c r="I35" t="s">
        <v>347</v>
      </c>
      <c r="J35" t="s">
        <v>208</v>
      </c>
      <c r="K35" t="s">
        <v>107</v>
      </c>
      <c r="L35" t="s">
        <v>381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2:24" x14ac:dyDescent="0.35">
      <c r="B36" t="s">
        <v>402</v>
      </c>
      <c r="C36">
        <v>3919</v>
      </c>
      <c r="D36" t="s">
        <v>434</v>
      </c>
      <c r="E36">
        <v>54675</v>
      </c>
      <c r="F36" t="s">
        <v>10</v>
      </c>
      <c r="G36" t="s">
        <v>306</v>
      </c>
      <c r="H36" t="s">
        <v>313</v>
      </c>
      <c r="I36" t="s">
        <v>308</v>
      </c>
      <c r="J36" t="s">
        <v>208</v>
      </c>
      <c r="K36" t="s">
        <v>102</v>
      </c>
      <c r="L36" t="s">
        <v>314</v>
      </c>
      <c r="M36">
        <v>0</v>
      </c>
      <c r="N36">
        <v>5.875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2:24" x14ac:dyDescent="0.35">
      <c r="B37" t="s">
        <v>402</v>
      </c>
      <c r="C37">
        <v>3919</v>
      </c>
      <c r="D37" t="s">
        <v>434</v>
      </c>
      <c r="E37">
        <v>69667</v>
      </c>
      <c r="F37" t="s">
        <v>20</v>
      </c>
      <c r="G37" t="s">
        <v>205</v>
      </c>
      <c r="H37" t="s">
        <v>315</v>
      </c>
      <c r="I37" t="s">
        <v>196</v>
      </c>
      <c r="J37" t="s">
        <v>208</v>
      </c>
      <c r="K37" t="s">
        <v>102</v>
      </c>
      <c r="L37" t="s">
        <v>316</v>
      </c>
      <c r="M37">
        <v>0</v>
      </c>
      <c r="N37">
        <v>5.875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2:24" x14ac:dyDescent="0.35">
      <c r="B38" t="s">
        <v>402</v>
      </c>
      <c r="C38">
        <v>3919</v>
      </c>
      <c r="D38" t="s">
        <v>434</v>
      </c>
      <c r="E38">
        <v>158062</v>
      </c>
      <c r="F38" t="s">
        <v>11</v>
      </c>
      <c r="G38" t="s">
        <v>306</v>
      </c>
      <c r="H38" t="s">
        <v>307</v>
      </c>
      <c r="I38" t="s">
        <v>308</v>
      </c>
      <c r="J38" t="s">
        <v>223</v>
      </c>
      <c r="K38" t="s">
        <v>102</v>
      </c>
      <c r="L38" t="s">
        <v>309</v>
      </c>
      <c r="M38">
        <v>118.792</v>
      </c>
      <c r="N38">
        <v>4.5419999999999998</v>
      </c>
      <c r="O38">
        <v>914.16700000000003</v>
      </c>
      <c r="P38">
        <v>102.583</v>
      </c>
      <c r="Q38">
        <v>127</v>
      </c>
      <c r="R38">
        <v>449.75</v>
      </c>
      <c r="S38">
        <v>-2.8580000000000001</v>
      </c>
      <c r="T38">
        <v>67.667000000000002</v>
      </c>
      <c r="U38">
        <v>193.85400000000001</v>
      </c>
      <c r="V38">
        <v>0.54200000000000004</v>
      </c>
      <c r="W38">
        <v>56.332999999999998</v>
      </c>
      <c r="X38">
        <v>0</v>
      </c>
    </row>
    <row r="39" spans="2:24" x14ac:dyDescent="0.35">
      <c r="B39" t="s">
        <v>402</v>
      </c>
      <c r="C39">
        <v>3919</v>
      </c>
      <c r="D39" t="s">
        <v>434</v>
      </c>
      <c r="E39">
        <v>159620</v>
      </c>
      <c r="F39" t="s">
        <v>11</v>
      </c>
      <c r="G39" t="s">
        <v>209</v>
      </c>
      <c r="H39" t="s">
        <v>340</v>
      </c>
      <c r="I39" t="s">
        <v>196</v>
      </c>
      <c r="J39" t="s">
        <v>197</v>
      </c>
      <c r="K39" t="s">
        <v>102</v>
      </c>
      <c r="L39" t="s">
        <v>341</v>
      </c>
      <c r="M39">
        <v>0</v>
      </c>
      <c r="N39">
        <v>5.875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2:24" x14ac:dyDescent="0.35">
      <c r="B40" t="s">
        <v>402</v>
      </c>
      <c r="C40">
        <v>3919</v>
      </c>
      <c r="D40" t="s">
        <v>434</v>
      </c>
      <c r="E40">
        <v>184217</v>
      </c>
      <c r="F40" t="s">
        <v>104</v>
      </c>
      <c r="G40" t="s">
        <v>336</v>
      </c>
      <c r="H40" t="s">
        <v>343</v>
      </c>
      <c r="I40" t="s">
        <v>196</v>
      </c>
      <c r="J40" t="s">
        <v>208</v>
      </c>
      <c r="K40" t="s">
        <v>105</v>
      </c>
      <c r="L40" t="s">
        <v>344</v>
      </c>
      <c r="M40">
        <v>0</v>
      </c>
      <c r="N40">
        <v>5.875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2:24" x14ac:dyDescent="0.35">
      <c r="B41" t="s">
        <v>402</v>
      </c>
      <c r="C41">
        <v>3919</v>
      </c>
      <c r="D41" t="s">
        <v>434</v>
      </c>
      <c r="E41">
        <v>184221</v>
      </c>
      <c r="F41" t="s">
        <v>148</v>
      </c>
      <c r="G41" t="s">
        <v>391</v>
      </c>
      <c r="H41" t="s">
        <v>392</v>
      </c>
      <c r="I41" t="s">
        <v>196</v>
      </c>
      <c r="J41" t="s">
        <v>208</v>
      </c>
      <c r="K41" t="s">
        <v>153</v>
      </c>
      <c r="L41" t="s">
        <v>393</v>
      </c>
      <c r="M41">
        <v>0</v>
      </c>
      <c r="N41">
        <v>0</v>
      </c>
      <c r="O41">
        <v>0</v>
      </c>
      <c r="P41">
        <v>5.875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2:24" x14ac:dyDescent="0.35">
      <c r="B42" t="s">
        <v>402</v>
      </c>
      <c r="C42">
        <v>3919</v>
      </c>
      <c r="D42" t="s">
        <v>434</v>
      </c>
      <c r="E42">
        <v>184335</v>
      </c>
      <c r="F42" t="s">
        <v>104</v>
      </c>
      <c r="G42" t="s">
        <v>349</v>
      </c>
      <c r="H42" t="s">
        <v>364</v>
      </c>
      <c r="I42" t="s">
        <v>365</v>
      </c>
      <c r="J42" t="s">
        <v>208</v>
      </c>
      <c r="K42" t="s">
        <v>105</v>
      </c>
      <c r="L42" t="s">
        <v>366</v>
      </c>
      <c r="M42">
        <v>0</v>
      </c>
      <c r="N42">
        <v>5.875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2:24" x14ac:dyDescent="0.35">
      <c r="B43" t="s">
        <v>402</v>
      </c>
      <c r="C43">
        <v>3956</v>
      </c>
      <c r="D43" t="s">
        <v>435</v>
      </c>
      <c r="E43">
        <v>53581</v>
      </c>
      <c r="F43" t="s">
        <v>100</v>
      </c>
      <c r="G43" t="s">
        <v>349</v>
      </c>
      <c r="H43" t="s">
        <v>350</v>
      </c>
      <c r="I43" t="s">
        <v>196</v>
      </c>
      <c r="J43" t="s">
        <v>197</v>
      </c>
      <c r="K43" t="s">
        <v>101</v>
      </c>
      <c r="L43" t="s">
        <v>351</v>
      </c>
      <c r="M43">
        <v>16.292000000000002</v>
      </c>
      <c r="N43">
        <v>367.375</v>
      </c>
      <c r="O43">
        <v>2.6669999999999998</v>
      </c>
      <c r="P43">
        <v>120.063</v>
      </c>
      <c r="Q43">
        <v>4</v>
      </c>
      <c r="R43">
        <v>101.25</v>
      </c>
      <c r="S43">
        <v>147.583</v>
      </c>
      <c r="T43">
        <v>80</v>
      </c>
      <c r="U43">
        <v>60.457999999999998</v>
      </c>
      <c r="V43">
        <v>13.333</v>
      </c>
      <c r="W43">
        <v>21</v>
      </c>
      <c r="X43">
        <v>26.25</v>
      </c>
    </row>
    <row r="44" spans="2:24" x14ac:dyDescent="0.35">
      <c r="B44" t="s">
        <v>402</v>
      </c>
      <c r="C44">
        <v>3956</v>
      </c>
      <c r="D44" t="s">
        <v>435</v>
      </c>
      <c r="E44">
        <v>136856</v>
      </c>
      <c r="F44" t="s">
        <v>9</v>
      </c>
      <c r="G44" t="s">
        <v>349</v>
      </c>
      <c r="H44" t="s">
        <v>355</v>
      </c>
      <c r="I44" t="s">
        <v>196</v>
      </c>
      <c r="J44" t="s">
        <v>197</v>
      </c>
      <c r="K44" t="s">
        <v>101</v>
      </c>
      <c r="L44" t="s">
        <v>356</v>
      </c>
      <c r="M44">
        <v>10</v>
      </c>
      <c r="N44">
        <v>232</v>
      </c>
      <c r="O44">
        <v>0</v>
      </c>
      <c r="P44">
        <v>58.75</v>
      </c>
      <c r="Q44">
        <v>7</v>
      </c>
      <c r="R44">
        <v>38.25</v>
      </c>
      <c r="S44">
        <v>69.667000000000002</v>
      </c>
      <c r="T44">
        <v>67.332999999999998</v>
      </c>
      <c r="U44">
        <v>46.832999999999998</v>
      </c>
      <c r="V44">
        <v>21.457999999999998</v>
      </c>
      <c r="W44">
        <v>24.667000000000002</v>
      </c>
      <c r="X44">
        <v>10.375</v>
      </c>
    </row>
    <row r="45" spans="2:24" x14ac:dyDescent="0.35">
      <c r="B45" t="s">
        <v>402</v>
      </c>
      <c r="C45">
        <v>3956</v>
      </c>
      <c r="D45" t="s">
        <v>435</v>
      </c>
      <c r="E45">
        <v>74369</v>
      </c>
      <c r="F45" t="s">
        <v>8</v>
      </c>
      <c r="G45" t="s">
        <v>349</v>
      </c>
      <c r="H45" t="s">
        <v>352</v>
      </c>
      <c r="I45" t="s">
        <v>353</v>
      </c>
      <c r="J45" t="s">
        <v>197</v>
      </c>
      <c r="K45" t="s">
        <v>101</v>
      </c>
      <c r="L45" t="s">
        <v>354</v>
      </c>
      <c r="M45">
        <v>18.332999999999998</v>
      </c>
      <c r="N45">
        <v>255.5</v>
      </c>
      <c r="O45">
        <v>0</v>
      </c>
      <c r="P45">
        <v>80.5</v>
      </c>
      <c r="Q45">
        <v>4</v>
      </c>
      <c r="R45">
        <v>55.082999999999998</v>
      </c>
      <c r="S45">
        <v>64.417000000000002</v>
      </c>
      <c r="T45">
        <v>55.332999999999998</v>
      </c>
      <c r="U45">
        <v>68.667000000000002</v>
      </c>
      <c r="V45">
        <v>16</v>
      </c>
      <c r="W45">
        <v>27.667000000000002</v>
      </c>
      <c r="X45">
        <v>21.082999999999998</v>
      </c>
    </row>
    <row r="46" spans="2:24" x14ac:dyDescent="0.35">
      <c r="B46" t="s">
        <v>402</v>
      </c>
      <c r="C46">
        <v>4054</v>
      </c>
      <c r="D46" t="s">
        <v>436</v>
      </c>
      <c r="E46">
        <v>181800</v>
      </c>
      <c r="F46" t="s">
        <v>152</v>
      </c>
      <c r="G46" t="s">
        <v>437</v>
      </c>
      <c r="H46" t="s">
        <v>438</v>
      </c>
      <c r="I46" t="s">
        <v>394</v>
      </c>
      <c r="J46" t="s">
        <v>208</v>
      </c>
      <c r="K46" t="s">
        <v>154</v>
      </c>
      <c r="L46" t="s">
        <v>439</v>
      </c>
      <c r="M46">
        <v>5.875</v>
      </c>
      <c r="N46">
        <v>0</v>
      </c>
      <c r="O46">
        <v>0</v>
      </c>
      <c r="P46">
        <v>0</v>
      </c>
      <c r="Q46">
        <v>0</v>
      </c>
      <c r="R46">
        <v>0</v>
      </c>
      <c r="S46">
        <v>6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2:24" x14ac:dyDescent="0.35">
      <c r="B47" t="s">
        <v>402</v>
      </c>
      <c r="C47">
        <v>4054</v>
      </c>
      <c r="D47" t="s">
        <v>436</v>
      </c>
      <c r="E47">
        <v>51551</v>
      </c>
      <c r="F47" t="s">
        <v>95</v>
      </c>
      <c r="G47" t="s">
        <v>440</v>
      </c>
      <c r="H47" t="s">
        <v>441</v>
      </c>
      <c r="I47" t="s">
        <v>442</v>
      </c>
      <c r="J47" t="s">
        <v>218</v>
      </c>
      <c r="K47" t="s">
        <v>135</v>
      </c>
      <c r="L47" t="s">
        <v>443</v>
      </c>
      <c r="M47">
        <v>0</v>
      </c>
      <c r="N47">
        <v>5.875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2:24" x14ac:dyDescent="0.35">
      <c r="B48" t="s">
        <v>402</v>
      </c>
      <c r="C48">
        <v>4054</v>
      </c>
      <c r="D48" t="s">
        <v>436</v>
      </c>
      <c r="E48">
        <v>167594</v>
      </c>
      <c r="F48" t="s">
        <v>95</v>
      </c>
      <c r="G48" t="s">
        <v>440</v>
      </c>
      <c r="H48" t="s">
        <v>445</v>
      </c>
      <c r="I48" t="s">
        <v>196</v>
      </c>
      <c r="J48" t="s">
        <v>208</v>
      </c>
      <c r="K48" t="s">
        <v>135</v>
      </c>
      <c r="L48" t="s">
        <v>446</v>
      </c>
      <c r="M48">
        <v>68</v>
      </c>
      <c r="N48">
        <v>495</v>
      </c>
      <c r="O48">
        <v>44.5</v>
      </c>
      <c r="P48">
        <v>34</v>
      </c>
      <c r="Q48">
        <v>27.582999999999998</v>
      </c>
      <c r="R48">
        <v>117.486</v>
      </c>
      <c r="S48">
        <v>37.5</v>
      </c>
      <c r="T48">
        <v>21</v>
      </c>
      <c r="U48">
        <v>103.75</v>
      </c>
      <c r="V48">
        <v>43.332999999999998</v>
      </c>
      <c r="W48">
        <v>23</v>
      </c>
      <c r="X48">
        <v>22</v>
      </c>
    </row>
    <row r="49" spans="2:24" x14ac:dyDescent="0.35">
      <c r="B49" t="s">
        <v>402</v>
      </c>
      <c r="C49">
        <v>4054</v>
      </c>
      <c r="D49" t="s">
        <v>436</v>
      </c>
      <c r="E49">
        <v>182419</v>
      </c>
      <c r="F49" t="s">
        <v>95</v>
      </c>
      <c r="G49" t="s">
        <v>342</v>
      </c>
      <c r="H49" t="s">
        <v>447</v>
      </c>
      <c r="I49" t="s">
        <v>448</v>
      </c>
      <c r="J49" t="s">
        <v>395</v>
      </c>
      <c r="K49" t="s">
        <v>135</v>
      </c>
      <c r="L49" t="s">
        <v>449</v>
      </c>
      <c r="M49">
        <v>0</v>
      </c>
      <c r="N49">
        <v>5.875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2:24" x14ac:dyDescent="0.35">
      <c r="B50" t="s">
        <v>402</v>
      </c>
      <c r="C50">
        <v>4054</v>
      </c>
      <c r="D50" t="s">
        <v>436</v>
      </c>
      <c r="E50">
        <v>53486</v>
      </c>
      <c r="F50" t="s">
        <v>152</v>
      </c>
      <c r="G50" t="s">
        <v>450</v>
      </c>
      <c r="H50" t="s">
        <v>451</v>
      </c>
      <c r="I50" t="s">
        <v>196</v>
      </c>
      <c r="J50" t="s">
        <v>208</v>
      </c>
      <c r="K50" t="s">
        <v>154</v>
      </c>
      <c r="L50" t="s">
        <v>452</v>
      </c>
      <c r="M50">
        <v>62.207999999999998</v>
      </c>
      <c r="N50">
        <v>2</v>
      </c>
      <c r="O50">
        <v>544.41700000000003</v>
      </c>
      <c r="P50">
        <v>6.3330000000000002</v>
      </c>
      <c r="Q50">
        <v>97.5</v>
      </c>
      <c r="R50">
        <v>0</v>
      </c>
      <c r="S50">
        <v>155.92500000000001</v>
      </c>
      <c r="T50">
        <v>47.274999999999999</v>
      </c>
      <c r="U50">
        <v>116.696</v>
      </c>
      <c r="V50">
        <v>34</v>
      </c>
      <c r="W50">
        <v>101</v>
      </c>
      <c r="X50">
        <v>183.5</v>
      </c>
    </row>
    <row r="51" spans="2:24" x14ac:dyDescent="0.35">
      <c r="B51" t="s">
        <v>402</v>
      </c>
      <c r="C51">
        <v>4054</v>
      </c>
      <c r="D51" t="s">
        <v>436</v>
      </c>
      <c r="E51">
        <v>54734</v>
      </c>
      <c r="F51" t="s">
        <v>152</v>
      </c>
      <c r="G51" t="s">
        <v>453</v>
      </c>
      <c r="H51" t="s">
        <v>454</v>
      </c>
      <c r="I51" t="s">
        <v>196</v>
      </c>
      <c r="J51" t="s">
        <v>208</v>
      </c>
      <c r="K51" t="s">
        <v>154</v>
      </c>
      <c r="L51" t="s">
        <v>455</v>
      </c>
      <c r="M51">
        <v>5.875</v>
      </c>
      <c r="N51">
        <v>0</v>
      </c>
      <c r="O51">
        <v>0</v>
      </c>
      <c r="P51">
        <v>0</v>
      </c>
      <c r="Q51">
        <v>12</v>
      </c>
      <c r="R51">
        <v>11.625</v>
      </c>
      <c r="S51">
        <v>0</v>
      </c>
      <c r="T51">
        <v>0</v>
      </c>
      <c r="U51">
        <v>2</v>
      </c>
      <c r="V51">
        <v>0</v>
      </c>
      <c r="W51">
        <v>0</v>
      </c>
      <c r="X51">
        <v>0</v>
      </c>
    </row>
    <row r="52" spans="2:24" x14ac:dyDescent="0.35">
      <c r="B52" t="s">
        <v>402</v>
      </c>
      <c r="C52">
        <v>4054</v>
      </c>
      <c r="D52" t="s">
        <v>436</v>
      </c>
      <c r="E52">
        <v>74744</v>
      </c>
      <c r="F52" t="s">
        <v>95</v>
      </c>
      <c r="G52" t="s">
        <v>456</v>
      </c>
      <c r="H52" t="s">
        <v>457</v>
      </c>
      <c r="I52" t="s">
        <v>196</v>
      </c>
      <c r="J52" t="s">
        <v>218</v>
      </c>
      <c r="K52" t="s">
        <v>135</v>
      </c>
      <c r="L52" t="s">
        <v>458</v>
      </c>
      <c r="M52">
        <v>0</v>
      </c>
      <c r="N52">
        <v>5.875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2:24" x14ac:dyDescent="0.35">
      <c r="B53" t="s">
        <v>402</v>
      </c>
      <c r="C53">
        <v>4054</v>
      </c>
      <c r="D53" t="s">
        <v>436</v>
      </c>
      <c r="E53">
        <v>134214</v>
      </c>
      <c r="F53" t="s">
        <v>95</v>
      </c>
      <c r="G53" t="s">
        <v>444</v>
      </c>
      <c r="H53" t="s">
        <v>459</v>
      </c>
      <c r="I53" t="s">
        <v>196</v>
      </c>
      <c r="J53" t="s">
        <v>218</v>
      </c>
      <c r="K53" t="s">
        <v>135</v>
      </c>
      <c r="L53" t="s">
        <v>460</v>
      </c>
      <c r="M53">
        <v>0</v>
      </c>
      <c r="N53">
        <v>0</v>
      </c>
      <c r="O53">
        <v>5.625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2:24" x14ac:dyDescent="0.35">
      <c r="B54" t="s">
        <v>97</v>
      </c>
      <c r="C54">
        <v>179</v>
      </c>
      <c r="D54" t="s">
        <v>4</v>
      </c>
      <c r="E54">
        <v>48102</v>
      </c>
      <c r="F54" t="s">
        <v>113</v>
      </c>
      <c r="G54" t="s">
        <v>212</v>
      </c>
      <c r="H54" t="s">
        <v>468</v>
      </c>
      <c r="I54" t="s">
        <v>464</v>
      </c>
      <c r="J54" t="s">
        <v>197</v>
      </c>
      <c r="K54" t="s">
        <v>99</v>
      </c>
      <c r="L54" t="s">
        <v>469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2:24" x14ac:dyDescent="0.35">
      <c r="B55" t="s">
        <v>97</v>
      </c>
      <c r="C55">
        <v>179</v>
      </c>
      <c r="D55" t="s">
        <v>4</v>
      </c>
      <c r="E55">
        <v>51049</v>
      </c>
      <c r="F55" t="s">
        <v>117</v>
      </c>
      <c r="G55" t="s">
        <v>212</v>
      </c>
      <c r="H55" t="s">
        <v>470</v>
      </c>
      <c r="I55" t="s">
        <v>196</v>
      </c>
      <c r="J55" t="s">
        <v>197</v>
      </c>
      <c r="K55" t="s">
        <v>99</v>
      </c>
      <c r="L55" t="s">
        <v>471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2:24" x14ac:dyDescent="0.35">
      <c r="B56" t="s">
        <v>97</v>
      </c>
      <c r="C56">
        <v>179</v>
      </c>
      <c r="D56" t="s">
        <v>4</v>
      </c>
      <c r="E56">
        <v>51062</v>
      </c>
      <c r="F56" t="s">
        <v>116</v>
      </c>
      <c r="G56" t="s">
        <v>467</v>
      </c>
      <c r="H56" t="s">
        <v>472</v>
      </c>
      <c r="I56" t="s">
        <v>196</v>
      </c>
      <c r="J56" t="s">
        <v>208</v>
      </c>
      <c r="K56" t="s">
        <v>99</v>
      </c>
      <c r="L56" t="s">
        <v>473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2:24" x14ac:dyDescent="0.35">
      <c r="B57" t="s">
        <v>97</v>
      </c>
      <c r="C57">
        <v>179</v>
      </c>
      <c r="D57" t="s">
        <v>4</v>
      </c>
      <c r="E57">
        <v>51067</v>
      </c>
      <c r="F57" t="s">
        <v>118</v>
      </c>
      <c r="G57" t="s">
        <v>463</v>
      </c>
      <c r="H57" t="s">
        <v>474</v>
      </c>
      <c r="I57" t="s">
        <v>196</v>
      </c>
      <c r="J57" t="s">
        <v>208</v>
      </c>
      <c r="K57" t="s">
        <v>99</v>
      </c>
      <c r="L57" t="s">
        <v>475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2:24" x14ac:dyDescent="0.35">
      <c r="B58" t="s">
        <v>97</v>
      </c>
      <c r="C58">
        <v>179</v>
      </c>
      <c r="D58" t="s">
        <v>4</v>
      </c>
      <c r="E58">
        <v>51123</v>
      </c>
      <c r="F58" t="s">
        <v>111</v>
      </c>
      <c r="G58" t="s">
        <v>212</v>
      </c>
      <c r="H58" t="s">
        <v>476</v>
      </c>
      <c r="I58" t="s">
        <v>251</v>
      </c>
      <c r="J58" t="s">
        <v>208</v>
      </c>
      <c r="K58" t="s">
        <v>99</v>
      </c>
      <c r="L58" t="s">
        <v>477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2:24" x14ac:dyDescent="0.35">
      <c r="B59" t="s">
        <v>97</v>
      </c>
      <c r="C59">
        <v>179</v>
      </c>
      <c r="D59" t="s">
        <v>4</v>
      </c>
      <c r="E59">
        <v>57679</v>
      </c>
      <c r="F59" t="s">
        <v>112</v>
      </c>
      <c r="G59" t="s">
        <v>212</v>
      </c>
      <c r="H59" t="s">
        <v>478</v>
      </c>
      <c r="I59" t="s">
        <v>329</v>
      </c>
      <c r="J59" t="s">
        <v>197</v>
      </c>
      <c r="K59" t="s">
        <v>99</v>
      </c>
      <c r="L59" t="s">
        <v>479</v>
      </c>
      <c r="M59">
        <v>504</v>
      </c>
      <c r="N59">
        <v>204.958</v>
      </c>
      <c r="O59">
        <v>999</v>
      </c>
      <c r="P59">
        <v>624</v>
      </c>
      <c r="Q59">
        <v>945</v>
      </c>
      <c r="R59">
        <v>587</v>
      </c>
      <c r="S59">
        <v>517</v>
      </c>
      <c r="T59">
        <v>408</v>
      </c>
      <c r="U59">
        <v>1220.4169999999999</v>
      </c>
      <c r="V59">
        <v>179.25</v>
      </c>
      <c r="W59">
        <v>490</v>
      </c>
      <c r="X59">
        <v>409</v>
      </c>
    </row>
    <row r="60" spans="2:24" x14ac:dyDescent="0.35">
      <c r="B60" t="s">
        <v>97</v>
      </c>
      <c r="C60">
        <v>179</v>
      </c>
      <c r="D60" t="s">
        <v>4</v>
      </c>
      <c r="E60">
        <v>57802</v>
      </c>
      <c r="F60" t="s">
        <v>120</v>
      </c>
      <c r="G60" t="s">
        <v>212</v>
      </c>
      <c r="H60" t="s">
        <v>480</v>
      </c>
      <c r="I60" t="s">
        <v>196</v>
      </c>
      <c r="J60" t="s">
        <v>197</v>
      </c>
      <c r="K60" t="s">
        <v>99</v>
      </c>
      <c r="L60" t="s">
        <v>481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2:24" x14ac:dyDescent="0.35">
      <c r="B61" t="s">
        <v>97</v>
      </c>
      <c r="C61">
        <v>179</v>
      </c>
      <c r="D61" t="s">
        <v>4</v>
      </c>
      <c r="E61">
        <v>65621</v>
      </c>
      <c r="F61" t="s">
        <v>114</v>
      </c>
      <c r="G61" t="s">
        <v>243</v>
      </c>
      <c r="H61" t="s">
        <v>482</v>
      </c>
      <c r="I61" t="s">
        <v>483</v>
      </c>
      <c r="J61" t="s">
        <v>208</v>
      </c>
      <c r="K61" t="s">
        <v>99</v>
      </c>
      <c r="L61" t="s">
        <v>484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2:24" x14ac:dyDescent="0.35">
      <c r="B62" t="s">
        <v>97</v>
      </c>
      <c r="C62">
        <v>179</v>
      </c>
      <c r="D62" t="s">
        <v>4</v>
      </c>
      <c r="E62">
        <v>66764</v>
      </c>
      <c r="F62" t="s">
        <v>115</v>
      </c>
      <c r="G62" t="s">
        <v>212</v>
      </c>
      <c r="H62" t="s">
        <v>485</v>
      </c>
      <c r="I62" t="s">
        <v>466</v>
      </c>
      <c r="J62" t="s">
        <v>208</v>
      </c>
      <c r="K62" t="s">
        <v>99</v>
      </c>
      <c r="L62" t="s">
        <v>486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2:24" x14ac:dyDescent="0.35">
      <c r="B63" t="s">
        <v>97</v>
      </c>
      <c r="C63">
        <v>179</v>
      </c>
      <c r="D63" t="s">
        <v>4</v>
      </c>
      <c r="E63">
        <v>181619</v>
      </c>
      <c r="F63" t="s">
        <v>119</v>
      </c>
      <c r="G63" t="s">
        <v>212</v>
      </c>
      <c r="H63" t="s">
        <v>487</v>
      </c>
      <c r="I63" t="s">
        <v>465</v>
      </c>
      <c r="J63" t="s">
        <v>197</v>
      </c>
      <c r="K63" t="s">
        <v>99</v>
      </c>
      <c r="L63" t="s">
        <v>488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2:24" x14ac:dyDescent="0.35">
      <c r="B64" t="s">
        <v>97</v>
      </c>
      <c r="C64">
        <v>359</v>
      </c>
      <c r="D64" t="s">
        <v>489</v>
      </c>
      <c r="E64">
        <v>132039</v>
      </c>
      <c r="F64" t="s">
        <v>26</v>
      </c>
      <c r="G64" t="s">
        <v>195</v>
      </c>
      <c r="H64" t="s">
        <v>490</v>
      </c>
      <c r="I64" t="s">
        <v>219</v>
      </c>
      <c r="J64" t="s">
        <v>208</v>
      </c>
      <c r="K64" t="s">
        <v>106</v>
      </c>
      <c r="L64" t="s">
        <v>491</v>
      </c>
      <c r="M64">
        <v>0</v>
      </c>
      <c r="N64">
        <v>28.021000000000001</v>
      </c>
      <c r="O64">
        <v>573.08299999999997</v>
      </c>
      <c r="P64">
        <v>131</v>
      </c>
      <c r="Q64">
        <v>11</v>
      </c>
      <c r="R64">
        <v>0</v>
      </c>
      <c r="S64">
        <v>35</v>
      </c>
      <c r="T64">
        <v>5</v>
      </c>
      <c r="U64">
        <v>221.25</v>
      </c>
      <c r="V64">
        <v>0</v>
      </c>
      <c r="W64">
        <v>0</v>
      </c>
      <c r="X64">
        <v>195</v>
      </c>
    </row>
    <row r="65" spans="2:24" x14ac:dyDescent="0.35">
      <c r="B65" t="s">
        <v>97</v>
      </c>
      <c r="C65">
        <v>359</v>
      </c>
      <c r="D65" t="s">
        <v>489</v>
      </c>
      <c r="E65">
        <v>168551</v>
      </c>
      <c r="F65" t="s">
        <v>26</v>
      </c>
      <c r="G65" t="s">
        <v>195</v>
      </c>
      <c r="H65" t="s">
        <v>492</v>
      </c>
      <c r="I65" t="s">
        <v>219</v>
      </c>
      <c r="J65" t="s">
        <v>208</v>
      </c>
      <c r="K65" t="s">
        <v>106</v>
      </c>
      <c r="L65" t="s">
        <v>493</v>
      </c>
      <c r="M65">
        <v>28</v>
      </c>
      <c r="N65">
        <v>0</v>
      </c>
      <c r="O65">
        <v>38</v>
      </c>
      <c r="P65">
        <v>118.625</v>
      </c>
      <c r="Q65">
        <v>30.042000000000002</v>
      </c>
      <c r="R65">
        <v>20</v>
      </c>
      <c r="S65">
        <v>34</v>
      </c>
      <c r="T65">
        <v>70.375</v>
      </c>
      <c r="U65">
        <v>1</v>
      </c>
      <c r="V65">
        <v>27.957999999999998</v>
      </c>
      <c r="W65">
        <v>6</v>
      </c>
      <c r="X65">
        <v>8</v>
      </c>
    </row>
    <row r="66" spans="2:24" x14ac:dyDescent="0.35">
      <c r="B66" t="s">
        <v>97</v>
      </c>
      <c r="C66">
        <v>359</v>
      </c>
      <c r="D66" t="s">
        <v>489</v>
      </c>
      <c r="E66">
        <v>178205</v>
      </c>
      <c r="F66" t="s">
        <v>109</v>
      </c>
      <c r="G66" t="s">
        <v>462</v>
      </c>
      <c r="H66" t="s">
        <v>494</v>
      </c>
      <c r="I66" t="s">
        <v>220</v>
      </c>
      <c r="J66" t="s">
        <v>208</v>
      </c>
      <c r="K66" t="s">
        <v>110</v>
      </c>
      <c r="L66" t="s">
        <v>495</v>
      </c>
      <c r="M66">
        <v>139.90799999999999</v>
      </c>
      <c r="N66">
        <v>1105</v>
      </c>
      <c r="O66">
        <v>355.16699999999997</v>
      </c>
      <c r="P66">
        <v>142</v>
      </c>
      <c r="Q66">
        <v>493</v>
      </c>
      <c r="R66">
        <v>0</v>
      </c>
      <c r="S66">
        <v>63</v>
      </c>
      <c r="T66">
        <v>146</v>
      </c>
      <c r="U66">
        <v>432.58300000000003</v>
      </c>
      <c r="V66">
        <v>116.104</v>
      </c>
      <c r="W66">
        <v>75.667000000000002</v>
      </c>
      <c r="X66">
        <v>220</v>
      </c>
    </row>
    <row r="67" spans="2:24" x14ac:dyDescent="0.35">
      <c r="B67" t="s">
        <v>97</v>
      </c>
      <c r="C67">
        <v>359</v>
      </c>
      <c r="D67" t="s">
        <v>489</v>
      </c>
      <c r="E67">
        <v>48248</v>
      </c>
      <c r="F67" t="s">
        <v>7</v>
      </c>
      <c r="G67" t="s">
        <v>211</v>
      </c>
      <c r="H67" t="s">
        <v>496</v>
      </c>
      <c r="I67" t="s">
        <v>196</v>
      </c>
      <c r="J67" t="s">
        <v>208</v>
      </c>
      <c r="K67" t="s">
        <v>103</v>
      </c>
      <c r="L67" t="s">
        <v>497</v>
      </c>
      <c r="M67">
        <v>0</v>
      </c>
      <c r="N67">
        <v>0</v>
      </c>
      <c r="O67">
        <v>115</v>
      </c>
      <c r="P67">
        <v>0</v>
      </c>
      <c r="Q67">
        <v>91</v>
      </c>
      <c r="R67">
        <v>25</v>
      </c>
      <c r="S67">
        <v>30</v>
      </c>
      <c r="T67">
        <v>0</v>
      </c>
      <c r="U67">
        <v>117.125</v>
      </c>
      <c r="V67">
        <v>48</v>
      </c>
      <c r="W67">
        <v>10.833</v>
      </c>
      <c r="X67">
        <v>30</v>
      </c>
    </row>
    <row r="68" spans="2:24" x14ac:dyDescent="0.35">
      <c r="B68" t="s">
        <v>97</v>
      </c>
      <c r="C68">
        <v>359</v>
      </c>
      <c r="D68" t="s">
        <v>489</v>
      </c>
      <c r="E68">
        <v>64883</v>
      </c>
      <c r="F68" t="s">
        <v>7</v>
      </c>
      <c r="G68" t="s">
        <v>211</v>
      </c>
      <c r="H68" t="s">
        <v>498</v>
      </c>
      <c r="I68" t="s">
        <v>403</v>
      </c>
      <c r="J68" t="s">
        <v>197</v>
      </c>
      <c r="K68" t="s">
        <v>103</v>
      </c>
      <c r="L68" t="s">
        <v>499</v>
      </c>
      <c r="M68">
        <v>-0.66700000000000004</v>
      </c>
      <c r="N68">
        <v>523.625</v>
      </c>
      <c r="O68">
        <v>212.75</v>
      </c>
      <c r="P68">
        <v>96.521000000000001</v>
      </c>
      <c r="Q68">
        <v>-4.5419999999999998</v>
      </c>
      <c r="R68">
        <v>405.91699999999997</v>
      </c>
      <c r="S68">
        <v>48.167000000000002</v>
      </c>
      <c r="T68">
        <v>99.103999999999999</v>
      </c>
      <c r="U68">
        <v>220.75</v>
      </c>
      <c r="V68">
        <v>105</v>
      </c>
      <c r="W68">
        <v>29.25</v>
      </c>
      <c r="X68">
        <v>198</v>
      </c>
    </row>
    <row r="69" spans="2:24" x14ac:dyDescent="0.35">
      <c r="B69" t="s">
        <v>97</v>
      </c>
      <c r="C69">
        <v>359</v>
      </c>
      <c r="D69" t="s">
        <v>489</v>
      </c>
      <c r="E69">
        <v>73977</v>
      </c>
      <c r="F69" t="s">
        <v>7</v>
      </c>
      <c r="G69" t="s">
        <v>211</v>
      </c>
      <c r="H69" t="s">
        <v>500</v>
      </c>
      <c r="I69" t="s">
        <v>196</v>
      </c>
      <c r="J69" t="s">
        <v>208</v>
      </c>
      <c r="K69" t="s">
        <v>103</v>
      </c>
      <c r="L69" t="s">
        <v>501</v>
      </c>
      <c r="M69">
        <v>0</v>
      </c>
      <c r="N69">
        <v>80.5</v>
      </c>
      <c r="O69">
        <v>0</v>
      </c>
      <c r="P69">
        <v>131</v>
      </c>
      <c r="Q69">
        <v>-42</v>
      </c>
      <c r="R69">
        <v>58</v>
      </c>
      <c r="S69">
        <v>15</v>
      </c>
      <c r="T69">
        <v>0</v>
      </c>
      <c r="U69">
        <v>76.625</v>
      </c>
      <c r="V69">
        <v>35</v>
      </c>
      <c r="W69">
        <v>0</v>
      </c>
      <c r="X69">
        <v>19</v>
      </c>
    </row>
    <row r="70" spans="2:24" x14ac:dyDescent="0.35">
      <c r="B70" t="s">
        <v>97</v>
      </c>
      <c r="C70">
        <v>359</v>
      </c>
      <c r="D70" t="s">
        <v>489</v>
      </c>
      <c r="E70">
        <v>184994</v>
      </c>
      <c r="F70" t="s">
        <v>7</v>
      </c>
      <c r="G70" t="s">
        <v>211</v>
      </c>
      <c r="H70" t="s">
        <v>502</v>
      </c>
      <c r="I70" t="s">
        <v>461</v>
      </c>
      <c r="J70" t="s">
        <v>199</v>
      </c>
      <c r="K70" t="s">
        <v>103</v>
      </c>
      <c r="L70" t="s">
        <v>503</v>
      </c>
      <c r="M70">
        <v>0</v>
      </c>
      <c r="N70">
        <v>109</v>
      </c>
      <c r="O70">
        <v>225</v>
      </c>
      <c r="P70">
        <v>32</v>
      </c>
      <c r="Q70">
        <v>-32</v>
      </c>
      <c r="R70">
        <v>209</v>
      </c>
      <c r="S70">
        <v>-33</v>
      </c>
      <c r="T70">
        <v>0</v>
      </c>
      <c r="U70">
        <v>117.625</v>
      </c>
      <c r="V70">
        <v>0</v>
      </c>
      <c r="W70">
        <v>0</v>
      </c>
      <c r="X70">
        <v>48</v>
      </c>
    </row>
    <row r="71" spans="2:24" x14ac:dyDescent="0.35">
      <c r="B71" t="s">
        <v>97</v>
      </c>
      <c r="C71">
        <v>4066</v>
      </c>
      <c r="D71" t="s">
        <v>504</v>
      </c>
      <c r="E71">
        <v>59280</v>
      </c>
      <c r="F71" t="s">
        <v>83</v>
      </c>
      <c r="G71" t="s">
        <v>289</v>
      </c>
      <c r="H71" t="s">
        <v>505</v>
      </c>
      <c r="I71" t="s">
        <v>196</v>
      </c>
      <c r="J71" t="s">
        <v>197</v>
      </c>
      <c r="K71" t="s">
        <v>108</v>
      </c>
      <c r="L71" t="s">
        <v>506</v>
      </c>
      <c r="M71">
        <v>75.832999999999998</v>
      </c>
      <c r="N71">
        <v>72.75</v>
      </c>
      <c r="O71">
        <v>502.66699999999997</v>
      </c>
      <c r="P71">
        <v>78.5</v>
      </c>
      <c r="Q71">
        <v>58.5</v>
      </c>
      <c r="R71">
        <v>42</v>
      </c>
      <c r="S71">
        <v>38.5</v>
      </c>
      <c r="T71">
        <v>152.25</v>
      </c>
      <c r="U71">
        <v>168</v>
      </c>
      <c r="V71">
        <v>62.25</v>
      </c>
      <c r="W71">
        <v>50.875</v>
      </c>
      <c r="X71">
        <v>8</v>
      </c>
    </row>
    <row r="72" spans="2:24" x14ac:dyDescent="0.35">
      <c r="B72" t="s">
        <v>98</v>
      </c>
      <c r="C72">
        <v>3655</v>
      </c>
      <c r="D72" t="s">
        <v>77</v>
      </c>
      <c r="E72">
        <v>48951</v>
      </c>
      <c r="F72" t="s">
        <v>133</v>
      </c>
      <c r="G72" t="s">
        <v>262</v>
      </c>
      <c r="H72" t="s">
        <v>263</v>
      </c>
      <c r="I72" t="s">
        <v>196</v>
      </c>
      <c r="J72" t="s">
        <v>208</v>
      </c>
      <c r="K72" t="s">
        <v>134</v>
      </c>
      <c r="L72" t="s">
        <v>264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2:24" x14ac:dyDescent="0.35">
      <c r="B73" t="s">
        <v>98</v>
      </c>
      <c r="C73">
        <v>3655</v>
      </c>
      <c r="D73" t="s">
        <v>77</v>
      </c>
      <c r="E73">
        <v>107838</v>
      </c>
      <c r="F73" t="s">
        <v>132</v>
      </c>
      <c r="G73" t="s">
        <v>217</v>
      </c>
      <c r="H73" t="s">
        <v>265</v>
      </c>
      <c r="I73" t="s">
        <v>266</v>
      </c>
      <c r="J73" t="s">
        <v>208</v>
      </c>
      <c r="K73" t="s">
        <v>134</v>
      </c>
      <c r="L73" t="s">
        <v>267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2:24" x14ac:dyDescent="0.35">
      <c r="B74" t="s">
        <v>98</v>
      </c>
      <c r="C74">
        <v>3655</v>
      </c>
      <c r="D74" t="s">
        <v>77</v>
      </c>
      <c r="E74">
        <v>124155</v>
      </c>
      <c r="F74" t="s">
        <v>130</v>
      </c>
      <c r="G74" t="s">
        <v>269</v>
      </c>
      <c r="H74" t="s">
        <v>270</v>
      </c>
      <c r="I74" t="s">
        <v>196</v>
      </c>
      <c r="J74" t="s">
        <v>197</v>
      </c>
      <c r="K74" t="s">
        <v>134</v>
      </c>
      <c r="L74" t="s">
        <v>271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2:24" x14ac:dyDescent="0.35">
      <c r="B75" t="s">
        <v>98</v>
      </c>
      <c r="C75">
        <v>3655</v>
      </c>
      <c r="D75" t="s">
        <v>77</v>
      </c>
      <c r="E75">
        <v>144056</v>
      </c>
      <c r="F75" t="s">
        <v>131</v>
      </c>
      <c r="G75" t="s">
        <v>217</v>
      </c>
      <c r="H75" t="s">
        <v>272</v>
      </c>
      <c r="I75" t="s">
        <v>268</v>
      </c>
      <c r="J75" t="s">
        <v>199</v>
      </c>
      <c r="K75" t="s">
        <v>134</v>
      </c>
      <c r="L75" t="s">
        <v>273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2:24" x14ac:dyDescent="0.35">
      <c r="B76" t="s">
        <v>98</v>
      </c>
      <c r="C76">
        <v>3655</v>
      </c>
      <c r="D76" t="s">
        <v>77</v>
      </c>
      <c r="E76">
        <v>165045</v>
      </c>
      <c r="F76" t="s">
        <v>274</v>
      </c>
      <c r="G76" t="s">
        <v>217</v>
      </c>
      <c r="H76" t="s">
        <v>275</v>
      </c>
      <c r="I76" t="s">
        <v>276</v>
      </c>
      <c r="J76" t="s">
        <v>223</v>
      </c>
      <c r="K76" t="s">
        <v>134</v>
      </c>
      <c r="L76" t="s">
        <v>277</v>
      </c>
      <c r="M76">
        <v>436.75</v>
      </c>
      <c r="N76">
        <v>239</v>
      </c>
      <c r="O76">
        <v>417</v>
      </c>
      <c r="P76">
        <v>2393.5830000000001</v>
      </c>
      <c r="Q76">
        <v>1487.9169999999999</v>
      </c>
      <c r="R76">
        <v>1044.6669999999999</v>
      </c>
      <c r="S76">
        <v>339</v>
      </c>
      <c r="T76">
        <v>873.66700000000003</v>
      </c>
      <c r="U76">
        <v>198.583</v>
      </c>
      <c r="V76">
        <v>326.32499999999999</v>
      </c>
      <c r="W76">
        <v>606</v>
      </c>
      <c r="X76">
        <v>284.91699999999997</v>
      </c>
    </row>
    <row r="77" spans="2:24" x14ac:dyDescent="0.35">
      <c r="B77" t="s">
        <v>98</v>
      </c>
      <c r="C77">
        <v>3655</v>
      </c>
      <c r="D77" t="s">
        <v>77</v>
      </c>
      <c r="E77">
        <v>166873</v>
      </c>
      <c r="F77" t="s">
        <v>128</v>
      </c>
      <c r="G77" t="s">
        <v>214</v>
      </c>
      <c r="H77" t="s">
        <v>227</v>
      </c>
      <c r="I77" t="s">
        <v>228</v>
      </c>
      <c r="J77" t="s">
        <v>208</v>
      </c>
      <c r="K77" t="s">
        <v>134</v>
      </c>
      <c r="L77" t="s">
        <v>229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2:24" x14ac:dyDescent="0.35">
      <c r="B78" t="s">
        <v>98</v>
      </c>
      <c r="C78">
        <v>3655</v>
      </c>
      <c r="D78" t="s">
        <v>77</v>
      </c>
      <c r="E78">
        <v>186321</v>
      </c>
      <c r="F78" t="s">
        <v>140</v>
      </c>
      <c r="G78" t="s">
        <v>261</v>
      </c>
      <c r="H78" t="s">
        <v>281</v>
      </c>
      <c r="I78" t="s">
        <v>196</v>
      </c>
      <c r="J78" t="s">
        <v>208</v>
      </c>
      <c r="K78" t="s">
        <v>134</v>
      </c>
      <c r="L78" t="s">
        <v>282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2:24" x14ac:dyDescent="0.35">
      <c r="B79" t="s">
        <v>98</v>
      </c>
      <c r="C79">
        <v>3655</v>
      </c>
      <c r="D79" t="s">
        <v>77</v>
      </c>
      <c r="E79">
        <v>184830</v>
      </c>
      <c r="F79" t="s">
        <v>143</v>
      </c>
      <c r="G79" t="s">
        <v>213</v>
      </c>
      <c r="H79" t="s">
        <v>224</v>
      </c>
      <c r="I79" t="s">
        <v>204</v>
      </c>
      <c r="J79" t="s">
        <v>208</v>
      </c>
      <c r="K79" t="s">
        <v>134</v>
      </c>
      <c r="L79" t="s">
        <v>225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2:24" x14ac:dyDescent="0.35">
      <c r="B80" t="s">
        <v>98</v>
      </c>
      <c r="C80">
        <v>3655</v>
      </c>
      <c r="D80" t="s">
        <v>77</v>
      </c>
      <c r="E80">
        <v>187744</v>
      </c>
      <c r="F80" t="s">
        <v>140</v>
      </c>
      <c r="G80" t="s">
        <v>210</v>
      </c>
      <c r="H80" t="s">
        <v>283</v>
      </c>
      <c r="I80" t="s">
        <v>284</v>
      </c>
      <c r="J80" t="s">
        <v>218</v>
      </c>
      <c r="K80" t="s">
        <v>134</v>
      </c>
      <c r="L80" t="s">
        <v>285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2:24" x14ac:dyDescent="0.35">
      <c r="B81" t="s">
        <v>98</v>
      </c>
      <c r="C81">
        <v>3655</v>
      </c>
      <c r="D81" t="s">
        <v>77</v>
      </c>
      <c r="E81">
        <v>182636</v>
      </c>
      <c r="F81" t="s">
        <v>121</v>
      </c>
      <c r="G81" t="s">
        <v>215</v>
      </c>
      <c r="H81" t="s">
        <v>290</v>
      </c>
      <c r="I81" t="s">
        <v>216</v>
      </c>
      <c r="J81" t="s">
        <v>208</v>
      </c>
      <c r="K81" t="s">
        <v>134</v>
      </c>
      <c r="L81" t="s">
        <v>291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2:24" x14ac:dyDescent="0.35">
      <c r="B82" t="s">
        <v>98</v>
      </c>
      <c r="C82">
        <v>3655</v>
      </c>
      <c r="D82" t="s">
        <v>77</v>
      </c>
      <c r="E82">
        <v>182637</v>
      </c>
      <c r="F82" t="s">
        <v>140</v>
      </c>
      <c r="G82" t="s">
        <v>292</v>
      </c>
      <c r="H82" t="s">
        <v>293</v>
      </c>
      <c r="I82" t="s">
        <v>196</v>
      </c>
      <c r="J82" t="s">
        <v>208</v>
      </c>
      <c r="K82" t="s">
        <v>134</v>
      </c>
      <c r="L82" t="s">
        <v>294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2:24" x14ac:dyDescent="0.35">
      <c r="B83" t="s">
        <v>98</v>
      </c>
      <c r="C83">
        <v>3655</v>
      </c>
      <c r="D83" t="s">
        <v>77</v>
      </c>
      <c r="E83">
        <v>182638</v>
      </c>
      <c r="F83" t="s">
        <v>121</v>
      </c>
      <c r="G83" t="s">
        <v>221</v>
      </c>
      <c r="H83" t="s">
        <v>295</v>
      </c>
      <c r="I83" t="s">
        <v>196</v>
      </c>
      <c r="J83" t="s">
        <v>208</v>
      </c>
      <c r="K83" t="s">
        <v>134</v>
      </c>
      <c r="L83" t="s">
        <v>296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2:24" x14ac:dyDescent="0.35">
      <c r="B84" t="s">
        <v>98</v>
      </c>
      <c r="C84">
        <v>3655</v>
      </c>
      <c r="D84" t="s">
        <v>77</v>
      </c>
      <c r="E84">
        <v>182639</v>
      </c>
      <c r="F84" t="s">
        <v>121</v>
      </c>
      <c r="G84" t="s">
        <v>215</v>
      </c>
      <c r="H84" t="s">
        <v>297</v>
      </c>
      <c r="I84" t="s">
        <v>298</v>
      </c>
      <c r="J84" t="s">
        <v>208</v>
      </c>
      <c r="K84" t="s">
        <v>134</v>
      </c>
      <c r="L84" t="s">
        <v>299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2:24" x14ac:dyDescent="0.35">
      <c r="B85" t="s">
        <v>98</v>
      </c>
      <c r="C85">
        <v>3655</v>
      </c>
      <c r="D85" t="s">
        <v>77</v>
      </c>
      <c r="E85">
        <v>182640</v>
      </c>
      <c r="F85" t="s">
        <v>121</v>
      </c>
      <c r="G85" t="s">
        <v>222</v>
      </c>
      <c r="H85" t="s">
        <v>300</v>
      </c>
      <c r="I85" t="s">
        <v>301</v>
      </c>
      <c r="J85" t="s">
        <v>208</v>
      </c>
      <c r="K85" t="s">
        <v>134</v>
      </c>
      <c r="L85" t="s">
        <v>302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2:24" x14ac:dyDescent="0.35">
      <c r="B86" t="s">
        <v>98</v>
      </c>
      <c r="C86">
        <v>3655</v>
      </c>
      <c r="D86" t="s">
        <v>77</v>
      </c>
      <c r="E86">
        <v>182641</v>
      </c>
      <c r="F86" t="s">
        <v>121</v>
      </c>
      <c r="G86" t="s">
        <v>210</v>
      </c>
      <c r="H86" t="s">
        <v>303</v>
      </c>
      <c r="I86" t="s">
        <v>304</v>
      </c>
      <c r="J86" t="s">
        <v>208</v>
      </c>
      <c r="K86" t="s">
        <v>134</v>
      </c>
      <c r="L86" t="s">
        <v>305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2:24" x14ac:dyDescent="0.35">
      <c r="B87" t="s">
        <v>98</v>
      </c>
      <c r="C87">
        <v>3655</v>
      </c>
      <c r="D87" t="s">
        <v>77</v>
      </c>
      <c r="E87">
        <v>183292</v>
      </c>
      <c r="F87" t="s">
        <v>122</v>
      </c>
      <c r="G87" t="s">
        <v>217</v>
      </c>
      <c r="H87" t="s">
        <v>275</v>
      </c>
      <c r="I87" t="s">
        <v>278</v>
      </c>
      <c r="J87" t="s">
        <v>279</v>
      </c>
      <c r="K87" t="s">
        <v>134</v>
      </c>
      <c r="L87" t="s">
        <v>280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2:24" x14ac:dyDescent="0.35">
      <c r="B88" t="s">
        <v>98</v>
      </c>
      <c r="C88">
        <v>3655</v>
      </c>
      <c r="D88" t="s">
        <v>77</v>
      </c>
      <c r="E88">
        <v>48796</v>
      </c>
      <c r="F88" t="s">
        <v>128</v>
      </c>
      <c r="G88" t="s">
        <v>214</v>
      </c>
      <c r="H88" t="s">
        <v>232</v>
      </c>
      <c r="I88" t="s">
        <v>233</v>
      </c>
      <c r="J88" t="s">
        <v>197</v>
      </c>
      <c r="K88" t="s">
        <v>134</v>
      </c>
      <c r="L88" t="s">
        <v>234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2:24" x14ac:dyDescent="0.35">
      <c r="B89" t="s">
        <v>98</v>
      </c>
      <c r="C89">
        <v>3655</v>
      </c>
      <c r="D89" t="s">
        <v>77</v>
      </c>
      <c r="E89">
        <v>133136</v>
      </c>
      <c r="F89" t="s">
        <v>128</v>
      </c>
      <c r="G89" t="s">
        <v>214</v>
      </c>
      <c r="H89" t="s">
        <v>235</v>
      </c>
      <c r="I89" t="s">
        <v>233</v>
      </c>
      <c r="J89" t="s">
        <v>218</v>
      </c>
      <c r="K89" t="s">
        <v>134</v>
      </c>
      <c r="L89" t="s">
        <v>236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2:24" x14ac:dyDescent="0.35">
      <c r="B90" t="s">
        <v>98</v>
      </c>
      <c r="C90">
        <v>3655</v>
      </c>
      <c r="D90" t="s">
        <v>77</v>
      </c>
      <c r="E90">
        <v>143032</v>
      </c>
      <c r="F90" t="s">
        <v>128</v>
      </c>
      <c r="G90" t="s">
        <v>214</v>
      </c>
      <c r="H90" t="s">
        <v>237</v>
      </c>
      <c r="I90" t="s">
        <v>238</v>
      </c>
      <c r="J90" t="s">
        <v>208</v>
      </c>
      <c r="K90" t="s">
        <v>134</v>
      </c>
      <c r="L90" t="s">
        <v>239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2:24" x14ac:dyDescent="0.35">
      <c r="B91" t="s">
        <v>98</v>
      </c>
      <c r="C91">
        <v>3655</v>
      </c>
      <c r="D91" t="s">
        <v>77</v>
      </c>
      <c r="E91">
        <v>152153</v>
      </c>
      <c r="F91" t="s">
        <v>121</v>
      </c>
      <c r="G91" t="s">
        <v>214</v>
      </c>
      <c r="H91" t="s">
        <v>240</v>
      </c>
      <c r="I91" t="s">
        <v>241</v>
      </c>
      <c r="J91" t="s">
        <v>197</v>
      </c>
      <c r="K91" t="s">
        <v>134</v>
      </c>
      <c r="L91" t="s">
        <v>242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2:24" x14ac:dyDescent="0.35">
      <c r="B92" t="s">
        <v>98</v>
      </c>
      <c r="C92">
        <v>3655</v>
      </c>
      <c r="D92" t="s">
        <v>77</v>
      </c>
      <c r="E92">
        <v>152696</v>
      </c>
      <c r="F92" t="s">
        <v>124</v>
      </c>
      <c r="G92" t="s">
        <v>243</v>
      </c>
      <c r="H92" t="s">
        <v>244</v>
      </c>
      <c r="I92" t="s">
        <v>245</v>
      </c>
      <c r="J92" t="s">
        <v>208</v>
      </c>
      <c r="K92" t="s">
        <v>134</v>
      </c>
      <c r="L92" t="s">
        <v>246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2:24" x14ac:dyDescent="0.35">
      <c r="B93" t="s">
        <v>98</v>
      </c>
      <c r="C93">
        <v>3655</v>
      </c>
      <c r="D93" t="s">
        <v>77</v>
      </c>
      <c r="E93">
        <v>156263</v>
      </c>
      <c r="F93" t="s">
        <v>126</v>
      </c>
      <c r="G93" t="s">
        <v>214</v>
      </c>
      <c r="H93" t="s">
        <v>247</v>
      </c>
      <c r="I93" t="s">
        <v>248</v>
      </c>
      <c r="J93" t="s">
        <v>197</v>
      </c>
      <c r="K93" t="s">
        <v>134</v>
      </c>
      <c r="L93" t="s">
        <v>249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2:24" x14ac:dyDescent="0.35">
      <c r="B94" t="s">
        <v>98</v>
      </c>
      <c r="C94">
        <v>3655</v>
      </c>
      <c r="D94" t="s">
        <v>77</v>
      </c>
      <c r="E94">
        <v>157153</v>
      </c>
      <c r="F94" t="s">
        <v>129</v>
      </c>
      <c r="G94" t="s">
        <v>243</v>
      </c>
      <c r="H94" t="s">
        <v>250</v>
      </c>
      <c r="I94" t="s">
        <v>251</v>
      </c>
      <c r="J94" t="s">
        <v>208</v>
      </c>
      <c r="K94" t="s">
        <v>134</v>
      </c>
      <c r="L94" t="s">
        <v>252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2:24" x14ac:dyDescent="0.35">
      <c r="B95" t="s">
        <v>98</v>
      </c>
      <c r="C95">
        <v>3655</v>
      </c>
      <c r="D95" t="s">
        <v>77</v>
      </c>
      <c r="E95">
        <v>157637</v>
      </c>
      <c r="F95" t="s">
        <v>124</v>
      </c>
      <c r="G95" t="s">
        <v>243</v>
      </c>
      <c r="H95" t="s">
        <v>253</v>
      </c>
      <c r="I95" t="s">
        <v>251</v>
      </c>
      <c r="J95" t="s">
        <v>208</v>
      </c>
      <c r="K95" t="s">
        <v>134</v>
      </c>
      <c r="L95" t="s">
        <v>254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2:24" x14ac:dyDescent="0.35">
      <c r="B96" t="s">
        <v>98</v>
      </c>
      <c r="C96">
        <v>3655</v>
      </c>
      <c r="D96" t="s">
        <v>77</v>
      </c>
      <c r="E96">
        <v>160950</v>
      </c>
      <c r="F96" t="s">
        <v>125</v>
      </c>
      <c r="G96" t="s">
        <v>243</v>
      </c>
      <c r="H96" t="s">
        <v>255</v>
      </c>
      <c r="I96" t="s">
        <v>256</v>
      </c>
      <c r="J96" t="s">
        <v>208</v>
      </c>
      <c r="K96" t="s">
        <v>134</v>
      </c>
      <c r="L96" t="s">
        <v>257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2:24" x14ac:dyDescent="0.35">
      <c r="B97" t="s">
        <v>98</v>
      </c>
      <c r="C97">
        <v>3655</v>
      </c>
      <c r="D97" t="s">
        <v>77</v>
      </c>
      <c r="E97">
        <v>169160</v>
      </c>
      <c r="F97" t="s">
        <v>127</v>
      </c>
      <c r="G97" t="s">
        <v>214</v>
      </c>
      <c r="H97" t="s">
        <v>230</v>
      </c>
      <c r="I97" t="s">
        <v>226</v>
      </c>
      <c r="J97" t="s">
        <v>197</v>
      </c>
      <c r="K97" t="s">
        <v>134</v>
      </c>
      <c r="L97" t="s">
        <v>231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2:24" x14ac:dyDescent="0.35">
      <c r="B98" t="s">
        <v>98</v>
      </c>
      <c r="C98">
        <v>3655</v>
      </c>
      <c r="D98" t="s">
        <v>77</v>
      </c>
      <c r="E98">
        <v>169868</v>
      </c>
      <c r="F98" t="s">
        <v>123</v>
      </c>
      <c r="G98" t="s">
        <v>243</v>
      </c>
      <c r="H98" t="s">
        <v>258</v>
      </c>
      <c r="I98" t="s">
        <v>259</v>
      </c>
      <c r="J98" t="s">
        <v>208</v>
      </c>
      <c r="K98" t="s">
        <v>134</v>
      </c>
      <c r="L98" t="s">
        <v>260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2:24" x14ac:dyDescent="0.35">
      <c r="B99" t="s">
        <v>98</v>
      </c>
      <c r="C99">
        <v>3655</v>
      </c>
      <c r="D99" t="s">
        <v>77</v>
      </c>
      <c r="E99">
        <v>189159</v>
      </c>
      <c r="F99" t="s">
        <v>274</v>
      </c>
      <c r="G99" t="s">
        <v>243</v>
      </c>
      <c r="H99" t="s">
        <v>286</v>
      </c>
      <c r="I99" t="s">
        <v>287</v>
      </c>
      <c r="J99" t="s">
        <v>208</v>
      </c>
      <c r="K99" t="s">
        <v>134</v>
      </c>
      <c r="L99" t="s">
        <v>288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</sheetData>
  <autoFilter ref="B1:L99" xr:uid="{FF51D1E0-CD75-48F2-9AAA-AABC475E49E8}"/>
  <phoneticPr fontId="14" type="noConversion"/>
  <conditionalFormatting sqref="E1:E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6C2E-5CEA-4148-9F7B-CE9B93585081}">
  <dimension ref="A1:X762"/>
  <sheetViews>
    <sheetView showGridLines="0" topLeftCell="F1" workbookViewId="0">
      <selection activeCell="U2" sqref="U2:W267"/>
    </sheetView>
  </sheetViews>
  <sheetFormatPr defaultRowHeight="14.5" outlineLevelCol="1" x14ac:dyDescent="0.35"/>
  <cols>
    <col min="1" max="1" width="9.26953125" hidden="1" customWidth="1" outlineLevel="1"/>
    <col min="2" max="2" width="7.54296875" hidden="1" customWidth="1" outlineLevel="1"/>
    <col min="3" max="3" width="34.26953125" hidden="1" customWidth="1" outlineLevel="1"/>
    <col min="4" max="4" width="10.453125" hidden="1" customWidth="1" outlineLevel="1"/>
    <col min="5" max="5" width="11.453125" hidden="1" customWidth="1" outlineLevel="1"/>
    <col min="6" max="6" width="1.54296875" customWidth="1" collapsed="1"/>
    <col min="7" max="7" width="15.7265625" customWidth="1"/>
    <col min="8" max="8" width="9.453125" customWidth="1"/>
    <col min="9" max="9" width="27.26953125" customWidth="1"/>
    <col min="10" max="11" width="11.453125" customWidth="1"/>
    <col min="12" max="12" width="2.7265625" customWidth="1"/>
    <col min="13" max="13" width="13.26953125" customWidth="1"/>
    <col min="15" max="15" width="14.7265625" customWidth="1"/>
    <col min="16" max="16" width="11.26953125" customWidth="1"/>
    <col min="17" max="17" width="10.26953125" customWidth="1"/>
    <col min="18" max="18" width="2.54296875" customWidth="1"/>
    <col min="19" max="19" width="1.7265625" customWidth="1"/>
    <col min="20" max="20" width="14" customWidth="1"/>
    <col min="21" max="21" width="9.1796875" customWidth="1"/>
    <col min="22" max="22" width="24.81640625" customWidth="1"/>
    <col min="23" max="23" width="20.26953125" bestFit="1" customWidth="1"/>
  </cols>
  <sheetData>
    <row r="1" spans="1:24" s="136" customFormat="1" ht="30.75" customHeight="1" x14ac:dyDescent="0.35">
      <c r="A1" s="134"/>
      <c r="B1" s="135" t="s">
        <v>510</v>
      </c>
      <c r="C1" s="134"/>
      <c r="D1" s="134"/>
      <c r="E1" s="134"/>
      <c r="G1" s="215" t="s">
        <v>787</v>
      </c>
      <c r="H1" s="215"/>
      <c r="I1" s="215"/>
      <c r="J1" s="215"/>
      <c r="K1" s="215"/>
      <c r="M1" s="140" t="s">
        <v>85</v>
      </c>
      <c r="N1" s="137"/>
      <c r="O1" s="138"/>
      <c r="P1" s="138"/>
      <c r="Q1" s="138"/>
      <c r="T1" s="187" t="s">
        <v>76</v>
      </c>
      <c r="U1" s="188"/>
      <c r="V1" s="188"/>
      <c r="W1" s="188"/>
    </row>
    <row r="2" spans="1:24" ht="14.25" customHeight="1" x14ac:dyDescent="0.35">
      <c r="A2" s="30"/>
      <c r="B2" t="s">
        <v>13</v>
      </c>
      <c r="C2" t="s">
        <v>55</v>
      </c>
      <c r="D2" t="s">
        <v>56</v>
      </c>
      <c r="E2" t="s">
        <v>14</v>
      </c>
      <c r="G2" s="31" t="s">
        <v>193</v>
      </c>
      <c r="H2" t="s">
        <v>13</v>
      </c>
      <c r="I2" t="s">
        <v>55</v>
      </c>
      <c r="J2" t="s">
        <v>56</v>
      </c>
      <c r="K2" s="131" t="s">
        <v>14</v>
      </c>
      <c r="M2" s="32" t="s">
        <v>84</v>
      </c>
      <c r="N2" t="s">
        <v>13</v>
      </c>
      <c r="O2" t="s">
        <v>55</v>
      </c>
      <c r="P2" t="s">
        <v>56</v>
      </c>
      <c r="Q2" t="s">
        <v>14</v>
      </c>
      <c r="T2" s="214" t="s">
        <v>79</v>
      </c>
      <c r="U2" t="s">
        <v>13</v>
      </c>
      <c r="V2" t="s">
        <v>74</v>
      </c>
      <c r="W2" t="s">
        <v>80</v>
      </c>
    </row>
    <row r="3" spans="1:24" x14ac:dyDescent="0.35">
      <c r="A3" s="30"/>
      <c r="C3" t="s">
        <v>45</v>
      </c>
      <c r="D3" t="s">
        <v>511</v>
      </c>
      <c r="E3" s="6">
        <v>42134.62</v>
      </c>
      <c r="G3" s="29"/>
      <c r="I3" t="s">
        <v>45</v>
      </c>
      <c r="J3" s="6" t="s">
        <v>848</v>
      </c>
      <c r="K3" s="132">
        <v>41914.983</v>
      </c>
      <c r="M3" s="32"/>
      <c r="O3" t="s">
        <v>45</v>
      </c>
      <c r="P3" t="s">
        <v>817</v>
      </c>
      <c r="Q3" s="6">
        <v>866.41499999999996</v>
      </c>
      <c r="T3" s="214"/>
      <c r="V3" t="s">
        <v>1048</v>
      </c>
      <c r="W3" s="6">
        <v>1005.657</v>
      </c>
      <c r="X3" s="6"/>
    </row>
    <row r="4" spans="1:24" x14ac:dyDescent="0.35">
      <c r="A4" s="30" t="s">
        <v>513</v>
      </c>
      <c r="B4">
        <v>158062</v>
      </c>
      <c r="C4" t="s">
        <v>46</v>
      </c>
      <c r="D4" t="s">
        <v>157</v>
      </c>
      <c r="E4">
        <v>118.792</v>
      </c>
      <c r="G4" s="29" t="str">
        <f>H4&amp;J4</f>
        <v>158062 JUL/2025</v>
      </c>
      <c r="H4">
        <v>158062</v>
      </c>
      <c r="I4" t="s">
        <v>46</v>
      </c>
      <c r="J4" t="s">
        <v>512</v>
      </c>
      <c r="K4" s="131">
        <v>166.81299999999999</v>
      </c>
      <c r="M4" s="29" t="str">
        <f>N4&amp;P4</f>
        <v>158062 JUL/2025</v>
      </c>
      <c r="N4">
        <v>158062</v>
      </c>
      <c r="O4" t="s">
        <v>46</v>
      </c>
      <c r="P4" t="s">
        <v>512</v>
      </c>
      <c r="Q4">
        <v>1</v>
      </c>
      <c r="T4" s="214"/>
      <c r="U4">
        <v>189555</v>
      </c>
      <c r="V4" t="s">
        <v>849</v>
      </c>
      <c r="W4">
        <v>0.16700000000000001</v>
      </c>
    </row>
    <row r="5" spans="1:24" x14ac:dyDescent="0.35">
      <c r="A5" s="30" t="s">
        <v>514</v>
      </c>
      <c r="B5">
        <v>158062</v>
      </c>
      <c r="C5" t="s">
        <v>46</v>
      </c>
      <c r="D5" t="s">
        <v>158</v>
      </c>
      <c r="E5" s="6">
        <v>4.5419999999999998</v>
      </c>
      <c r="G5" s="29" t="str">
        <f t="shared" ref="G5:G68" si="0">H5&amp;J5</f>
        <v>158062 AGO/2025</v>
      </c>
      <c r="H5">
        <v>158062</v>
      </c>
      <c r="I5" t="s">
        <v>46</v>
      </c>
      <c r="J5" t="s">
        <v>773</v>
      </c>
      <c r="K5" s="132">
        <v>682.54200000000003</v>
      </c>
      <c r="M5" s="29" t="str">
        <f t="shared" ref="M5:M69" si="1">N5&amp;P5</f>
        <v>158062 AGO/2025</v>
      </c>
      <c r="N5">
        <v>158062</v>
      </c>
      <c r="O5" t="s">
        <v>46</v>
      </c>
      <c r="P5" t="s">
        <v>773</v>
      </c>
      <c r="Q5">
        <v>11</v>
      </c>
      <c r="T5" s="214"/>
      <c r="U5">
        <v>67567</v>
      </c>
      <c r="V5" t="s">
        <v>850</v>
      </c>
      <c r="W5">
        <v>8.3000000000000004E-2</v>
      </c>
    </row>
    <row r="6" spans="1:24" x14ac:dyDescent="0.35">
      <c r="A6" s="30" t="s">
        <v>515</v>
      </c>
      <c r="B6">
        <v>158062</v>
      </c>
      <c r="C6" t="s">
        <v>46</v>
      </c>
      <c r="D6" t="s">
        <v>159</v>
      </c>
      <c r="E6">
        <v>914.16700000000003</v>
      </c>
      <c r="G6" s="29" t="str">
        <f t="shared" si="0"/>
        <v>158062 SET/2025</v>
      </c>
      <c r="H6">
        <v>158062</v>
      </c>
      <c r="I6" t="s">
        <v>46</v>
      </c>
      <c r="J6" t="s">
        <v>772</v>
      </c>
      <c r="K6" s="131">
        <v>749.04200000000003</v>
      </c>
      <c r="M6" s="29" t="str">
        <f t="shared" si="1"/>
        <v>158062 SET/2025</v>
      </c>
      <c r="N6">
        <v>158062</v>
      </c>
      <c r="O6" t="s">
        <v>46</v>
      </c>
      <c r="P6" t="s">
        <v>772</v>
      </c>
      <c r="Q6">
        <v>3</v>
      </c>
      <c r="T6" s="214"/>
      <c r="U6">
        <v>187623</v>
      </c>
      <c r="V6" t="s">
        <v>851</v>
      </c>
      <c r="W6">
        <v>0.25</v>
      </c>
    </row>
    <row r="7" spans="1:24" x14ac:dyDescent="0.35">
      <c r="A7" s="30" t="s">
        <v>516</v>
      </c>
      <c r="B7">
        <v>158062</v>
      </c>
      <c r="C7" t="s">
        <v>46</v>
      </c>
      <c r="D7" t="s">
        <v>160</v>
      </c>
      <c r="E7" s="6">
        <v>102.583</v>
      </c>
      <c r="G7" s="29" t="str">
        <f t="shared" si="0"/>
        <v>158062 OUT/2025</v>
      </c>
      <c r="H7">
        <v>158062</v>
      </c>
      <c r="I7" t="s">
        <v>46</v>
      </c>
      <c r="J7" t="s">
        <v>774</v>
      </c>
      <c r="K7" s="132">
        <v>98</v>
      </c>
      <c r="M7" s="29" t="str">
        <f t="shared" si="1"/>
        <v>158062 OUT/2025</v>
      </c>
      <c r="N7">
        <v>158062</v>
      </c>
      <c r="O7" t="s">
        <v>46</v>
      </c>
      <c r="P7" t="s">
        <v>774</v>
      </c>
      <c r="Q7">
        <v>1</v>
      </c>
      <c r="T7" s="214"/>
      <c r="U7">
        <v>187482</v>
      </c>
      <c r="V7" t="s">
        <v>852</v>
      </c>
      <c r="W7">
        <v>0.14599999999999999</v>
      </c>
    </row>
    <row r="8" spans="1:24" x14ac:dyDescent="0.35">
      <c r="A8" s="30" t="s">
        <v>517</v>
      </c>
      <c r="B8">
        <v>158062</v>
      </c>
      <c r="C8" t="s">
        <v>46</v>
      </c>
      <c r="D8" t="s">
        <v>161</v>
      </c>
      <c r="E8">
        <v>127</v>
      </c>
      <c r="G8" s="29" t="str">
        <f t="shared" si="0"/>
        <v>158062 NOV/2025</v>
      </c>
      <c r="H8">
        <v>158062</v>
      </c>
      <c r="I8" t="s">
        <v>46</v>
      </c>
      <c r="J8" t="s">
        <v>775</v>
      </c>
      <c r="K8" s="131">
        <v>237</v>
      </c>
      <c r="M8" s="29" t="str">
        <f t="shared" si="1"/>
        <v>158062 NOV/2025</v>
      </c>
      <c r="N8">
        <v>158062</v>
      </c>
      <c r="O8" t="s">
        <v>46</v>
      </c>
      <c r="P8" t="s">
        <v>775</v>
      </c>
      <c r="Q8">
        <v>3</v>
      </c>
      <c r="T8" s="214"/>
      <c r="U8">
        <v>62107</v>
      </c>
      <c r="V8" t="s">
        <v>818</v>
      </c>
      <c r="W8">
        <v>0.5</v>
      </c>
    </row>
    <row r="9" spans="1:24" x14ac:dyDescent="0.35">
      <c r="A9" s="30" t="s">
        <v>518</v>
      </c>
      <c r="B9">
        <v>158062</v>
      </c>
      <c r="C9" t="s">
        <v>46</v>
      </c>
      <c r="D9" t="s">
        <v>162</v>
      </c>
      <c r="E9">
        <v>449.75</v>
      </c>
      <c r="G9" s="29" t="str">
        <f t="shared" si="0"/>
        <v>158062 DEZ/2025</v>
      </c>
      <c r="H9">
        <v>158062</v>
      </c>
      <c r="I9" t="s">
        <v>46</v>
      </c>
      <c r="J9" t="s">
        <v>776</v>
      </c>
      <c r="K9" s="132">
        <v>574.58299999999997</v>
      </c>
      <c r="M9" s="29" t="str">
        <f t="shared" si="1"/>
        <v>158062 DEZ/2025</v>
      </c>
      <c r="N9">
        <v>158062</v>
      </c>
      <c r="O9" t="s">
        <v>46</v>
      </c>
      <c r="P9" t="s">
        <v>776</v>
      </c>
      <c r="Q9">
        <v>16</v>
      </c>
      <c r="T9" s="214"/>
      <c r="U9">
        <v>136970</v>
      </c>
      <c r="V9" t="s">
        <v>853</v>
      </c>
      <c r="W9">
        <v>0.75</v>
      </c>
    </row>
    <row r="10" spans="1:24" ht="15" customHeight="1" x14ac:dyDescent="0.35">
      <c r="A10" s="30" t="s">
        <v>519</v>
      </c>
      <c r="B10">
        <v>158062</v>
      </c>
      <c r="C10" t="s">
        <v>46</v>
      </c>
      <c r="D10" t="s">
        <v>163</v>
      </c>
      <c r="E10">
        <v>-2.8580000000000001</v>
      </c>
      <c r="G10" s="29" t="str">
        <f t="shared" si="0"/>
        <v>158062 JAN/2026</v>
      </c>
      <c r="H10">
        <v>158062</v>
      </c>
      <c r="I10" t="s">
        <v>46</v>
      </c>
      <c r="J10" t="s">
        <v>777</v>
      </c>
      <c r="K10" s="132">
        <v>5.625</v>
      </c>
      <c r="M10" s="29" t="str">
        <f t="shared" si="1"/>
        <v>158062 JAN/2026</v>
      </c>
      <c r="N10">
        <v>158062</v>
      </c>
      <c r="O10" t="s">
        <v>46</v>
      </c>
      <c r="P10" t="s">
        <v>777</v>
      </c>
      <c r="Q10">
        <v>1.5</v>
      </c>
      <c r="T10" s="189"/>
      <c r="U10">
        <v>191283</v>
      </c>
      <c r="V10" t="s">
        <v>854</v>
      </c>
      <c r="W10">
        <v>0.16700000000000001</v>
      </c>
    </row>
    <row r="11" spans="1:24" x14ac:dyDescent="0.35">
      <c r="A11" s="30" t="s">
        <v>520</v>
      </c>
      <c r="B11">
        <v>158062</v>
      </c>
      <c r="C11" t="s">
        <v>46</v>
      </c>
      <c r="D11" t="s">
        <v>164</v>
      </c>
      <c r="E11">
        <v>67.667000000000002</v>
      </c>
      <c r="G11" s="29" t="str">
        <f t="shared" si="0"/>
        <v>158062 FEV/2026</v>
      </c>
      <c r="H11">
        <v>158062</v>
      </c>
      <c r="I11" t="s">
        <v>46</v>
      </c>
      <c r="J11" t="s">
        <v>778</v>
      </c>
      <c r="K11" s="132">
        <v>56.832999999999998</v>
      </c>
      <c r="M11" s="29" t="str">
        <f t="shared" si="1"/>
        <v>158062 FEV/2026</v>
      </c>
      <c r="N11">
        <v>158062</v>
      </c>
      <c r="O11" t="s">
        <v>46</v>
      </c>
      <c r="P11" t="s">
        <v>778</v>
      </c>
      <c r="Q11">
        <v>2</v>
      </c>
      <c r="T11" s="189"/>
      <c r="U11">
        <v>126883</v>
      </c>
      <c r="V11" t="s">
        <v>855</v>
      </c>
      <c r="W11">
        <v>0.375</v>
      </c>
    </row>
    <row r="12" spans="1:24" x14ac:dyDescent="0.35">
      <c r="A12" s="30" t="s">
        <v>521</v>
      </c>
      <c r="B12">
        <v>158062</v>
      </c>
      <c r="C12" t="s">
        <v>46</v>
      </c>
      <c r="D12" t="s">
        <v>165</v>
      </c>
      <c r="E12">
        <v>193.85400000000001</v>
      </c>
      <c r="G12" s="29" t="str">
        <f t="shared" si="0"/>
        <v>158062 MAR/2026</v>
      </c>
      <c r="H12">
        <v>158062</v>
      </c>
      <c r="I12" t="s">
        <v>46</v>
      </c>
      <c r="J12" t="s">
        <v>779</v>
      </c>
      <c r="K12" s="132">
        <v>239.333</v>
      </c>
      <c r="M12" s="29" t="str">
        <f t="shared" si="1"/>
        <v>158062 MAR/2026</v>
      </c>
      <c r="N12">
        <v>158062</v>
      </c>
      <c r="O12" t="s">
        <v>46</v>
      </c>
      <c r="P12" t="s">
        <v>779</v>
      </c>
      <c r="Q12">
        <v>32</v>
      </c>
      <c r="T12" s="189"/>
      <c r="U12">
        <v>68379</v>
      </c>
      <c r="V12" t="s">
        <v>856</v>
      </c>
      <c r="W12">
        <v>53</v>
      </c>
    </row>
    <row r="13" spans="1:24" x14ac:dyDescent="0.35">
      <c r="A13" s="30" t="s">
        <v>522</v>
      </c>
      <c r="B13">
        <v>158062</v>
      </c>
      <c r="C13" t="s">
        <v>46</v>
      </c>
      <c r="D13" t="s">
        <v>166</v>
      </c>
      <c r="E13">
        <v>0.54200000000000004</v>
      </c>
      <c r="G13" s="29" t="str">
        <f t="shared" si="0"/>
        <v>158062 ABR/2026</v>
      </c>
      <c r="H13">
        <v>158062</v>
      </c>
      <c r="I13" t="s">
        <v>46</v>
      </c>
      <c r="J13" t="s">
        <v>780</v>
      </c>
      <c r="K13" s="132">
        <v>44.917000000000002</v>
      </c>
      <c r="M13" s="29" t="str">
        <f t="shared" si="1"/>
        <v>158062 ABR/2026</v>
      </c>
      <c r="N13">
        <v>158062</v>
      </c>
      <c r="O13" t="s">
        <v>46</v>
      </c>
      <c r="P13" t="s">
        <v>780</v>
      </c>
      <c r="Q13">
        <v>4.0830000000000002</v>
      </c>
      <c r="T13" s="189"/>
      <c r="U13">
        <v>190591</v>
      </c>
      <c r="V13" t="s">
        <v>857</v>
      </c>
      <c r="W13">
        <v>0.125</v>
      </c>
    </row>
    <row r="14" spans="1:24" x14ac:dyDescent="0.35">
      <c r="A14" s="30" t="s">
        <v>523</v>
      </c>
      <c r="B14">
        <v>158062</v>
      </c>
      <c r="C14" t="s">
        <v>46</v>
      </c>
      <c r="D14" t="s">
        <v>167</v>
      </c>
      <c r="E14">
        <v>56.332999999999998</v>
      </c>
      <c r="G14" s="29" t="str">
        <f t="shared" si="0"/>
        <v>158062 MAI/2026</v>
      </c>
      <c r="H14">
        <v>158062</v>
      </c>
      <c r="I14" t="s">
        <v>46</v>
      </c>
      <c r="J14" t="s">
        <v>781</v>
      </c>
      <c r="K14" s="132">
        <v>193.25</v>
      </c>
      <c r="M14" s="29" t="str">
        <f t="shared" si="1"/>
        <v>158062 MAI/2026</v>
      </c>
      <c r="N14">
        <v>158062</v>
      </c>
      <c r="O14" t="s">
        <v>46</v>
      </c>
      <c r="P14" t="s">
        <v>781</v>
      </c>
      <c r="Q14">
        <v>18</v>
      </c>
      <c r="T14" s="189"/>
      <c r="U14">
        <v>138135</v>
      </c>
      <c r="V14" t="s">
        <v>858</v>
      </c>
      <c r="W14" s="6">
        <v>0.75</v>
      </c>
    </row>
    <row r="15" spans="1:24" x14ac:dyDescent="0.35">
      <c r="A15" s="30" t="s">
        <v>524</v>
      </c>
      <c r="B15">
        <v>159620</v>
      </c>
      <c r="C15" t="s">
        <v>46</v>
      </c>
      <c r="D15" t="s">
        <v>158</v>
      </c>
      <c r="E15">
        <v>5.875</v>
      </c>
      <c r="G15" s="29" t="str">
        <f t="shared" si="0"/>
        <v>158062 JUN/2026</v>
      </c>
      <c r="H15">
        <v>158062</v>
      </c>
      <c r="I15" t="s">
        <v>46</v>
      </c>
      <c r="J15" t="s">
        <v>782</v>
      </c>
      <c r="K15" s="132">
        <v>310.83300000000003</v>
      </c>
      <c r="M15" s="29" t="str">
        <f t="shared" si="1"/>
        <v>158062 JUN/2026</v>
      </c>
      <c r="N15">
        <v>158062</v>
      </c>
      <c r="O15" t="s">
        <v>46</v>
      </c>
      <c r="P15" t="s">
        <v>782</v>
      </c>
      <c r="Q15">
        <v>9</v>
      </c>
      <c r="T15" s="189"/>
      <c r="U15">
        <v>80160</v>
      </c>
      <c r="V15" t="s">
        <v>859</v>
      </c>
      <c r="W15">
        <v>1.4379999999999999</v>
      </c>
    </row>
    <row r="16" spans="1:24" x14ac:dyDescent="0.35">
      <c r="A16" s="30" t="s">
        <v>525</v>
      </c>
      <c r="B16">
        <v>54675</v>
      </c>
      <c r="C16" t="s">
        <v>47</v>
      </c>
      <c r="D16" t="s">
        <v>158</v>
      </c>
      <c r="E16">
        <v>5.875</v>
      </c>
      <c r="G16" s="29" t="str">
        <f t="shared" si="0"/>
        <v>159620 JUL/2025</v>
      </c>
      <c r="H16">
        <v>159620</v>
      </c>
      <c r="I16" t="s">
        <v>46</v>
      </c>
      <c r="J16" t="s">
        <v>512</v>
      </c>
      <c r="K16" s="132">
        <v>5.375</v>
      </c>
      <c r="M16" s="29" t="str">
        <f t="shared" si="1"/>
        <v>159620 JUL/2025</v>
      </c>
      <c r="N16">
        <v>159620</v>
      </c>
      <c r="O16" t="s">
        <v>46</v>
      </c>
      <c r="P16" t="s">
        <v>512</v>
      </c>
      <c r="Q16">
        <v>0.25</v>
      </c>
      <c r="T16" s="189"/>
      <c r="U16">
        <v>47964</v>
      </c>
      <c r="V16" t="s">
        <v>860</v>
      </c>
      <c r="W16">
        <v>0.33300000000000002</v>
      </c>
    </row>
    <row r="17" spans="1:23" x14ac:dyDescent="0.35">
      <c r="A17" s="30" t="s">
        <v>526</v>
      </c>
      <c r="B17">
        <v>69667</v>
      </c>
      <c r="C17" t="s">
        <v>48</v>
      </c>
      <c r="D17" t="s">
        <v>158</v>
      </c>
      <c r="E17">
        <v>5.875</v>
      </c>
      <c r="G17" s="29" t="str">
        <f t="shared" si="0"/>
        <v>159620 AGO/2025</v>
      </c>
      <c r="H17">
        <v>159620</v>
      </c>
      <c r="I17" t="s">
        <v>46</v>
      </c>
      <c r="J17" t="s">
        <v>773</v>
      </c>
      <c r="K17" s="132">
        <v>0.5</v>
      </c>
      <c r="M17" s="29" t="str">
        <f t="shared" si="1"/>
        <v>159620 DEZ/2025</v>
      </c>
      <c r="N17">
        <v>159620</v>
      </c>
      <c r="O17" t="s">
        <v>46</v>
      </c>
      <c r="P17" t="s">
        <v>776</v>
      </c>
      <c r="Q17">
        <v>0.25</v>
      </c>
      <c r="T17" s="189"/>
      <c r="U17">
        <v>49782</v>
      </c>
      <c r="V17" t="s">
        <v>861</v>
      </c>
      <c r="W17">
        <v>1.125</v>
      </c>
    </row>
    <row r="18" spans="1:23" x14ac:dyDescent="0.35">
      <c r="A18" s="30" t="s">
        <v>527</v>
      </c>
      <c r="B18">
        <v>178205</v>
      </c>
      <c r="C18" t="s">
        <v>138</v>
      </c>
      <c r="D18" t="s">
        <v>157</v>
      </c>
      <c r="E18">
        <v>139.90799999999999</v>
      </c>
      <c r="G18" s="29" t="str">
        <f t="shared" si="0"/>
        <v>159620 DEZ/2025</v>
      </c>
      <c r="H18">
        <v>159620</v>
      </c>
      <c r="I18" t="s">
        <v>46</v>
      </c>
      <c r="J18" t="s">
        <v>776</v>
      </c>
      <c r="K18" s="132">
        <v>5.875</v>
      </c>
      <c r="M18" s="29" t="str">
        <f t="shared" si="1"/>
        <v>54675 JUL/2025</v>
      </c>
      <c r="N18">
        <v>54675</v>
      </c>
      <c r="O18" t="s">
        <v>47</v>
      </c>
      <c r="P18" t="s">
        <v>512</v>
      </c>
      <c r="Q18">
        <v>0.25</v>
      </c>
      <c r="T18" s="189"/>
      <c r="U18">
        <v>168071</v>
      </c>
      <c r="V18" t="s">
        <v>862</v>
      </c>
      <c r="W18">
        <v>0.75</v>
      </c>
    </row>
    <row r="19" spans="1:23" x14ac:dyDescent="0.35">
      <c r="A19" s="30" t="s">
        <v>528</v>
      </c>
      <c r="B19">
        <v>178205</v>
      </c>
      <c r="C19" t="s">
        <v>138</v>
      </c>
      <c r="D19" t="s">
        <v>158</v>
      </c>
      <c r="E19" s="6">
        <v>1105</v>
      </c>
      <c r="G19" s="29" t="str">
        <f t="shared" si="0"/>
        <v>159620 MAR/2026</v>
      </c>
      <c r="H19">
        <v>159620</v>
      </c>
      <c r="I19" t="s">
        <v>46</v>
      </c>
      <c r="J19" t="s">
        <v>779</v>
      </c>
      <c r="K19" s="132">
        <v>0.75</v>
      </c>
      <c r="M19" s="29" t="str">
        <f t="shared" si="1"/>
        <v>54675 DEZ/2025</v>
      </c>
      <c r="N19">
        <v>54675</v>
      </c>
      <c r="O19" t="s">
        <v>47</v>
      </c>
      <c r="P19" t="s">
        <v>776</v>
      </c>
      <c r="Q19">
        <v>0.25</v>
      </c>
      <c r="T19" s="189"/>
      <c r="U19">
        <v>180985</v>
      </c>
      <c r="V19" t="s">
        <v>863</v>
      </c>
      <c r="W19">
        <v>1.1879999999999999</v>
      </c>
    </row>
    <row r="20" spans="1:23" x14ac:dyDescent="0.35">
      <c r="A20" s="30" t="s">
        <v>529</v>
      </c>
      <c r="B20">
        <v>178205</v>
      </c>
      <c r="C20" t="s">
        <v>138</v>
      </c>
      <c r="D20" t="s">
        <v>159</v>
      </c>
      <c r="E20" s="6">
        <v>355.16699999999997</v>
      </c>
      <c r="G20" s="29" t="str">
        <f t="shared" si="0"/>
        <v>54675 JUL/2025</v>
      </c>
      <c r="H20">
        <v>54675</v>
      </c>
      <c r="I20" t="s">
        <v>47</v>
      </c>
      <c r="J20" t="s">
        <v>512</v>
      </c>
      <c r="K20" s="132">
        <v>5.375</v>
      </c>
      <c r="M20" s="29" t="str">
        <f t="shared" si="1"/>
        <v>69667 JUL/2025</v>
      </c>
      <c r="N20">
        <v>69667</v>
      </c>
      <c r="O20" t="s">
        <v>48</v>
      </c>
      <c r="P20" t="s">
        <v>512</v>
      </c>
      <c r="Q20">
        <v>0.25</v>
      </c>
      <c r="T20" s="189"/>
      <c r="U20">
        <v>184439</v>
      </c>
      <c r="V20" t="s">
        <v>864</v>
      </c>
      <c r="W20">
        <v>0.91700000000000004</v>
      </c>
    </row>
    <row r="21" spans="1:23" x14ac:dyDescent="0.35">
      <c r="A21" s="30" t="s">
        <v>530</v>
      </c>
      <c r="B21">
        <v>178205</v>
      </c>
      <c r="C21" t="s">
        <v>138</v>
      </c>
      <c r="D21" t="s">
        <v>160</v>
      </c>
      <c r="E21">
        <v>142</v>
      </c>
      <c r="G21" s="29" t="str">
        <f t="shared" si="0"/>
        <v>54675 AGO/2025</v>
      </c>
      <c r="H21">
        <v>54675</v>
      </c>
      <c r="I21" t="s">
        <v>47</v>
      </c>
      <c r="J21" t="s">
        <v>773</v>
      </c>
      <c r="K21" s="132">
        <v>0.5</v>
      </c>
      <c r="M21" s="29" t="str">
        <f t="shared" si="1"/>
        <v>69667 DEZ/2025</v>
      </c>
      <c r="N21">
        <v>69667</v>
      </c>
      <c r="O21" t="s">
        <v>48</v>
      </c>
      <c r="P21" t="s">
        <v>776</v>
      </c>
      <c r="Q21">
        <v>0.25</v>
      </c>
      <c r="T21" s="189"/>
      <c r="U21">
        <v>181304</v>
      </c>
      <c r="V21" t="s">
        <v>865</v>
      </c>
      <c r="W21">
        <v>0.125</v>
      </c>
    </row>
    <row r="22" spans="1:23" x14ac:dyDescent="0.35">
      <c r="A22" s="30" t="s">
        <v>531</v>
      </c>
      <c r="B22">
        <v>178205</v>
      </c>
      <c r="C22" t="s">
        <v>138</v>
      </c>
      <c r="D22" t="s">
        <v>161</v>
      </c>
      <c r="E22">
        <v>493</v>
      </c>
      <c r="G22" s="29" t="str">
        <f t="shared" si="0"/>
        <v>54675 DEZ/2025</v>
      </c>
      <c r="H22">
        <v>54675</v>
      </c>
      <c r="I22" t="s">
        <v>47</v>
      </c>
      <c r="J22" t="s">
        <v>776</v>
      </c>
      <c r="K22" s="132">
        <v>5.875</v>
      </c>
      <c r="M22" s="29" t="str">
        <f t="shared" si="1"/>
        <v>178205 JUL/2025</v>
      </c>
      <c r="N22">
        <v>178205</v>
      </c>
      <c r="O22" t="s">
        <v>138</v>
      </c>
      <c r="P22" t="s">
        <v>512</v>
      </c>
      <c r="Q22">
        <v>0.75</v>
      </c>
      <c r="T22" s="189"/>
      <c r="U22">
        <v>177041</v>
      </c>
      <c r="V22" t="s">
        <v>866</v>
      </c>
      <c r="W22">
        <v>8.3000000000000004E-2</v>
      </c>
    </row>
    <row r="23" spans="1:23" x14ac:dyDescent="0.35">
      <c r="A23" s="30" t="s">
        <v>532</v>
      </c>
      <c r="B23">
        <v>178205</v>
      </c>
      <c r="C23" t="s">
        <v>138</v>
      </c>
      <c r="D23" t="s">
        <v>163</v>
      </c>
      <c r="E23">
        <v>63</v>
      </c>
      <c r="G23" s="29" t="str">
        <f t="shared" si="0"/>
        <v>54675 MAR/2026</v>
      </c>
      <c r="H23">
        <v>54675</v>
      </c>
      <c r="I23" t="s">
        <v>47</v>
      </c>
      <c r="J23" t="s">
        <v>779</v>
      </c>
      <c r="K23" s="132">
        <v>0.75</v>
      </c>
      <c r="M23" s="29" t="str">
        <f t="shared" si="1"/>
        <v>178205 AGO/2025</v>
      </c>
      <c r="N23">
        <v>178205</v>
      </c>
      <c r="O23" t="s">
        <v>138</v>
      </c>
      <c r="P23" t="s">
        <v>773</v>
      </c>
      <c r="Q23">
        <v>1.375</v>
      </c>
      <c r="T23" s="189"/>
      <c r="U23">
        <v>167787</v>
      </c>
      <c r="V23" t="s">
        <v>819</v>
      </c>
      <c r="W23">
        <v>0.5</v>
      </c>
    </row>
    <row r="24" spans="1:23" x14ac:dyDescent="0.35">
      <c r="A24" s="30" t="s">
        <v>533</v>
      </c>
      <c r="B24">
        <v>178205</v>
      </c>
      <c r="C24" t="s">
        <v>138</v>
      </c>
      <c r="D24" t="s">
        <v>164</v>
      </c>
      <c r="E24">
        <v>146</v>
      </c>
      <c r="G24" s="29" t="str">
        <f t="shared" si="0"/>
        <v>69667 JUL/2025</v>
      </c>
      <c r="H24">
        <v>69667</v>
      </c>
      <c r="I24" t="s">
        <v>48</v>
      </c>
      <c r="J24" t="s">
        <v>512</v>
      </c>
      <c r="K24" s="132">
        <v>5.375</v>
      </c>
      <c r="M24" s="29" t="str">
        <f t="shared" si="1"/>
        <v>178205 SET/2025</v>
      </c>
      <c r="N24">
        <v>178205</v>
      </c>
      <c r="O24" t="s">
        <v>138</v>
      </c>
      <c r="P24" t="s">
        <v>772</v>
      </c>
      <c r="Q24">
        <v>4.5</v>
      </c>
      <c r="T24" s="189"/>
      <c r="U24">
        <v>75366</v>
      </c>
      <c r="V24" t="s">
        <v>820</v>
      </c>
      <c r="W24">
        <v>0.58299999999999996</v>
      </c>
    </row>
    <row r="25" spans="1:23" x14ac:dyDescent="0.35">
      <c r="A25" s="30" t="s">
        <v>534</v>
      </c>
      <c r="B25">
        <v>178205</v>
      </c>
      <c r="C25" t="s">
        <v>138</v>
      </c>
      <c r="D25" t="s">
        <v>165</v>
      </c>
      <c r="E25">
        <v>432.58300000000003</v>
      </c>
      <c r="G25" s="29" t="str">
        <f t="shared" si="0"/>
        <v>69667 AGO/2025</v>
      </c>
      <c r="H25">
        <v>69667</v>
      </c>
      <c r="I25" t="s">
        <v>48</v>
      </c>
      <c r="J25" t="s">
        <v>773</v>
      </c>
      <c r="K25" s="132">
        <v>0.5</v>
      </c>
      <c r="M25" s="29" t="str">
        <f t="shared" si="1"/>
        <v>178205 NOV/2025</v>
      </c>
      <c r="N25">
        <v>178205</v>
      </c>
      <c r="O25" t="s">
        <v>138</v>
      </c>
      <c r="P25" t="s">
        <v>775</v>
      </c>
      <c r="Q25">
        <v>7.3330000000000002</v>
      </c>
      <c r="T25" s="189"/>
      <c r="U25">
        <v>186290</v>
      </c>
      <c r="V25" t="s">
        <v>812</v>
      </c>
      <c r="W25">
        <v>0.33300000000000002</v>
      </c>
    </row>
    <row r="26" spans="1:23" x14ac:dyDescent="0.35">
      <c r="A26" s="30" t="s">
        <v>535</v>
      </c>
      <c r="B26">
        <v>178205</v>
      </c>
      <c r="C26" t="s">
        <v>138</v>
      </c>
      <c r="D26" t="s">
        <v>166</v>
      </c>
      <c r="E26">
        <v>116.104</v>
      </c>
      <c r="G26" s="29" t="str">
        <f t="shared" si="0"/>
        <v>69667 DEZ/2025</v>
      </c>
      <c r="H26">
        <v>69667</v>
      </c>
      <c r="I26" t="s">
        <v>48</v>
      </c>
      <c r="J26" t="s">
        <v>776</v>
      </c>
      <c r="K26" s="132">
        <v>5.875</v>
      </c>
      <c r="M26" s="29" t="str">
        <f t="shared" si="1"/>
        <v>178205 DEZ/2025</v>
      </c>
      <c r="N26">
        <v>178205</v>
      </c>
      <c r="O26" t="s">
        <v>138</v>
      </c>
      <c r="P26" t="s">
        <v>776</v>
      </c>
      <c r="Q26">
        <v>20</v>
      </c>
      <c r="T26" s="189"/>
      <c r="U26">
        <v>189032</v>
      </c>
      <c r="V26" t="s">
        <v>867</v>
      </c>
      <c r="W26">
        <v>0.25</v>
      </c>
    </row>
    <row r="27" spans="1:23" x14ac:dyDescent="0.35">
      <c r="A27" s="30" t="s">
        <v>536</v>
      </c>
      <c r="B27">
        <v>178205</v>
      </c>
      <c r="C27" t="s">
        <v>138</v>
      </c>
      <c r="D27" t="s">
        <v>167</v>
      </c>
      <c r="E27">
        <v>75.667000000000002</v>
      </c>
      <c r="G27" s="29" t="str">
        <f t="shared" si="0"/>
        <v>69667 MAR/2026</v>
      </c>
      <c r="H27">
        <v>69667</v>
      </c>
      <c r="I27" t="s">
        <v>48</v>
      </c>
      <c r="J27" t="s">
        <v>779</v>
      </c>
      <c r="K27" s="132">
        <v>0.75</v>
      </c>
      <c r="M27" s="29" t="str">
        <f t="shared" si="1"/>
        <v>178205 JAN/2026</v>
      </c>
      <c r="N27">
        <v>178205</v>
      </c>
      <c r="O27" t="s">
        <v>138</v>
      </c>
      <c r="P27" t="s">
        <v>777</v>
      </c>
      <c r="Q27">
        <v>4</v>
      </c>
      <c r="T27" s="189"/>
      <c r="U27">
        <v>79692</v>
      </c>
      <c r="V27" t="s">
        <v>868</v>
      </c>
      <c r="W27">
        <v>0.125</v>
      </c>
    </row>
    <row r="28" spans="1:23" x14ac:dyDescent="0.35">
      <c r="A28" s="30" t="s">
        <v>537</v>
      </c>
      <c r="B28">
        <v>178205</v>
      </c>
      <c r="C28" t="s">
        <v>138</v>
      </c>
      <c r="D28" t="s">
        <v>168</v>
      </c>
      <c r="E28">
        <v>220</v>
      </c>
      <c r="G28" s="29" t="str">
        <f t="shared" si="0"/>
        <v>178205 JUL/2025</v>
      </c>
      <c r="H28">
        <v>178205</v>
      </c>
      <c r="I28" t="s">
        <v>138</v>
      </c>
      <c r="J28" t="s">
        <v>512</v>
      </c>
      <c r="K28" s="132">
        <v>76.792000000000002</v>
      </c>
      <c r="M28" s="29" t="str">
        <f t="shared" si="1"/>
        <v>178205 FEV/2026</v>
      </c>
      <c r="N28">
        <v>178205</v>
      </c>
      <c r="O28" t="s">
        <v>138</v>
      </c>
      <c r="P28" t="s">
        <v>778</v>
      </c>
      <c r="Q28">
        <v>25</v>
      </c>
      <c r="T28" s="189"/>
      <c r="U28">
        <v>179875</v>
      </c>
      <c r="V28" t="s">
        <v>821</v>
      </c>
      <c r="W28">
        <v>6.3E-2</v>
      </c>
    </row>
    <row r="29" spans="1:23" x14ac:dyDescent="0.35">
      <c r="A29" s="30" t="s">
        <v>538</v>
      </c>
      <c r="B29">
        <v>51551</v>
      </c>
      <c r="C29" t="s">
        <v>96</v>
      </c>
      <c r="D29" t="s">
        <v>158</v>
      </c>
      <c r="E29">
        <v>5.875</v>
      </c>
      <c r="G29" s="29" t="str">
        <f t="shared" si="0"/>
        <v>178205 AGO/2025</v>
      </c>
      <c r="H29">
        <v>178205</v>
      </c>
      <c r="I29" t="s">
        <v>138</v>
      </c>
      <c r="J29" t="s">
        <v>773</v>
      </c>
      <c r="K29" s="132">
        <v>379</v>
      </c>
      <c r="M29" s="29" t="str">
        <f t="shared" si="1"/>
        <v>178205 MAR/2026</v>
      </c>
      <c r="N29">
        <v>178205</v>
      </c>
      <c r="O29" t="s">
        <v>138</v>
      </c>
      <c r="P29" t="s">
        <v>779</v>
      </c>
      <c r="Q29">
        <v>38</v>
      </c>
      <c r="T29" s="189"/>
      <c r="U29">
        <v>170636</v>
      </c>
      <c r="V29" t="s">
        <v>869</v>
      </c>
      <c r="W29">
        <v>2.2919999999999998</v>
      </c>
    </row>
    <row r="30" spans="1:23" x14ac:dyDescent="0.35">
      <c r="A30" s="30" t="s">
        <v>539</v>
      </c>
      <c r="B30">
        <v>74744</v>
      </c>
      <c r="C30" t="s">
        <v>96</v>
      </c>
      <c r="D30" t="s">
        <v>158</v>
      </c>
      <c r="E30">
        <v>5.875</v>
      </c>
      <c r="G30" s="29" t="str">
        <f t="shared" si="0"/>
        <v>178205 SET/2025</v>
      </c>
      <c r="H30">
        <v>178205</v>
      </c>
      <c r="I30" t="s">
        <v>138</v>
      </c>
      <c r="J30" t="s">
        <v>772</v>
      </c>
      <c r="K30" s="132">
        <v>286</v>
      </c>
      <c r="M30" s="29" t="str">
        <f t="shared" si="1"/>
        <v>178205 ABR/2026</v>
      </c>
      <c r="N30">
        <v>178205</v>
      </c>
      <c r="O30" t="s">
        <v>138</v>
      </c>
      <c r="P30" t="s">
        <v>780</v>
      </c>
      <c r="Q30">
        <v>30.292000000000002</v>
      </c>
      <c r="T30" s="189"/>
      <c r="U30">
        <v>186388</v>
      </c>
      <c r="V30" t="s">
        <v>870</v>
      </c>
      <c r="W30">
        <v>0.125</v>
      </c>
    </row>
    <row r="31" spans="1:23" x14ac:dyDescent="0.35">
      <c r="A31" s="30" t="s">
        <v>540</v>
      </c>
      <c r="B31">
        <v>134214</v>
      </c>
      <c r="C31" t="s">
        <v>96</v>
      </c>
      <c r="D31" t="s">
        <v>159</v>
      </c>
      <c r="E31">
        <v>5.625</v>
      </c>
      <c r="G31" s="29" t="str">
        <f t="shared" si="0"/>
        <v>178205 OUT/2025</v>
      </c>
      <c r="H31">
        <v>178205</v>
      </c>
      <c r="I31" t="s">
        <v>138</v>
      </c>
      <c r="J31" t="s">
        <v>774</v>
      </c>
      <c r="K31" s="132">
        <v>69</v>
      </c>
      <c r="M31" s="29" t="str">
        <f t="shared" si="1"/>
        <v>178205 MAI/2026</v>
      </c>
      <c r="N31">
        <v>178205</v>
      </c>
      <c r="O31" t="s">
        <v>138</v>
      </c>
      <c r="P31" t="s">
        <v>781</v>
      </c>
      <c r="Q31">
        <v>8.4169999999999998</v>
      </c>
      <c r="T31" s="189"/>
      <c r="U31">
        <v>146696</v>
      </c>
      <c r="V31" t="s">
        <v>871</v>
      </c>
      <c r="W31">
        <v>0.25</v>
      </c>
    </row>
    <row r="32" spans="1:23" x14ac:dyDescent="0.35">
      <c r="A32" s="30" t="s">
        <v>541</v>
      </c>
      <c r="B32">
        <v>134214</v>
      </c>
      <c r="C32" t="s">
        <v>96</v>
      </c>
      <c r="D32" t="s">
        <v>162</v>
      </c>
      <c r="E32" s="6">
        <v>1</v>
      </c>
      <c r="G32" s="29" t="str">
        <f t="shared" si="0"/>
        <v>178205 NOV/2025</v>
      </c>
      <c r="H32">
        <v>178205</v>
      </c>
      <c r="I32" t="s">
        <v>138</v>
      </c>
      <c r="J32" t="s">
        <v>775</v>
      </c>
      <c r="K32" s="132">
        <v>107</v>
      </c>
      <c r="M32" s="29" t="str">
        <f t="shared" si="1"/>
        <v>178205 JUN/2026</v>
      </c>
      <c r="N32">
        <v>178205</v>
      </c>
      <c r="O32" t="s">
        <v>138</v>
      </c>
      <c r="P32" t="s">
        <v>782</v>
      </c>
      <c r="Q32">
        <v>43.832999999999998</v>
      </c>
      <c r="T32" s="189"/>
      <c r="U32">
        <v>167602</v>
      </c>
      <c r="V32" t="s">
        <v>872</v>
      </c>
      <c r="W32">
        <v>0.83299999999999996</v>
      </c>
    </row>
    <row r="33" spans="1:23" x14ac:dyDescent="0.35">
      <c r="A33" s="30" t="s">
        <v>542</v>
      </c>
      <c r="B33">
        <v>167594</v>
      </c>
      <c r="C33" t="s">
        <v>96</v>
      </c>
      <c r="D33" t="s">
        <v>157</v>
      </c>
      <c r="E33" s="6">
        <v>68</v>
      </c>
      <c r="G33" s="29" t="str">
        <f t="shared" si="0"/>
        <v>178205 DEZ/2025</v>
      </c>
      <c r="H33">
        <v>178205</v>
      </c>
      <c r="I33" t="s">
        <v>138</v>
      </c>
      <c r="J33" t="s">
        <v>776</v>
      </c>
      <c r="K33" s="132">
        <v>227.5</v>
      </c>
      <c r="M33" s="29" t="str">
        <f t="shared" si="1"/>
        <v>51551 DEZ/2025</v>
      </c>
      <c r="N33">
        <v>51551</v>
      </c>
      <c r="O33" t="s">
        <v>96</v>
      </c>
      <c r="P33" t="s">
        <v>776</v>
      </c>
      <c r="Q33">
        <v>0.25</v>
      </c>
      <c r="T33" s="189"/>
      <c r="U33">
        <v>138503</v>
      </c>
      <c r="V33" t="s">
        <v>873</v>
      </c>
      <c r="W33">
        <v>0.75</v>
      </c>
    </row>
    <row r="34" spans="1:23" x14ac:dyDescent="0.35">
      <c r="A34" s="30" t="s">
        <v>543</v>
      </c>
      <c r="B34">
        <v>167594</v>
      </c>
      <c r="C34" t="s">
        <v>96</v>
      </c>
      <c r="D34" t="s">
        <v>158</v>
      </c>
      <c r="E34" s="6">
        <v>495</v>
      </c>
      <c r="G34" s="29" t="str">
        <f t="shared" si="0"/>
        <v>178205 JAN/2026</v>
      </c>
      <c r="H34">
        <v>178205</v>
      </c>
      <c r="I34" t="s">
        <v>138</v>
      </c>
      <c r="J34" t="s">
        <v>777</v>
      </c>
      <c r="K34" s="132">
        <v>107</v>
      </c>
      <c r="M34" s="29" t="str">
        <f t="shared" si="1"/>
        <v>74744 DEZ/2025</v>
      </c>
      <c r="N34">
        <v>74744</v>
      </c>
      <c r="O34" t="s">
        <v>96</v>
      </c>
      <c r="P34" t="s">
        <v>776</v>
      </c>
      <c r="Q34">
        <v>0.25</v>
      </c>
      <c r="T34" s="189"/>
      <c r="U34">
        <v>175881</v>
      </c>
      <c r="V34" t="s">
        <v>874</v>
      </c>
      <c r="W34">
        <v>2</v>
      </c>
    </row>
    <row r="35" spans="1:23" x14ac:dyDescent="0.35">
      <c r="A35" s="30" t="s">
        <v>544</v>
      </c>
      <c r="B35">
        <v>167594</v>
      </c>
      <c r="C35" t="s">
        <v>96</v>
      </c>
      <c r="D35" t="s">
        <v>159</v>
      </c>
      <c r="E35">
        <v>44.5</v>
      </c>
      <c r="G35" s="29" t="str">
        <f t="shared" si="0"/>
        <v>178205 FEV/2026</v>
      </c>
      <c r="H35">
        <v>178205</v>
      </c>
      <c r="I35" t="s">
        <v>138</v>
      </c>
      <c r="J35" t="s">
        <v>778</v>
      </c>
      <c r="K35" s="132">
        <v>83.375</v>
      </c>
      <c r="M35" s="29" t="str">
        <f t="shared" si="1"/>
        <v>134214 DEZ/2025</v>
      </c>
      <c r="N35">
        <v>134214</v>
      </c>
      <c r="O35" t="s">
        <v>96</v>
      </c>
      <c r="P35" t="s">
        <v>776</v>
      </c>
      <c r="Q35">
        <v>0.25</v>
      </c>
      <c r="T35" s="189"/>
      <c r="U35">
        <v>187453</v>
      </c>
      <c r="V35" t="s">
        <v>875</v>
      </c>
      <c r="W35">
        <v>1.125</v>
      </c>
    </row>
    <row r="36" spans="1:23" x14ac:dyDescent="0.35">
      <c r="A36" s="30" t="s">
        <v>545</v>
      </c>
      <c r="B36">
        <v>167594</v>
      </c>
      <c r="C36" t="s">
        <v>96</v>
      </c>
      <c r="D36" t="s">
        <v>160</v>
      </c>
      <c r="E36">
        <v>34</v>
      </c>
      <c r="G36" s="29" t="str">
        <f t="shared" si="0"/>
        <v>178205 MAR/2026</v>
      </c>
      <c r="H36">
        <v>178205</v>
      </c>
      <c r="I36" t="s">
        <v>138</v>
      </c>
      <c r="J36" t="s">
        <v>779</v>
      </c>
      <c r="K36" s="132">
        <v>243</v>
      </c>
      <c r="M36" s="29" t="str">
        <f t="shared" si="1"/>
        <v>167594 NOV/2025</v>
      </c>
      <c r="N36">
        <v>167594</v>
      </c>
      <c r="O36" t="s">
        <v>96</v>
      </c>
      <c r="P36" t="s">
        <v>775</v>
      </c>
      <c r="Q36">
        <v>3.25</v>
      </c>
      <c r="T36" s="189"/>
      <c r="U36">
        <v>139172</v>
      </c>
      <c r="V36" t="s">
        <v>876</v>
      </c>
      <c r="W36">
        <v>1.125</v>
      </c>
    </row>
    <row r="37" spans="1:23" x14ac:dyDescent="0.35">
      <c r="A37" s="30" t="s">
        <v>546</v>
      </c>
      <c r="B37">
        <v>167594</v>
      </c>
      <c r="C37" t="s">
        <v>96</v>
      </c>
      <c r="D37" t="s">
        <v>161</v>
      </c>
      <c r="E37">
        <v>27.582999999999998</v>
      </c>
      <c r="G37" s="29" t="str">
        <f t="shared" si="0"/>
        <v>178205 ABR/2026</v>
      </c>
      <c r="H37">
        <v>178205</v>
      </c>
      <c r="I37" t="s">
        <v>138</v>
      </c>
      <c r="J37" t="s">
        <v>780</v>
      </c>
      <c r="K37" s="132">
        <v>149.68799999999999</v>
      </c>
      <c r="M37" s="29" t="str">
        <f t="shared" si="1"/>
        <v>167594 DEZ/2025</v>
      </c>
      <c r="N37">
        <v>167594</v>
      </c>
      <c r="O37" t="s">
        <v>96</v>
      </c>
      <c r="P37" t="s">
        <v>776</v>
      </c>
      <c r="Q37">
        <v>11.25</v>
      </c>
      <c r="T37" s="189"/>
      <c r="U37">
        <v>188704</v>
      </c>
      <c r="V37" t="s">
        <v>877</v>
      </c>
      <c r="W37">
        <v>1.5</v>
      </c>
    </row>
    <row r="38" spans="1:23" x14ac:dyDescent="0.35">
      <c r="A38" s="30" t="s">
        <v>547</v>
      </c>
      <c r="B38">
        <v>167594</v>
      </c>
      <c r="C38" t="s">
        <v>96</v>
      </c>
      <c r="D38" t="s">
        <v>162</v>
      </c>
      <c r="E38">
        <v>117.486</v>
      </c>
      <c r="G38" s="29" t="str">
        <f t="shared" si="0"/>
        <v>178205 MAI/2026</v>
      </c>
      <c r="H38">
        <v>178205</v>
      </c>
      <c r="I38" t="s">
        <v>138</v>
      </c>
      <c r="J38" t="s">
        <v>781</v>
      </c>
      <c r="K38" s="132">
        <v>102</v>
      </c>
      <c r="M38" s="29" t="str">
        <f t="shared" si="1"/>
        <v>167594 MAR/2026</v>
      </c>
      <c r="N38">
        <v>167594</v>
      </c>
      <c r="O38" t="s">
        <v>96</v>
      </c>
      <c r="P38" t="s">
        <v>779</v>
      </c>
      <c r="Q38">
        <v>4.125</v>
      </c>
      <c r="T38" s="189"/>
      <c r="U38">
        <v>120313</v>
      </c>
      <c r="V38" t="s">
        <v>878</v>
      </c>
      <c r="W38">
        <v>1.75</v>
      </c>
    </row>
    <row r="39" spans="1:23" x14ac:dyDescent="0.35">
      <c r="A39" s="30" t="s">
        <v>548</v>
      </c>
      <c r="B39">
        <v>167594</v>
      </c>
      <c r="C39" t="s">
        <v>96</v>
      </c>
      <c r="D39" t="s">
        <v>163</v>
      </c>
      <c r="E39">
        <v>37.5</v>
      </c>
      <c r="G39" s="29" t="str">
        <f t="shared" si="0"/>
        <v>178205 JUN/2026</v>
      </c>
      <c r="H39">
        <v>178205</v>
      </c>
      <c r="I39" t="s">
        <v>138</v>
      </c>
      <c r="J39" t="s">
        <v>782</v>
      </c>
      <c r="K39" s="132">
        <v>304.02100000000002</v>
      </c>
      <c r="M39" s="29" t="str">
        <f t="shared" si="1"/>
        <v>182419 DEZ/2025</v>
      </c>
      <c r="N39">
        <v>182419</v>
      </c>
      <c r="O39" t="s">
        <v>96</v>
      </c>
      <c r="P39" t="s">
        <v>776</v>
      </c>
      <c r="Q39">
        <v>0.25</v>
      </c>
      <c r="T39" s="189"/>
      <c r="U39">
        <v>56076</v>
      </c>
      <c r="V39" t="s">
        <v>879</v>
      </c>
      <c r="W39">
        <v>0.75</v>
      </c>
    </row>
    <row r="40" spans="1:23" x14ac:dyDescent="0.35">
      <c r="A40" s="30" t="s">
        <v>549</v>
      </c>
      <c r="B40">
        <v>167594</v>
      </c>
      <c r="C40" t="s">
        <v>96</v>
      </c>
      <c r="D40" t="s">
        <v>164</v>
      </c>
      <c r="E40">
        <v>21</v>
      </c>
      <c r="G40" s="29" t="str">
        <f t="shared" si="0"/>
        <v>51551 DEZ/2025</v>
      </c>
      <c r="H40">
        <v>51551</v>
      </c>
      <c r="I40" t="s">
        <v>96</v>
      </c>
      <c r="J40" t="s">
        <v>776</v>
      </c>
      <c r="K40" s="132">
        <v>5.875</v>
      </c>
      <c r="M40" s="29" t="str">
        <f t="shared" si="1"/>
        <v>53486 JUL/2025</v>
      </c>
      <c r="N40">
        <v>53486</v>
      </c>
      <c r="O40" t="s">
        <v>155</v>
      </c>
      <c r="P40" t="s">
        <v>512</v>
      </c>
      <c r="Q40">
        <v>1</v>
      </c>
      <c r="T40" s="189"/>
      <c r="U40">
        <v>58494</v>
      </c>
      <c r="V40" t="s">
        <v>880</v>
      </c>
      <c r="W40">
        <v>0.5</v>
      </c>
    </row>
    <row r="41" spans="1:23" x14ac:dyDescent="0.35">
      <c r="A41" s="30" t="s">
        <v>550</v>
      </c>
      <c r="B41">
        <v>167594</v>
      </c>
      <c r="C41" t="s">
        <v>96</v>
      </c>
      <c r="D41" t="s">
        <v>165</v>
      </c>
      <c r="E41">
        <v>103.75</v>
      </c>
      <c r="G41" s="29" t="str">
        <f t="shared" si="0"/>
        <v>74744 DEZ/2025</v>
      </c>
      <c r="H41">
        <v>74744</v>
      </c>
      <c r="I41" t="s">
        <v>96</v>
      </c>
      <c r="J41" t="s">
        <v>776</v>
      </c>
      <c r="K41" s="132">
        <v>5.875</v>
      </c>
      <c r="M41" s="29" t="str">
        <f t="shared" si="1"/>
        <v>53486 DEZ/2025</v>
      </c>
      <c r="N41">
        <v>53486</v>
      </c>
      <c r="O41" t="s">
        <v>155</v>
      </c>
      <c r="P41" t="s">
        <v>776</v>
      </c>
      <c r="Q41">
        <v>12</v>
      </c>
      <c r="T41" s="189"/>
      <c r="U41">
        <v>179828</v>
      </c>
      <c r="V41" t="s">
        <v>881</v>
      </c>
      <c r="W41">
        <v>0.25</v>
      </c>
    </row>
    <row r="42" spans="1:23" x14ac:dyDescent="0.35">
      <c r="A42" s="30" t="s">
        <v>551</v>
      </c>
      <c r="B42">
        <v>167594</v>
      </c>
      <c r="C42" t="s">
        <v>96</v>
      </c>
      <c r="D42" t="s">
        <v>166</v>
      </c>
      <c r="E42">
        <v>43.332999999999998</v>
      </c>
      <c r="G42" s="29" t="str">
        <f t="shared" si="0"/>
        <v>134214 DEZ/2025</v>
      </c>
      <c r="H42">
        <v>134214</v>
      </c>
      <c r="I42" t="s">
        <v>96</v>
      </c>
      <c r="J42" t="s">
        <v>776</v>
      </c>
      <c r="K42" s="132">
        <v>5.875</v>
      </c>
      <c r="M42" s="29" t="str">
        <f t="shared" si="1"/>
        <v>53486 MAR/2026</v>
      </c>
      <c r="N42">
        <v>53486</v>
      </c>
      <c r="O42" t="s">
        <v>155</v>
      </c>
      <c r="P42" t="s">
        <v>779</v>
      </c>
      <c r="Q42">
        <v>53</v>
      </c>
      <c r="T42" s="189"/>
      <c r="U42">
        <v>192271</v>
      </c>
      <c r="V42" t="s">
        <v>822</v>
      </c>
      <c r="W42">
        <v>0.25</v>
      </c>
    </row>
    <row r="43" spans="1:23" x14ac:dyDescent="0.35">
      <c r="A43" s="30" t="s">
        <v>552</v>
      </c>
      <c r="B43">
        <v>167594</v>
      </c>
      <c r="C43" t="s">
        <v>96</v>
      </c>
      <c r="D43" t="s">
        <v>167</v>
      </c>
      <c r="E43">
        <v>23</v>
      </c>
      <c r="G43" s="29" t="str">
        <f t="shared" si="0"/>
        <v>167594 JUL/2025</v>
      </c>
      <c r="H43">
        <v>167594</v>
      </c>
      <c r="I43" t="s">
        <v>96</v>
      </c>
      <c r="J43" t="s">
        <v>512</v>
      </c>
      <c r="K43" s="132">
        <v>28</v>
      </c>
      <c r="M43" s="29" t="str">
        <f t="shared" si="1"/>
        <v>165045 AGO/2025</v>
      </c>
      <c r="N43">
        <v>165045</v>
      </c>
      <c r="O43" t="s">
        <v>179</v>
      </c>
      <c r="P43" t="s">
        <v>773</v>
      </c>
      <c r="Q43">
        <v>0.41699999999999998</v>
      </c>
      <c r="T43" s="189"/>
      <c r="U43">
        <v>53564</v>
      </c>
      <c r="V43" t="s">
        <v>823</v>
      </c>
      <c r="W43">
        <v>30</v>
      </c>
    </row>
    <row r="44" spans="1:23" x14ac:dyDescent="0.35">
      <c r="A44" s="30" t="s">
        <v>553</v>
      </c>
      <c r="B44">
        <v>167594</v>
      </c>
      <c r="C44" t="s">
        <v>96</v>
      </c>
      <c r="D44" t="s">
        <v>168</v>
      </c>
      <c r="E44">
        <v>22</v>
      </c>
      <c r="G44" s="29" t="str">
        <f t="shared" si="0"/>
        <v>167594 AGO/2025</v>
      </c>
      <c r="H44">
        <v>167594</v>
      </c>
      <c r="I44" t="s">
        <v>96</v>
      </c>
      <c r="J44" t="s">
        <v>773</v>
      </c>
      <c r="K44" s="132">
        <v>131</v>
      </c>
      <c r="M44" s="29" t="str">
        <f t="shared" si="1"/>
        <v>165045 DEZ/2025</v>
      </c>
      <c r="N44">
        <v>165045</v>
      </c>
      <c r="O44" t="s">
        <v>179</v>
      </c>
      <c r="P44" t="s">
        <v>776</v>
      </c>
      <c r="Q44">
        <v>11</v>
      </c>
      <c r="T44" s="189"/>
      <c r="U44">
        <v>159244</v>
      </c>
      <c r="V44" t="s">
        <v>824</v>
      </c>
      <c r="W44" s="6">
        <v>0.25</v>
      </c>
    </row>
    <row r="45" spans="1:23" x14ac:dyDescent="0.35">
      <c r="A45" s="30" t="s">
        <v>554</v>
      </c>
      <c r="B45">
        <v>182419</v>
      </c>
      <c r="C45" t="s">
        <v>96</v>
      </c>
      <c r="D45" t="s">
        <v>158</v>
      </c>
      <c r="E45">
        <v>5.875</v>
      </c>
      <c r="G45" s="29" t="str">
        <f t="shared" si="0"/>
        <v>167594 SET/2025</v>
      </c>
      <c r="H45">
        <v>167594</v>
      </c>
      <c r="I45" t="s">
        <v>96</v>
      </c>
      <c r="J45" t="s">
        <v>772</v>
      </c>
      <c r="K45" s="132">
        <v>14.375</v>
      </c>
      <c r="M45" s="29" t="str">
        <f t="shared" si="1"/>
        <v>165045 JAN/2026</v>
      </c>
      <c r="N45">
        <v>165045</v>
      </c>
      <c r="O45" t="s">
        <v>179</v>
      </c>
      <c r="P45" t="s">
        <v>777</v>
      </c>
      <c r="Q45">
        <v>11</v>
      </c>
      <c r="T45" s="189"/>
      <c r="U45">
        <v>175417</v>
      </c>
      <c r="V45" t="s">
        <v>882</v>
      </c>
      <c r="W45">
        <v>1.75</v>
      </c>
    </row>
    <row r="46" spans="1:23" x14ac:dyDescent="0.35">
      <c r="A46" s="30" t="s">
        <v>555</v>
      </c>
      <c r="B46">
        <v>53486</v>
      </c>
      <c r="C46" t="s">
        <v>155</v>
      </c>
      <c r="D46" t="s">
        <v>157</v>
      </c>
      <c r="E46">
        <v>62.207999999999998</v>
      </c>
      <c r="G46" s="29" t="str">
        <f t="shared" si="0"/>
        <v>167594 OUT/2025</v>
      </c>
      <c r="H46">
        <v>167594</v>
      </c>
      <c r="I46" t="s">
        <v>96</v>
      </c>
      <c r="J46" t="s">
        <v>774</v>
      </c>
      <c r="K46" s="132">
        <v>31.25</v>
      </c>
      <c r="M46" s="29" t="str">
        <f t="shared" si="1"/>
        <v>53405 OUT/2025</v>
      </c>
      <c r="N46">
        <v>53405</v>
      </c>
      <c r="O46" t="s">
        <v>180</v>
      </c>
      <c r="P46" t="s">
        <v>774</v>
      </c>
      <c r="Q46">
        <v>0.25</v>
      </c>
      <c r="T46" s="189"/>
      <c r="U46">
        <v>136341</v>
      </c>
      <c r="V46" t="s">
        <v>883</v>
      </c>
      <c r="W46">
        <v>0.125</v>
      </c>
    </row>
    <row r="47" spans="1:23" x14ac:dyDescent="0.35">
      <c r="A47" s="30" t="s">
        <v>556</v>
      </c>
      <c r="B47">
        <v>53486</v>
      </c>
      <c r="C47" t="s">
        <v>155</v>
      </c>
      <c r="D47" t="s">
        <v>158</v>
      </c>
      <c r="E47">
        <v>2</v>
      </c>
      <c r="G47" s="29" t="str">
        <f t="shared" si="0"/>
        <v>167594 NOV/2025</v>
      </c>
      <c r="H47">
        <v>167594</v>
      </c>
      <c r="I47" t="s">
        <v>96</v>
      </c>
      <c r="J47" t="s">
        <v>775</v>
      </c>
      <c r="K47" s="132">
        <v>34.917000000000002</v>
      </c>
      <c r="M47" s="29" t="str">
        <f t="shared" si="1"/>
        <v>184221 OUT/2025</v>
      </c>
      <c r="N47">
        <v>184221</v>
      </c>
      <c r="O47" t="s">
        <v>180</v>
      </c>
      <c r="P47" t="s">
        <v>774</v>
      </c>
      <c r="Q47">
        <v>0.25</v>
      </c>
      <c r="T47" s="189"/>
      <c r="U47">
        <v>190534</v>
      </c>
      <c r="V47" t="s">
        <v>884</v>
      </c>
      <c r="W47" s="6">
        <v>1.083</v>
      </c>
    </row>
    <row r="48" spans="1:23" x14ac:dyDescent="0.35">
      <c r="A48" s="30" t="s">
        <v>557</v>
      </c>
      <c r="B48">
        <v>53486</v>
      </c>
      <c r="C48" t="s">
        <v>155</v>
      </c>
      <c r="D48" t="s">
        <v>159</v>
      </c>
      <c r="E48">
        <v>544.41700000000003</v>
      </c>
      <c r="G48" s="29" t="str">
        <f t="shared" si="0"/>
        <v>167594 DEZ/2025</v>
      </c>
      <c r="H48">
        <v>167594</v>
      </c>
      <c r="I48" t="s">
        <v>96</v>
      </c>
      <c r="J48" t="s">
        <v>776</v>
      </c>
      <c r="K48" s="132">
        <v>42.5</v>
      </c>
      <c r="M48" s="29" t="str">
        <f t="shared" si="1"/>
        <v>134677 JUL/2025</v>
      </c>
      <c r="N48">
        <v>134677</v>
      </c>
      <c r="O48" t="s">
        <v>156</v>
      </c>
      <c r="P48" t="s">
        <v>512</v>
      </c>
      <c r="Q48">
        <v>14.75</v>
      </c>
      <c r="T48" s="189"/>
      <c r="U48">
        <v>190047</v>
      </c>
      <c r="V48" t="s">
        <v>885</v>
      </c>
      <c r="W48">
        <v>0.25</v>
      </c>
    </row>
    <row r="49" spans="1:23" x14ac:dyDescent="0.35">
      <c r="A49" s="30" t="s">
        <v>558</v>
      </c>
      <c r="B49">
        <v>53486</v>
      </c>
      <c r="C49" t="s">
        <v>155</v>
      </c>
      <c r="D49" t="s">
        <v>160</v>
      </c>
      <c r="E49">
        <v>6.3330000000000002</v>
      </c>
      <c r="G49" s="29" t="str">
        <f t="shared" si="0"/>
        <v>167594 JAN/2026</v>
      </c>
      <c r="H49">
        <v>167594</v>
      </c>
      <c r="I49" t="s">
        <v>96</v>
      </c>
      <c r="J49" t="s">
        <v>777</v>
      </c>
      <c r="K49" s="132">
        <v>87.5</v>
      </c>
      <c r="M49" s="29" t="str">
        <f t="shared" si="1"/>
        <v>134677 AGO/2025</v>
      </c>
      <c r="N49">
        <v>134677</v>
      </c>
      <c r="O49" t="s">
        <v>156</v>
      </c>
      <c r="P49" t="s">
        <v>773</v>
      </c>
      <c r="Q49">
        <v>2.5830000000000002</v>
      </c>
      <c r="T49" s="189"/>
      <c r="U49">
        <v>189740</v>
      </c>
      <c r="V49" t="s">
        <v>886</v>
      </c>
      <c r="W49">
        <v>0.125</v>
      </c>
    </row>
    <row r="50" spans="1:23" x14ac:dyDescent="0.35">
      <c r="A50" s="30" t="s">
        <v>559</v>
      </c>
      <c r="B50">
        <v>53486</v>
      </c>
      <c r="C50" t="s">
        <v>155</v>
      </c>
      <c r="D50" t="s">
        <v>161</v>
      </c>
      <c r="E50">
        <v>97.5</v>
      </c>
      <c r="G50" s="29" t="str">
        <f t="shared" si="0"/>
        <v>167594 MAR/2026</v>
      </c>
      <c r="H50">
        <v>167594</v>
      </c>
      <c r="I50" t="s">
        <v>96</v>
      </c>
      <c r="J50" t="s">
        <v>779</v>
      </c>
      <c r="K50" s="132">
        <v>49</v>
      </c>
      <c r="M50" s="29" t="str">
        <f t="shared" si="1"/>
        <v>134677 SET/2025</v>
      </c>
      <c r="N50">
        <v>134677</v>
      </c>
      <c r="O50" t="s">
        <v>156</v>
      </c>
      <c r="P50" t="s">
        <v>772</v>
      </c>
      <c r="Q50">
        <v>1</v>
      </c>
      <c r="T50" s="189"/>
      <c r="U50">
        <v>188084</v>
      </c>
      <c r="V50" t="s">
        <v>887</v>
      </c>
      <c r="W50">
        <v>0.25</v>
      </c>
    </row>
    <row r="51" spans="1:23" x14ac:dyDescent="0.35">
      <c r="A51" s="30" t="s">
        <v>560</v>
      </c>
      <c r="B51">
        <v>53486</v>
      </c>
      <c r="C51" t="s">
        <v>155</v>
      </c>
      <c r="D51" t="s">
        <v>163</v>
      </c>
      <c r="E51">
        <v>155.92500000000001</v>
      </c>
      <c r="G51" s="29" t="str">
        <f t="shared" si="0"/>
        <v>167594 ABR/2026</v>
      </c>
      <c r="H51">
        <v>167594</v>
      </c>
      <c r="I51" t="s">
        <v>96</v>
      </c>
      <c r="J51" t="s">
        <v>780</v>
      </c>
      <c r="K51" s="132">
        <v>33</v>
      </c>
      <c r="M51" s="29" t="str">
        <f t="shared" si="1"/>
        <v>134677 OUT/2025</v>
      </c>
      <c r="N51">
        <v>134677</v>
      </c>
      <c r="O51" t="s">
        <v>156</v>
      </c>
      <c r="P51" t="s">
        <v>774</v>
      </c>
      <c r="Q51">
        <v>8.625</v>
      </c>
      <c r="T51" s="189"/>
      <c r="U51">
        <v>188815</v>
      </c>
      <c r="V51" t="s">
        <v>888</v>
      </c>
      <c r="W51">
        <v>1</v>
      </c>
    </row>
    <row r="52" spans="1:23" x14ac:dyDescent="0.35">
      <c r="A52" s="30" t="s">
        <v>561</v>
      </c>
      <c r="B52">
        <v>53486</v>
      </c>
      <c r="C52" t="s">
        <v>155</v>
      </c>
      <c r="D52" t="s">
        <v>164</v>
      </c>
      <c r="E52">
        <v>47.274999999999999</v>
      </c>
      <c r="G52" s="29" t="str">
        <f t="shared" si="0"/>
        <v>167594 MAI/2026</v>
      </c>
      <c r="H52">
        <v>167594</v>
      </c>
      <c r="I52" t="s">
        <v>96</v>
      </c>
      <c r="J52" t="s">
        <v>781</v>
      </c>
      <c r="K52" s="132">
        <v>139</v>
      </c>
      <c r="M52" s="29" t="str">
        <f t="shared" si="1"/>
        <v>134677 NOV/2025</v>
      </c>
      <c r="N52">
        <v>134677</v>
      </c>
      <c r="O52" t="s">
        <v>156</v>
      </c>
      <c r="P52" t="s">
        <v>775</v>
      </c>
      <c r="Q52">
        <v>13</v>
      </c>
      <c r="T52" s="189"/>
      <c r="U52">
        <v>158202</v>
      </c>
      <c r="V52" t="s">
        <v>889</v>
      </c>
      <c r="W52">
        <v>0.25</v>
      </c>
    </row>
    <row r="53" spans="1:23" x14ac:dyDescent="0.35">
      <c r="A53" s="30" t="s">
        <v>562</v>
      </c>
      <c r="B53">
        <v>53486</v>
      </c>
      <c r="C53" t="s">
        <v>155</v>
      </c>
      <c r="D53" t="s">
        <v>165</v>
      </c>
      <c r="E53">
        <v>116.696</v>
      </c>
      <c r="G53" s="29" t="str">
        <f t="shared" si="0"/>
        <v>167594 JUN/2026</v>
      </c>
      <c r="H53">
        <v>167594</v>
      </c>
      <c r="I53" t="s">
        <v>96</v>
      </c>
      <c r="J53" t="s">
        <v>782</v>
      </c>
      <c r="K53" s="132">
        <v>40.542000000000002</v>
      </c>
      <c r="M53" s="29" t="str">
        <f t="shared" si="1"/>
        <v>134677 DEZ/2025</v>
      </c>
      <c r="N53">
        <v>134677</v>
      </c>
      <c r="O53" t="s">
        <v>156</v>
      </c>
      <c r="P53" t="s">
        <v>776</v>
      </c>
      <c r="Q53">
        <v>2</v>
      </c>
      <c r="T53" s="189"/>
      <c r="U53">
        <v>157070</v>
      </c>
      <c r="V53" t="s">
        <v>825</v>
      </c>
      <c r="W53">
        <v>0.16700000000000001</v>
      </c>
    </row>
    <row r="54" spans="1:23" x14ac:dyDescent="0.35">
      <c r="A54" s="30" t="s">
        <v>563</v>
      </c>
      <c r="B54">
        <v>53486</v>
      </c>
      <c r="C54" t="s">
        <v>155</v>
      </c>
      <c r="D54" t="s">
        <v>166</v>
      </c>
      <c r="E54">
        <v>34</v>
      </c>
      <c r="G54" s="29" t="str">
        <f t="shared" si="0"/>
        <v>182419 DEZ/2025</v>
      </c>
      <c r="H54">
        <v>182419</v>
      </c>
      <c r="I54" t="s">
        <v>96</v>
      </c>
      <c r="J54" t="s">
        <v>776</v>
      </c>
      <c r="K54" s="132">
        <v>5.875</v>
      </c>
      <c r="M54" s="29" t="str">
        <f t="shared" si="1"/>
        <v>134677 JAN/2026</v>
      </c>
      <c r="N54">
        <v>134677</v>
      </c>
      <c r="O54" t="s">
        <v>156</v>
      </c>
      <c r="P54" t="s">
        <v>777</v>
      </c>
      <c r="Q54">
        <v>24.582999999999998</v>
      </c>
      <c r="T54" s="189"/>
      <c r="U54">
        <v>180852</v>
      </c>
      <c r="V54" t="s">
        <v>890</v>
      </c>
      <c r="W54">
        <v>61</v>
      </c>
    </row>
    <row r="55" spans="1:23" x14ac:dyDescent="0.35">
      <c r="A55" s="30" t="s">
        <v>564</v>
      </c>
      <c r="B55">
        <v>53486</v>
      </c>
      <c r="C55" t="s">
        <v>155</v>
      </c>
      <c r="D55" t="s">
        <v>167</v>
      </c>
      <c r="E55">
        <v>101</v>
      </c>
      <c r="G55" s="29" t="str">
        <f t="shared" si="0"/>
        <v>53486 JUL/2025</v>
      </c>
      <c r="H55">
        <v>53486</v>
      </c>
      <c r="I55" t="s">
        <v>155</v>
      </c>
      <c r="J55" t="s">
        <v>512</v>
      </c>
      <c r="K55" s="132">
        <v>93.75</v>
      </c>
      <c r="M55" s="29" t="str">
        <f t="shared" si="1"/>
        <v>134677 FEV/2026</v>
      </c>
      <c r="N55">
        <v>134677</v>
      </c>
      <c r="O55" t="s">
        <v>156</v>
      </c>
      <c r="P55" t="s">
        <v>778</v>
      </c>
      <c r="Q55">
        <v>19.25</v>
      </c>
      <c r="T55" s="189"/>
      <c r="U55">
        <v>178092</v>
      </c>
      <c r="V55" t="s">
        <v>891</v>
      </c>
      <c r="W55">
        <v>3</v>
      </c>
    </row>
    <row r="56" spans="1:23" x14ac:dyDescent="0.35">
      <c r="A56" s="30" t="s">
        <v>565</v>
      </c>
      <c r="B56">
        <v>53486</v>
      </c>
      <c r="C56" t="s">
        <v>155</v>
      </c>
      <c r="D56" t="s">
        <v>168</v>
      </c>
      <c r="E56">
        <v>183.5</v>
      </c>
      <c r="G56" s="29" t="str">
        <f t="shared" si="0"/>
        <v>53486 AGO/2025</v>
      </c>
      <c r="H56">
        <v>53486</v>
      </c>
      <c r="I56" t="s">
        <v>155</v>
      </c>
      <c r="J56" t="s">
        <v>773</v>
      </c>
      <c r="K56" s="132">
        <v>70.5</v>
      </c>
      <c r="M56" s="29" t="str">
        <f t="shared" si="1"/>
        <v>134677 MAR/2026</v>
      </c>
      <c r="N56">
        <v>134677</v>
      </c>
      <c r="O56" t="s">
        <v>156</v>
      </c>
      <c r="P56" t="s">
        <v>779</v>
      </c>
      <c r="Q56">
        <v>41.25</v>
      </c>
      <c r="T56" s="189"/>
      <c r="U56">
        <v>183965</v>
      </c>
      <c r="V56" t="s">
        <v>892</v>
      </c>
      <c r="W56">
        <v>0.125</v>
      </c>
    </row>
    <row r="57" spans="1:23" x14ac:dyDescent="0.35">
      <c r="A57" s="30" t="s">
        <v>566</v>
      </c>
      <c r="B57">
        <v>54734</v>
      </c>
      <c r="C57" t="s">
        <v>155</v>
      </c>
      <c r="D57" t="s">
        <v>157</v>
      </c>
      <c r="E57">
        <v>5.875</v>
      </c>
      <c r="G57" s="29" t="str">
        <f t="shared" si="0"/>
        <v>53486 SET/2025</v>
      </c>
      <c r="H57">
        <v>53486</v>
      </c>
      <c r="I57" t="s">
        <v>155</v>
      </c>
      <c r="J57" s="6" t="s">
        <v>772</v>
      </c>
      <c r="K57" s="132">
        <v>440</v>
      </c>
      <c r="M57" s="29" t="str">
        <f t="shared" si="1"/>
        <v>134677 ABR/2026</v>
      </c>
      <c r="N57">
        <v>134677</v>
      </c>
      <c r="O57" t="s">
        <v>156</v>
      </c>
      <c r="P57" t="s">
        <v>780</v>
      </c>
      <c r="Q57">
        <v>16</v>
      </c>
      <c r="T57" s="189"/>
      <c r="U57">
        <v>151733</v>
      </c>
      <c r="V57" t="s">
        <v>893</v>
      </c>
      <c r="W57">
        <v>0</v>
      </c>
    </row>
    <row r="58" spans="1:23" x14ac:dyDescent="0.35">
      <c r="A58" s="30" t="s">
        <v>567</v>
      </c>
      <c r="B58">
        <v>54734</v>
      </c>
      <c r="C58" t="s">
        <v>155</v>
      </c>
      <c r="D58" t="s">
        <v>161</v>
      </c>
      <c r="E58">
        <v>12</v>
      </c>
      <c r="G58" s="29" t="str">
        <f t="shared" si="0"/>
        <v>53486 OUT/2025</v>
      </c>
      <c r="H58">
        <v>53486</v>
      </c>
      <c r="I58" t="s">
        <v>155</v>
      </c>
      <c r="J58" s="6" t="s">
        <v>774</v>
      </c>
      <c r="K58" s="132">
        <v>87.332999999999998</v>
      </c>
      <c r="M58" s="29" t="str">
        <f t="shared" si="1"/>
        <v>134677 JUN/2026</v>
      </c>
      <c r="N58">
        <v>134677</v>
      </c>
      <c r="O58" t="s">
        <v>156</v>
      </c>
      <c r="P58" t="s">
        <v>782</v>
      </c>
      <c r="Q58">
        <v>7</v>
      </c>
      <c r="T58" s="189"/>
      <c r="U58">
        <v>143434</v>
      </c>
      <c r="V58" t="s">
        <v>826</v>
      </c>
      <c r="W58">
        <v>15.167</v>
      </c>
    </row>
    <row r="59" spans="1:23" x14ac:dyDescent="0.35">
      <c r="A59" s="30" t="s">
        <v>568</v>
      </c>
      <c r="B59">
        <v>54734</v>
      </c>
      <c r="C59" t="s">
        <v>155</v>
      </c>
      <c r="D59" t="s">
        <v>162</v>
      </c>
      <c r="E59">
        <v>11.625</v>
      </c>
      <c r="G59" s="29" t="str">
        <f t="shared" si="0"/>
        <v>53486 NOV/2025</v>
      </c>
      <c r="H59">
        <v>53486</v>
      </c>
      <c r="I59" t="s">
        <v>155</v>
      </c>
      <c r="J59" t="s">
        <v>775</v>
      </c>
      <c r="K59" s="132">
        <v>86.832999999999998</v>
      </c>
      <c r="M59" s="29" t="str">
        <f t="shared" si="1"/>
        <v>182592 OUT/2025</v>
      </c>
      <c r="N59">
        <v>182592</v>
      </c>
      <c r="O59" t="s">
        <v>182</v>
      </c>
      <c r="P59" t="s">
        <v>774</v>
      </c>
      <c r="Q59">
        <v>0.25</v>
      </c>
      <c r="T59" s="189"/>
      <c r="U59">
        <v>189970</v>
      </c>
      <c r="V59" t="s">
        <v>894</v>
      </c>
      <c r="W59">
        <v>0.625</v>
      </c>
    </row>
    <row r="60" spans="1:23" x14ac:dyDescent="0.35">
      <c r="A60" s="30" t="s">
        <v>569</v>
      </c>
      <c r="B60">
        <v>54734</v>
      </c>
      <c r="C60" t="s">
        <v>155</v>
      </c>
      <c r="D60" t="s">
        <v>165</v>
      </c>
      <c r="E60">
        <v>2</v>
      </c>
      <c r="G60" s="29" t="str">
        <f t="shared" si="0"/>
        <v>53486 DEZ/2025</v>
      </c>
      <c r="H60">
        <v>53486</v>
      </c>
      <c r="I60" t="s">
        <v>155</v>
      </c>
      <c r="J60" t="s">
        <v>776</v>
      </c>
      <c r="K60" s="132">
        <v>477</v>
      </c>
      <c r="M60" s="29" t="str">
        <f t="shared" si="1"/>
        <v>184215 OUT/2025</v>
      </c>
      <c r="N60">
        <v>184215</v>
      </c>
      <c r="O60" t="s">
        <v>192</v>
      </c>
      <c r="P60" t="s">
        <v>774</v>
      </c>
      <c r="Q60">
        <v>0.25</v>
      </c>
      <c r="T60" s="189"/>
      <c r="U60">
        <v>92167</v>
      </c>
      <c r="V60" t="s">
        <v>895</v>
      </c>
      <c r="W60">
        <v>5.7</v>
      </c>
    </row>
    <row r="61" spans="1:23" x14ac:dyDescent="0.35">
      <c r="A61" s="30" t="s">
        <v>570</v>
      </c>
      <c r="B61">
        <v>181800</v>
      </c>
      <c r="C61" t="s">
        <v>155</v>
      </c>
      <c r="D61" t="s">
        <v>157</v>
      </c>
      <c r="E61">
        <v>5.875</v>
      </c>
      <c r="G61" s="29" t="str">
        <f t="shared" si="0"/>
        <v>53486 JAN/2026</v>
      </c>
      <c r="H61">
        <v>53486</v>
      </c>
      <c r="I61" t="s">
        <v>155</v>
      </c>
      <c r="J61" t="s">
        <v>777</v>
      </c>
      <c r="K61" s="132">
        <v>75</v>
      </c>
      <c r="M61" s="29" t="str">
        <f t="shared" si="1"/>
        <v>132039 JUL/2025</v>
      </c>
      <c r="N61">
        <v>132039</v>
      </c>
      <c r="O61" t="s">
        <v>49</v>
      </c>
      <c r="P61" t="s">
        <v>512</v>
      </c>
      <c r="Q61">
        <v>11</v>
      </c>
      <c r="T61" s="189"/>
      <c r="U61">
        <v>184521</v>
      </c>
      <c r="V61" t="s">
        <v>896</v>
      </c>
      <c r="W61">
        <v>0.16700000000000001</v>
      </c>
    </row>
    <row r="62" spans="1:23" x14ac:dyDescent="0.35">
      <c r="A62" s="30" t="s">
        <v>571</v>
      </c>
      <c r="B62">
        <v>181800</v>
      </c>
      <c r="C62" t="s">
        <v>155</v>
      </c>
      <c r="D62" t="s">
        <v>163</v>
      </c>
      <c r="E62">
        <v>6</v>
      </c>
      <c r="G62" s="29" t="str">
        <f t="shared" si="0"/>
        <v>53486 FEV/2026</v>
      </c>
      <c r="H62">
        <v>53486</v>
      </c>
      <c r="I62" t="s">
        <v>155</v>
      </c>
      <c r="J62" s="6" t="s">
        <v>778</v>
      </c>
      <c r="K62" s="132">
        <v>104</v>
      </c>
      <c r="M62" s="29" t="str">
        <f t="shared" si="1"/>
        <v>132039 AGO/2025</v>
      </c>
      <c r="N62">
        <v>132039</v>
      </c>
      <c r="O62" t="s">
        <v>49</v>
      </c>
      <c r="P62" t="s">
        <v>773</v>
      </c>
      <c r="Q62">
        <v>2.625</v>
      </c>
      <c r="T62" s="189"/>
      <c r="U62">
        <v>182461</v>
      </c>
      <c r="V62" t="s">
        <v>827</v>
      </c>
      <c r="W62">
        <v>1.7000000000000001E-2</v>
      </c>
    </row>
    <row r="63" spans="1:23" x14ac:dyDescent="0.35">
      <c r="A63" s="30" t="s">
        <v>572</v>
      </c>
      <c r="B63">
        <v>165045</v>
      </c>
      <c r="C63" t="s">
        <v>179</v>
      </c>
      <c r="D63" t="s">
        <v>157</v>
      </c>
      <c r="E63">
        <v>436.75</v>
      </c>
      <c r="G63" s="29" t="str">
        <f t="shared" si="0"/>
        <v>53486 MAR/2026</v>
      </c>
      <c r="H63">
        <v>53486</v>
      </c>
      <c r="I63" t="s">
        <v>155</v>
      </c>
      <c r="J63" t="s">
        <v>779</v>
      </c>
      <c r="K63" s="132">
        <v>655</v>
      </c>
      <c r="M63" s="29" t="str">
        <f t="shared" si="1"/>
        <v>132039 JAN/2026</v>
      </c>
      <c r="N63">
        <v>132039</v>
      </c>
      <c r="O63" t="s">
        <v>49</v>
      </c>
      <c r="P63" t="s">
        <v>777</v>
      </c>
      <c r="Q63">
        <v>5</v>
      </c>
      <c r="T63" s="189"/>
      <c r="U63">
        <v>190466</v>
      </c>
      <c r="V63" t="s">
        <v>897</v>
      </c>
      <c r="W63">
        <v>0.20799999999999999</v>
      </c>
    </row>
    <row r="64" spans="1:23" x14ac:dyDescent="0.35">
      <c r="A64" s="30" t="s">
        <v>573</v>
      </c>
      <c r="B64">
        <v>165045</v>
      </c>
      <c r="C64" t="s">
        <v>179</v>
      </c>
      <c r="D64" t="s">
        <v>158</v>
      </c>
      <c r="E64">
        <v>239</v>
      </c>
      <c r="G64" s="29" t="str">
        <f t="shared" si="0"/>
        <v>53486 ABR/2026</v>
      </c>
      <c r="H64">
        <v>53486</v>
      </c>
      <c r="I64" t="s">
        <v>155</v>
      </c>
      <c r="J64" t="s">
        <v>780</v>
      </c>
      <c r="K64" s="132">
        <v>-4.2000000000000003E-2</v>
      </c>
      <c r="M64" s="29" t="str">
        <f t="shared" si="1"/>
        <v>132039 MAR/2026</v>
      </c>
      <c r="N64">
        <v>132039</v>
      </c>
      <c r="O64" t="s">
        <v>49</v>
      </c>
      <c r="P64" t="s">
        <v>779</v>
      </c>
      <c r="Q64">
        <v>6</v>
      </c>
      <c r="T64" s="189"/>
      <c r="U64">
        <v>190475</v>
      </c>
      <c r="V64" t="s">
        <v>898</v>
      </c>
      <c r="W64">
        <v>0.25</v>
      </c>
    </row>
    <row r="65" spans="1:23" x14ac:dyDescent="0.35">
      <c r="A65" s="30" t="s">
        <v>574</v>
      </c>
      <c r="B65">
        <v>165045</v>
      </c>
      <c r="C65" t="s">
        <v>179</v>
      </c>
      <c r="D65" t="s">
        <v>159</v>
      </c>
      <c r="E65">
        <v>417</v>
      </c>
      <c r="G65" s="29" t="str">
        <f t="shared" si="0"/>
        <v>53486 MAI/2026</v>
      </c>
      <c r="H65">
        <v>53486</v>
      </c>
      <c r="I65" t="s">
        <v>155</v>
      </c>
      <c r="J65" t="s">
        <v>781</v>
      </c>
      <c r="K65" s="132">
        <v>66</v>
      </c>
      <c r="M65" s="29" t="str">
        <f t="shared" si="1"/>
        <v>59280 JUL/2025</v>
      </c>
      <c r="N65">
        <v>59280</v>
      </c>
      <c r="O65" t="s">
        <v>81</v>
      </c>
      <c r="P65" t="s">
        <v>512</v>
      </c>
      <c r="Q65">
        <v>9.75</v>
      </c>
      <c r="T65" s="189"/>
      <c r="U65">
        <v>89810</v>
      </c>
      <c r="V65" t="s">
        <v>899</v>
      </c>
      <c r="W65">
        <v>0.75</v>
      </c>
    </row>
    <row r="66" spans="1:23" x14ac:dyDescent="0.35">
      <c r="A66" s="30" t="s">
        <v>575</v>
      </c>
      <c r="B66">
        <v>165045</v>
      </c>
      <c r="C66" t="s">
        <v>179</v>
      </c>
      <c r="D66" t="s">
        <v>160</v>
      </c>
      <c r="E66" s="6">
        <v>2393.5830000000001</v>
      </c>
      <c r="G66" s="29" t="str">
        <f t="shared" si="0"/>
        <v>53486 JUN/2026</v>
      </c>
      <c r="H66">
        <v>53486</v>
      </c>
      <c r="I66" t="s">
        <v>155</v>
      </c>
      <c r="J66" t="s">
        <v>782</v>
      </c>
      <c r="K66" s="132">
        <v>278</v>
      </c>
      <c r="M66" s="29" t="str">
        <f t="shared" si="1"/>
        <v>59280 AGO/2025</v>
      </c>
      <c r="N66">
        <v>59280</v>
      </c>
      <c r="O66" t="s">
        <v>81</v>
      </c>
      <c r="P66" t="s">
        <v>773</v>
      </c>
      <c r="Q66">
        <v>3</v>
      </c>
      <c r="T66" s="189"/>
      <c r="U66">
        <v>165588</v>
      </c>
      <c r="V66" t="s">
        <v>900</v>
      </c>
      <c r="W66">
        <v>1.833</v>
      </c>
    </row>
    <row r="67" spans="1:23" x14ac:dyDescent="0.35">
      <c r="A67" s="30" t="s">
        <v>576</v>
      </c>
      <c r="B67">
        <v>165045</v>
      </c>
      <c r="C67" t="s">
        <v>179</v>
      </c>
      <c r="D67" t="s">
        <v>161</v>
      </c>
      <c r="E67" s="6">
        <v>1487.9169999999999</v>
      </c>
      <c r="G67" s="29" t="str">
        <f t="shared" si="0"/>
        <v>54734 JUL/2025</v>
      </c>
      <c r="H67">
        <v>54734</v>
      </c>
      <c r="I67" t="s">
        <v>155</v>
      </c>
      <c r="J67" t="s">
        <v>512</v>
      </c>
      <c r="K67" s="132">
        <v>5.875</v>
      </c>
      <c r="M67" s="29" t="str">
        <f t="shared" si="1"/>
        <v>59280 NOV/2025</v>
      </c>
      <c r="N67">
        <v>59280</v>
      </c>
      <c r="O67" t="s">
        <v>81</v>
      </c>
      <c r="P67" t="s">
        <v>775</v>
      </c>
      <c r="Q67">
        <v>1.25</v>
      </c>
      <c r="T67" s="189"/>
      <c r="U67">
        <v>185771</v>
      </c>
      <c r="V67" t="s">
        <v>901</v>
      </c>
      <c r="W67">
        <v>11.333</v>
      </c>
    </row>
    <row r="68" spans="1:23" x14ac:dyDescent="0.35">
      <c r="A68" s="30" t="s">
        <v>577</v>
      </c>
      <c r="B68">
        <v>165045</v>
      </c>
      <c r="C68" t="s">
        <v>179</v>
      </c>
      <c r="D68" t="s">
        <v>162</v>
      </c>
      <c r="E68" s="6">
        <v>1044.6669999999999</v>
      </c>
      <c r="G68" s="29" t="str">
        <f t="shared" si="0"/>
        <v>54734 FEV/2026</v>
      </c>
      <c r="H68">
        <v>54734</v>
      </c>
      <c r="I68" t="s">
        <v>155</v>
      </c>
      <c r="J68" t="s">
        <v>778</v>
      </c>
      <c r="K68" s="132">
        <v>1</v>
      </c>
      <c r="M68" s="29" t="str">
        <f t="shared" si="1"/>
        <v>59280 JAN/2026</v>
      </c>
      <c r="N68">
        <v>59280</v>
      </c>
      <c r="O68" t="s">
        <v>81</v>
      </c>
      <c r="P68" t="s">
        <v>777</v>
      </c>
      <c r="Q68">
        <v>1.75</v>
      </c>
      <c r="T68" s="189"/>
      <c r="U68">
        <v>190772</v>
      </c>
      <c r="V68" t="s">
        <v>902</v>
      </c>
      <c r="W68" s="6">
        <v>0.25</v>
      </c>
    </row>
    <row r="69" spans="1:23" x14ac:dyDescent="0.35">
      <c r="A69" s="30" t="s">
        <v>578</v>
      </c>
      <c r="B69">
        <v>165045</v>
      </c>
      <c r="C69" t="s">
        <v>179</v>
      </c>
      <c r="D69" t="s">
        <v>163</v>
      </c>
      <c r="E69">
        <v>339</v>
      </c>
      <c r="G69" s="29" t="str">
        <f t="shared" ref="G69:G132" si="2">H69&amp;J69</f>
        <v>54734 MAR/2026</v>
      </c>
      <c r="H69">
        <v>54734</v>
      </c>
      <c r="I69" t="s">
        <v>155</v>
      </c>
      <c r="J69" t="s">
        <v>779</v>
      </c>
      <c r="K69" s="132">
        <v>5</v>
      </c>
      <c r="M69" s="29" t="str">
        <f t="shared" si="1"/>
        <v>59280 FEV/2026</v>
      </c>
      <c r="N69">
        <v>59280</v>
      </c>
      <c r="O69" t="s">
        <v>81</v>
      </c>
      <c r="P69" t="s">
        <v>778</v>
      </c>
      <c r="Q69">
        <v>2.5</v>
      </c>
      <c r="T69" s="189"/>
      <c r="U69">
        <v>173903</v>
      </c>
      <c r="V69" t="s">
        <v>903</v>
      </c>
      <c r="W69">
        <v>0.5</v>
      </c>
    </row>
    <row r="70" spans="1:23" x14ac:dyDescent="0.35">
      <c r="A70" s="30" t="s">
        <v>579</v>
      </c>
      <c r="B70">
        <v>165045</v>
      </c>
      <c r="C70" t="s">
        <v>179</v>
      </c>
      <c r="D70" t="s">
        <v>164</v>
      </c>
      <c r="E70">
        <v>873.66700000000003</v>
      </c>
      <c r="G70" s="29" t="str">
        <f t="shared" si="2"/>
        <v>54734 ABR/2026</v>
      </c>
      <c r="H70">
        <v>54734</v>
      </c>
      <c r="I70" t="s">
        <v>155</v>
      </c>
      <c r="J70" t="s">
        <v>780</v>
      </c>
      <c r="K70" s="132">
        <v>3.5</v>
      </c>
      <c r="M70" s="29" t="str">
        <f t="shared" ref="M70:M116" si="3">N70&amp;P70</f>
        <v>59280 MAR/2026</v>
      </c>
      <c r="N70">
        <v>59280</v>
      </c>
      <c r="O70" t="s">
        <v>81</v>
      </c>
      <c r="P70" t="s">
        <v>779</v>
      </c>
      <c r="Q70">
        <v>24</v>
      </c>
      <c r="T70" s="189"/>
      <c r="U70">
        <v>178900</v>
      </c>
      <c r="V70" t="s">
        <v>904</v>
      </c>
      <c r="W70">
        <v>1.208</v>
      </c>
    </row>
    <row r="71" spans="1:23" x14ac:dyDescent="0.35">
      <c r="A71" s="30" t="s">
        <v>580</v>
      </c>
      <c r="B71">
        <v>165045</v>
      </c>
      <c r="C71" t="s">
        <v>179</v>
      </c>
      <c r="D71" t="s">
        <v>165</v>
      </c>
      <c r="E71">
        <v>198.583</v>
      </c>
      <c r="G71" s="29" t="str">
        <f t="shared" si="2"/>
        <v>181800 JUL/2025</v>
      </c>
      <c r="H71">
        <v>181800</v>
      </c>
      <c r="I71" t="s">
        <v>155</v>
      </c>
      <c r="J71" t="s">
        <v>512</v>
      </c>
      <c r="K71" s="132">
        <v>5.875</v>
      </c>
      <c r="M71" s="29" t="str">
        <f t="shared" si="3"/>
        <v>59280 ABR/2026</v>
      </c>
      <c r="N71">
        <v>59280</v>
      </c>
      <c r="O71" t="s">
        <v>81</v>
      </c>
      <c r="P71" t="s">
        <v>780</v>
      </c>
      <c r="Q71">
        <v>0.83299999999999996</v>
      </c>
      <c r="T71" s="189"/>
      <c r="U71">
        <v>188509</v>
      </c>
      <c r="V71" t="s">
        <v>905</v>
      </c>
      <c r="W71">
        <v>0.5</v>
      </c>
    </row>
    <row r="72" spans="1:23" x14ac:dyDescent="0.35">
      <c r="A72" s="30" t="s">
        <v>581</v>
      </c>
      <c r="B72">
        <v>165045</v>
      </c>
      <c r="C72" t="s">
        <v>179</v>
      </c>
      <c r="D72" t="s">
        <v>166</v>
      </c>
      <c r="E72">
        <v>326.32499999999999</v>
      </c>
      <c r="G72" s="29" t="str">
        <f t="shared" si="2"/>
        <v>181800 FEV/2026</v>
      </c>
      <c r="H72">
        <v>181800</v>
      </c>
      <c r="I72" t="s">
        <v>155</v>
      </c>
      <c r="J72" t="s">
        <v>778</v>
      </c>
      <c r="K72" s="132">
        <v>1</v>
      </c>
      <c r="M72" s="29" t="str">
        <f t="shared" si="3"/>
        <v>59280 MAI/2026</v>
      </c>
      <c r="N72">
        <v>59280</v>
      </c>
      <c r="O72" t="s">
        <v>81</v>
      </c>
      <c r="P72" t="s">
        <v>781</v>
      </c>
      <c r="Q72">
        <v>3.1669999999999998</v>
      </c>
      <c r="T72" s="189"/>
      <c r="U72">
        <v>116852</v>
      </c>
      <c r="V72" t="s">
        <v>906</v>
      </c>
      <c r="W72">
        <v>6</v>
      </c>
    </row>
    <row r="73" spans="1:23" x14ac:dyDescent="0.35">
      <c r="A73" s="30" t="s">
        <v>582</v>
      </c>
      <c r="B73">
        <v>165045</v>
      </c>
      <c r="C73" t="s">
        <v>179</v>
      </c>
      <c r="D73" t="s">
        <v>167</v>
      </c>
      <c r="E73">
        <v>606</v>
      </c>
      <c r="G73" s="29" t="str">
        <f t="shared" si="2"/>
        <v>181800 MAR/2026</v>
      </c>
      <c r="H73">
        <v>181800</v>
      </c>
      <c r="I73" t="s">
        <v>155</v>
      </c>
      <c r="J73" t="s">
        <v>779</v>
      </c>
      <c r="K73" s="132">
        <v>5</v>
      </c>
      <c r="M73" s="29" t="str">
        <f t="shared" si="3"/>
        <v>59280 JUN/2026</v>
      </c>
      <c r="N73">
        <v>59280</v>
      </c>
      <c r="O73" t="s">
        <v>81</v>
      </c>
      <c r="P73" t="s">
        <v>782</v>
      </c>
      <c r="Q73">
        <v>15.958</v>
      </c>
      <c r="T73" s="189"/>
      <c r="U73">
        <v>188820</v>
      </c>
      <c r="V73" t="s">
        <v>828</v>
      </c>
      <c r="W73">
        <v>7.375</v>
      </c>
    </row>
    <row r="74" spans="1:23" x14ac:dyDescent="0.35">
      <c r="A74" s="30" t="s">
        <v>583</v>
      </c>
      <c r="B74">
        <v>165045</v>
      </c>
      <c r="C74" t="s">
        <v>179</v>
      </c>
      <c r="D74" t="s">
        <v>168</v>
      </c>
      <c r="E74">
        <v>284.91699999999997</v>
      </c>
      <c r="G74" s="29" t="str">
        <f t="shared" si="2"/>
        <v>181800 ABR/2026</v>
      </c>
      <c r="H74">
        <v>181800</v>
      </c>
      <c r="I74" t="s">
        <v>155</v>
      </c>
      <c r="J74" t="s">
        <v>780</v>
      </c>
      <c r="K74" s="132">
        <v>2</v>
      </c>
      <c r="M74" s="29" t="str">
        <f t="shared" si="3"/>
        <v>48248 AGO/2025</v>
      </c>
      <c r="N74">
        <v>48248</v>
      </c>
      <c r="O74" t="s">
        <v>50</v>
      </c>
      <c r="P74" t="s">
        <v>773</v>
      </c>
      <c r="Q74">
        <v>0.25</v>
      </c>
      <c r="T74" s="189"/>
      <c r="U74">
        <v>65246</v>
      </c>
      <c r="V74" t="s">
        <v>907</v>
      </c>
      <c r="W74">
        <v>0.33300000000000002</v>
      </c>
    </row>
    <row r="75" spans="1:23" x14ac:dyDescent="0.35">
      <c r="A75" s="30" t="s">
        <v>584</v>
      </c>
      <c r="B75">
        <v>142393</v>
      </c>
      <c r="C75" t="s">
        <v>139</v>
      </c>
      <c r="D75" t="s">
        <v>157</v>
      </c>
      <c r="E75">
        <v>270.84399999999999</v>
      </c>
      <c r="G75" s="29" t="str">
        <f t="shared" si="2"/>
        <v>165045 JUL/2025</v>
      </c>
      <c r="H75">
        <v>165045</v>
      </c>
      <c r="I75" t="s">
        <v>179</v>
      </c>
      <c r="J75" t="s">
        <v>512</v>
      </c>
      <c r="K75" s="132">
        <v>626</v>
      </c>
      <c r="M75" s="29" t="str">
        <f t="shared" si="3"/>
        <v>64883 AGO/2025</v>
      </c>
      <c r="N75">
        <v>64883</v>
      </c>
      <c r="O75" t="s">
        <v>50</v>
      </c>
      <c r="P75" t="s">
        <v>773</v>
      </c>
      <c r="Q75">
        <v>0.25</v>
      </c>
      <c r="T75" s="189"/>
      <c r="U75">
        <v>150369</v>
      </c>
      <c r="V75" t="s">
        <v>908</v>
      </c>
      <c r="W75">
        <v>3.3330000000000002</v>
      </c>
    </row>
    <row r="76" spans="1:23" x14ac:dyDescent="0.35">
      <c r="A76" s="30" t="s">
        <v>585</v>
      </c>
      <c r="B76">
        <v>142393</v>
      </c>
      <c r="C76" t="s">
        <v>139</v>
      </c>
      <c r="D76" t="s">
        <v>158</v>
      </c>
      <c r="E76">
        <v>854.55799999999999</v>
      </c>
      <c r="G76" s="29" t="str">
        <f t="shared" si="2"/>
        <v>165045 AGO/2025</v>
      </c>
      <c r="H76">
        <v>165045</v>
      </c>
      <c r="I76" t="s">
        <v>179</v>
      </c>
      <c r="J76" t="s">
        <v>773</v>
      </c>
      <c r="K76" s="132">
        <v>172.667</v>
      </c>
      <c r="M76" s="29" t="str">
        <f t="shared" si="3"/>
        <v>64883 MAR/2026</v>
      </c>
      <c r="N76">
        <v>64883</v>
      </c>
      <c r="O76" t="s">
        <v>50</v>
      </c>
      <c r="P76" t="s">
        <v>779</v>
      </c>
      <c r="Q76">
        <v>3</v>
      </c>
      <c r="T76" s="189"/>
      <c r="U76">
        <v>182198</v>
      </c>
      <c r="V76" t="s">
        <v>909</v>
      </c>
      <c r="W76" s="6">
        <v>0.125</v>
      </c>
    </row>
    <row r="77" spans="1:23" x14ac:dyDescent="0.35">
      <c r="A77" s="30" t="s">
        <v>586</v>
      </c>
      <c r="B77">
        <v>142393</v>
      </c>
      <c r="C77" t="s">
        <v>139</v>
      </c>
      <c r="D77" t="s">
        <v>159</v>
      </c>
      <c r="E77">
        <v>525.54200000000003</v>
      </c>
      <c r="G77" s="29" t="str">
        <f t="shared" si="2"/>
        <v>165045 SET/2025</v>
      </c>
      <c r="H77">
        <v>165045</v>
      </c>
      <c r="I77" t="s">
        <v>179</v>
      </c>
      <c r="J77" t="s">
        <v>772</v>
      </c>
      <c r="K77" s="132">
        <v>1792.992</v>
      </c>
      <c r="M77" s="29" t="str">
        <f t="shared" si="3"/>
        <v>64883 JUN/2026</v>
      </c>
      <c r="N77">
        <v>64883</v>
      </c>
      <c r="O77" t="s">
        <v>50</v>
      </c>
      <c r="P77" t="s">
        <v>782</v>
      </c>
      <c r="Q77">
        <v>12</v>
      </c>
      <c r="T77" s="189"/>
      <c r="U77">
        <v>148247</v>
      </c>
      <c r="V77" t="s">
        <v>910</v>
      </c>
      <c r="W77">
        <v>0.5</v>
      </c>
    </row>
    <row r="78" spans="1:23" x14ac:dyDescent="0.35">
      <c r="A78" s="30" t="s">
        <v>587</v>
      </c>
      <c r="B78">
        <v>142393</v>
      </c>
      <c r="C78" t="s">
        <v>139</v>
      </c>
      <c r="D78" t="s">
        <v>160</v>
      </c>
      <c r="E78">
        <v>814.13300000000004</v>
      </c>
      <c r="G78" s="29" t="str">
        <f t="shared" si="2"/>
        <v>165045 OUT/2025</v>
      </c>
      <c r="H78">
        <v>165045</v>
      </c>
      <c r="I78" t="s">
        <v>179</v>
      </c>
      <c r="J78" t="s">
        <v>774</v>
      </c>
      <c r="K78" s="132">
        <v>1159.8330000000001</v>
      </c>
      <c r="M78" s="29" t="str">
        <f t="shared" si="3"/>
        <v>73977 AGO/2025</v>
      </c>
      <c r="N78">
        <v>73977</v>
      </c>
      <c r="O78" t="s">
        <v>50</v>
      </c>
      <c r="P78" t="s">
        <v>773</v>
      </c>
      <c r="Q78">
        <v>0.25</v>
      </c>
      <c r="T78" s="189"/>
      <c r="U78">
        <v>57381</v>
      </c>
      <c r="V78" t="s">
        <v>911</v>
      </c>
      <c r="W78">
        <v>0.33300000000000002</v>
      </c>
    </row>
    <row r="79" spans="1:23" x14ac:dyDescent="0.35">
      <c r="A79" s="30" t="s">
        <v>588</v>
      </c>
      <c r="B79">
        <v>142393</v>
      </c>
      <c r="C79" t="s">
        <v>139</v>
      </c>
      <c r="D79" t="s">
        <v>161</v>
      </c>
      <c r="E79">
        <v>79.108000000000004</v>
      </c>
      <c r="G79" s="29" t="str">
        <f t="shared" si="2"/>
        <v>165045 NOV/2025</v>
      </c>
      <c r="H79">
        <v>165045</v>
      </c>
      <c r="I79" t="s">
        <v>179</v>
      </c>
      <c r="J79" t="s">
        <v>775</v>
      </c>
      <c r="K79" s="132">
        <v>319</v>
      </c>
      <c r="M79" s="29" t="str">
        <f t="shared" si="3"/>
        <v>184994 AGO/2025</v>
      </c>
      <c r="N79">
        <v>184994</v>
      </c>
      <c r="O79" t="s">
        <v>50</v>
      </c>
      <c r="P79" t="s">
        <v>773</v>
      </c>
      <c r="Q79">
        <v>0.25</v>
      </c>
      <c r="T79" s="189"/>
      <c r="U79">
        <v>144994</v>
      </c>
      <c r="V79" t="s">
        <v>912</v>
      </c>
      <c r="W79">
        <v>0.25</v>
      </c>
    </row>
    <row r="80" spans="1:23" x14ac:dyDescent="0.35">
      <c r="A80" s="30" t="s">
        <v>589</v>
      </c>
      <c r="B80">
        <v>142393</v>
      </c>
      <c r="C80" t="s">
        <v>139</v>
      </c>
      <c r="D80" t="s">
        <v>162</v>
      </c>
      <c r="E80">
        <v>100.167</v>
      </c>
      <c r="G80" s="29" t="str">
        <f t="shared" si="2"/>
        <v>165045 DEZ/2025</v>
      </c>
      <c r="H80">
        <v>165045</v>
      </c>
      <c r="I80" t="s">
        <v>179</v>
      </c>
      <c r="J80" t="s">
        <v>776</v>
      </c>
      <c r="K80" s="132">
        <v>664</v>
      </c>
      <c r="M80" s="29" t="str">
        <f t="shared" si="3"/>
        <v>136856 JUN/2026</v>
      </c>
      <c r="N80">
        <v>136856</v>
      </c>
      <c r="O80" t="s">
        <v>51</v>
      </c>
      <c r="P80" t="s">
        <v>782</v>
      </c>
      <c r="Q80">
        <v>1.417</v>
      </c>
      <c r="T80" s="189"/>
      <c r="U80">
        <v>181571</v>
      </c>
      <c r="V80" t="s">
        <v>829</v>
      </c>
      <c r="W80">
        <v>1.25</v>
      </c>
    </row>
    <row r="81" spans="1:23" x14ac:dyDescent="0.35">
      <c r="A81" s="30" t="s">
        <v>590</v>
      </c>
      <c r="B81">
        <v>142393</v>
      </c>
      <c r="C81" t="s">
        <v>139</v>
      </c>
      <c r="D81" t="s">
        <v>163</v>
      </c>
      <c r="E81">
        <v>180.779</v>
      </c>
      <c r="G81" s="29" t="str">
        <f t="shared" si="2"/>
        <v>165045 JAN/2026</v>
      </c>
      <c r="H81">
        <v>165045</v>
      </c>
      <c r="I81" t="s">
        <v>179</v>
      </c>
      <c r="J81" t="s">
        <v>777</v>
      </c>
      <c r="K81" s="132">
        <v>873</v>
      </c>
      <c r="M81" s="29" t="str">
        <f t="shared" si="3"/>
        <v>74369 JUN/2026</v>
      </c>
      <c r="N81">
        <v>74369</v>
      </c>
      <c r="O81" t="s">
        <v>52</v>
      </c>
      <c r="P81" t="s">
        <v>782</v>
      </c>
      <c r="Q81">
        <v>1.5</v>
      </c>
      <c r="T81" s="189"/>
      <c r="U81">
        <v>184543</v>
      </c>
      <c r="V81" t="s">
        <v>913</v>
      </c>
      <c r="W81">
        <v>0.875</v>
      </c>
    </row>
    <row r="82" spans="1:23" x14ac:dyDescent="0.35">
      <c r="A82" s="30" t="s">
        <v>591</v>
      </c>
      <c r="B82">
        <v>142393</v>
      </c>
      <c r="C82" t="s">
        <v>139</v>
      </c>
      <c r="D82" t="s">
        <v>164</v>
      </c>
      <c r="E82">
        <v>47.792000000000002</v>
      </c>
      <c r="G82" s="29" t="str">
        <f t="shared" si="2"/>
        <v>165045 FEV/2026</v>
      </c>
      <c r="H82">
        <v>165045</v>
      </c>
      <c r="I82" t="s">
        <v>179</v>
      </c>
      <c r="J82" t="s">
        <v>778</v>
      </c>
      <c r="K82" s="132">
        <v>1116.992</v>
      </c>
      <c r="M82" s="29" t="str">
        <f t="shared" si="3"/>
        <v>53581 OUT/2025</v>
      </c>
      <c r="N82">
        <v>53581</v>
      </c>
      <c r="O82" t="s">
        <v>86</v>
      </c>
      <c r="P82" t="s">
        <v>774</v>
      </c>
      <c r="Q82">
        <v>3.5</v>
      </c>
      <c r="T82" s="189"/>
      <c r="U82">
        <v>178813</v>
      </c>
      <c r="V82" t="s">
        <v>914</v>
      </c>
      <c r="W82">
        <v>0.33300000000000002</v>
      </c>
    </row>
    <row r="83" spans="1:23" x14ac:dyDescent="0.35">
      <c r="A83" s="30" t="s">
        <v>592</v>
      </c>
      <c r="B83">
        <v>142393</v>
      </c>
      <c r="C83" t="s">
        <v>139</v>
      </c>
      <c r="D83" t="s">
        <v>165</v>
      </c>
      <c r="E83">
        <v>52.832999999999998</v>
      </c>
      <c r="G83" s="29" t="str">
        <f t="shared" si="2"/>
        <v>165045 MAR/2026</v>
      </c>
      <c r="H83">
        <v>165045</v>
      </c>
      <c r="I83" t="s">
        <v>179</v>
      </c>
      <c r="J83" t="s">
        <v>779</v>
      </c>
      <c r="K83" s="132">
        <v>1134</v>
      </c>
      <c r="M83" s="29" t="str">
        <f t="shared" si="3"/>
        <v>53581 JAN/2026</v>
      </c>
      <c r="N83">
        <v>53581</v>
      </c>
      <c r="O83" t="s">
        <v>86</v>
      </c>
      <c r="P83" t="s">
        <v>777</v>
      </c>
      <c r="Q83">
        <v>5</v>
      </c>
      <c r="T83" s="189"/>
      <c r="U83">
        <v>186529</v>
      </c>
      <c r="V83" t="s">
        <v>915</v>
      </c>
      <c r="W83">
        <v>0.5</v>
      </c>
    </row>
    <row r="84" spans="1:23" x14ac:dyDescent="0.35">
      <c r="A84" s="30" t="s">
        <v>593</v>
      </c>
      <c r="B84">
        <v>142393</v>
      </c>
      <c r="C84" t="s">
        <v>139</v>
      </c>
      <c r="D84" t="s">
        <v>166</v>
      </c>
      <c r="E84">
        <v>14.333</v>
      </c>
      <c r="G84" s="29" t="str">
        <f t="shared" si="2"/>
        <v>165045 ABR/2026</v>
      </c>
      <c r="H84">
        <v>165045</v>
      </c>
      <c r="I84" t="s">
        <v>179</v>
      </c>
      <c r="J84" t="s">
        <v>780</v>
      </c>
      <c r="K84" s="132">
        <v>35</v>
      </c>
      <c r="M84" s="29" t="str">
        <f t="shared" si="3"/>
        <v>53581 MAR/2026</v>
      </c>
      <c r="N84">
        <v>53581</v>
      </c>
      <c r="O84" t="s">
        <v>86</v>
      </c>
      <c r="P84" t="s">
        <v>779</v>
      </c>
      <c r="Q84">
        <v>1.583</v>
      </c>
      <c r="T84" s="189"/>
      <c r="U84">
        <v>177191</v>
      </c>
      <c r="V84" t="s">
        <v>916</v>
      </c>
      <c r="W84">
        <v>0.438</v>
      </c>
    </row>
    <row r="85" spans="1:23" x14ac:dyDescent="0.35">
      <c r="A85" s="30" t="s">
        <v>594</v>
      </c>
      <c r="B85">
        <v>142393</v>
      </c>
      <c r="C85" t="s">
        <v>139</v>
      </c>
      <c r="D85" t="s">
        <v>167</v>
      </c>
      <c r="E85">
        <v>14.824999999999999</v>
      </c>
      <c r="G85" s="29" t="str">
        <f t="shared" si="2"/>
        <v>165045 MAI/2026</v>
      </c>
      <c r="H85">
        <v>165045</v>
      </c>
      <c r="I85" t="s">
        <v>179</v>
      </c>
      <c r="J85" t="s">
        <v>781</v>
      </c>
      <c r="K85" s="132">
        <v>1113</v>
      </c>
      <c r="M85" s="29" t="str">
        <f t="shared" si="3"/>
        <v>53581 JUN/2026</v>
      </c>
      <c r="N85">
        <v>53581</v>
      </c>
      <c r="O85" t="s">
        <v>86</v>
      </c>
      <c r="P85" t="s">
        <v>782</v>
      </c>
      <c r="Q85">
        <v>1.833</v>
      </c>
      <c r="T85" s="189"/>
      <c r="U85">
        <v>117336</v>
      </c>
      <c r="V85" t="s">
        <v>917</v>
      </c>
      <c r="W85">
        <v>0.5</v>
      </c>
    </row>
    <row r="86" spans="1:23" x14ac:dyDescent="0.35">
      <c r="A86" s="30" t="s">
        <v>595</v>
      </c>
      <c r="B86">
        <v>142393</v>
      </c>
      <c r="C86" t="s">
        <v>139</v>
      </c>
      <c r="D86" t="s">
        <v>168</v>
      </c>
      <c r="E86">
        <v>15.238</v>
      </c>
      <c r="G86" s="29" t="str">
        <f t="shared" si="2"/>
        <v>165045 JUN/2026</v>
      </c>
      <c r="H86">
        <v>165045</v>
      </c>
      <c r="I86" t="s">
        <v>179</v>
      </c>
      <c r="J86" t="s">
        <v>782</v>
      </c>
      <c r="K86" s="132">
        <v>-4</v>
      </c>
      <c r="M86" s="29" t="str">
        <f t="shared" si="3"/>
        <v>57679 AGO/2025</v>
      </c>
      <c r="N86">
        <v>57679</v>
      </c>
      <c r="O86" t="s">
        <v>137</v>
      </c>
      <c r="P86" t="s">
        <v>773</v>
      </c>
      <c r="Q86">
        <v>15</v>
      </c>
      <c r="T86" s="189"/>
      <c r="U86">
        <v>185514</v>
      </c>
      <c r="V86" t="s">
        <v>830</v>
      </c>
      <c r="W86" s="6">
        <v>1</v>
      </c>
    </row>
    <row r="87" spans="1:23" x14ac:dyDescent="0.35">
      <c r="A87" s="30" t="s">
        <v>596</v>
      </c>
      <c r="B87">
        <v>188239</v>
      </c>
      <c r="C87" t="s">
        <v>139</v>
      </c>
      <c r="D87" t="s">
        <v>161</v>
      </c>
      <c r="E87">
        <v>32.75</v>
      </c>
      <c r="G87" s="29" t="str">
        <f t="shared" si="2"/>
        <v>189159 ABR/2026</v>
      </c>
      <c r="H87">
        <v>189159</v>
      </c>
      <c r="I87" t="s">
        <v>179</v>
      </c>
      <c r="J87" t="s">
        <v>780</v>
      </c>
      <c r="K87" s="132">
        <v>6.5</v>
      </c>
      <c r="M87" s="29" t="str">
        <f t="shared" si="3"/>
        <v>57679 NOV/2025</v>
      </c>
      <c r="N87">
        <v>57679</v>
      </c>
      <c r="O87" t="s">
        <v>137</v>
      </c>
      <c r="P87" t="s">
        <v>775</v>
      </c>
      <c r="Q87">
        <v>3</v>
      </c>
      <c r="T87" s="189"/>
      <c r="U87">
        <v>174189</v>
      </c>
      <c r="V87" t="s">
        <v>918</v>
      </c>
      <c r="W87">
        <v>0.16700000000000001</v>
      </c>
    </row>
    <row r="88" spans="1:23" x14ac:dyDescent="0.35">
      <c r="A88" s="30" t="s">
        <v>597</v>
      </c>
      <c r="B88">
        <v>188239</v>
      </c>
      <c r="C88" t="s">
        <v>139</v>
      </c>
      <c r="D88" t="s">
        <v>162</v>
      </c>
      <c r="E88">
        <v>42.207999999999998</v>
      </c>
      <c r="G88" s="29" t="str">
        <f t="shared" si="2"/>
        <v>189945 ABR/2026</v>
      </c>
      <c r="H88">
        <v>189945</v>
      </c>
      <c r="I88" t="s">
        <v>179</v>
      </c>
      <c r="J88" t="s">
        <v>780</v>
      </c>
      <c r="K88" s="132">
        <v>6.5</v>
      </c>
      <c r="M88" s="29" t="str">
        <f t="shared" si="3"/>
        <v>57679 FEV/2026</v>
      </c>
      <c r="N88">
        <v>57679</v>
      </c>
      <c r="O88" t="s">
        <v>137</v>
      </c>
      <c r="P88" t="s">
        <v>778</v>
      </c>
      <c r="Q88">
        <v>12</v>
      </c>
      <c r="T88" s="189"/>
      <c r="U88">
        <v>165506</v>
      </c>
      <c r="V88" t="s">
        <v>919</v>
      </c>
      <c r="W88">
        <v>2.0830000000000002</v>
      </c>
    </row>
    <row r="89" spans="1:23" x14ac:dyDescent="0.35">
      <c r="A89" s="30" t="s">
        <v>598</v>
      </c>
      <c r="B89">
        <v>188239</v>
      </c>
      <c r="C89" t="s">
        <v>139</v>
      </c>
      <c r="D89" t="s">
        <v>163</v>
      </c>
      <c r="E89">
        <v>105.771</v>
      </c>
      <c r="G89" s="29" t="str">
        <f t="shared" si="2"/>
        <v>189947 ABR/2026</v>
      </c>
      <c r="H89">
        <v>189947</v>
      </c>
      <c r="I89" t="s">
        <v>179</v>
      </c>
      <c r="J89" t="s">
        <v>780</v>
      </c>
      <c r="K89" s="132">
        <v>6.5</v>
      </c>
      <c r="M89" s="29" t="str">
        <f t="shared" si="3"/>
        <v>57679 MAR/2026</v>
      </c>
      <c r="N89">
        <v>57679</v>
      </c>
      <c r="O89" t="s">
        <v>137</v>
      </c>
      <c r="P89" t="s">
        <v>779</v>
      </c>
      <c r="Q89">
        <v>13</v>
      </c>
      <c r="T89" s="189"/>
      <c r="U89">
        <v>153350</v>
      </c>
      <c r="V89" t="s">
        <v>920</v>
      </c>
      <c r="W89">
        <v>0.25</v>
      </c>
    </row>
    <row r="90" spans="1:23" x14ac:dyDescent="0.35">
      <c r="A90" s="30" t="s">
        <v>599</v>
      </c>
      <c r="B90">
        <v>188239</v>
      </c>
      <c r="C90" t="s">
        <v>139</v>
      </c>
      <c r="D90" t="s">
        <v>164</v>
      </c>
      <c r="E90">
        <v>35.167000000000002</v>
      </c>
      <c r="G90" s="29" t="str">
        <f t="shared" si="2"/>
        <v>189948 ABR/2026</v>
      </c>
      <c r="H90">
        <v>189948</v>
      </c>
      <c r="I90" t="s">
        <v>179</v>
      </c>
      <c r="J90" t="s">
        <v>780</v>
      </c>
      <c r="K90" s="132">
        <v>6.5</v>
      </c>
      <c r="M90" s="29" t="str">
        <f t="shared" si="3"/>
        <v>57679 ABR/2026</v>
      </c>
      <c r="N90">
        <v>57679</v>
      </c>
      <c r="O90" t="s">
        <v>137</v>
      </c>
      <c r="P90" t="s">
        <v>780</v>
      </c>
      <c r="Q90">
        <v>3</v>
      </c>
      <c r="T90" s="189"/>
      <c r="U90">
        <v>183462</v>
      </c>
      <c r="V90" t="s">
        <v>921</v>
      </c>
      <c r="W90">
        <v>0.75</v>
      </c>
    </row>
    <row r="91" spans="1:23" x14ac:dyDescent="0.35">
      <c r="A91" s="30" t="s">
        <v>600</v>
      </c>
      <c r="B91">
        <v>188239</v>
      </c>
      <c r="C91" t="s">
        <v>139</v>
      </c>
      <c r="D91" t="s">
        <v>165</v>
      </c>
      <c r="E91">
        <v>33.25</v>
      </c>
      <c r="G91" s="29" t="str">
        <f t="shared" si="2"/>
        <v>142393 JUL/2025</v>
      </c>
      <c r="H91">
        <v>142393</v>
      </c>
      <c r="I91" t="s">
        <v>139</v>
      </c>
      <c r="J91" t="s">
        <v>512</v>
      </c>
      <c r="K91" s="132">
        <v>7.875</v>
      </c>
      <c r="M91" s="29" t="str">
        <f t="shared" si="3"/>
        <v>57679 MAI/2026</v>
      </c>
      <c r="N91">
        <v>57679</v>
      </c>
      <c r="O91" t="s">
        <v>137</v>
      </c>
      <c r="P91" t="s">
        <v>781</v>
      </c>
      <c r="Q91">
        <v>15</v>
      </c>
      <c r="T91" s="189"/>
      <c r="U91">
        <v>117583</v>
      </c>
      <c r="V91" t="s">
        <v>922</v>
      </c>
      <c r="W91">
        <v>0.375</v>
      </c>
    </row>
    <row r="92" spans="1:23" x14ac:dyDescent="0.35">
      <c r="A92" s="30" t="s">
        <v>601</v>
      </c>
      <c r="B92">
        <v>188239</v>
      </c>
      <c r="C92" t="s">
        <v>139</v>
      </c>
      <c r="D92" t="s">
        <v>166</v>
      </c>
      <c r="E92">
        <v>9.75</v>
      </c>
      <c r="G92" s="29" t="str">
        <f t="shared" si="2"/>
        <v>142393 AGO/2025</v>
      </c>
      <c r="H92">
        <v>142393</v>
      </c>
      <c r="I92" t="s">
        <v>139</v>
      </c>
      <c r="J92" t="s">
        <v>773</v>
      </c>
      <c r="K92" s="132">
        <v>-1.0920000000000001</v>
      </c>
      <c r="M92" s="29" t="str">
        <f t="shared" si="3"/>
        <v>184217 AGO/2025</v>
      </c>
      <c r="N92">
        <v>184217</v>
      </c>
      <c r="O92" t="s">
        <v>142</v>
      </c>
      <c r="P92" t="s">
        <v>773</v>
      </c>
      <c r="Q92">
        <v>0.25</v>
      </c>
      <c r="T92" s="189"/>
      <c r="U92">
        <v>90831</v>
      </c>
      <c r="V92" t="s">
        <v>923</v>
      </c>
      <c r="W92">
        <v>0.25</v>
      </c>
    </row>
    <row r="93" spans="1:23" x14ac:dyDescent="0.35">
      <c r="A93" s="30" t="s">
        <v>602</v>
      </c>
      <c r="B93">
        <v>188239</v>
      </c>
      <c r="C93" t="s">
        <v>139</v>
      </c>
      <c r="D93" t="s">
        <v>167</v>
      </c>
      <c r="E93">
        <v>45.042000000000002</v>
      </c>
      <c r="G93" s="29" t="str">
        <f t="shared" si="2"/>
        <v>142393 SET/2025</v>
      </c>
      <c r="H93">
        <v>142393</v>
      </c>
      <c r="I93" t="s">
        <v>139</v>
      </c>
      <c r="J93" t="s">
        <v>772</v>
      </c>
      <c r="K93" s="131">
        <v>-140.833</v>
      </c>
      <c r="M93" s="29" t="str">
        <f t="shared" si="3"/>
        <v>184335 JUL/2025</v>
      </c>
      <c r="N93">
        <v>184335</v>
      </c>
      <c r="O93" t="s">
        <v>142</v>
      </c>
      <c r="P93" t="s">
        <v>512</v>
      </c>
      <c r="Q93">
        <v>0.25</v>
      </c>
      <c r="T93" s="189"/>
      <c r="U93">
        <v>110150</v>
      </c>
      <c r="V93" t="s">
        <v>924</v>
      </c>
      <c r="W93">
        <v>1</v>
      </c>
    </row>
    <row r="94" spans="1:23" x14ac:dyDescent="0.35">
      <c r="A94" s="30" t="s">
        <v>603</v>
      </c>
      <c r="B94">
        <v>188239</v>
      </c>
      <c r="C94" t="s">
        <v>139</v>
      </c>
      <c r="D94" t="s">
        <v>168</v>
      </c>
      <c r="E94">
        <v>52.417000000000002</v>
      </c>
      <c r="G94" s="29" t="str">
        <f t="shared" si="2"/>
        <v>142393 OUT/2025</v>
      </c>
      <c r="H94">
        <v>142393</v>
      </c>
      <c r="I94" t="s">
        <v>139</v>
      </c>
      <c r="J94" t="s">
        <v>774</v>
      </c>
      <c r="K94" s="132">
        <v>-4.2249999999999996</v>
      </c>
      <c r="M94" s="29" t="str">
        <f t="shared" si="3"/>
        <v>94520 JUL/2025</v>
      </c>
      <c r="N94">
        <v>94520</v>
      </c>
      <c r="O94" t="s">
        <v>53</v>
      </c>
      <c r="P94" t="s">
        <v>512</v>
      </c>
      <c r="Q94">
        <v>2</v>
      </c>
      <c r="T94" s="189"/>
      <c r="U94">
        <v>191412</v>
      </c>
      <c r="V94" t="s">
        <v>925</v>
      </c>
      <c r="W94">
        <v>8.3000000000000004E-2</v>
      </c>
    </row>
    <row r="95" spans="1:23" x14ac:dyDescent="0.35">
      <c r="A95" s="30" t="s">
        <v>604</v>
      </c>
      <c r="B95">
        <v>53405</v>
      </c>
      <c r="C95" t="s">
        <v>180</v>
      </c>
      <c r="D95" t="s">
        <v>160</v>
      </c>
      <c r="E95">
        <v>5.875</v>
      </c>
      <c r="G95" s="29" t="str">
        <f t="shared" si="2"/>
        <v>142393 DEZ/2025</v>
      </c>
      <c r="H95">
        <v>142393</v>
      </c>
      <c r="I95" t="s">
        <v>139</v>
      </c>
      <c r="J95" t="s">
        <v>776</v>
      </c>
      <c r="K95" s="132">
        <v>-0.38300000000000001</v>
      </c>
      <c r="M95" s="29" t="str">
        <f t="shared" si="3"/>
        <v>94520 AGO/2025</v>
      </c>
      <c r="N95">
        <v>94520</v>
      </c>
      <c r="O95" t="s">
        <v>53</v>
      </c>
      <c r="P95" t="s">
        <v>773</v>
      </c>
      <c r="Q95">
        <v>5.5</v>
      </c>
      <c r="T95" s="189"/>
      <c r="U95">
        <v>175516</v>
      </c>
      <c r="V95" t="s">
        <v>926</v>
      </c>
      <c r="W95">
        <v>7</v>
      </c>
    </row>
    <row r="96" spans="1:23" x14ac:dyDescent="0.35">
      <c r="A96" s="30" t="s">
        <v>605</v>
      </c>
      <c r="B96">
        <v>184214</v>
      </c>
      <c r="C96" t="s">
        <v>180</v>
      </c>
      <c r="D96" t="s">
        <v>160</v>
      </c>
      <c r="E96">
        <v>5.875</v>
      </c>
      <c r="G96" s="29" t="str">
        <f t="shared" si="2"/>
        <v>142393 JAN/2026</v>
      </c>
      <c r="H96">
        <v>142393</v>
      </c>
      <c r="I96" t="s">
        <v>139</v>
      </c>
      <c r="J96" t="s">
        <v>777</v>
      </c>
      <c r="K96" s="131">
        <v>-0.60799999999999998</v>
      </c>
      <c r="M96" s="29" t="str">
        <f t="shared" si="3"/>
        <v>94520 SET/2025</v>
      </c>
      <c r="N96">
        <v>94520</v>
      </c>
      <c r="O96" t="s">
        <v>53</v>
      </c>
      <c r="P96" t="s">
        <v>772</v>
      </c>
      <c r="Q96">
        <v>17</v>
      </c>
      <c r="T96" s="189"/>
      <c r="U96">
        <v>52334</v>
      </c>
      <c r="V96" t="s">
        <v>927</v>
      </c>
      <c r="W96">
        <v>1</v>
      </c>
    </row>
    <row r="97" spans="1:23" x14ac:dyDescent="0.35">
      <c r="A97" s="30" t="s">
        <v>606</v>
      </c>
      <c r="B97">
        <v>184221</v>
      </c>
      <c r="C97" t="s">
        <v>180</v>
      </c>
      <c r="D97" t="s">
        <v>160</v>
      </c>
      <c r="E97">
        <v>5.875</v>
      </c>
      <c r="G97" s="29" t="str">
        <f t="shared" si="2"/>
        <v>142393 ABR/2026</v>
      </c>
      <c r="H97">
        <v>142393</v>
      </c>
      <c r="I97" t="s">
        <v>139</v>
      </c>
      <c r="J97" t="s">
        <v>780</v>
      </c>
      <c r="K97" s="132">
        <v>-0.16700000000000001</v>
      </c>
      <c r="M97" s="29" t="str">
        <f t="shared" si="3"/>
        <v>94520 OUT/2025</v>
      </c>
      <c r="N97">
        <v>94520</v>
      </c>
      <c r="O97" t="s">
        <v>53</v>
      </c>
      <c r="P97" t="s">
        <v>774</v>
      </c>
      <c r="Q97">
        <v>31</v>
      </c>
      <c r="T97" s="189"/>
      <c r="U97">
        <v>175703</v>
      </c>
      <c r="V97" t="s">
        <v>928</v>
      </c>
      <c r="W97">
        <v>1.167</v>
      </c>
    </row>
    <row r="98" spans="1:23" x14ac:dyDescent="0.35">
      <c r="A98" s="30" t="s">
        <v>607</v>
      </c>
      <c r="B98">
        <v>134677</v>
      </c>
      <c r="C98" t="s">
        <v>156</v>
      </c>
      <c r="D98" t="s">
        <v>157</v>
      </c>
      <c r="E98">
        <v>-1</v>
      </c>
      <c r="G98" s="29" t="str">
        <f t="shared" si="2"/>
        <v>142393 JUN/2026</v>
      </c>
      <c r="H98">
        <v>142393</v>
      </c>
      <c r="I98" t="s">
        <v>139</v>
      </c>
      <c r="J98" t="s">
        <v>782</v>
      </c>
      <c r="K98" s="132">
        <v>-0.83299999999999996</v>
      </c>
      <c r="M98" s="29" t="str">
        <f t="shared" si="3"/>
        <v>94520 NOV/2025</v>
      </c>
      <c r="N98">
        <v>94520</v>
      </c>
      <c r="O98" t="s">
        <v>53</v>
      </c>
      <c r="P98" t="s">
        <v>775</v>
      </c>
      <c r="Q98">
        <v>2</v>
      </c>
      <c r="T98" s="189"/>
      <c r="U98">
        <v>185310</v>
      </c>
      <c r="V98" t="s">
        <v>831</v>
      </c>
      <c r="W98">
        <v>8.3000000000000004E-2</v>
      </c>
    </row>
    <row r="99" spans="1:23" x14ac:dyDescent="0.35">
      <c r="A99" s="30" t="s">
        <v>608</v>
      </c>
      <c r="B99">
        <v>134677</v>
      </c>
      <c r="C99" t="s">
        <v>156</v>
      </c>
      <c r="D99" t="s">
        <v>158</v>
      </c>
      <c r="E99">
        <v>84</v>
      </c>
      <c r="G99" s="29" t="str">
        <f t="shared" si="2"/>
        <v>188239 JUL/2025</v>
      </c>
      <c r="H99">
        <v>188239</v>
      </c>
      <c r="I99" t="s">
        <v>139</v>
      </c>
      <c r="J99" t="s">
        <v>512</v>
      </c>
      <c r="K99" s="132">
        <v>-26.917000000000002</v>
      </c>
      <c r="M99" s="29" t="str">
        <f t="shared" si="3"/>
        <v>94520 DEZ/2025</v>
      </c>
      <c r="N99">
        <v>94520</v>
      </c>
      <c r="O99" t="s">
        <v>53</v>
      </c>
      <c r="P99" t="s">
        <v>776</v>
      </c>
      <c r="Q99">
        <v>10</v>
      </c>
      <c r="T99" s="189"/>
      <c r="U99">
        <v>171479</v>
      </c>
      <c r="V99" t="s">
        <v>929</v>
      </c>
      <c r="W99">
        <v>0.875</v>
      </c>
    </row>
    <row r="100" spans="1:23" x14ac:dyDescent="0.35">
      <c r="A100" s="30" t="s">
        <v>609</v>
      </c>
      <c r="B100">
        <v>134677</v>
      </c>
      <c r="C100" t="s">
        <v>156</v>
      </c>
      <c r="D100" t="s">
        <v>159</v>
      </c>
      <c r="E100">
        <v>-8.3000000000000004E-2</v>
      </c>
      <c r="G100" s="29" t="str">
        <f t="shared" si="2"/>
        <v>188239 AGO/2025</v>
      </c>
      <c r="H100">
        <v>188239</v>
      </c>
      <c r="I100" t="s">
        <v>139</v>
      </c>
      <c r="J100" t="s">
        <v>773</v>
      </c>
      <c r="K100" s="132">
        <v>747</v>
      </c>
      <c r="M100" s="29" t="str">
        <f t="shared" si="3"/>
        <v>94520 JAN/2026</v>
      </c>
      <c r="N100">
        <v>94520</v>
      </c>
      <c r="O100" t="s">
        <v>53</v>
      </c>
      <c r="P100" t="s">
        <v>777</v>
      </c>
      <c r="Q100">
        <v>7.75</v>
      </c>
      <c r="T100" s="189"/>
      <c r="U100">
        <v>191572</v>
      </c>
      <c r="V100" t="s">
        <v>813</v>
      </c>
      <c r="W100">
        <v>0.25</v>
      </c>
    </row>
    <row r="101" spans="1:23" x14ac:dyDescent="0.35">
      <c r="A101" s="30" t="s">
        <v>610</v>
      </c>
      <c r="B101">
        <v>134677</v>
      </c>
      <c r="C101" t="s">
        <v>156</v>
      </c>
      <c r="D101" t="s">
        <v>160</v>
      </c>
      <c r="E101" s="6">
        <v>1101.354</v>
      </c>
      <c r="G101" s="29" t="str">
        <f t="shared" si="2"/>
        <v>188239 SET/2025</v>
      </c>
      <c r="H101">
        <v>188239</v>
      </c>
      <c r="I101" t="s">
        <v>139</v>
      </c>
      <c r="J101" t="s">
        <v>772</v>
      </c>
      <c r="K101" s="132">
        <v>17</v>
      </c>
      <c r="M101" s="29" t="str">
        <f t="shared" si="3"/>
        <v>94520 FEV/2026</v>
      </c>
      <c r="N101">
        <v>94520</v>
      </c>
      <c r="O101" t="s">
        <v>53</v>
      </c>
      <c r="P101" t="s">
        <v>778</v>
      </c>
      <c r="Q101">
        <v>9.5830000000000002</v>
      </c>
      <c r="T101" s="189"/>
      <c r="U101">
        <v>191986</v>
      </c>
      <c r="V101" t="s">
        <v>930</v>
      </c>
      <c r="W101">
        <v>0.5</v>
      </c>
    </row>
    <row r="102" spans="1:23" x14ac:dyDescent="0.35">
      <c r="A102" s="30" t="s">
        <v>611</v>
      </c>
      <c r="B102">
        <v>134677</v>
      </c>
      <c r="C102" t="s">
        <v>156</v>
      </c>
      <c r="D102" t="s">
        <v>161</v>
      </c>
      <c r="E102">
        <v>60.75</v>
      </c>
      <c r="G102" s="29" t="str">
        <f t="shared" si="2"/>
        <v>188239 OUT/2025</v>
      </c>
      <c r="H102">
        <v>188239</v>
      </c>
      <c r="I102" t="s">
        <v>139</v>
      </c>
      <c r="J102" t="s">
        <v>774</v>
      </c>
      <c r="K102" s="132">
        <v>67.5</v>
      </c>
      <c r="M102" s="29" t="str">
        <f t="shared" si="3"/>
        <v>94520 MAR/2026</v>
      </c>
      <c r="N102">
        <v>94520</v>
      </c>
      <c r="O102" t="s">
        <v>53</v>
      </c>
      <c r="P102" t="s">
        <v>779</v>
      </c>
      <c r="Q102">
        <v>30.25</v>
      </c>
      <c r="T102" s="189"/>
      <c r="U102">
        <v>187381</v>
      </c>
      <c r="V102" t="s">
        <v>931</v>
      </c>
      <c r="W102">
        <v>0.16700000000000001</v>
      </c>
    </row>
    <row r="103" spans="1:23" x14ac:dyDescent="0.35">
      <c r="A103" s="30" t="s">
        <v>612</v>
      </c>
      <c r="B103">
        <v>134677</v>
      </c>
      <c r="C103" t="s">
        <v>156</v>
      </c>
      <c r="D103" t="s">
        <v>162</v>
      </c>
      <c r="E103">
        <v>21</v>
      </c>
      <c r="G103" s="29" t="str">
        <f t="shared" si="2"/>
        <v>189860 JUL/2025</v>
      </c>
      <c r="H103">
        <v>189860</v>
      </c>
      <c r="I103" t="s">
        <v>139</v>
      </c>
      <c r="J103" t="s">
        <v>512</v>
      </c>
      <c r="K103" s="132">
        <v>29.75</v>
      </c>
      <c r="M103" s="29" t="str">
        <f t="shared" si="3"/>
        <v>94520 ABR/2026</v>
      </c>
      <c r="N103">
        <v>94520</v>
      </c>
      <c r="O103" t="s">
        <v>53</v>
      </c>
      <c r="P103" t="s">
        <v>780</v>
      </c>
      <c r="Q103">
        <v>4.6669999999999998</v>
      </c>
      <c r="T103" s="189"/>
      <c r="U103">
        <v>188800</v>
      </c>
      <c r="V103" t="s">
        <v>932</v>
      </c>
      <c r="W103" s="6">
        <v>6.3E-2</v>
      </c>
    </row>
    <row r="104" spans="1:23" x14ac:dyDescent="0.35">
      <c r="A104" s="30" t="s">
        <v>613</v>
      </c>
      <c r="B104">
        <v>134677</v>
      </c>
      <c r="C104" t="s">
        <v>156</v>
      </c>
      <c r="D104" t="s">
        <v>163</v>
      </c>
      <c r="E104">
        <v>211</v>
      </c>
      <c r="G104" s="29" t="str">
        <f t="shared" si="2"/>
        <v>189860 AGO/2025</v>
      </c>
      <c r="H104">
        <v>189860</v>
      </c>
      <c r="I104" t="s">
        <v>139</v>
      </c>
      <c r="J104" t="s">
        <v>773</v>
      </c>
      <c r="K104" s="132">
        <v>57.792000000000002</v>
      </c>
      <c r="M104" s="29" t="str">
        <f t="shared" si="3"/>
        <v>94520 MAI/2026</v>
      </c>
      <c r="N104">
        <v>94520</v>
      </c>
      <c r="O104" t="s">
        <v>53</v>
      </c>
      <c r="P104" t="s">
        <v>781</v>
      </c>
      <c r="Q104">
        <v>3.0830000000000002</v>
      </c>
      <c r="T104" s="189"/>
      <c r="U104">
        <v>187617</v>
      </c>
      <c r="V104" t="s">
        <v>933</v>
      </c>
      <c r="W104">
        <v>13</v>
      </c>
    </row>
    <row r="105" spans="1:23" x14ac:dyDescent="0.35">
      <c r="A105" s="30" t="s">
        <v>614</v>
      </c>
      <c r="B105">
        <v>134677</v>
      </c>
      <c r="C105" t="s">
        <v>156</v>
      </c>
      <c r="D105" t="s">
        <v>164</v>
      </c>
      <c r="E105">
        <v>-2.0830000000000002</v>
      </c>
      <c r="G105" s="29" t="str">
        <f t="shared" si="2"/>
        <v>189860 OUT/2025</v>
      </c>
      <c r="H105">
        <v>189860</v>
      </c>
      <c r="I105" t="s">
        <v>139</v>
      </c>
      <c r="J105" t="s">
        <v>774</v>
      </c>
      <c r="K105" s="131">
        <v>166.833</v>
      </c>
      <c r="M105" s="29" t="str">
        <f t="shared" si="3"/>
        <v>94520 JUN/2026</v>
      </c>
      <c r="N105">
        <v>94520</v>
      </c>
      <c r="O105" t="s">
        <v>53</v>
      </c>
      <c r="P105" t="s">
        <v>782</v>
      </c>
      <c r="Q105">
        <v>0.75</v>
      </c>
      <c r="T105" s="189"/>
      <c r="U105">
        <v>127780</v>
      </c>
      <c r="V105" t="s">
        <v>934</v>
      </c>
      <c r="W105">
        <v>0.16700000000000001</v>
      </c>
    </row>
    <row r="106" spans="1:23" x14ac:dyDescent="0.35">
      <c r="A106" s="30" t="s">
        <v>615</v>
      </c>
      <c r="B106">
        <v>134677</v>
      </c>
      <c r="C106" t="s">
        <v>156</v>
      </c>
      <c r="D106" t="s">
        <v>165</v>
      </c>
      <c r="E106">
        <v>184.625</v>
      </c>
      <c r="G106" s="29" t="str">
        <f t="shared" si="2"/>
        <v>189860 NOV/2025</v>
      </c>
      <c r="H106">
        <v>189860</v>
      </c>
      <c r="I106" t="s">
        <v>139</v>
      </c>
      <c r="J106" t="s">
        <v>775</v>
      </c>
      <c r="K106" s="132">
        <v>158.5</v>
      </c>
      <c r="M106" s="29" t="str">
        <f t="shared" si="3"/>
        <v>53461 AGO/2025</v>
      </c>
      <c r="N106">
        <v>53461</v>
      </c>
      <c r="O106" t="s">
        <v>87</v>
      </c>
      <c r="P106" t="s">
        <v>773</v>
      </c>
      <c r="Q106">
        <v>0.25</v>
      </c>
      <c r="T106" s="189"/>
      <c r="U106">
        <v>178403</v>
      </c>
      <c r="V106" t="s">
        <v>935</v>
      </c>
      <c r="W106">
        <v>21</v>
      </c>
    </row>
    <row r="107" spans="1:23" x14ac:dyDescent="0.35">
      <c r="A107" s="30" t="s">
        <v>616</v>
      </c>
      <c r="B107">
        <v>134677</v>
      </c>
      <c r="C107" t="s">
        <v>156</v>
      </c>
      <c r="D107" t="s">
        <v>167</v>
      </c>
      <c r="E107">
        <v>102.917</v>
      </c>
      <c r="G107" s="29" t="str">
        <f t="shared" si="2"/>
        <v>189860 DEZ/2025</v>
      </c>
      <c r="H107">
        <v>189860</v>
      </c>
      <c r="I107" t="s">
        <v>139</v>
      </c>
      <c r="J107" t="s">
        <v>776</v>
      </c>
      <c r="K107" s="132">
        <v>169.167</v>
      </c>
      <c r="M107" s="29" t="str">
        <f t="shared" si="3"/>
        <v>56110 AGO/2025</v>
      </c>
      <c r="N107">
        <v>56110</v>
      </c>
      <c r="O107" t="s">
        <v>88</v>
      </c>
      <c r="P107" t="s">
        <v>773</v>
      </c>
      <c r="Q107">
        <v>0.25</v>
      </c>
      <c r="T107" s="189"/>
      <c r="U107">
        <v>126070</v>
      </c>
      <c r="V107" t="s">
        <v>832</v>
      </c>
      <c r="W107">
        <v>6</v>
      </c>
    </row>
    <row r="108" spans="1:23" x14ac:dyDescent="0.35">
      <c r="A108" s="30" t="s">
        <v>617</v>
      </c>
      <c r="B108">
        <v>134677</v>
      </c>
      <c r="C108" t="s">
        <v>156</v>
      </c>
      <c r="D108" t="s">
        <v>168</v>
      </c>
      <c r="E108">
        <v>84</v>
      </c>
      <c r="G108" s="29" t="str">
        <f t="shared" si="2"/>
        <v>189860 JAN/2026</v>
      </c>
      <c r="H108">
        <v>189860</v>
      </c>
      <c r="I108" t="s">
        <v>139</v>
      </c>
      <c r="J108" t="s">
        <v>777</v>
      </c>
      <c r="K108" s="132">
        <v>102.625</v>
      </c>
      <c r="M108" s="29" t="str">
        <f t="shared" si="3"/>
        <v>73922 AGO/2025</v>
      </c>
      <c r="N108">
        <v>73922</v>
      </c>
      <c r="O108" t="s">
        <v>89</v>
      </c>
      <c r="P108" t="s">
        <v>773</v>
      </c>
      <c r="Q108">
        <v>0.25</v>
      </c>
      <c r="T108" s="189"/>
      <c r="U108">
        <v>175491</v>
      </c>
      <c r="V108" t="s">
        <v>936</v>
      </c>
      <c r="W108">
        <v>0.625</v>
      </c>
    </row>
    <row r="109" spans="1:23" x14ac:dyDescent="0.35">
      <c r="A109" s="30" t="s">
        <v>618</v>
      </c>
      <c r="B109">
        <v>152753</v>
      </c>
      <c r="C109" t="s">
        <v>181</v>
      </c>
      <c r="D109" t="s">
        <v>160</v>
      </c>
      <c r="E109">
        <v>5.875</v>
      </c>
      <c r="G109" s="29" t="str">
        <f t="shared" si="2"/>
        <v>189860 FEV/2026</v>
      </c>
      <c r="H109">
        <v>189860</v>
      </c>
      <c r="I109" t="s">
        <v>139</v>
      </c>
      <c r="J109" t="s">
        <v>778</v>
      </c>
      <c r="K109" s="132">
        <v>68.25</v>
      </c>
      <c r="M109" s="29" t="str">
        <f t="shared" si="3"/>
        <v>102953 AGO/2025</v>
      </c>
      <c r="N109">
        <v>102953</v>
      </c>
      <c r="O109" t="s">
        <v>90</v>
      </c>
      <c r="P109" t="s">
        <v>773</v>
      </c>
      <c r="Q109">
        <v>0.25</v>
      </c>
      <c r="T109" s="189"/>
      <c r="U109">
        <v>183865</v>
      </c>
      <c r="V109" t="s">
        <v>937</v>
      </c>
      <c r="W109">
        <v>0.5</v>
      </c>
    </row>
    <row r="110" spans="1:23" x14ac:dyDescent="0.35">
      <c r="A110" s="30" t="s">
        <v>619</v>
      </c>
      <c r="B110">
        <v>152753</v>
      </c>
      <c r="C110" t="s">
        <v>181</v>
      </c>
      <c r="D110" t="s">
        <v>162</v>
      </c>
      <c r="E110">
        <v>-0.25</v>
      </c>
      <c r="G110" s="29" t="str">
        <f t="shared" si="2"/>
        <v>189860 MAR/2026</v>
      </c>
      <c r="H110">
        <v>189860</v>
      </c>
      <c r="I110" t="s">
        <v>139</v>
      </c>
      <c r="J110" t="s">
        <v>779</v>
      </c>
      <c r="K110" s="132">
        <v>591.5</v>
      </c>
      <c r="M110" s="29" t="str">
        <f t="shared" si="3"/>
        <v>119456 AGO/2025</v>
      </c>
      <c r="N110">
        <v>119456</v>
      </c>
      <c r="O110" t="s">
        <v>94</v>
      </c>
      <c r="P110" t="s">
        <v>773</v>
      </c>
      <c r="Q110">
        <v>0.25</v>
      </c>
      <c r="T110" s="189"/>
      <c r="U110">
        <v>111892</v>
      </c>
      <c r="V110" t="s">
        <v>938</v>
      </c>
      <c r="W110" s="6">
        <v>0.16700000000000001</v>
      </c>
    </row>
    <row r="111" spans="1:23" x14ac:dyDescent="0.35">
      <c r="A111" s="30" t="s">
        <v>620</v>
      </c>
      <c r="B111">
        <v>182592</v>
      </c>
      <c r="C111" t="s">
        <v>182</v>
      </c>
      <c r="D111" t="s">
        <v>160</v>
      </c>
      <c r="E111">
        <v>5.875</v>
      </c>
      <c r="G111" s="29" t="str">
        <f t="shared" si="2"/>
        <v>189860 ABR/2026</v>
      </c>
      <c r="H111">
        <v>189860</v>
      </c>
      <c r="I111" t="s">
        <v>139</v>
      </c>
      <c r="J111" t="s">
        <v>780</v>
      </c>
      <c r="K111" s="132">
        <v>-120.833</v>
      </c>
      <c r="M111" s="29" t="str">
        <f t="shared" si="3"/>
        <v>150368 JUL/2025</v>
      </c>
      <c r="N111">
        <v>150368</v>
      </c>
      <c r="O111" t="s">
        <v>91</v>
      </c>
      <c r="P111" t="s">
        <v>512</v>
      </c>
      <c r="Q111">
        <v>0.25</v>
      </c>
      <c r="T111" s="189"/>
      <c r="U111">
        <v>183586</v>
      </c>
      <c r="V111" t="s">
        <v>939</v>
      </c>
      <c r="W111">
        <v>0.33300000000000002</v>
      </c>
    </row>
    <row r="112" spans="1:23" x14ac:dyDescent="0.35">
      <c r="A112" s="30" t="s">
        <v>621</v>
      </c>
      <c r="B112">
        <v>182592</v>
      </c>
      <c r="C112" t="s">
        <v>182</v>
      </c>
      <c r="D112" t="s">
        <v>162</v>
      </c>
      <c r="E112">
        <v>-5.875</v>
      </c>
      <c r="G112" s="29" t="str">
        <f t="shared" si="2"/>
        <v>189860 MAI/2026</v>
      </c>
      <c r="H112">
        <v>189860</v>
      </c>
      <c r="I112" t="s">
        <v>139</v>
      </c>
      <c r="J112" t="s">
        <v>781</v>
      </c>
      <c r="K112" s="131">
        <v>111.25</v>
      </c>
      <c r="M112" s="29" t="str">
        <f t="shared" si="3"/>
        <v>164006 JUL/2025</v>
      </c>
      <c r="N112">
        <v>164006</v>
      </c>
      <c r="O112" t="s">
        <v>93</v>
      </c>
      <c r="P112" t="s">
        <v>512</v>
      </c>
      <c r="Q112">
        <v>0.25</v>
      </c>
      <c r="T112" s="189"/>
      <c r="U112">
        <v>191864</v>
      </c>
      <c r="V112" t="s">
        <v>940</v>
      </c>
      <c r="W112">
        <v>0.58299999999999996</v>
      </c>
    </row>
    <row r="113" spans="1:23" x14ac:dyDescent="0.35">
      <c r="A113" s="30" t="s">
        <v>622</v>
      </c>
      <c r="B113">
        <v>184215</v>
      </c>
      <c r="C113" t="s">
        <v>192</v>
      </c>
      <c r="D113" t="s">
        <v>160</v>
      </c>
      <c r="E113">
        <v>5.875</v>
      </c>
      <c r="G113" s="29" t="str">
        <f t="shared" si="2"/>
        <v>189860 JUN/2026</v>
      </c>
      <c r="H113">
        <v>189860</v>
      </c>
      <c r="I113" t="s">
        <v>139</v>
      </c>
      <c r="J113" t="s">
        <v>782</v>
      </c>
      <c r="K113" s="131">
        <v>90.471999999999994</v>
      </c>
      <c r="M113" s="29" t="str">
        <f t="shared" si="3"/>
        <v>167265 JUL/2025</v>
      </c>
      <c r="N113">
        <v>167265</v>
      </c>
      <c r="O113" t="s">
        <v>92</v>
      </c>
      <c r="P113" t="s">
        <v>512</v>
      </c>
      <c r="Q113">
        <v>0.25</v>
      </c>
      <c r="T113" s="189"/>
      <c r="U113">
        <v>186123</v>
      </c>
      <c r="V113" t="s">
        <v>941</v>
      </c>
      <c r="W113">
        <v>0.33300000000000002</v>
      </c>
    </row>
    <row r="114" spans="1:23" x14ac:dyDescent="0.35">
      <c r="A114" s="30" t="s">
        <v>623</v>
      </c>
      <c r="B114">
        <v>184215</v>
      </c>
      <c r="C114" t="s">
        <v>192</v>
      </c>
      <c r="D114" t="s">
        <v>162</v>
      </c>
      <c r="E114">
        <v>-5.875</v>
      </c>
      <c r="G114" s="29" t="str">
        <f t="shared" si="2"/>
        <v>53405 OUT/2025</v>
      </c>
      <c r="H114">
        <v>53405</v>
      </c>
      <c r="I114" t="s">
        <v>180</v>
      </c>
      <c r="J114" t="s">
        <v>774</v>
      </c>
      <c r="K114" s="132">
        <v>5.875</v>
      </c>
      <c r="M114" s="29" t="str">
        <f t="shared" si="3"/>
        <v>48374 JUL/2025</v>
      </c>
      <c r="N114">
        <v>48374</v>
      </c>
      <c r="O114" t="s">
        <v>54</v>
      </c>
      <c r="P114" t="s">
        <v>512</v>
      </c>
      <c r="Q114">
        <v>12</v>
      </c>
      <c r="T114" s="189"/>
      <c r="U114">
        <v>47832</v>
      </c>
      <c r="V114" t="s">
        <v>942</v>
      </c>
      <c r="W114">
        <v>1.042</v>
      </c>
    </row>
    <row r="115" spans="1:23" x14ac:dyDescent="0.35">
      <c r="A115" s="30" t="s">
        <v>624</v>
      </c>
      <c r="B115">
        <v>132039</v>
      </c>
      <c r="C115" t="s">
        <v>49</v>
      </c>
      <c r="D115" t="s">
        <v>158</v>
      </c>
      <c r="E115">
        <v>28.021000000000001</v>
      </c>
      <c r="G115" s="29" t="str">
        <f t="shared" si="2"/>
        <v>53405 FEV/2026</v>
      </c>
      <c r="H115">
        <v>53405</v>
      </c>
      <c r="I115" t="s">
        <v>180</v>
      </c>
      <c r="J115" t="s">
        <v>778</v>
      </c>
      <c r="K115" s="132">
        <v>3</v>
      </c>
      <c r="M115" s="29" t="str">
        <f t="shared" si="3"/>
        <v>48374 AGO/2025</v>
      </c>
      <c r="N115">
        <v>48374</v>
      </c>
      <c r="O115" t="s">
        <v>54</v>
      </c>
      <c r="P115" t="s">
        <v>773</v>
      </c>
      <c r="Q115">
        <v>2</v>
      </c>
      <c r="T115" s="189"/>
      <c r="U115">
        <v>56411</v>
      </c>
      <c r="V115" t="s">
        <v>943</v>
      </c>
      <c r="W115">
        <v>0.875</v>
      </c>
    </row>
    <row r="116" spans="1:23" x14ac:dyDescent="0.35">
      <c r="A116" s="30" t="s">
        <v>625</v>
      </c>
      <c r="B116">
        <v>132039</v>
      </c>
      <c r="C116" t="s">
        <v>49</v>
      </c>
      <c r="D116" t="s">
        <v>159</v>
      </c>
      <c r="E116">
        <v>573.08299999999997</v>
      </c>
      <c r="G116" s="29" t="str">
        <f t="shared" si="2"/>
        <v>65205 FEV/2026</v>
      </c>
      <c r="H116">
        <v>65205</v>
      </c>
      <c r="I116" t="s">
        <v>180</v>
      </c>
      <c r="J116" t="s">
        <v>778</v>
      </c>
      <c r="K116" s="132">
        <v>3</v>
      </c>
      <c r="M116" s="29" t="str">
        <f t="shared" si="3"/>
        <v>48374 DEZ/2025</v>
      </c>
      <c r="N116">
        <v>48374</v>
      </c>
      <c r="O116" t="s">
        <v>54</v>
      </c>
      <c r="P116" t="s">
        <v>776</v>
      </c>
      <c r="Q116">
        <v>2</v>
      </c>
      <c r="T116" s="189"/>
      <c r="U116">
        <v>186304</v>
      </c>
      <c r="V116" t="s">
        <v>944</v>
      </c>
      <c r="W116">
        <v>0.5</v>
      </c>
    </row>
    <row r="117" spans="1:23" x14ac:dyDescent="0.35">
      <c r="A117" s="30" t="s">
        <v>626</v>
      </c>
      <c r="B117">
        <v>132039</v>
      </c>
      <c r="C117" t="s">
        <v>49</v>
      </c>
      <c r="D117" t="s">
        <v>160</v>
      </c>
      <c r="E117">
        <v>131</v>
      </c>
      <c r="G117" s="29" t="str">
        <f t="shared" si="2"/>
        <v>65205 MAR/2026</v>
      </c>
      <c r="H117">
        <v>65205</v>
      </c>
      <c r="I117" t="s">
        <v>180</v>
      </c>
      <c r="J117" t="s">
        <v>779</v>
      </c>
      <c r="K117" s="132">
        <v>3</v>
      </c>
      <c r="T117" s="189"/>
      <c r="U117">
        <v>179564</v>
      </c>
      <c r="V117" t="s">
        <v>945</v>
      </c>
      <c r="W117">
        <v>0.125</v>
      </c>
    </row>
    <row r="118" spans="1:23" x14ac:dyDescent="0.35">
      <c r="A118" s="30" t="s">
        <v>627</v>
      </c>
      <c r="B118">
        <v>132039</v>
      </c>
      <c r="C118" t="s">
        <v>49</v>
      </c>
      <c r="D118" t="s">
        <v>161</v>
      </c>
      <c r="E118">
        <v>11</v>
      </c>
      <c r="G118" s="29" t="str">
        <f t="shared" si="2"/>
        <v>166720 FEV/2026</v>
      </c>
      <c r="H118">
        <v>166720</v>
      </c>
      <c r="I118" t="s">
        <v>180</v>
      </c>
      <c r="J118" t="s">
        <v>778</v>
      </c>
      <c r="K118" s="132">
        <v>3</v>
      </c>
      <c r="T118" s="189"/>
      <c r="U118">
        <v>168379</v>
      </c>
      <c r="V118" t="s">
        <v>946</v>
      </c>
      <c r="W118">
        <v>0.875</v>
      </c>
    </row>
    <row r="119" spans="1:23" x14ac:dyDescent="0.35">
      <c r="A119" s="30" t="s">
        <v>628</v>
      </c>
      <c r="B119">
        <v>132039</v>
      </c>
      <c r="C119" t="s">
        <v>49</v>
      </c>
      <c r="D119" t="s">
        <v>163</v>
      </c>
      <c r="E119">
        <v>35</v>
      </c>
      <c r="G119" s="29" t="str">
        <f t="shared" si="2"/>
        <v>184214 FEV/2026</v>
      </c>
      <c r="H119">
        <v>184214</v>
      </c>
      <c r="I119" t="s">
        <v>180</v>
      </c>
      <c r="J119" t="s">
        <v>778</v>
      </c>
      <c r="K119" s="132">
        <v>3</v>
      </c>
      <c r="T119" s="189"/>
      <c r="U119">
        <v>58781</v>
      </c>
      <c r="V119" t="s">
        <v>947</v>
      </c>
      <c r="W119">
        <v>6</v>
      </c>
    </row>
    <row r="120" spans="1:23" x14ac:dyDescent="0.35">
      <c r="A120" s="30" t="s">
        <v>629</v>
      </c>
      <c r="B120">
        <v>132039</v>
      </c>
      <c r="C120" t="s">
        <v>49</v>
      </c>
      <c r="D120" t="s">
        <v>164</v>
      </c>
      <c r="E120">
        <v>5</v>
      </c>
      <c r="G120" s="29" t="str">
        <f t="shared" si="2"/>
        <v>184221 OUT/2025</v>
      </c>
      <c r="H120">
        <v>184221</v>
      </c>
      <c r="I120" t="s">
        <v>180</v>
      </c>
      <c r="J120" t="s">
        <v>774</v>
      </c>
      <c r="K120" s="132">
        <v>5.875</v>
      </c>
      <c r="T120" s="189"/>
      <c r="U120">
        <v>171581</v>
      </c>
      <c r="V120" t="s">
        <v>948</v>
      </c>
      <c r="W120">
        <v>2</v>
      </c>
    </row>
    <row r="121" spans="1:23" x14ac:dyDescent="0.35">
      <c r="A121" s="30" t="s">
        <v>630</v>
      </c>
      <c r="B121">
        <v>132039</v>
      </c>
      <c r="C121" t="s">
        <v>49</v>
      </c>
      <c r="D121" t="s">
        <v>165</v>
      </c>
      <c r="E121">
        <v>221.25</v>
      </c>
      <c r="G121" s="29" t="str">
        <f t="shared" si="2"/>
        <v>184221 FEV/2026</v>
      </c>
      <c r="H121">
        <v>184221</v>
      </c>
      <c r="I121" t="s">
        <v>180</v>
      </c>
      <c r="J121" t="s">
        <v>778</v>
      </c>
      <c r="K121" s="132">
        <v>3</v>
      </c>
      <c r="T121" s="189"/>
      <c r="U121">
        <v>179244</v>
      </c>
      <c r="V121" t="s">
        <v>833</v>
      </c>
      <c r="W121">
        <v>0.29199999999999998</v>
      </c>
    </row>
    <row r="122" spans="1:23" x14ac:dyDescent="0.35">
      <c r="A122" s="30" t="s">
        <v>631</v>
      </c>
      <c r="B122">
        <v>132039</v>
      </c>
      <c r="C122" t="s">
        <v>49</v>
      </c>
      <c r="D122" t="s">
        <v>168</v>
      </c>
      <c r="E122">
        <v>195</v>
      </c>
      <c r="G122" s="29" t="str">
        <f t="shared" si="2"/>
        <v>131538 MAR/2026</v>
      </c>
      <c r="H122">
        <v>131538</v>
      </c>
      <c r="I122" t="s">
        <v>798</v>
      </c>
      <c r="J122" t="s">
        <v>779</v>
      </c>
      <c r="K122" s="132">
        <v>3</v>
      </c>
      <c r="T122" s="189"/>
      <c r="U122">
        <v>49712</v>
      </c>
      <c r="V122" t="s">
        <v>949</v>
      </c>
      <c r="W122">
        <v>1.8129999999999999</v>
      </c>
    </row>
    <row r="123" spans="1:23" x14ac:dyDescent="0.35">
      <c r="A123" s="30" t="s">
        <v>632</v>
      </c>
      <c r="B123">
        <v>168551</v>
      </c>
      <c r="C123" t="s">
        <v>49</v>
      </c>
      <c r="D123" t="s">
        <v>157</v>
      </c>
      <c r="E123">
        <v>28</v>
      </c>
      <c r="G123" s="29" t="str">
        <f t="shared" si="2"/>
        <v>131539 FEV/2026</v>
      </c>
      <c r="H123">
        <v>131539</v>
      </c>
      <c r="I123" t="s">
        <v>797</v>
      </c>
      <c r="J123" t="s">
        <v>778</v>
      </c>
      <c r="K123" s="132">
        <v>3</v>
      </c>
      <c r="T123" s="189"/>
      <c r="U123">
        <v>170658</v>
      </c>
      <c r="V123" t="s">
        <v>950</v>
      </c>
      <c r="W123">
        <v>0.25</v>
      </c>
    </row>
    <row r="124" spans="1:23" x14ac:dyDescent="0.35">
      <c r="A124" s="30" t="s">
        <v>633</v>
      </c>
      <c r="B124">
        <v>168551</v>
      </c>
      <c r="C124" t="s">
        <v>49</v>
      </c>
      <c r="D124" t="s">
        <v>159</v>
      </c>
      <c r="E124">
        <v>38</v>
      </c>
      <c r="G124" s="29" t="str">
        <f t="shared" si="2"/>
        <v>134677 JUL/2025</v>
      </c>
      <c r="H124">
        <v>134677</v>
      </c>
      <c r="I124" t="s">
        <v>156</v>
      </c>
      <c r="J124" t="s">
        <v>512</v>
      </c>
      <c r="K124" s="131">
        <v>173</v>
      </c>
      <c r="T124" s="189"/>
      <c r="U124">
        <v>181368</v>
      </c>
      <c r="V124" t="s">
        <v>951</v>
      </c>
      <c r="W124">
        <v>1.1040000000000001</v>
      </c>
    </row>
    <row r="125" spans="1:23" x14ac:dyDescent="0.35">
      <c r="A125" s="30" t="s">
        <v>634</v>
      </c>
      <c r="B125">
        <v>168551</v>
      </c>
      <c r="C125" t="s">
        <v>49</v>
      </c>
      <c r="D125" t="s">
        <v>160</v>
      </c>
      <c r="E125">
        <v>118.625</v>
      </c>
      <c r="G125" s="29" t="str">
        <f t="shared" si="2"/>
        <v>134677 AGO/2025</v>
      </c>
      <c r="H125">
        <v>134677</v>
      </c>
      <c r="I125" t="s">
        <v>156</v>
      </c>
      <c r="J125" t="s">
        <v>773</v>
      </c>
      <c r="K125" s="132">
        <v>788.33299999999997</v>
      </c>
      <c r="T125" s="189"/>
      <c r="U125">
        <v>188404</v>
      </c>
      <c r="V125" t="s">
        <v>952</v>
      </c>
      <c r="W125">
        <v>0.16700000000000001</v>
      </c>
    </row>
    <row r="126" spans="1:23" x14ac:dyDescent="0.35">
      <c r="A126" s="30" t="s">
        <v>635</v>
      </c>
      <c r="B126">
        <v>168551</v>
      </c>
      <c r="C126" t="s">
        <v>49</v>
      </c>
      <c r="D126" t="s">
        <v>161</v>
      </c>
      <c r="E126">
        <v>30.042000000000002</v>
      </c>
      <c r="G126" s="29" t="str">
        <f t="shared" si="2"/>
        <v>134677 SET/2025</v>
      </c>
      <c r="H126">
        <v>134677</v>
      </c>
      <c r="I126" t="s">
        <v>156</v>
      </c>
      <c r="J126" t="s">
        <v>772</v>
      </c>
      <c r="K126" s="132">
        <v>773.58299999999997</v>
      </c>
      <c r="T126" s="189"/>
      <c r="U126">
        <v>109724</v>
      </c>
      <c r="V126" t="s">
        <v>953</v>
      </c>
      <c r="W126">
        <v>0.25</v>
      </c>
    </row>
    <row r="127" spans="1:23" x14ac:dyDescent="0.35">
      <c r="A127" s="30" t="s">
        <v>636</v>
      </c>
      <c r="B127">
        <v>168551</v>
      </c>
      <c r="C127" t="s">
        <v>49</v>
      </c>
      <c r="D127" t="s">
        <v>162</v>
      </c>
      <c r="E127">
        <v>20</v>
      </c>
      <c r="G127" s="29" t="str">
        <f t="shared" si="2"/>
        <v>134677 OUT/2025</v>
      </c>
      <c r="H127">
        <v>134677</v>
      </c>
      <c r="I127" t="s">
        <v>156</v>
      </c>
      <c r="J127" t="s">
        <v>774</v>
      </c>
      <c r="K127" s="132">
        <v>222.25</v>
      </c>
      <c r="T127" s="189"/>
      <c r="U127">
        <v>148927</v>
      </c>
      <c r="V127" t="s">
        <v>954</v>
      </c>
      <c r="W127">
        <v>1.25</v>
      </c>
    </row>
    <row r="128" spans="1:23" x14ac:dyDescent="0.35">
      <c r="A128" s="30" t="s">
        <v>637</v>
      </c>
      <c r="B128">
        <v>168551</v>
      </c>
      <c r="C128" t="s">
        <v>49</v>
      </c>
      <c r="D128" t="s">
        <v>163</v>
      </c>
      <c r="E128">
        <v>34</v>
      </c>
      <c r="G128" s="29" t="str">
        <f t="shared" si="2"/>
        <v>134677 NOV/2025</v>
      </c>
      <c r="H128">
        <v>134677</v>
      </c>
      <c r="I128" t="s">
        <v>156</v>
      </c>
      <c r="J128" t="s">
        <v>775</v>
      </c>
      <c r="K128" s="131">
        <v>194.18799999999999</v>
      </c>
      <c r="T128" s="189"/>
      <c r="U128">
        <v>168638</v>
      </c>
      <c r="V128" t="s">
        <v>834</v>
      </c>
      <c r="W128">
        <v>0.5</v>
      </c>
    </row>
    <row r="129" spans="1:23" x14ac:dyDescent="0.35">
      <c r="A129" s="30" t="s">
        <v>638</v>
      </c>
      <c r="B129">
        <v>168551</v>
      </c>
      <c r="C129" t="s">
        <v>49</v>
      </c>
      <c r="D129" t="s">
        <v>164</v>
      </c>
      <c r="E129">
        <v>70.375</v>
      </c>
      <c r="G129" s="29" t="str">
        <f t="shared" si="2"/>
        <v>134677 DEZ/2025</v>
      </c>
      <c r="H129">
        <v>134677</v>
      </c>
      <c r="I129" t="s">
        <v>156</v>
      </c>
      <c r="J129" t="s">
        <v>776</v>
      </c>
      <c r="K129" s="132">
        <v>86</v>
      </c>
      <c r="T129" s="189"/>
      <c r="U129">
        <v>183806</v>
      </c>
      <c r="V129" t="s">
        <v>955</v>
      </c>
      <c r="W129">
        <v>0.25</v>
      </c>
    </row>
    <row r="130" spans="1:23" x14ac:dyDescent="0.35">
      <c r="A130" s="30" t="s">
        <v>639</v>
      </c>
      <c r="B130">
        <v>168551</v>
      </c>
      <c r="C130" t="s">
        <v>49</v>
      </c>
      <c r="D130" t="s">
        <v>165</v>
      </c>
      <c r="E130">
        <v>1</v>
      </c>
      <c r="G130" s="29" t="str">
        <f t="shared" si="2"/>
        <v>134677 JAN/2026</v>
      </c>
      <c r="H130">
        <v>134677</v>
      </c>
      <c r="I130" t="s">
        <v>156</v>
      </c>
      <c r="J130" t="s">
        <v>777</v>
      </c>
      <c r="K130" s="131">
        <v>355</v>
      </c>
      <c r="T130" s="189"/>
      <c r="U130">
        <v>185037</v>
      </c>
      <c r="V130" t="s">
        <v>956</v>
      </c>
      <c r="W130">
        <v>0.45800000000000002</v>
      </c>
    </row>
    <row r="131" spans="1:23" x14ac:dyDescent="0.35">
      <c r="A131" s="30" t="s">
        <v>640</v>
      </c>
      <c r="B131">
        <v>168551</v>
      </c>
      <c r="C131" t="s">
        <v>49</v>
      </c>
      <c r="D131" t="s">
        <v>166</v>
      </c>
      <c r="E131">
        <v>27.957999999999998</v>
      </c>
      <c r="G131" s="29" t="str">
        <f t="shared" si="2"/>
        <v>134677 FEV/2026</v>
      </c>
      <c r="H131">
        <v>134677</v>
      </c>
      <c r="I131" t="s">
        <v>156</v>
      </c>
      <c r="J131" t="s">
        <v>778</v>
      </c>
      <c r="K131" s="131">
        <v>287</v>
      </c>
      <c r="T131" s="189"/>
      <c r="U131">
        <v>181655</v>
      </c>
      <c r="V131" t="s">
        <v>957</v>
      </c>
      <c r="W131">
        <v>0.5</v>
      </c>
    </row>
    <row r="132" spans="1:23" x14ac:dyDescent="0.35">
      <c r="A132" s="30" t="s">
        <v>641</v>
      </c>
      <c r="B132">
        <v>168551</v>
      </c>
      <c r="C132" t="s">
        <v>49</v>
      </c>
      <c r="D132" t="s">
        <v>167</v>
      </c>
      <c r="E132">
        <v>6</v>
      </c>
      <c r="G132" s="29" t="str">
        <f t="shared" si="2"/>
        <v>134677 MAR/2026</v>
      </c>
      <c r="H132">
        <v>134677</v>
      </c>
      <c r="I132" t="s">
        <v>156</v>
      </c>
      <c r="J132" t="s">
        <v>779</v>
      </c>
      <c r="K132" s="132">
        <v>266</v>
      </c>
      <c r="T132" s="189"/>
      <c r="U132">
        <v>180396</v>
      </c>
      <c r="V132" t="s">
        <v>958</v>
      </c>
      <c r="W132">
        <v>0.75</v>
      </c>
    </row>
    <row r="133" spans="1:23" x14ac:dyDescent="0.35">
      <c r="A133" s="30" t="s">
        <v>642</v>
      </c>
      <c r="B133">
        <v>168551</v>
      </c>
      <c r="C133" t="s">
        <v>49</v>
      </c>
      <c r="D133" t="s">
        <v>168</v>
      </c>
      <c r="E133">
        <v>8</v>
      </c>
      <c r="G133" s="29" t="str">
        <f t="shared" ref="G133:G196" si="4">H133&amp;J133</f>
        <v>134677 ABR/2026</v>
      </c>
      <c r="H133">
        <v>134677</v>
      </c>
      <c r="I133" t="s">
        <v>156</v>
      </c>
      <c r="J133" t="s">
        <v>780</v>
      </c>
      <c r="K133" s="132">
        <v>140</v>
      </c>
      <c r="T133" s="189"/>
      <c r="U133">
        <v>190320</v>
      </c>
      <c r="V133" t="s">
        <v>835</v>
      </c>
      <c r="W133">
        <v>2</v>
      </c>
    </row>
    <row r="134" spans="1:23" x14ac:dyDescent="0.35">
      <c r="A134" s="30" t="s">
        <v>643</v>
      </c>
      <c r="B134">
        <v>59280</v>
      </c>
      <c r="C134" t="s">
        <v>81</v>
      </c>
      <c r="D134" t="s">
        <v>157</v>
      </c>
      <c r="E134">
        <v>75.832999999999998</v>
      </c>
      <c r="G134" s="29" t="str">
        <f t="shared" si="4"/>
        <v>134677 MAI/2026</v>
      </c>
      <c r="H134">
        <v>134677</v>
      </c>
      <c r="I134" t="s">
        <v>156</v>
      </c>
      <c r="J134" t="s">
        <v>781</v>
      </c>
      <c r="K134" s="132">
        <v>41</v>
      </c>
      <c r="T134" s="189"/>
      <c r="U134">
        <v>190326</v>
      </c>
      <c r="V134" t="s">
        <v>835</v>
      </c>
      <c r="W134">
        <v>0.91700000000000004</v>
      </c>
    </row>
    <row r="135" spans="1:23" x14ac:dyDescent="0.35">
      <c r="A135" s="30" t="s">
        <v>644</v>
      </c>
      <c r="B135">
        <v>59280</v>
      </c>
      <c r="C135" t="s">
        <v>81</v>
      </c>
      <c r="D135" t="s">
        <v>158</v>
      </c>
      <c r="E135">
        <v>72.75</v>
      </c>
      <c r="G135" s="29" t="str">
        <f t="shared" si="4"/>
        <v>152753 FEV/2026</v>
      </c>
      <c r="H135">
        <v>152753</v>
      </c>
      <c r="I135" t="s">
        <v>181</v>
      </c>
      <c r="J135" t="s">
        <v>778</v>
      </c>
      <c r="K135" s="132">
        <v>3</v>
      </c>
      <c r="T135" s="189"/>
      <c r="U135">
        <v>179748</v>
      </c>
      <c r="V135" t="s">
        <v>959</v>
      </c>
      <c r="W135">
        <v>0.25</v>
      </c>
    </row>
    <row r="136" spans="1:23" x14ac:dyDescent="0.35">
      <c r="A136" s="30" t="s">
        <v>645</v>
      </c>
      <c r="B136">
        <v>59280</v>
      </c>
      <c r="C136" t="s">
        <v>81</v>
      </c>
      <c r="D136" t="s">
        <v>159</v>
      </c>
      <c r="E136">
        <v>502.66699999999997</v>
      </c>
      <c r="G136" s="29" t="str">
        <f t="shared" si="4"/>
        <v>182592 OUT/2025</v>
      </c>
      <c r="H136">
        <v>182592</v>
      </c>
      <c r="I136" t="s">
        <v>182</v>
      </c>
      <c r="J136" t="s">
        <v>774</v>
      </c>
      <c r="K136" s="132">
        <v>5.875</v>
      </c>
      <c r="T136" s="189"/>
      <c r="U136">
        <v>185361</v>
      </c>
      <c r="V136" t="s">
        <v>960</v>
      </c>
      <c r="W136">
        <v>2.6459999999999999</v>
      </c>
    </row>
    <row r="137" spans="1:23" x14ac:dyDescent="0.35">
      <c r="A137" s="30" t="s">
        <v>646</v>
      </c>
      <c r="B137">
        <v>59280</v>
      </c>
      <c r="C137" t="s">
        <v>81</v>
      </c>
      <c r="D137" t="s">
        <v>160</v>
      </c>
      <c r="E137">
        <v>78.5</v>
      </c>
      <c r="G137" s="29" t="str">
        <f t="shared" si="4"/>
        <v>182592 FEV/2026</v>
      </c>
      <c r="H137">
        <v>182592</v>
      </c>
      <c r="I137" t="s">
        <v>182</v>
      </c>
      <c r="J137" t="s">
        <v>778</v>
      </c>
      <c r="K137" s="131">
        <v>2</v>
      </c>
      <c r="T137" s="189"/>
      <c r="U137">
        <v>67814</v>
      </c>
      <c r="V137" t="s">
        <v>836</v>
      </c>
      <c r="W137">
        <v>0.375</v>
      </c>
    </row>
    <row r="138" spans="1:23" x14ac:dyDescent="0.35">
      <c r="A138" s="30" t="s">
        <v>647</v>
      </c>
      <c r="B138">
        <v>59280</v>
      </c>
      <c r="C138" t="s">
        <v>81</v>
      </c>
      <c r="D138" t="s">
        <v>161</v>
      </c>
      <c r="E138">
        <v>58.5</v>
      </c>
      <c r="G138" s="29" t="str">
        <f t="shared" si="4"/>
        <v>182592 MAR/2026</v>
      </c>
      <c r="H138">
        <v>182592</v>
      </c>
      <c r="I138" t="s">
        <v>182</v>
      </c>
      <c r="J138" t="s">
        <v>779</v>
      </c>
      <c r="K138" s="132">
        <v>4</v>
      </c>
      <c r="T138" s="189"/>
      <c r="U138">
        <v>186031</v>
      </c>
      <c r="V138" t="s">
        <v>961</v>
      </c>
      <c r="W138">
        <v>0.33300000000000002</v>
      </c>
    </row>
    <row r="139" spans="1:23" x14ac:dyDescent="0.35">
      <c r="A139" s="30" t="s">
        <v>648</v>
      </c>
      <c r="B139">
        <v>59280</v>
      </c>
      <c r="C139" t="s">
        <v>81</v>
      </c>
      <c r="D139" t="s">
        <v>162</v>
      </c>
      <c r="E139">
        <v>42</v>
      </c>
      <c r="G139" s="29" t="str">
        <f t="shared" si="4"/>
        <v>184215 OUT/2025</v>
      </c>
      <c r="H139">
        <v>184215</v>
      </c>
      <c r="I139" t="s">
        <v>192</v>
      </c>
      <c r="J139" t="s">
        <v>774</v>
      </c>
      <c r="K139" s="131">
        <v>5.875</v>
      </c>
      <c r="T139" s="189"/>
      <c r="U139">
        <v>170598</v>
      </c>
      <c r="V139" t="s">
        <v>962</v>
      </c>
      <c r="W139">
        <v>3.5</v>
      </c>
    </row>
    <row r="140" spans="1:23" x14ac:dyDescent="0.35">
      <c r="A140" s="30" t="s">
        <v>649</v>
      </c>
      <c r="B140">
        <v>59280</v>
      </c>
      <c r="C140" t="s">
        <v>81</v>
      </c>
      <c r="D140" t="s">
        <v>163</v>
      </c>
      <c r="E140">
        <v>38.5</v>
      </c>
      <c r="G140" s="29" t="str">
        <f t="shared" si="4"/>
        <v>184215 MAR/2026</v>
      </c>
      <c r="H140">
        <v>184215</v>
      </c>
      <c r="I140" t="s">
        <v>192</v>
      </c>
      <c r="J140" t="s">
        <v>779</v>
      </c>
      <c r="K140" s="131">
        <v>3</v>
      </c>
      <c r="T140" s="189"/>
      <c r="U140">
        <v>156243</v>
      </c>
      <c r="V140" t="s">
        <v>963</v>
      </c>
      <c r="W140">
        <v>0.25</v>
      </c>
    </row>
    <row r="141" spans="1:23" x14ac:dyDescent="0.35">
      <c r="A141" s="30" t="s">
        <v>650</v>
      </c>
      <c r="B141">
        <v>59280</v>
      </c>
      <c r="C141" t="s">
        <v>81</v>
      </c>
      <c r="D141" t="s">
        <v>164</v>
      </c>
      <c r="E141">
        <v>152.25</v>
      </c>
      <c r="G141" s="29" t="str">
        <f t="shared" si="4"/>
        <v>152696 ABR/2026</v>
      </c>
      <c r="H141">
        <v>152696</v>
      </c>
      <c r="I141" t="s">
        <v>802</v>
      </c>
      <c r="J141" t="s">
        <v>780</v>
      </c>
      <c r="K141" s="131">
        <v>6.5</v>
      </c>
      <c r="T141" s="189"/>
      <c r="U141">
        <v>175598</v>
      </c>
      <c r="V141" t="s">
        <v>964</v>
      </c>
      <c r="W141">
        <v>4.6669999999999998</v>
      </c>
    </row>
    <row r="142" spans="1:23" x14ac:dyDescent="0.35">
      <c r="A142" s="30" t="s">
        <v>651</v>
      </c>
      <c r="B142">
        <v>59280</v>
      </c>
      <c r="C142" t="s">
        <v>81</v>
      </c>
      <c r="D142" t="s">
        <v>165</v>
      </c>
      <c r="E142">
        <v>168</v>
      </c>
      <c r="G142" s="29" t="str">
        <f t="shared" si="4"/>
        <v>157637 ABR/2026</v>
      </c>
      <c r="H142">
        <v>157637</v>
      </c>
      <c r="I142" t="s">
        <v>802</v>
      </c>
      <c r="J142" t="s">
        <v>780</v>
      </c>
      <c r="K142" s="131">
        <v>6.5</v>
      </c>
      <c r="T142" s="189"/>
      <c r="U142">
        <v>179379</v>
      </c>
      <c r="V142" t="s">
        <v>964</v>
      </c>
      <c r="W142">
        <v>3.3330000000000002</v>
      </c>
    </row>
    <row r="143" spans="1:23" x14ac:dyDescent="0.35">
      <c r="A143" s="30" t="s">
        <v>652</v>
      </c>
      <c r="B143">
        <v>59280</v>
      </c>
      <c r="C143" t="s">
        <v>81</v>
      </c>
      <c r="D143" t="s">
        <v>166</v>
      </c>
      <c r="E143">
        <v>62.25</v>
      </c>
      <c r="G143" s="29" t="str">
        <f t="shared" si="4"/>
        <v>48951 ABR/2026</v>
      </c>
      <c r="H143">
        <v>48951</v>
      </c>
      <c r="I143" t="s">
        <v>811</v>
      </c>
      <c r="J143" s="6" t="s">
        <v>780</v>
      </c>
      <c r="K143" s="132">
        <v>6.5</v>
      </c>
      <c r="T143" s="189"/>
      <c r="U143">
        <v>170218</v>
      </c>
      <c r="V143" t="s">
        <v>965</v>
      </c>
      <c r="W143">
        <v>0.25</v>
      </c>
    </row>
    <row r="144" spans="1:23" x14ac:dyDescent="0.35">
      <c r="A144" s="30" t="s">
        <v>653</v>
      </c>
      <c r="B144">
        <v>59280</v>
      </c>
      <c r="C144" t="s">
        <v>81</v>
      </c>
      <c r="D144" t="s">
        <v>167</v>
      </c>
      <c r="E144">
        <v>50.875</v>
      </c>
      <c r="G144" s="29" t="str">
        <f t="shared" si="4"/>
        <v>107838 ABR/2026</v>
      </c>
      <c r="H144">
        <v>107838</v>
      </c>
      <c r="I144" t="s">
        <v>803</v>
      </c>
      <c r="J144" t="s">
        <v>780</v>
      </c>
      <c r="K144" s="132">
        <v>6.5</v>
      </c>
      <c r="T144" s="189"/>
      <c r="U144">
        <v>180414</v>
      </c>
      <c r="V144" t="s">
        <v>965</v>
      </c>
      <c r="W144">
        <v>1.75</v>
      </c>
    </row>
    <row r="145" spans="1:23" x14ac:dyDescent="0.35">
      <c r="A145" s="30" t="s">
        <v>654</v>
      </c>
      <c r="B145">
        <v>59280</v>
      </c>
      <c r="C145" t="s">
        <v>81</v>
      </c>
      <c r="D145" t="s">
        <v>168</v>
      </c>
      <c r="E145">
        <v>8</v>
      </c>
      <c r="G145" s="29" t="str">
        <f t="shared" si="4"/>
        <v>124155 ABR/2026</v>
      </c>
      <c r="H145">
        <v>124155</v>
      </c>
      <c r="I145" t="s">
        <v>804</v>
      </c>
      <c r="J145" t="s">
        <v>780</v>
      </c>
      <c r="K145" s="131">
        <v>6.5</v>
      </c>
      <c r="T145" s="189"/>
      <c r="U145">
        <v>191112</v>
      </c>
      <c r="V145" t="s">
        <v>966</v>
      </c>
      <c r="W145">
        <v>0.625</v>
      </c>
    </row>
    <row r="146" spans="1:23" x14ac:dyDescent="0.35">
      <c r="A146" s="30" t="s">
        <v>655</v>
      </c>
      <c r="B146">
        <v>48248</v>
      </c>
      <c r="C146" t="s">
        <v>50</v>
      </c>
      <c r="D146" t="s">
        <v>158</v>
      </c>
      <c r="E146">
        <v>0</v>
      </c>
      <c r="G146" s="29" t="str">
        <f t="shared" si="4"/>
        <v>144056 ABR/2026</v>
      </c>
      <c r="H146">
        <v>144056</v>
      </c>
      <c r="I146" t="s">
        <v>805</v>
      </c>
      <c r="J146" t="s">
        <v>780</v>
      </c>
      <c r="K146" s="131">
        <v>6.5</v>
      </c>
      <c r="T146" s="189"/>
      <c r="U146">
        <v>54185</v>
      </c>
      <c r="V146" t="s">
        <v>967</v>
      </c>
      <c r="W146">
        <v>0.25</v>
      </c>
    </row>
    <row r="147" spans="1:23" x14ac:dyDescent="0.35">
      <c r="A147" s="30" t="s">
        <v>656</v>
      </c>
      <c r="B147">
        <v>48248</v>
      </c>
      <c r="C147" t="s">
        <v>50</v>
      </c>
      <c r="D147" t="s">
        <v>159</v>
      </c>
      <c r="E147">
        <v>115</v>
      </c>
      <c r="G147" s="29" t="str">
        <f t="shared" si="4"/>
        <v>157153 ABR/2026</v>
      </c>
      <c r="H147">
        <v>157153</v>
      </c>
      <c r="I147" t="s">
        <v>806</v>
      </c>
      <c r="J147" t="s">
        <v>780</v>
      </c>
      <c r="K147" s="132">
        <v>6.5</v>
      </c>
      <c r="T147" s="189"/>
      <c r="U147">
        <v>53484</v>
      </c>
      <c r="V147" t="s">
        <v>968</v>
      </c>
      <c r="W147">
        <v>2.875</v>
      </c>
    </row>
    <row r="148" spans="1:23" x14ac:dyDescent="0.35">
      <c r="A148" s="30" t="s">
        <v>657</v>
      </c>
      <c r="B148">
        <v>48248</v>
      </c>
      <c r="C148" t="s">
        <v>50</v>
      </c>
      <c r="D148" t="s">
        <v>161</v>
      </c>
      <c r="E148">
        <v>91</v>
      </c>
      <c r="G148" s="29" t="str">
        <f t="shared" si="4"/>
        <v>169868 ABR/2026</v>
      </c>
      <c r="H148">
        <v>169868</v>
      </c>
      <c r="I148" t="s">
        <v>807</v>
      </c>
      <c r="J148" t="s">
        <v>780</v>
      </c>
      <c r="K148" s="132">
        <v>6.5</v>
      </c>
      <c r="T148" s="189"/>
      <c r="U148">
        <v>55430</v>
      </c>
      <c r="V148" t="s">
        <v>969</v>
      </c>
      <c r="W148">
        <v>0.41699999999999998</v>
      </c>
    </row>
    <row r="149" spans="1:23" x14ac:dyDescent="0.35">
      <c r="A149" s="30" t="s">
        <v>658</v>
      </c>
      <c r="B149">
        <v>48248</v>
      </c>
      <c r="C149" t="s">
        <v>50</v>
      </c>
      <c r="D149" t="s">
        <v>162</v>
      </c>
      <c r="E149">
        <v>25</v>
      </c>
      <c r="G149" s="29" t="str">
        <f t="shared" si="4"/>
        <v>132039 JUL/2025</v>
      </c>
      <c r="H149">
        <v>132039</v>
      </c>
      <c r="I149" t="s">
        <v>49</v>
      </c>
      <c r="J149" t="s">
        <v>512</v>
      </c>
      <c r="K149" s="132">
        <v>6.875</v>
      </c>
      <c r="T149" s="189"/>
      <c r="U149">
        <v>164874</v>
      </c>
      <c r="V149" t="s">
        <v>837</v>
      </c>
      <c r="W149">
        <v>0.52100000000000002</v>
      </c>
    </row>
    <row r="150" spans="1:23" x14ac:dyDescent="0.35">
      <c r="A150" s="30" t="s">
        <v>659</v>
      </c>
      <c r="B150">
        <v>48248</v>
      </c>
      <c r="C150" t="s">
        <v>50</v>
      </c>
      <c r="D150" t="s">
        <v>163</v>
      </c>
      <c r="E150">
        <v>30</v>
      </c>
      <c r="G150" s="29" t="str">
        <f t="shared" si="4"/>
        <v>132039 AGO/2025</v>
      </c>
      <c r="H150">
        <v>132039</v>
      </c>
      <c r="I150" t="s">
        <v>49</v>
      </c>
      <c r="J150" t="s">
        <v>773</v>
      </c>
      <c r="K150" s="132">
        <v>281</v>
      </c>
      <c r="T150" s="189"/>
      <c r="U150">
        <v>191879</v>
      </c>
      <c r="V150" t="s">
        <v>814</v>
      </c>
      <c r="W150">
        <v>1</v>
      </c>
    </row>
    <row r="151" spans="1:23" x14ac:dyDescent="0.35">
      <c r="A151" s="30" t="s">
        <v>660</v>
      </c>
      <c r="B151">
        <v>48248</v>
      </c>
      <c r="C151" t="s">
        <v>50</v>
      </c>
      <c r="D151" t="s">
        <v>165</v>
      </c>
      <c r="E151">
        <v>117.125</v>
      </c>
      <c r="G151" s="29" t="str">
        <f t="shared" si="4"/>
        <v>132039 SET/2025</v>
      </c>
      <c r="H151">
        <v>132039</v>
      </c>
      <c r="I151" t="s">
        <v>49</v>
      </c>
      <c r="J151" t="s">
        <v>772</v>
      </c>
      <c r="K151" s="131">
        <v>26.332999999999998</v>
      </c>
      <c r="T151" s="189"/>
      <c r="U151">
        <v>191865</v>
      </c>
      <c r="V151" t="s">
        <v>970</v>
      </c>
      <c r="W151">
        <v>0.20799999999999999</v>
      </c>
    </row>
    <row r="152" spans="1:23" x14ac:dyDescent="0.35">
      <c r="A152" s="30" t="s">
        <v>661</v>
      </c>
      <c r="B152">
        <v>48248</v>
      </c>
      <c r="C152" t="s">
        <v>50</v>
      </c>
      <c r="D152" t="s">
        <v>166</v>
      </c>
      <c r="E152">
        <v>48</v>
      </c>
      <c r="G152" s="29" t="str">
        <f t="shared" si="4"/>
        <v>132039 OUT/2025</v>
      </c>
      <c r="H152">
        <v>132039</v>
      </c>
      <c r="I152" t="s">
        <v>49</v>
      </c>
      <c r="J152" t="s">
        <v>774</v>
      </c>
      <c r="K152" s="132">
        <v>4.625</v>
      </c>
      <c r="T152" s="189"/>
      <c r="U152">
        <v>53735</v>
      </c>
      <c r="V152" t="s">
        <v>971</v>
      </c>
      <c r="W152">
        <v>9</v>
      </c>
    </row>
    <row r="153" spans="1:23" x14ac:dyDescent="0.35">
      <c r="A153" s="30" t="s">
        <v>662</v>
      </c>
      <c r="B153">
        <v>48248</v>
      </c>
      <c r="C153" t="s">
        <v>50</v>
      </c>
      <c r="D153" t="s">
        <v>167</v>
      </c>
      <c r="E153">
        <v>10.833</v>
      </c>
      <c r="G153" s="29" t="str">
        <f t="shared" si="4"/>
        <v>132039 NOV/2025</v>
      </c>
      <c r="H153">
        <v>132039</v>
      </c>
      <c r="I153" t="s">
        <v>49</v>
      </c>
      <c r="J153" t="s">
        <v>775</v>
      </c>
      <c r="K153" s="131">
        <v>26</v>
      </c>
      <c r="T153" s="189"/>
      <c r="U153">
        <v>63207</v>
      </c>
      <c r="V153" t="s">
        <v>972</v>
      </c>
      <c r="W153">
        <v>0.54200000000000004</v>
      </c>
    </row>
    <row r="154" spans="1:23" x14ac:dyDescent="0.35">
      <c r="A154" s="30" t="s">
        <v>663</v>
      </c>
      <c r="B154">
        <v>48248</v>
      </c>
      <c r="C154" t="s">
        <v>50</v>
      </c>
      <c r="D154" t="s">
        <v>168</v>
      </c>
      <c r="E154">
        <v>30</v>
      </c>
      <c r="G154" s="29" t="str">
        <f t="shared" si="4"/>
        <v>132039 DEZ/2025</v>
      </c>
      <c r="H154">
        <v>132039</v>
      </c>
      <c r="I154" t="s">
        <v>49</v>
      </c>
      <c r="J154" t="s">
        <v>776</v>
      </c>
      <c r="K154" s="132">
        <v>50.542000000000002</v>
      </c>
      <c r="T154" s="189"/>
      <c r="U154">
        <v>188791</v>
      </c>
      <c r="V154" t="s">
        <v>973</v>
      </c>
      <c r="W154">
        <v>1</v>
      </c>
    </row>
    <row r="155" spans="1:23" x14ac:dyDescent="0.35">
      <c r="A155" s="30" t="s">
        <v>664</v>
      </c>
      <c r="B155">
        <v>64883</v>
      </c>
      <c r="C155" t="s">
        <v>50</v>
      </c>
      <c r="D155" t="s">
        <v>157</v>
      </c>
      <c r="E155">
        <v>-0.66700000000000004</v>
      </c>
      <c r="G155" s="29" t="str">
        <f t="shared" si="4"/>
        <v>132039 JAN/2026</v>
      </c>
      <c r="H155">
        <v>132039</v>
      </c>
      <c r="I155" t="s">
        <v>49</v>
      </c>
      <c r="J155" t="s">
        <v>777</v>
      </c>
      <c r="K155" s="132">
        <v>42.082999999999998</v>
      </c>
      <c r="T155" s="189"/>
      <c r="U155">
        <v>163986</v>
      </c>
      <c r="V155" t="s">
        <v>974</v>
      </c>
      <c r="W155">
        <v>0.5</v>
      </c>
    </row>
    <row r="156" spans="1:23" x14ac:dyDescent="0.35">
      <c r="A156" s="30" t="s">
        <v>665</v>
      </c>
      <c r="B156">
        <v>64883</v>
      </c>
      <c r="C156" t="s">
        <v>50</v>
      </c>
      <c r="D156" t="s">
        <v>158</v>
      </c>
      <c r="E156">
        <v>523.625</v>
      </c>
      <c r="G156" s="29" t="str">
        <f t="shared" si="4"/>
        <v>132039 FEV/2026</v>
      </c>
      <c r="H156">
        <v>132039</v>
      </c>
      <c r="I156" t="s">
        <v>49</v>
      </c>
      <c r="J156" t="s">
        <v>778</v>
      </c>
      <c r="K156" s="132">
        <v>13.167</v>
      </c>
      <c r="T156" s="189"/>
      <c r="U156">
        <v>167649</v>
      </c>
      <c r="V156" t="s">
        <v>838</v>
      </c>
      <c r="W156">
        <v>0.625</v>
      </c>
    </row>
    <row r="157" spans="1:23" x14ac:dyDescent="0.35">
      <c r="A157" s="30" t="s">
        <v>666</v>
      </c>
      <c r="B157">
        <v>64883</v>
      </c>
      <c r="C157" t="s">
        <v>50</v>
      </c>
      <c r="D157" t="s">
        <v>159</v>
      </c>
      <c r="E157">
        <v>212.75</v>
      </c>
      <c r="G157" s="29" t="str">
        <f t="shared" si="4"/>
        <v>132039 MAR/2026</v>
      </c>
      <c r="H157">
        <v>132039</v>
      </c>
      <c r="I157" t="s">
        <v>49</v>
      </c>
      <c r="J157" t="s">
        <v>779</v>
      </c>
      <c r="K157" s="132">
        <v>133.25</v>
      </c>
      <c r="T157" s="189"/>
      <c r="U157">
        <v>48938</v>
      </c>
      <c r="V157" t="s">
        <v>975</v>
      </c>
      <c r="W157">
        <v>3.5</v>
      </c>
    </row>
    <row r="158" spans="1:23" x14ac:dyDescent="0.35">
      <c r="A158" s="30" t="s">
        <v>667</v>
      </c>
      <c r="B158">
        <v>64883</v>
      </c>
      <c r="C158" t="s">
        <v>50</v>
      </c>
      <c r="D158" t="s">
        <v>160</v>
      </c>
      <c r="E158">
        <v>96.521000000000001</v>
      </c>
      <c r="G158" s="29" t="str">
        <f t="shared" si="4"/>
        <v>132039 ABR/2026</v>
      </c>
      <c r="H158">
        <v>132039</v>
      </c>
      <c r="I158" t="s">
        <v>49</v>
      </c>
      <c r="J158" t="s">
        <v>780</v>
      </c>
      <c r="K158" s="131">
        <v>28.582999999999998</v>
      </c>
      <c r="T158" s="189"/>
      <c r="U158">
        <v>114015</v>
      </c>
      <c r="V158" t="s">
        <v>976</v>
      </c>
      <c r="W158">
        <v>0.5</v>
      </c>
    </row>
    <row r="159" spans="1:23" x14ac:dyDescent="0.35">
      <c r="A159" s="30" t="s">
        <v>668</v>
      </c>
      <c r="B159">
        <v>64883</v>
      </c>
      <c r="C159" t="s">
        <v>50</v>
      </c>
      <c r="D159" t="s">
        <v>161</v>
      </c>
      <c r="E159">
        <v>-4.5419999999999998</v>
      </c>
      <c r="G159" s="29" t="str">
        <f t="shared" si="4"/>
        <v>132039 MAI/2026</v>
      </c>
      <c r="H159">
        <v>132039</v>
      </c>
      <c r="I159" t="s">
        <v>49</v>
      </c>
      <c r="J159" t="s">
        <v>781</v>
      </c>
      <c r="K159" s="132">
        <v>9.25</v>
      </c>
      <c r="T159" s="189"/>
      <c r="U159">
        <v>116409</v>
      </c>
      <c r="V159" t="s">
        <v>977</v>
      </c>
      <c r="W159">
        <v>0</v>
      </c>
    </row>
    <row r="160" spans="1:23" x14ac:dyDescent="0.35">
      <c r="A160" s="30" t="s">
        <v>669</v>
      </c>
      <c r="B160">
        <v>64883</v>
      </c>
      <c r="C160" t="s">
        <v>50</v>
      </c>
      <c r="D160" t="s">
        <v>162</v>
      </c>
      <c r="E160">
        <v>405.91699999999997</v>
      </c>
      <c r="G160" s="29" t="str">
        <f t="shared" si="4"/>
        <v>132039 JUN/2026</v>
      </c>
      <c r="H160">
        <v>132039</v>
      </c>
      <c r="I160" t="s">
        <v>49</v>
      </c>
      <c r="J160" t="s">
        <v>782</v>
      </c>
      <c r="K160" s="131">
        <v>14.167</v>
      </c>
      <c r="T160" s="189"/>
      <c r="U160">
        <v>165003</v>
      </c>
      <c r="V160" t="s">
        <v>978</v>
      </c>
      <c r="W160">
        <v>6</v>
      </c>
    </row>
    <row r="161" spans="1:23" x14ac:dyDescent="0.35">
      <c r="A161" s="30" t="s">
        <v>670</v>
      </c>
      <c r="B161">
        <v>64883</v>
      </c>
      <c r="C161" t="s">
        <v>50</v>
      </c>
      <c r="D161" t="s">
        <v>163</v>
      </c>
      <c r="E161">
        <v>48.167000000000002</v>
      </c>
      <c r="G161" s="29" t="str">
        <f t="shared" si="4"/>
        <v>168551 JUL/2025</v>
      </c>
      <c r="H161">
        <v>168551</v>
      </c>
      <c r="I161" t="s">
        <v>49</v>
      </c>
      <c r="J161" t="s">
        <v>512</v>
      </c>
      <c r="K161" s="132">
        <v>13.375</v>
      </c>
      <c r="T161" s="189"/>
      <c r="U161">
        <v>167009</v>
      </c>
      <c r="V161" t="s">
        <v>979</v>
      </c>
      <c r="W161">
        <v>9</v>
      </c>
    </row>
    <row r="162" spans="1:23" x14ac:dyDescent="0.35">
      <c r="A162" s="30" t="s">
        <v>671</v>
      </c>
      <c r="B162">
        <v>64883</v>
      </c>
      <c r="C162" t="s">
        <v>50</v>
      </c>
      <c r="D162" t="s">
        <v>164</v>
      </c>
      <c r="E162">
        <v>99.103999999999999</v>
      </c>
      <c r="G162" s="29" t="str">
        <f t="shared" si="4"/>
        <v>168551 AGO/2025</v>
      </c>
      <c r="H162">
        <v>168551</v>
      </c>
      <c r="I162" t="s">
        <v>49</v>
      </c>
      <c r="J162" t="s">
        <v>773</v>
      </c>
      <c r="K162" s="132">
        <v>4</v>
      </c>
      <c r="T162" s="189"/>
      <c r="U162">
        <v>175298</v>
      </c>
      <c r="V162" t="s">
        <v>979</v>
      </c>
      <c r="W162">
        <v>10</v>
      </c>
    </row>
    <row r="163" spans="1:23" x14ac:dyDescent="0.35">
      <c r="A163" s="30" t="s">
        <v>672</v>
      </c>
      <c r="B163">
        <v>64883</v>
      </c>
      <c r="C163" t="s">
        <v>50</v>
      </c>
      <c r="D163" t="s">
        <v>165</v>
      </c>
      <c r="E163">
        <v>220.75</v>
      </c>
      <c r="G163" s="29" t="str">
        <f t="shared" si="4"/>
        <v>168551 SET/2025</v>
      </c>
      <c r="H163">
        <v>168551</v>
      </c>
      <c r="I163" t="s">
        <v>49</v>
      </c>
      <c r="J163" t="s">
        <v>772</v>
      </c>
      <c r="K163" s="131">
        <v>18.5</v>
      </c>
      <c r="T163" s="189"/>
      <c r="U163">
        <v>63006</v>
      </c>
      <c r="V163" t="s">
        <v>980</v>
      </c>
      <c r="W163">
        <v>0.25</v>
      </c>
    </row>
    <row r="164" spans="1:23" x14ac:dyDescent="0.35">
      <c r="A164" s="30" t="s">
        <v>673</v>
      </c>
      <c r="B164">
        <v>64883</v>
      </c>
      <c r="C164" t="s">
        <v>50</v>
      </c>
      <c r="D164" t="s">
        <v>166</v>
      </c>
      <c r="E164">
        <v>105</v>
      </c>
      <c r="G164" s="29" t="str">
        <f t="shared" si="4"/>
        <v>168551 OUT/2025</v>
      </c>
      <c r="H164">
        <v>168551</v>
      </c>
      <c r="I164" t="s">
        <v>49</v>
      </c>
      <c r="J164" t="s">
        <v>774</v>
      </c>
      <c r="K164" s="131">
        <v>5</v>
      </c>
      <c r="T164" s="189"/>
      <c r="U164">
        <v>189053</v>
      </c>
      <c r="V164" t="s">
        <v>981</v>
      </c>
      <c r="W164">
        <v>0.25</v>
      </c>
    </row>
    <row r="165" spans="1:23" x14ac:dyDescent="0.35">
      <c r="A165" s="30" t="s">
        <v>674</v>
      </c>
      <c r="B165">
        <v>64883</v>
      </c>
      <c r="C165" t="s">
        <v>50</v>
      </c>
      <c r="D165" t="s">
        <v>167</v>
      </c>
      <c r="E165">
        <v>29.25</v>
      </c>
      <c r="G165" s="29" t="str">
        <f t="shared" si="4"/>
        <v>168551 NOV/2025</v>
      </c>
      <c r="H165">
        <v>168551</v>
      </c>
      <c r="I165" t="s">
        <v>49</v>
      </c>
      <c r="J165" t="s">
        <v>775</v>
      </c>
      <c r="K165" s="131">
        <v>22.542000000000002</v>
      </c>
      <c r="T165" s="189"/>
      <c r="U165">
        <v>183258</v>
      </c>
      <c r="V165" t="s">
        <v>839</v>
      </c>
      <c r="W165">
        <v>0.70799999999999996</v>
      </c>
    </row>
    <row r="166" spans="1:23" x14ac:dyDescent="0.35">
      <c r="A166" s="30" t="s">
        <v>675</v>
      </c>
      <c r="B166">
        <v>64883</v>
      </c>
      <c r="C166" t="s">
        <v>50</v>
      </c>
      <c r="D166" t="s">
        <v>168</v>
      </c>
      <c r="E166">
        <v>198</v>
      </c>
      <c r="G166" s="29" t="str">
        <f t="shared" si="4"/>
        <v>168551 DEZ/2025</v>
      </c>
      <c r="H166">
        <v>168551</v>
      </c>
      <c r="I166" t="s">
        <v>49</v>
      </c>
      <c r="J166" t="s">
        <v>776</v>
      </c>
      <c r="K166" s="132">
        <v>23.792000000000002</v>
      </c>
      <c r="T166" s="189"/>
      <c r="U166">
        <v>50187</v>
      </c>
      <c r="V166" t="s">
        <v>982</v>
      </c>
      <c r="W166">
        <v>13.833</v>
      </c>
    </row>
    <row r="167" spans="1:23" x14ac:dyDescent="0.35">
      <c r="A167" s="30" t="s">
        <v>676</v>
      </c>
      <c r="B167">
        <v>73977</v>
      </c>
      <c r="C167" t="s">
        <v>50</v>
      </c>
      <c r="D167" t="s">
        <v>158</v>
      </c>
      <c r="E167">
        <v>80.5</v>
      </c>
      <c r="G167" s="29" t="str">
        <f t="shared" si="4"/>
        <v>168551 JAN/2026</v>
      </c>
      <c r="H167">
        <v>168551</v>
      </c>
      <c r="I167" t="s">
        <v>49</v>
      </c>
      <c r="J167" t="s">
        <v>777</v>
      </c>
      <c r="K167" s="132">
        <v>41.457999999999998</v>
      </c>
      <c r="T167" s="189"/>
      <c r="U167">
        <v>49988</v>
      </c>
      <c r="V167" t="s">
        <v>983</v>
      </c>
      <c r="W167">
        <v>0.25</v>
      </c>
    </row>
    <row r="168" spans="1:23" x14ac:dyDescent="0.35">
      <c r="A168" s="30" t="s">
        <v>677</v>
      </c>
      <c r="B168">
        <v>73977</v>
      </c>
      <c r="C168" t="s">
        <v>50</v>
      </c>
      <c r="D168" t="s">
        <v>159</v>
      </c>
      <c r="E168">
        <v>0</v>
      </c>
      <c r="G168" s="29" t="str">
        <f t="shared" si="4"/>
        <v>168551 FEV/2026</v>
      </c>
      <c r="H168">
        <v>168551</v>
      </c>
      <c r="I168" t="s">
        <v>49</v>
      </c>
      <c r="J168" t="s">
        <v>778</v>
      </c>
      <c r="K168" s="131">
        <v>26.332999999999998</v>
      </c>
      <c r="T168" s="189"/>
      <c r="U168">
        <v>53972</v>
      </c>
      <c r="V168" t="s">
        <v>984</v>
      </c>
      <c r="W168">
        <v>0.25</v>
      </c>
    </row>
    <row r="169" spans="1:23" x14ac:dyDescent="0.35">
      <c r="A169" s="30" t="s">
        <v>678</v>
      </c>
      <c r="B169">
        <v>73977</v>
      </c>
      <c r="C169" t="s">
        <v>50</v>
      </c>
      <c r="D169" t="s">
        <v>160</v>
      </c>
      <c r="E169">
        <v>131</v>
      </c>
      <c r="G169" s="29" t="str">
        <f t="shared" si="4"/>
        <v>168551 MAR/2026</v>
      </c>
      <c r="H169">
        <v>168551</v>
      </c>
      <c r="I169" t="s">
        <v>49</v>
      </c>
      <c r="J169" t="s">
        <v>779</v>
      </c>
      <c r="K169" s="131">
        <v>76.207999999999998</v>
      </c>
      <c r="T169" s="189"/>
      <c r="U169">
        <v>172002</v>
      </c>
      <c r="V169" t="s">
        <v>985</v>
      </c>
      <c r="W169">
        <v>0.25</v>
      </c>
    </row>
    <row r="170" spans="1:23" x14ac:dyDescent="0.35">
      <c r="A170" s="30" t="s">
        <v>679</v>
      </c>
      <c r="B170">
        <v>73977</v>
      </c>
      <c r="C170" t="s">
        <v>50</v>
      </c>
      <c r="D170" t="s">
        <v>161</v>
      </c>
      <c r="E170">
        <v>-42</v>
      </c>
      <c r="G170" s="29" t="str">
        <f t="shared" si="4"/>
        <v>168551 ABR/2026</v>
      </c>
      <c r="H170">
        <v>168551</v>
      </c>
      <c r="I170" t="s">
        <v>49</v>
      </c>
      <c r="J170" t="s">
        <v>780</v>
      </c>
      <c r="K170" s="131">
        <v>26.332999999999998</v>
      </c>
      <c r="T170" s="189"/>
      <c r="U170">
        <v>146471</v>
      </c>
      <c r="V170" t="s">
        <v>986</v>
      </c>
      <c r="W170">
        <v>8.3000000000000004E-2</v>
      </c>
    </row>
    <row r="171" spans="1:23" x14ac:dyDescent="0.35">
      <c r="A171" s="30" t="s">
        <v>680</v>
      </c>
      <c r="B171">
        <v>73977</v>
      </c>
      <c r="C171" t="s">
        <v>50</v>
      </c>
      <c r="D171" t="s">
        <v>162</v>
      </c>
      <c r="E171">
        <v>58</v>
      </c>
      <c r="G171" s="29" t="str">
        <f t="shared" si="4"/>
        <v>168551 MAI/2026</v>
      </c>
      <c r="H171">
        <v>168551</v>
      </c>
      <c r="I171" t="s">
        <v>49</v>
      </c>
      <c r="J171" t="s">
        <v>781</v>
      </c>
      <c r="K171" s="131">
        <v>13.667</v>
      </c>
      <c r="T171" s="189"/>
      <c r="U171">
        <v>172419</v>
      </c>
      <c r="V171" t="s">
        <v>987</v>
      </c>
      <c r="W171">
        <v>0.83299999999999996</v>
      </c>
    </row>
    <row r="172" spans="1:23" x14ac:dyDescent="0.35">
      <c r="A172" s="30" t="s">
        <v>681</v>
      </c>
      <c r="B172">
        <v>73977</v>
      </c>
      <c r="C172" t="s">
        <v>50</v>
      </c>
      <c r="D172" t="s">
        <v>163</v>
      </c>
      <c r="E172">
        <v>15</v>
      </c>
      <c r="G172" s="29" t="str">
        <f t="shared" si="4"/>
        <v>168551 JUN/2026</v>
      </c>
      <c r="H172">
        <v>168551</v>
      </c>
      <c r="I172" t="s">
        <v>49</v>
      </c>
      <c r="J172" t="s">
        <v>782</v>
      </c>
      <c r="K172" s="131">
        <v>17.917000000000002</v>
      </c>
      <c r="T172" s="189"/>
      <c r="U172">
        <v>167199</v>
      </c>
      <c r="V172" t="s">
        <v>988</v>
      </c>
      <c r="W172">
        <v>0.75</v>
      </c>
    </row>
    <row r="173" spans="1:23" x14ac:dyDescent="0.35">
      <c r="A173" s="30" t="s">
        <v>682</v>
      </c>
      <c r="B173">
        <v>73977</v>
      </c>
      <c r="C173" t="s">
        <v>50</v>
      </c>
      <c r="D173" t="s">
        <v>165</v>
      </c>
      <c r="E173">
        <v>76.625</v>
      </c>
      <c r="G173" s="29" t="str">
        <f t="shared" si="4"/>
        <v>182640 ABR/2026</v>
      </c>
      <c r="H173">
        <v>182640</v>
      </c>
      <c r="I173" t="s">
        <v>808</v>
      </c>
      <c r="J173" t="s">
        <v>780</v>
      </c>
      <c r="K173" s="131">
        <v>6.5</v>
      </c>
      <c r="T173" s="189"/>
      <c r="U173">
        <v>190208</v>
      </c>
      <c r="V173" t="s">
        <v>989</v>
      </c>
      <c r="W173">
        <v>0.5</v>
      </c>
    </row>
    <row r="174" spans="1:23" x14ac:dyDescent="0.35">
      <c r="A174" s="30" t="s">
        <v>683</v>
      </c>
      <c r="B174">
        <v>73977</v>
      </c>
      <c r="C174" t="s">
        <v>50</v>
      </c>
      <c r="D174" t="s">
        <v>166</v>
      </c>
      <c r="E174">
        <v>35</v>
      </c>
      <c r="G174" s="29" t="str">
        <f t="shared" si="4"/>
        <v>182640 MAI/2026</v>
      </c>
      <c r="H174">
        <v>182640</v>
      </c>
      <c r="I174" t="s">
        <v>808</v>
      </c>
      <c r="J174" t="s">
        <v>781</v>
      </c>
      <c r="K174" s="132">
        <v>-6.5</v>
      </c>
      <c r="T174" s="189"/>
      <c r="U174">
        <v>171291</v>
      </c>
      <c r="V174" t="s">
        <v>990</v>
      </c>
      <c r="W174">
        <v>0.54200000000000004</v>
      </c>
    </row>
    <row r="175" spans="1:23" x14ac:dyDescent="0.35">
      <c r="A175" s="30" t="s">
        <v>684</v>
      </c>
      <c r="B175">
        <v>73977</v>
      </c>
      <c r="C175" t="s">
        <v>50</v>
      </c>
      <c r="D175" t="s">
        <v>168</v>
      </c>
      <c r="E175">
        <v>19</v>
      </c>
      <c r="G175" s="29" t="str">
        <f t="shared" si="4"/>
        <v>48796 ABR/2026</v>
      </c>
      <c r="H175">
        <v>48796</v>
      </c>
      <c r="I175" t="s">
        <v>809</v>
      </c>
      <c r="J175" t="s">
        <v>780</v>
      </c>
      <c r="K175" s="131">
        <v>6.5</v>
      </c>
      <c r="T175" s="189"/>
      <c r="U175">
        <v>118037</v>
      </c>
      <c r="V175" t="s">
        <v>991</v>
      </c>
      <c r="W175">
        <v>0.83299999999999996</v>
      </c>
    </row>
    <row r="176" spans="1:23" x14ac:dyDescent="0.35">
      <c r="A176" s="30" t="s">
        <v>685</v>
      </c>
      <c r="B176">
        <v>184994</v>
      </c>
      <c r="C176" t="s">
        <v>50</v>
      </c>
      <c r="D176" t="s">
        <v>158</v>
      </c>
      <c r="E176">
        <v>109</v>
      </c>
      <c r="G176" s="29" t="str">
        <f t="shared" si="4"/>
        <v>133136 ABR/2026</v>
      </c>
      <c r="H176">
        <v>133136</v>
      </c>
      <c r="I176" t="s">
        <v>809</v>
      </c>
      <c r="J176" t="s">
        <v>780</v>
      </c>
      <c r="K176" s="132">
        <v>6.5</v>
      </c>
      <c r="T176" s="189"/>
      <c r="U176">
        <v>151823</v>
      </c>
      <c r="V176" t="s">
        <v>992</v>
      </c>
      <c r="W176">
        <v>0.16700000000000001</v>
      </c>
    </row>
    <row r="177" spans="1:23" x14ac:dyDescent="0.35">
      <c r="A177" s="30" t="s">
        <v>686</v>
      </c>
      <c r="B177">
        <v>184994</v>
      </c>
      <c r="C177" t="s">
        <v>50</v>
      </c>
      <c r="D177" t="s">
        <v>159</v>
      </c>
      <c r="E177">
        <v>225</v>
      </c>
      <c r="G177" s="29" t="str">
        <f t="shared" si="4"/>
        <v>143032 ABR/2026</v>
      </c>
      <c r="H177">
        <v>143032</v>
      </c>
      <c r="I177" t="s">
        <v>809</v>
      </c>
      <c r="J177" t="s">
        <v>780</v>
      </c>
      <c r="K177" s="132">
        <v>6.5</v>
      </c>
      <c r="T177" s="189"/>
      <c r="U177">
        <v>128658</v>
      </c>
      <c r="V177" t="s">
        <v>993</v>
      </c>
      <c r="W177">
        <v>0.25</v>
      </c>
    </row>
    <row r="178" spans="1:23" x14ac:dyDescent="0.35">
      <c r="A178" s="30" t="s">
        <v>687</v>
      </c>
      <c r="B178">
        <v>184994</v>
      </c>
      <c r="C178" t="s">
        <v>50</v>
      </c>
      <c r="D178" t="s">
        <v>160</v>
      </c>
      <c r="E178">
        <v>32</v>
      </c>
      <c r="G178" s="29" t="str">
        <f t="shared" si="4"/>
        <v>166873 ABR/2026</v>
      </c>
      <c r="H178">
        <v>166873</v>
      </c>
      <c r="I178" t="s">
        <v>809</v>
      </c>
      <c r="J178" t="s">
        <v>780</v>
      </c>
      <c r="K178" s="132">
        <v>6.5</v>
      </c>
      <c r="T178" s="189"/>
      <c r="U178">
        <v>115244</v>
      </c>
      <c r="V178" t="s">
        <v>994</v>
      </c>
      <c r="W178">
        <v>9</v>
      </c>
    </row>
    <row r="179" spans="1:23" x14ac:dyDescent="0.35">
      <c r="A179" s="30" t="s">
        <v>688</v>
      </c>
      <c r="B179">
        <v>184994</v>
      </c>
      <c r="C179" t="s">
        <v>50</v>
      </c>
      <c r="D179" t="s">
        <v>161</v>
      </c>
      <c r="E179">
        <v>-32</v>
      </c>
      <c r="G179" s="29" t="str">
        <f t="shared" si="4"/>
        <v>59280 JUL/2025</v>
      </c>
      <c r="H179">
        <v>59280</v>
      </c>
      <c r="I179" t="s">
        <v>81</v>
      </c>
      <c r="J179" t="s">
        <v>512</v>
      </c>
      <c r="K179" s="132">
        <v>145.375</v>
      </c>
      <c r="T179" s="189"/>
      <c r="U179">
        <v>159418</v>
      </c>
      <c r="V179" t="s">
        <v>994</v>
      </c>
      <c r="W179">
        <v>6.75</v>
      </c>
    </row>
    <row r="180" spans="1:23" x14ac:dyDescent="0.35">
      <c r="A180" s="30" t="s">
        <v>689</v>
      </c>
      <c r="B180">
        <v>184994</v>
      </c>
      <c r="C180" t="s">
        <v>50</v>
      </c>
      <c r="D180" t="s">
        <v>162</v>
      </c>
      <c r="E180">
        <v>209</v>
      </c>
      <c r="G180" s="29" t="str">
        <f t="shared" si="4"/>
        <v>59280 AGO/2025</v>
      </c>
      <c r="H180">
        <v>59280</v>
      </c>
      <c r="I180" t="s">
        <v>81</v>
      </c>
      <c r="J180" t="s">
        <v>773</v>
      </c>
      <c r="K180" s="131">
        <v>259.58300000000003</v>
      </c>
      <c r="T180" s="189"/>
      <c r="U180">
        <v>169080</v>
      </c>
      <c r="V180" t="s">
        <v>994</v>
      </c>
      <c r="W180" s="6">
        <v>10.25</v>
      </c>
    </row>
    <row r="181" spans="1:23" x14ac:dyDescent="0.35">
      <c r="A181" s="30" t="s">
        <v>690</v>
      </c>
      <c r="B181">
        <v>184994</v>
      </c>
      <c r="C181" t="s">
        <v>50</v>
      </c>
      <c r="D181" t="s">
        <v>163</v>
      </c>
      <c r="E181">
        <v>-33</v>
      </c>
      <c r="G181" s="29" t="str">
        <f t="shared" si="4"/>
        <v>59280 SET/2025</v>
      </c>
      <c r="H181">
        <v>59280</v>
      </c>
      <c r="I181" t="s">
        <v>81</v>
      </c>
      <c r="J181" t="s">
        <v>772</v>
      </c>
      <c r="K181" s="132">
        <v>-8.5</v>
      </c>
      <c r="T181" s="189"/>
      <c r="U181">
        <v>170882</v>
      </c>
      <c r="V181" t="s">
        <v>994</v>
      </c>
      <c r="W181">
        <v>10.667</v>
      </c>
    </row>
    <row r="182" spans="1:23" x14ac:dyDescent="0.35">
      <c r="A182" s="30" t="s">
        <v>691</v>
      </c>
      <c r="B182">
        <v>184994</v>
      </c>
      <c r="C182" t="s">
        <v>50</v>
      </c>
      <c r="D182" t="s">
        <v>165</v>
      </c>
      <c r="E182">
        <v>117.625</v>
      </c>
      <c r="G182" s="29" t="str">
        <f t="shared" si="4"/>
        <v>59280 OUT/2025</v>
      </c>
      <c r="H182">
        <v>59280</v>
      </c>
      <c r="I182" t="s">
        <v>81</v>
      </c>
      <c r="J182" t="s">
        <v>774</v>
      </c>
      <c r="K182" s="132">
        <v>25.082999999999998</v>
      </c>
      <c r="T182" s="189"/>
      <c r="U182">
        <v>175266</v>
      </c>
      <c r="V182" t="s">
        <v>994</v>
      </c>
      <c r="W182">
        <v>6.5</v>
      </c>
    </row>
    <row r="183" spans="1:23" x14ac:dyDescent="0.35">
      <c r="A183" s="30" t="s">
        <v>692</v>
      </c>
      <c r="B183">
        <v>184994</v>
      </c>
      <c r="C183" t="s">
        <v>50</v>
      </c>
      <c r="D183" t="s">
        <v>168</v>
      </c>
      <c r="E183">
        <v>48</v>
      </c>
      <c r="G183" s="29" t="str">
        <f t="shared" si="4"/>
        <v>59280 NOV/2025</v>
      </c>
      <c r="H183">
        <v>59280</v>
      </c>
      <c r="I183" t="s">
        <v>81</v>
      </c>
      <c r="J183" t="s">
        <v>775</v>
      </c>
      <c r="K183" s="6">
        <v>65</v>
      </c>
      <c r="T183" s="189"/>
      <c r="U183">
        <v>184835</v>
      </c>
      <c r="V183" t="s">
        <v>994</v>
      </c>
      <c r="W183">
        <v>9.75</v>
      </c>
    </row>
    <row r="184" spans="1:23" x14ac:dyDescent="0.35">
      <c r="A184" s="30" t="s">
        <v>693</v>
      </c>
      <c r="B184">
        <v>136856</v>
      </c>
      <c r="C184" t="s">
        <v>51</v>
      </c>
      <c r="D184" t="s">
        <v>157</v>
      </c>
      <c r="E184">
        <v>10</v>
      </c>
      <c r="G184" s="29" t="str">
        <f t="shared" si="4"/>
        <v>59280 DEZ/2025</v>
      </c>
      <c r="H184">
        <v>59280</v>
      </c>
      <c r="I184" t="s">
        <v>81</v>
      </c>
      <c r="J184" t="s">
        <v>776</v>
      </c>
      <c r="K184">
        <v>23.832999999999998</v>
      </c>
      <c r="T184" s="189"/>
      <c r="U184">
        <v>187913</v>
      </c>
      <c r="V184" t="s">
        <v>994</v>
      </c>
      <c r="W184">
        <v>3.75</v>
      </c>
    </row>
    <row r="185" spans="1:23" x14ac:dyDescent="0.35">
      <c r="A185" s="30" t="s">
        <v>694</v>
      </c>
      <c r="B185">
        <v>136856</v>
      </c>
      <c r="C185" t="s">
        <v>51</v>
      </c>
      <c r="D185" t="s">
        <v>158</v>
      </c>
      <c r="E185">
        <v>232</v>
      </c>
      <c r="G185" s="29" t="str">
        <f t="shared" si="4"/>
        <v>59280 JAN/2026</v>
      </c>
      <c r="H185">
        <v>59280</v>
      </c>
      <c r="I185" t="s">
        <v>81</v>
      </c>
      <c r="J185" t="s">
        <v>777</v>
      </c>
      <c r="K185" s="6">
        <v>65.167000000000002</v>
      </c>
      <c r="T185" s="184"/>
      <c r="U185">
        <v>189548</v>
      </c>
      <c r="V185" t="s">
        <v>994</v>
      </c>
      <c r="W185">
        <v>12.75</v>
      </c>
    </row>
    <row r="186" spans="1:23" x14ac:dyDescent="0.35">
      <c r="A186" s="30" t="s">
        <v>695</v>
      </c>
      <c r="B186">
        <v>136856</v>
      </c>
      <c r="C186" t="s">
        <v>51</v>
      </c>
      <c r="D186" t="s">
        <v>160</v>
      </c>
      <c r="E186">
        <v>58.75</v>
      </c>
      <c r="G186" s="29" t="str">
        <f t="shared" si="4"/>
        <v>59280 FEV/2026</v>
      </c>
      <c r="H186">
        <v>59280</v>
      </c>
      <c r="I186" t="s">
        <v>81</v>
      </c>
      <c r="J186" s="6" t="s">
        <v>778</v>
      </c>
      <c r="K186" s="6">
        <v>113.417</v>
      </c>
      <c r="T186" s="184"/>
      <c r="U186">
        <v>178947</v>
      </c>
      <c r="V186" t="s">
        <v>995</v>
      </c>
      <c r="W186">
        <v>0.875</v>
      </c>
    </row>
    <row r="187" spans="1:23" x14ac:dyDescent="0.35">
      <c r="A187" s="30" t="s">
        <v>696</v>
      </c>
      <c r="B187">
        <v>136856</v>
      </c>
      <c r="C187" t="s">
        <v>51</v>
      </c>
      <c r="D187" t="s">
        <v>161</v>
      </c>
      <c r="E187">
        <v>7</v>
      </c>
      <c r="G187" s="29" t="str">
        <f t="shared" si="4"/>
        <v>59280 MAR/2026</v>
      </c>
      <c r="H187">
        <v>59280</v>
      </c>
      <c r="I187" t="s">
        <v>81</v>
      </c>
      <c r="J187" t="s">
        <v>779</v>
      </c>
      <c r="K187" s="6">
        <v>195.333</v>
      </c>
      <c r="T187" s="184"/>
      <c r="U187">
        <v>172089</v>
      </c>
      <c r="V187" t="s">
        <v>815</v>
      </c>
      <c r="W187">
        <v>4.25</v>
      </c>
    </row>
    <row r="188" spans="1:23" x14ac:dyDescent="0.35">
      <c r="A188" s="30" t="s">
        <v>697</v>
      </c>
      <c r="B188">
        <v>136856</v>
      </c>
      <c r="C188" t="s">
        <v>51</v>
      </c>
      <c r="D188" t="s">
        <v>162</v>
      </c>
      <c r="E188">
        <v>38.25</v>
      </c>
      <c r="G188" s="29" t="str">
        <f t="shared" si="4"/>
        <v>59280 ABR/2026</v>
      </c>
      <c r="H188">
        <v>59280</v>
      </c>
      <c r="I188" t="s">
        <v>81</v>
      </c>
      <c r="J188" t="s">
        <v>780</v>
      </c>
      <c r="K188" s="6">
        <v>26.667000000000002</v>
      </c>
      <c r="T188" s="184"/>
      <c r="U188">
        <v>147602</v>
      </c>
      <c r="V188" t="s">
        <v>996</v>
      </c>
      <c r="W188">
        <v>3.0419999999999998</v>
      </c>
    </row>
    <row r="189" spans="1:23" x14ac:dyDescent="0.35">
      <c r="A189" s="30" t="s">
        <v>698</v>
      </c>
      <c r="B189">
        <v>136856</v>
      </c>
      <c r="C189" t="s">
        <v>51</v>
      </c>
      <c r="D189" t="s">
        <v>163</v>
      </c>
      <c r="E189">
        <v>69.667000000000002</v>
      </c>
      <c r="G189" s="29" t="str">
        <f t="shared" si="4"/>
        <v>59280 MAI/2026</v>
      </c>
      <c r="H189">
        <v>59280</v>
      </c>
      <c r="I189" t="s">
        <v>81</v>
      </c>
      <c r="J189" t="s">
        <v>781</v>
      </c>
      <c r="K189">
        <v>30.667000000000002</v>
      </c>
      <c r="T189" s="184"/>
      <c r="U189">
        <v>179864</v>
      </c>
      <c r="V189" t="s">
        <v>997</v>
      </c>
      <c r="W189" s="6">
        <v>0.33300000000000002</v>
      </c>
    </row>
    <row r="190" spans="1:23" x14ac:dyDescent="0.35">
      <c r="A190" s="30" t="s">
        <v>699</v>
      </c>
      <c r="B190">
        <v>136856</v>
      </c>
      <c r="C190" t="s">
        <v>51</v>
      </c>
      <c r="D190" t="s">
        <v>164</v>
      </c>
      <c r="E190">
        <v>67.332999999999998</v>
      </c>
      <c r="G190" s="29" t="str">
        <f t="shared" si="4"/>
        <v>59280 JUN/2026</v>
      </c>
      <c r="H190">
        <v>59280</v>
      </c>
      <c r="I190" t="s">
        <v>81</v>
      </c>
      <c r="J190" t="s">
        <v>782</v>
      </c>
      <c r="K190" s="6">
        <v>103.333</v>
      </c>
      <c r="T190" s="184"/>
      <c r="U190">
        <v>107031</v>
      </c>
      <c r="V190" t="s">
        <v>998</v>
      </c>
      <c r="W190">
        <v>9.1669999999999998</v>
      </c>
    </row>
    <row r="191" spans="1:23" x14ac:dyDescent="0.35">
      <c r="A191" s="30" t="s">
        <v>700</v>
      </c>
      <c r="B191">
        <v>136856</v>
      </c>
      <c r="C191" t="s">
        <v>51</v>
      </c>
      <c r="D191" t="s">
        <v>165</v>
      </c>
      <c r="E191">
        <v>46.832999999999998</v>
      </c>
      <c r="G191" s="29" t="str">
        <f t="shared" si="4"/>
        <v>48248 AGO/2025</v>
      </c>
      <c r="H191">
        <v>48248</v>
      </c>
      <c r="I191" t="s">
        <v>50</v>
      </c>
      <c r="J191" t="s">
        <v>773</v>
      </c>
      <c r="K191" s="6">
        <v>5.875</v>
      </c>
      <c r="T191" s="184"/>
      <c r="U191">
        <v>133189</v>
      </c>
      <c r="V191" t="s">
        <v>998</v>
      </c>
      <c r="W191">
        <v>7.3330000000000002</v>
      </c>
    </row>
    <row r="192" spans="1:23" x14ac:dyDescent="0.35">
      <c r="A192" s="30" t="s">
        <v>701</v>
      </c>
      <c r="B192">
        <v>136856</v>
      </c>
      <c r="C192" t="s">
        <v>51</v>
      </c>
      <c r="D192" t="s">
        <v>166</v>
      </c>
      <c r="E192">
        <v>21.457999999999998</v>
      </c>
      <c r="G192" s="29" t="str">
        <f t="shared" si="4"/>
        <v>48248 OUT/2025</v>
      </c>
      <c r="H192">
        <v>48248</v>
      </c>
      <c r="I192" t="s">
        <v>50</v>
      </c>
      <c r="J192" t="s">
        <v>774</v>
      </c>
      <c r="K192" s="6">
        <v>5</v>
      </c>
      <c r="T192" s="184"/>
      <c r="U192">
        <v>154314</v>
      </c>
      <c r="V192" t="s">
        <v>998</v>
      </c>
      <c r="W192">
        <v>3.5830000000000002</v>
      </c>
    </row>
    <row r="193" spans="1:23" x14ac:dyDescent="0.35">
      <c r="A193" s="30" t="s">
        <v>702</v>
      </c>
      <c r="B193">
        <v>136856</v>
      </c>
      <c r="C193" t="s">
        <v>51</v>
      </c>
      <c r="D193" t="s">
        <v>167</v>
      </c>
      <c r="E193">
        <v>24.667000000000002</v>
      </c>
      <c r="G193" s="29" t="str">
        <f t="shared" si="4"/>
        <v>48248 NOV/2025</v>
      </c>
      <c r="H193">
        <v>48248</v>
      </c>
      <c r="I193" t="s">
        <v>50</v>
      </c>
      <c r="J193" t="s">
        <v>775</v>
      </c>
      <c r="K193" s="6">
        <v>11.167</v>
      </c>
      <c r="T193" s="184"/>
      <c r="U193">
        <v>167116</v>
      </c>
      <c r="V193" t="s">
        <v>998</v>
      </c>
      <c r="W193">
        <v>4.3330000000000002</v>
      </c>
    </row>
    <row r="194" spans="1:23" x14ac:dyDescent="0.35">
      <c r="A194" s="30" t="s">
        <v>703</v>
      </c>
      <c r="B194">
        <v>136856</v>
      </c>
      <c r="C194" t="s">
        <v>51</v>
      </c>
      <c r="D194" t="s">
        <v>168</v>
      </c>
      <c r="E194">
        <v>10.375</v>
      </c>
      <c r="G194" s="29" t="str">
        <f t="shared" si="4"/>
        <v>48248 DEZ/2025</v>
      </c>
      <c r="H194">
        <v>48248</v>
      </c>
      <c r="I194" t="s">
        <v>50</v>
      </c>
      <c r="J194" t="s">
        <v>776</v>
      </c>
      <c r="K194" s="6">
        <v>14</v>
      </c>
      <c r="T194" s="184"/>
      <c r="U194">
        <v>170024</v>
      </c>
      <c r="V194" t="s">
        <v>998</v>
      </c>
      <c r="W194">
        <v>8.0419999999999998</v>
      </c>
    </row>
    <row r="195" spans="1:23" x14ac:dyDescent="0.35">
      <c r="A195" s="30" t="s">
        <v>704</v>
      </c>
      <c r="B195">
        <v>74369</v>
      </c>
      <c r="C195" t="s">
        <v>52</v>
      </c>
      <c r="D195" t="s">
        <v>157</v>
      </c>
      <c r="E195">
        <v>18.332999999999998</v>
      </c>
      <c r="G195" s="29" t="str">
        <f t="shared" si="4"/>
        <v>48248 JAN/2026</v>
      </c>
      <c r="H195">
        <v>48248</v>
      </c>
      <c r="I195" t="s">
        <v>50</v>
      </c>
      <c r="J195" t="s">
        <v>777</v>
      </c>
      <c r="K195" s="6">
        <v>5.5</v>
      </c>
      <c r="T195" s="184"/>
      <c r="U195">
        <v>170025</v>
      </c>
      <c r="V195" t="s">
        <v>998</v>
      </c>
      <c r="W195">
        <v>3.6669999999999998</v>
      </c>
    </row>
    <row r="196" spans="1:23" x14ac:dyDescent="0.35">
      <c r="A196" s="30" t="s">
        <v>705</v>
      </c>
      <c r="B196">
        <v>74369</v>
      </c>
      <c r="C196" t="s">
        <v>52</v>
      </c>
      <c r="D196" t="s">
        <v>158</v>
      </c>
      <c r="E196">
        <v>255.5</v>
      </c>
      <c r="G196" s="29" t="str">
        <f t="shared" si="4"/>
        <v>48248 FEV/2026</v>
      </c>
      <c r="H196">
        <v>48248</v>
      </c>
      <c r="I196" t="s">
        <v>50</v>
      </c>
      <c r="J196" t="s">
        <v>778</v>
      </c>
      <c r="K196" s="6">
        <v>10.75</v>
      </c>
      <c r="T196" s="184"/>
      <c r="U196">
        <v>171933</v>
      </c>
      <c r="V196" t="s">
        <v>998</v>
      </c>
      <c r="W196">
        <v>2.3330000000000002</v>
      </c>
    </row>
    <row r="197" spans="1:23" x14ac:dyDescent="0.35">
      <c r="A197" s="30" t="s">
        <v>706</v>
      </c>
      <c r="B197">
        <v>74369</v>
      </c>
      <c r="C197" t="s">
        <v>52</v>
      </c>
      <c r="D197" t="s">
        <v>160</v>
      </c>
      <c r="E197">
        <v>80.5</v>
      </c>
      <c r="G197" s="29" t="str">
        <f t="shared" ref="G197:G260" si="5">H197&amp;J197</f>
        <v>48248 MAR/2026</v>
      </c>
      <c r="H197">
        <v>48248</v>
      </c>
      <c r="I197" t="s">
        <v>50</v>
      </c>
      <c r="J197" t="s">
        <v>779</v>
      </c>
      <c r="K197">
        <v>31.5</v>
      </c>
      <c r="T197" s="184"/>
      <c r="U197">
        <v>179251</v>
      </c>
      <c r="V197" t="s">
        <v>998</v>
      </c>
      <c r="W197">
        <v>4.0419999999999998</v>
      </c>
    </row>
    <row r="198" spans="1:23" x14ac:dyDescent="0.35">
      <c r="A198" s="30" t="s">
        <v>707</v>
      </c>
      <c r="B198">
        <v>74369</v>
      </c>
      <c r="C198" t="s">
        <v>52</v>
      </c>
      <c r="D198" t="s">
        <v>161</v>
      </c>
      <c r="E198">
        <v>4</v>
      </c>
      <c r="G198" s="29" t="str">
        <f t="shared" si="5"/>
        <v>48248 ABR/2026</v>
      </c>
      <c r="H198">
        <v>48248</v>
      </c>
      <c r="I198" t="s">
        <v>50</v>
      </c>
      <c r="J198" t="s">
        <v>780</v>
      </c>
      <c r="K198">
        <v>11</v>
      </c>
      <c r="T198" s="184"/>
      <c r="U198">
        <v>187615</v>
      </c>
      <c r="V198" t="s">
        <v>999</v>
      </c>
      <c r="W198">
        <v>0.25</v>
      </c>
    </row>
    <row r="199" spans="1:23" x14ac:dyDescent="0.35">
      <c r="A199" s="30" t="s">
        <v>708</v>
      </c>
      <c r="B199">
        <v>74369</v>
      </c>
      <c r="C199" t="s">
        <v>52</v>
      </c>
      <c r="D199" t="s">
        <v>162</v>
      </c>
      <c r="E199">
        <v>55.082999999999998</v>
      </c>
      <c r="G199" s="29" t="str">
        <f t="shared" si="5"/>
        <v>48248 MAI/2026</v>
      </c>
      <c r="H199">
        <v>48248</v>
      </c>
      <c r="I199" t="s">
        <v>50</v>
      </c>
      <c r="J199" t="s">
        <v>781</v>
      </c>
      <c r="K199" s="6">
        <v>18.417000000000002</v>
      </c>
      <c r="T199" s="184"/>
      <c r="U199">
        <v>62048</v>
      </c>
      <c r="V199" t="s">
        <v>1000</v>
      </c>
      <c r="W199">
        <v>20</v>
      </c>
    </row>
    <row r="200" spans="1:23" x14ac:dyDescent="0.35">
      <c r="A200" s="30" t="s">
        <v>709</v>
      </c>
      <c r="B200">
        <v>74369</v>
      </c>
      <c r="C200" t="s">
        <v>52</v>
      </c>
      <c r="D200" t="s">
        <v>163</v>
      </c>
      <c r="E200">
        <v>64.417000000000002</v>
      </c>
      <c r="G200" s="29" t="str">
        <f t="shared" si="5"/>
        <v>64883 JUL/2025</v>
      </c>
      <c r="H200">
        <v>64883</v>
      </c>
      <c r="I200" t="s">
        <v>50</v>
      </c>
      <c r="J200" t="s">
        <v>512</v>
      </c>
      <c r="K200" s="6">
        <v>-1</v>
      </c>
      <c r="T200" s="184"/>
      <c r="U200">
        <v>189613</v>
      </c>
      <c r="V200" t="s">
        <v>1001</v>
      </c>
      <c r="W200">
        <v>0.33300000000000002</v>
      </c>
    </row>
    <row r="201" spans="1:23" x14ac:dyDescent="0.35">
      <c r="A201" s="30" t="s">
        <v>710</v>
      </c>
      <c r="B201">
        <v>74369</v>
      </c>
      <c r="C201" t="s">
        <v>52</v>
      </c>
      <c r="D201" t="s">
        <v>164</v>
      </c>
      <c r="E201">
        <v>55.332999999999998</v>
      </c>
      <c r="G201" s="29" t="str">
        <f t="shared" si="5"/>
        <v>64883 AGO/2025</v>
      </c>
      <c r="H201">
        <v>64883</v>
      </c>
      <c r="I201" t="s">
        <v>50</v>
      </c>
      <c r="J201" s="6" t="s">
        <v>773</v>
      </c>
      <c r="K201" s="6">
        <v>224.875</v>
      </c>
      <c r="T201" s="184"/>
      <c r="U201">
        <v>190786</v>
      </c>
      <c r="V201" t="s">
        <v>1002</v>
      </c>
      <c r="W201">
        <v>0.16700000000000001</v>
      </c>
    </row>
    <row r="202" spans="1:23" x14ac:dyDescent="0.35">
      <c r="A202" s="30" t="s">
        <v>711</v>
      </c>
      <c r="B202">
        <v>74369</v>
      </c>
      <c r="C202" t="s">
        <v>52</v>
      </c>
      <c r="D202" t="s">
        <v>165</v>
      </c>
      <c r="E202">
        <v>68.667000000000002</v>
      </c>
      <c r="G202" s="29" t="str">
        <f t="shared" si="5"/>
        <v>64883 SET/2025</v>
      </c>
      <c r="H202">
        <v>64883</v>
      </c>
      <c r="I202" t="s">
        <v>50</v>
      </c>
      <c r="J202" t="s">
        <v>772</v>
      </c>
      <c r="K202" s="6">
        <v>1266</v>
      </c>
      <c r="T202" s="184"/>
      <c r="U202">
        <v>181525</v>
      </c>
      <c r="V202" t="s">
        <v>1003</v>
      </c>
      <c r="W202">
        <v>4.25</v>
      </c>
    </row>
    <row r="203" spans="1:23" x14ac:dyDescent="0.35">
      <c r="A203" s="30" t="s">
        <v>712</v>
      </c>
      <c r="B203">
        <v>74369</v>
      </c>
      <c r="C203" t="s">
        <v>52</v>
      </c>
      <c r="D203" t="s">
        <v>166</v>
      </c>
      <c r="E203">
        <v>16</v>
      </c>
      <c r="G203" s="29" t="str">
        <f t="shared" si="5"/>
        <v>64883 OUT/2025</v>
      </c>
      <c r="H203">
        <v>64883</v>
      </c>
      <c r="I203" t="s">
        <v>50</v>
      </c>
      <c r="J203" t="s">
        <v>774</v>
      </c>
      <c r="K203">
        <v>25.542000000000002</v>
      </c>
      <c r="T203" s="184"/>
      <c r="U203">
        <v>177594</v>
      </c>
      <c r="V203" t="s">
        <v>1004</v>
      </c>
      <c r="W203">
        <v>0.66700000000000004</v>
      </c>
    </row>
    <row r="204" spans="1:23" x14ac:dyDescent="0.35">
      <c r="A204" s="30" t="s">
        <v>713</v>
      </c>
      <c r="B204">
        <v>74369</v>
      </c>
      <c r="C204" t="s">
        <v>52</v>
      </c>
      <c r="D204" t="s">
        <v>167</v>
      </c>
      <c r="E204">
        <v>27.667000000000002</v>
      </c>
      <c r="G204" s="29" t="str">
        <f t="shared" si="5"/>
        <v>64883 NOV/2025</v>
      </c>
      <c r="H204">
        <v>64883</v>
      </c>
      <c r="I204" t="s">
        <v>50</v>
      </c>
      <c r="J204" t="s">
        <v>775</v>
      </c>
      <c r="K204" s="6">
        <v>107.167</v>
      </c>
      <c r="T204" s="184"/>
      <c r="U204">
        <v>69639</v>
      </c>
      <c r="V204" t="s">
        <v>1005</v>
      </c>
      <c r="W204">
        <v>1.5</v>
      </c>
    </row>
    <row r="205" spans="1:23" x14ac:dyDescent="0.35">
      <c r="A205" s="30" t="s">
        <v>714</v>
      </c>
      <c r="B205">
        <v>74369</v>
      </c>
      <c r="C205" t="s">
        <v>52</v>
      </c>
      <c r="D205" t="s">
        <v>168</v>
      </c>
      <c r="E205">
        <v>21.082999999999998</v>
      </c>
      <c r="G205" s="29" t="str">
        <f t="shared" si="5"/>
        <v>64883 DEZ/2025</v>
      </c>
      <c r="H205">
        <v>64883</v>
      </c>
      <c r="I205" t="s">
        <v>50</v>
      </c>
      <c r="J205" t="s">
        <v>776</v>
      </c>
      <c r="K205" s="6">
        <v>39</v>
      </c>
      <c r="T205" s="184"/>
      <c r="U205">
        <v>175736</v>
      </c>
      <c r="V205" t="s">
        <v>1006</v>
      </c>
      <c r="W205">
        <v>8.3000000000000004E-2</v>
      </c>
    </row>
    <row r="206" spans="1:23" x14ac:dyDescent="0.35">
      <c r="A206" s="30" t="s">
        <v>715</v>
      </c>
      <c r="B206">
        <v>53581</v>
      </c>
      <c r="C206" t="s">
        <v>86</v>
      </c>
      <c r="D206" t="s">
        <v>157</v>
      </c>
      <c r="E206">
        <v>16.292000000000002</v>
      </c>
      <c r="G206" s="29" t="str">
        <f t="shared" si="5"/>
        <v>64883 JAN/2026</v>
      </c>
      <c r="H206">
        <v>64883</v>
      </c>
      <c r="I206" t="s">
        <v>50</v>
      </c>
      <c r="J206" t="s">
        <v>777</v>
      </c>
      <c r="K206" s="6">
        <v>35</v>
      </c>
      <c r="T206" s="184"/>
      <c r="U206">
        <v>165750</v>
      </c>
      <c r="V206" t="s">
        <v>840</v>
      </c>
      <c r="W206">
        <v>0.5</v>
      </c>
    </row>
    <row r="207" spans="1:23" x14ac:dyDescent="0.35">
      <c r="A207" s="30" t="s">
        <v>716</v>
      </c>
      <c r="B207">
        <v>53581</v>
      </c>
      <c r="C207" t="s">
        <v>86</v>
      </c>
      <c r="D207" t="s">
        <v>158</v>
      </c>
      <c r="E207">
        <v>367.375</v>
      </c>
      <c r="G207" s="29" t="str">
        <f t="shared" si="5"/>
        <v>64883 FEV/2026</v>
      </c>
      <c r="H207">
        <v>64883</v>
      </c>
      <c r="I207" t="s">
        <v>50</v>
      </c>
      <c r="J207" t="s">
        <v>778</v>
      </c>
      <c r="K207" s="6">
        <v>35.332999999999998</v>
      </c>
      <c r="T207" s="184"/>
      <c r="U207">
        <v>129681</v>
      </c>
      <c r="V207" t="s">
        <v>1007</v>
      </c>
      <c r="W207">
        <v>0.54200000000000004</v>
      </c>
    </row>
    <row r="208" spans="1:23" x14ac:dyDescent="0.35">
      <c r="A208" s="30" t="s">
        <v>717</v>
      </c>
      <c r="B208">
        <v>53581</v>
      </c>
      <c r="C208" t="s">
        <v>86</v>
      </c>
      <c r="D208" t="s">
        <v>159</v>
      </c>
      <c r="E208">
        <v>2.6669999999999998</v>
      </c>
      <c r="G208" s="29" t="str">
        <f t="shared" si="5"/>
        <v>64883 MAR/2026</v>
      </c>
      <c r="H208">
        <v>64883</v>
      </c>
      <c r="I208" t="s">
        <v>50</v>
      </c>
      <c r="J208" t="s">
        <v>779</v>
      </c>
      <c r="K208" s="6">
        <v>106.917</v>
      </c>
      <c r="T208" s="184"/>
      <c r="U208">
        <v>112101</v>
      </c>
      <c r="V208" t="s">
        <v>1008</v>
      </c>
      <c r="W208">
        <v>6.3E-2</v>
      </c>
    </row>
    <row r="209" spans="1:23" x14ac:dyDescent="0.35">
      <c r="A209" s="30" t="s">
        <v>718</v>
      </c>
      <c r="B209">
        <v>53581</v>
      </c>
      <c r="C209" t="s">
        <v>86</v>
      </c>
      <c r="D209" t="s">
        <v>160</v>
      </c>
      <c r="E209">
        <v>120.063</v>
      </c>
      <c r="G209" s="29" t="str">
        <f t="shared" si="5"/>
        <v>64883 ABR/2026</v>
      </c>
      <c r="H209">
        <v>64883</v>
      </c>
      <c r="I209" t="s">
        <v>50</v>
      </c>
      <c r="J209" t="s">
        <v>780</v>
      </c>
      <c r="K209" s="6">
        <v>40.832999999999998</v>
      </c>
      <c r="T209" s="184"/>
      <c r="U209">
        <v>80736</v>
      </c>
      <c r="V209" t="s">
        <v>841</v>
      </c>
      <c r="W209">
        <v>0.68799999999999994</v>
      </c>
    </row>
    <row r="210" spans="1:23" x14ac:dyDescent="0.35">
      <c r="A210" s="30" t="s">
        <v>719</v>
      </c>
      <c r="B210">
        <v>53581</v>
      </c>
      <c r="C210" t="s">
        <v>86</v>
      </c>
      <c r="D210" t="s">
        <v>161</v>
      </c>
      <c r="E210">
        <v>4</v>
      </c>
      <c r="G210" s="29" t="str">
        <f t="shared" si="5"/>
        <v>64883 MAI/2026</v>
      </c>
      <c r="H210">
        <v>64883</v>
      </c>
      <c r="I210" t="s">
        <v>50</v>
      </c>
      <c r="J210" t="s">
        <v>781</v>
      </c>
      <c r="K210">
        <v>28.582999999999998</v>
      </c>
      <c r="T210" s="184"/>
      <c r="U210">
        <v>181641</v>
      </c>
      <c r="V210" t="s">
        <v>1009</v>
      </c>
      <c r="W210">
        <v>0.25</v>
      </c>
    </row>
    <row r="211" spans="1:23" x14ac:dyDescent="0.35">
      <c r="A211" s="30" t="s">
        <v>720</v>
      </c>
      <c r="B211">
        <v>53581</v>
      </c>
      <c r="C211" t="s">
        <v>86</v>
      </c>
      <c r="D211" t="s">
        <v>162</v>
      </c>
      <c r="E211">
        <v>101.25</v>
      </c>
      <c r="G211" s="29" t="str">
        <f t="shared" si="5"/>
        <v>64883 JUN/2026</v>
      </c>
      <c r="H211">
        <v>64883</v>
      </c>
      <c r="I211" t="s">
        <v>50</v>
      </c>
      <c r="J211" t="s">
        <v>782</v>
      </c>
      <c r="K211">
        <v>58</v>
      </c>
      <c r="T211" s="184"/>
      <c r="U211">
        <v>181425</v>
      </c>
      <c r="V211" t="s">
        <v>1010</v>
      </c>
      <c r="W211">
        <v>0.125</v>
      </c>
    </row>
    <row r="212" spans="1:23" x14ac:dyDescent="0.35">
      <c r="A212" s="30" t="s">
        <v>721</v>
      </c>
      <c r="B212">
        <v>53581</v>
      </c>
      <c r="C212" t="s">
        <v>86</v>
      </c>
      <c r="D212" t="s">
        <v>163</v>
      </c>
      <c r="E212">
        <v>147.583</v>
      </c>
      <c r="G212" s="29" t="str">
        <f t="shared" si="5"/>
        <v>73977 AGO/2025</v>
      </c>
      <c r="H212">
        <v>73977</v>
      </c>
      <c r="I212" t="s">
        <v>50</v>
      </c>
      <c r="J212" t="s">
        <v>773</v>
      </c>
      <c r="K212">
        <v>5.875</v>
      </c>
      <c r="T212" s="184"/>
      <c r="U212">
        <v>60431</v>
      </c>
      <c r="V212" t="s">
        <v>1011</v>
      </c>
      <c r="W212">
        <v>1.833</v>
      </c>
    </row>
    <row r="213" spans="1:23" x14ac:dyDescent="0.35">
      <c r="A213" s="30" t="s">
        <v>722</v>
      </c>
      <c r="B213">
        <v>53581</v>
      </c>
      <c r="C213" t="s">
        <v>86</v>
      </c>
      <c r="D213" t="s">
        <v>164</v>
      </c>
      <c r="E213">
        <v>80</v>
      </c>
      <c r="G213" s="29" t="str">
        <f t="shared" si="5"/>
        <v>73977 MAR/2026</v>
      </c>
      <c r="H213">
        <v>73977</v>
      </c>
      <c r="I213" t="s">
        <v>50</v>
      </c>
      <c r="J213" t="s">
        <v>779</v>
      </c>
      <c r="K213" s="6">
        <v>6.3330000000000002</v>
      </c>
      <c r="T213" s="184"/>
      <c r="U213">
        <v>78434</v>
      </c>
      <c r="V213" t="s">
        <v>1012</v>
      </c>
      <c r="W213">
        <v>0.125</v>
      </c>
    </row>
    <row r="214" spans="1:23" x14ac:dyDescent="0.35">
      <c r="A214" s="30" t="s">
        <v>723</v>
      </c>
      <c r="B214">
        <v>53581</v>
      </c>
      <c r="C214" t="s">
        <v>86</v>
      </c>
      <c r="D214" t="s">
        <v>165</v>
      </c>
      <c r="E214">
        <v>60.457999999999998</v>
      </c>
      <c r="G214" s="29" t="str">
        <f t="shared" si="5"/>
        <v>73977 ABR/2026</v>
      </c>
      <c r="H214">
        <v>73977</v>
      </c>
      <c r="I214" t="s">
        <v>50</v>
      </c>
      <c r="J214" t="s">
        <v>780</v>
      </c>
      <c r="K214" s="6">
        <v>11.5</v>
      </c>
      <c r="T214" s="184"/>
      <c r="U214">
        <v>178586</v>
      </c>
      <c r="V214" t="s">
        <v>1013</v>
      </c>
      <c r="W214">
        <v>0.33300000000000002</v>
      </c>
    </row>
    <row r="215" spans="1:23" x14ac:dyDescent="0.35">
      <c r="A215" s="30" t="s">
        <v>724</v>
      </c>
      <c r="B215">
        <v>53581</v>
      </c>
      <c r="C215" t="s">
        <v>86</v>
      </c>
      <c r="D215" t="s">
        <v>166</v>
      </c>
      <c r="E215">
        <v>13.333</v>
      </c>
      <c r="G215" s="29" t="str">
        <f t="shared" si="5"/>
        <v>73977 MAI/2026</v>
      </c>
      <c r="H215">
        <v>73977</v>
      </c>
      <c r="I215" t="s">
        <v>50</v>
      </c>
      <c r="J215" t="s">
        <v>781</v>
      </c>
      <c r="K215">
        <v>16.417000000000002</v>
      </c>
      <c r="T215" s="184"/>
      <c r="U215">
        <v>185149</v>
      </c>
      <c r="V215" t="s">
        <v>842</v>
      </c>
      <c r="W215">
        <v>3.9380000000000002</v>
      </c>
    </row>
    <row r="216" spans="1:23" x14ac:dyDescent="0.35">
      <c r="A216" s="30" t="s">
        <v>725</v>
      </c>
      <c r="B216">
        <v>53581</v>
      </c>
      <c r="C216" t="s">
        <v>86</v>
      </c>
      <c r="D216" t="s">
        <v>167</v>
      </c>
      <c r="E216">
        <v>21</v>
      </c>
      <c r="G216" s="29" t="str">
        <f t="shared" si="5"/>
        <v>184994 AGO/2025</v>
      </c>
      <c r="H216">
        <v>184994</v>
      </c>
      <c r="I216" t="s">
        <v>50</v>
      </c>
      <c r="J216" t="s">
        <v>773</v>
      </c>
      <c r="K216" s="6">
        <v>5.875</v>
      </c>
      <c r="T216" s="184"/>
      <c r="U216">
        <v>138518</v>
      </c>
      <c r="V216" t="s">
        <v>1014</v>
      </c>
      <c r="W216">
        <v>0</v>
      </c>
    </row>
    <row r="217" spans="1:23" x14ac:dyDescent="0.35">
      <c r="A217" s="30" t="s">
        <v>726</v>
      </c>
      <c r="B217">
        <v>53581</v>
      </c>
      <c r="C217" t="s">
        <v>86</v>
      </c>
      <c r="D217" t="s">
        <v>168</v>
      </c>
      <c r="E217">
        <v>26.25</v>
      </c>
      <c r="G217" s="29" t="str">
        <f t="shared" si="5"/>
        <v>184994 SET/2025</v>
      </c>
      <c r="H217">
        <v>184994</v>
      </c>
      <c r="I217" t="s">
        <v>50</v>
      </c>
      <c r="J217" t="s">
        <v>772</v>
      </c>
      <c r="K217">
        <v>-8.3000000000000004E-2</v>
      </c>
      <c r="T217" s="184"/>
      <c r="U217">
        <v>52498</v>
      </c>
      <c r="V217" t="s">
        <v>1015</v>
      </c>
      <c r="W217">
        <v>0.875</v>
      </c>
    </row>
    <row r="218" spans="1:23" x14ac:dyDescent="0.35">
      <c r="A218" s="30" t="s">
        <v>727</v>
      </c>
      <c r="B218">
        <v>57679</v>
      </c>
      <c r="C218" t="s">
        <v>137</v>
      </c>
      <c r="D218" t="s">
        <v>157</v>
      </c>
      <c r="E218">
        <v>504</v>
      </c>
      <c r="G218" s="29" t="str">
        <f t="shared" si="5"/>
        <v>184994 OUT/2025</v>
      </c>
      <c r="H218">
        <v>184994</v>
      </c>
      <c r="I218" t="s">
        <v>50</v>
      </c>
      <c r="J218" t="s">
        <v>774</v>
      </c>
      <c r="K218">
        <v>22</v>
      </c>
      <c r="T218" s="184"/>
      <c r="U218">
        <v>176401</v>
      </c>
      <c r="V218" t="s">
        <v>1016</v>
      </c>
      <c r="W218">
        <v>1.167</v>
      </c>
    </row>
    <row r="219" spans="1:23" x14ac:dyDescent="0.35">
      <c r="A219" s="30" t="s">
        <v>728</v>
      </c>
      <c r="B219">
        <v>57679</v>
      </c>
      <c r="C219" t="s">
        <v>137</v>
      </c>
      <c r="D219" t="s">
        <v>158</v>
      </c>
      <c r="E219">
        <v>204.958</v>
      </c>
      <c r="G219" s="29" t="str">
        <f t="shared" si="5"/>
        <v>184994 DEZ/2025</v>
      </c>
      <c r="H219">
        <v>184994</v>
      </c>
      <c r="I219" t="s">
        <v>50</v>
      </c>
      <c r="J219" t="s">
        <v>776</v>
      </c>
      <c r="K219" s="6">
        <v>29</v>
      </c>
      <c r="T219" s="184"/>
      <c r="U219">
        <v>167639</v>
      </c>
      <c r="V219" t="s">
        <v>1017</v>
      </c>
      <c r="W219">
        <v>2</v>
      </c>
    </row>
    <row r="220" spans="1:23" x14ac:dyDescent="0.35">
      <c r="A220" s="30" t="s">
        <v>729</v>
      </c>
      <c r="B220">
        <v>57679</v>
      </c>
      <c r="C220" t="s">
        <v>137</v>
      </c>
      <c r="D220" t="s">
        <v>159</v>
      </c>
      <c r="E220">
        <v>999</v>
      </c>
      <c r="G220" s="29" t="str">
        <f t="shared" si="5"/>
        <v>184994 JAN/2026</v>
      </c>
      <c r="H220">
        <v>184994</v>
      </c>
      <c r="I220" t="s">
        <v>50</v>
      </c>
      <c r="J220" t="s">
        <v>777</v>
      </c>
      <c r="K220" s="6">
        <v>20.582999999999998</v>
      </c>
      <c r="T220" s="184"/>
      <c r="U220">
        <v>167704</v>
      </c>
      <c r="V220" t="s">
        <v>1017</v>
      </c>
      <c r="W220" s="6">
        <v>2</v>
      </c>
    </row>
    <row r="221" spans="1:23" x14ac:dyDescent="0.35">
      <c r="A221" s="30" t="s">
        <v>730</v>
      </c>
      <c r="B221">
        <v>57679</v>
      </c>
      <c r="C221" t="s">
        <v>137</v>
      </c>
      <c r="D221" t="s">
        <v>160</v>
      </c>
      <c r="E221">
        <v>624</v>
      </c>
      <c r="G221" s="29" t="str">
        <f t="shared" si="5"/>
        <v>184994 FEV/2026</v>
      </c>
      <c r="H221">
        <v>184994</v>
      </c>
      <c r="I221" t="s">
        <v>50</v>
      </c>
      <c r="J221" t="s">
        <v>778</v>
      </c>
      <c r="K221" s="6">
        <v>24</v>
      </c>
      <c r="T221" s="184"/>
      <c r="U221">
        <v>169604</v>
      </c>
      <c r="V221" t="s">
        <v>1017</v>
      </c>
      <c r="W221">
        <v>5</v>
      </c>
    </row>
    <row r="222" spans="1:23" x14ac:dyDescent="0.35">
      <c r="A222" s="30" t="s">
        <v>731</v>
      </c>
      <c r="B222">
        <v>57679</v>
      </c>
      <c r="C222" t="s">
        <v>137</v>
      </c>
      <c r="D222" t="s">
        <v>161</v>
      </c>
      <c r="E222">
        <v>945</v>
      </c>
      <c r="G222" s="29" t="str">
        <f t="shared" si="5"/>
        <v>184994 MAR/2026</v>
      </c>
      <c r="H222">
        <v>184994</v>
      </c>
      <c r="I222" t="s">
        <v>50</v>
      </c>
      <c r="J222" t="s">
        <v>779</v>
      </c>
      <c r="K222" s="6">
        <v>55</v>
      </c>
      <c r="T222" s="184"/>
      <c r="U222">
        <v>170853</v>
      </c>
      <c r="V222" t="s">
        <v>1017</v>
      </c>
      <c r="W222">
        <v>4</v>
      </c>
    </row>
    <row r="223" spans="1:23" x14ac:dyDescent="0.35">
      <c r="A223" s="30" t="s">
        <v>732</v>
      </c>
      <c r="B223">
        <v>57679</v>
      </c>
      <c r="C223" t="s">
        <v>137</v>
      </c>
      <c r="D223" t="s">
        <v>162</v>
      </c>
      <c r="E223">
        <v>587</v>
      </c>
      <c r="G223" s="29" t="str">
        <f t="shared" si="5"/>
        <v>184994 ABR/2026</v>
      </c>
      <c r="H223">
        <v>184994</v>
      </c>
      <c r="I223" t="s">
        <v>50</v>
      </c>
      <c r="J223" t="s">
        <v>780</v>
      </c>
      <c r="K223">
        <v>17</v>
      </c>
      <c r="T223" s="184"/>
      <c r="U223">
        <v>60907</v>
      </c>
      <c r="V223" t="s">
        <v>1018</v>
      </c>
      <c r="W223">
        <v>3</v>
      </c>
    </row>
    <row r="224" spans="1:23" x14ac:dyDescent="0.35">
      <c r="A224" s="30" t="s">
        <v>733</v>
      </c>
      <c r="B224">
        <v>57679</v>
      </c>
      <c r="C224" t="s">
        <v>137</v>
      </c>
      <c r="D224" t="s">
        <v>163</v>
      </c>
      <c r="E224">
        <v>517</v>
      </c>
      <c r="G224" s="29" t="str">
        <f t="shared" si="5"/>
        <v>184994 MAI/2026</v>
      </c>
      <c r="H224">
        <v>184994</v>
      </c>
      <c r="I224" t="s">
        <v>50</v>
      </c>
      <c r="J224" t="s">
        <v>781</v>
      </c>
      <c r="K224">
        <v>35.417000000000002</v>
      </c>
      <c r="T224" s="184"/>
      <c r="U224">
        <v>182903</v>
      </c>
      <c r="V224" t="s">
        <v>1018</v>
      </c>
      <c r="W224">
        <v>2</v>
      </c>
    </row>
    <row r="225" spans="1:23" x14ac:dyDescent="0.35">
      <c r="A225" s="30" t="s">
        <v>734</v>
      </c>
      <c r="B225">
        <v>57679</v>
      </c>
      <c r="C225" t="s">
        <v>137</v>
      </c>
      <c r="D225" t="s">
        <v>164</v>
      </c>
      <c r="E225">
        <v>408</v>
      </c>
      <c r="G225" s="29" t="str">
        <f t="shared" si="5"/>
        <v>52169 ABR/2026</v>
      </c>
      <c r="H225">
        <v>52169</v>
      </c>
      <c r="I225" t="s">
        <v>810</v>
      </c>
      <c r="J225" t="s">
        <v>780</v>
      </c>
      <c r="K225" s="6">
        <v>6.5</v>
      </c>
      <c r="T225" s="184"/>
      <c r="U225">
        <v>49796</v>
      </c>
      <c r="V225" t="s">
        <v>1019</v>
      </c>
      <c r="W225">
        <v>0.45800000000000002</v>
      </c>
    </row>
    <row r="226" spans="1:23" x14ac:dyDescent="0.35">
      <c r="A226" s="30" t="s">
        <v>735</v>
      </c>
      <c r="B226">
        <v>57679</v>
      </c>
      <c r="C226" t="s">
        <v>137</v>
      </c>
      <c r="D226" t="s">
        <v>165</v>
      </c>
      <c r="E226" s="6">
        <v>1220.4169999999999</v>
      </c>
      <c r="G226" s="29" t="str">
        <f t="shared" si="5"/>
        <v>135870 ABR/2026</v>
      </c>
      <c r="H226">
        <v>135870</v>
      </c>
      <c r="I226" t="s">
        <v>810</v>
      </c>
      <c r="J226" t="s">
        <v>780</v>
      </c>
      <c r="K226">
        <v>6.5</v>
      </c>
      <c r="T226" s="184"/>
      <c r="U226">
        <v>175574</v>
      </c>
      <c r="V226" t="s">
        <v>1020</v>
      </c>
      <c r="W226">
        <v>0.5</v>
      </c>
    </row>
    <row r="227" spans="1:23" x14ac:dyDescent="0.35">
      <c r="A227" s="30" t="s">
        <v>736</v>
      </c>
      <c r="B227">
        <v>57679</v>
      </c>
      <c r="C227" t="s">
        <v>137</v>
      </c>
      <c r="D227" t="s">
        <v>166</v>
      </c>
      <c r="E227">
        <v>179.25</v>
      </c>
      <c r="G227" s="29" t="str">
        <f t="shared" si="5"/>
        <v>136856 JUL/2025</v>
      </c>
      <c r="H227">
        <v>136856</v>
      </c>
      <c r="I227" t="s">
        <v>51</v>
      </c>
      <c r="J227" t="s">
        <v>512</v>
      </c>
      <c r="K227">
        <v>25.875</v>
      </c>
      <c r="T227" s="184"/>
      <c r="U227">
        <v>122780</v>
      </c>
      <c r="V227" t="s">
        <v>1021</v>
      </c>
      <c r="W227">
        <v>0.75</v>
      </c>
    </row>
    <row r="228" spans="1:23" x14ac:dyDescent="0.35">
      <c r="A228" s="30" t="s">
        <v>737</v>
      </c>
      <c r="B228">
        <v>57679</v>
      </c>
      <c r="C228" t="s">
        <v>137</v>
      </c>
      <c r="D228" t="s">
        <v>167</v>
      </c>
      <c r="E228">
        <v>490</v>
      </c>
      <c r="G228" s="29" t="str">
        <f t="shared" si="5"/>
        <v>136856 AGO/2025</v>
      </c>
      <c r="H228">
        <v>136856</v>
      </c>
      <c r="I228" t="s">
        <v>51</v>
      </c>
      <c r="J228" t="s">
        <v>773</v>
      </c>
      <c r="K228">
        <v>-3.8330000000000002</v>
      </c>
      <c r="T228" s="184"/>
      <c r="U228">
        <v>114305</v>
      </c>
      <c r="V228" t="s">
        <v>1022</v>
      </c>
      <c r="W228">
        <v>3</v>
      </c>
    </row>
    <row r="229" spans="1:23" x14ac:dyDescent="0.35">
      <c r="A229" s="30" t="s">
        <v>738</v>
      </c>
      <c r="B229">
        <v>57679</v>
      </c>
      <c r="C229" t="s">
        <v>137</v>
      </c>
      <c r="D229" t="s">
        <v>168</v>
      </c>
      <c r="E229">
        <v>409</v>
      </c>
      <c r="G229" s="29" t="str">
        <f t="shared" si="5"/>
        <v>136856 SET/2025</v>
      </c>
      <c r="H229">
        <v>136856</v>
      </c>
      <c r="I229" t="s">
        <v>51</v>
      </c>
      <c r="J229" t="s">
        <v>772</v>
      </c>
      <c r="K229">
        <v>296.75</v>
      </c>
      <c r="T229" s="184"/>
      <c r="U229">
        <v>187856</v>
      </c>
      <c r="V229" t="s">
        <v>843</v>
      </c>
      <c r="W229" s="6">
        <v>0.125</v>
      </c>
    </row>
    <row r="230" spans="1:23" x14ac:dyDescent="0.35">
      <c r="A230" s="30" t="s">
        <v>739</v>
      </c>
      <c r="B230">
        <v>184217</v>
      </c>
      <c r="C230" t="s">
        <v>142</v>
      </c>
      <c r="D230" t="s">
        <v>158</v>
      </c>
      <c r="E230">
        <v>5.875</v>
      </c>
      <c r="G230" s="29" t="str">
        <f t="shared" si="5"/>
        <v>136856 OUT/2025</v>
      </c>
      <c r="H230">
        <v>136856</v>
      </c>
      <c r="I230" t="s">
        <v>51</v>
      </c>
      <c r="J230" t="s">
        <v>774</v>
      </c>
      <c r="K230" s="6">
        <v>7</v>
      </c>
      <c r="T230" s="184"/>
      <c r="U230">
        <v>58550</v>
      </c>
      <c r="V230" t="s">
        <v>1023</v>
      </c>
      <c r="W230">
        <v>0.25</v>
      </c>
    </row>
    <row r="231" spans="1:23" x14ac:dyDescent="0.35">
      <c r="A231" s="30" t="s">
        <v>740</v>
      </c>
      <c r="B231">
        <v>184335</v>
      </c>
      <c r="C231" t="s">
        <v>142</v>
      </c>
      <c r="D231" t="s">
        <v>158</v>
      </c>
      <c r="E231">
        <v>5.875</v>
      </c>
      <c r="G231" s="29" t="str">
        <f t="shared" si="5"/>
        <v>136856 NOV/2025</v>
      </c>
      <c r="H231">
        <v>136856</v>
      </c>
      <c r="I231" t="s">
        <v>51</v>
      </c>
      <c r="J231" t="s">
        <v>775</v>
      </c>
      <c r="K231">
        <v>19.167000000000002</v>
      </c>
      <c r="T231" s="184"/>
      <c r="U231">
        <v>54959</v>
      </c>
      <c r="V231" t="s">
        <v>1024</v>
      </c>
      <c r="W231">
        <v>5.625</v>
      </c>
    </row>
    <row r="232" spans="1:23" x14ac:dyDescent="0.35">
      <c r="A232" s="30" t="s">
        <v>741</v>
      </c>
      <c r="B232">
        <v>94520</v>
      </c>
      <c r="C232" t="s">
        <v>53</v>
      </c>
      <c r="D232" t="s">
        <v>157</v>
      </c>
      <c r="E232">
        <v>97.179000000000002</v>
      </c>
      <c r="G232" s="29" t="str">
        <f t="shared" si="5"/>
        <v>136856 DEZ/2025</v>
      </c>
      <c r="H232">
        <v>136856</v>
      </c>
      <c r="I232" t="s">
        <v>51</v>
      </c>
      <c r="J232" t="s">
        <v>776</v>
      </c>
      <c r="K232">
        <v>50.667000000000002</v>
      </c>
      <c r="T232" s="184"/>
      <c r="U232">
        <v>49053</v>
      </c>
      <c r="V232" t="s">
        <v>1025</v>
      </c>
      <c r="W232">
        <v>0.75</v>
      </c>
    </row>
    <row r="233" spans="1:23" x14ac:dyDescent="0.35">
      <c r="A233" s="30" t="s">
        <v>742</v>
      </c>
      <c r="B233">
        <v>94520</v>
      </c>
      <c r="C233" t="s">
        <v>53</v>
      </c>
      <c r="D233" t="s">
        <v>158</v>
      </c>
      <c r="E233">
        <v>21.771000000000001</v>
      </c>
      <c r="G233" s="29" t="str">
        <f t="shared" si="5"/>
        <v>136856 JAN/2026</v>
      </c>
      <c r="H233">
        <v>136856</v>
      </c>
      <c r="I233" t="s">
        <v>51</v>
      </c>
      <c r="J233" t="s">
        <v>777</v>
      </c>
      <c r="K233" s="6">
        <v>50.917000000000002</v>
      </c>
      <c r="T233" s="184"/>
      <c r="U233">
        <v>103245</v>
      </c>
      <c r="V233" t="s">
        <v>1026</v>
      </c>
      <c r="W233">
        <v>8</v>
      </c>
    </row>
    <row r="234" spans="1:23" x14ac:dyDescent="0.35">
      <c r="A234" s="30" t="s">
        <v>743</v>
      </c>
      <c r="B234">
        <v>94520</v>
      </c>
      <c r="C234" t="s">
        <v>53</v>
      </c>
      <c r="D234" t="s">
        <v>159</v>
      </c>
      <c r="E234" s="6">
        <v>1618.308</v>
      </c>
      <c r="G234" s="29" t="str">
        <f t="shared" si="5"/>
        <v>136856 FEV/2026</v>
      </c>
      <c r="H234">
        <v>136856</v>
      </c>
      <c r="I234" t="s">
        <v>51</v>
      </c>
      <c r="J234" t="s">
        <v>778</v>
      </c>
      <c r="K234">
        <v>12.25</v>
      </c>
      <c r="T234" s="184"/>
      <c r="U234">
        <v>188941</v>
      </c>
      <c r="V234" t="s">
        <v>1027</v>
      </c>
      <c r="W234">
        <v>5</v>
      </c>
    </row>
    <row r="235" spans="1:23" x14ac:dyDescent="0.35">
      <c r="A235" s="30" t="s">
        <v>744</v>
      </c>
      <c r="B235">
        <v>94520</v>
      </c>
      <c r="C235" t="s">
        <v>53</v>
      </c>
      <c r="D235" t="s">
        <v>160</v>
      </c>
      <c r="E235">
        <v>219.52099999999999</v>
      </c>
      <c r="G235" s="29" t="str">
        <f t="shared" si="5"/>
        <v>136856 MAR/2026</v>
      </c>
      <c r="H235">
        <v>136856</v>
      </c>
      <c r="I235" t="s">
        <v>51</v>
      </c>
      <c r="J235" t="s">
        <v>779</v>
      </c>
      <c r="K235">
        <v>63.957999999999998</v>
      </c>
      <c r="T235" s="184"/>
      <c r="U235">
        <v>89921</v>
      </c>
      <c r="V235" t="s">
        <v>844</v>
      </c>
      <c r="W235">
        <v>13.25</v>
      </c>
    </row>
    <row r="236" spans="1:23" x14ac:dyDescent="0.35">
      <c r="A236" s="30" t="s">
        <v>745</v>
      </c>
      <c r="B236">
        <v>94520</v>
      </c>
      <c r="C236" t="s">
        <v>53</v>
      </c>
      <c r="D236" t="s">
        <v>161</v>
      </c>
      <c r="E236">
        <v>125.863</v>
      </c>
      <c r="G236" s="29" t="str">
        <f t="shared" si="5"/>
        <v>136856 ABR/2026</v>
      </c>
      <c r="H236">
        <v>136856</v>
      </c>
      <c r="I236" t="s">
        <v>51</v>
      </c>
      <c r="J236" t="s">
        <v>780</v>
      </c>
      <c r="K236">
        <v>28.917000000000002</v>
      </c>
      <c r="T236" s="184"/>
      <c r="U236">
        <v>116145</v>
      </c>
      <c r="V236" t="s">
        <v>1028</v>
      </c>
      <c r="W236">
        <v>3</v>
      </c>
    </row>
    <row r="237" spans="1:23" x14ac:dyDescent="0.35">
      <c r="A237" s="30" t="s">
        <v>746</v>
      </c>
      <c r="B237">
        <v>94520</v>
      </c>
      <c r="C237" t="s">
        <v>53</v>
      </c>
      <c r="D237" t="s">
        <v>162</v>
      </c>
      <c r="E237">
        <v>672.5</v>
      </c>
      <c r="G237" s="29" t="str">
        <f t="shared" si="5"/>
        <v>136856 MAI/2026</v>
      </c>
      <c r="H237">
        <v>136856</v>
      </c>
      <c r="I237" t="s">
        <v>51</v>
      </c>
      <c r="J237" t="s">
        <v>781</v>
      </c>
      <c r="K237" s="6">
        <v>13.625</v>
      </c>
      <c r="T237" s="184"/>
      <c r="U237">
        <v>178885</v>
      </c>
      <c r="V237" t="s">
        <v>816</v>
      </c>
      <c r="W237">
        <v>1.417</v>
      </c>
    </row>
    <row r="238" spans="1:23" x14ac:dyDescent="0.35">
      <c r="A238" s="30" t="s">
        <v>747</v>
      </c>
      <c r="B238">
        <v>94520</v>
      </c>
      <c r="C238" t="s">
        <v>53</v>
      </c>
      <c r="D238" t="s">
        <v>163</v>
      </c>
      <c r="E238">
        <v>10.396000000000001</v>
      </c>
      <c r="G238" s="29" t="str">
        <f t="shared" si="5"/>
        <v>136856 JUN/2026</v>
      </c>
      <c r="H238">
        <v>136856</v>
      </c>
      <c r="I238" t="s">
        <v>51</v>
      </c>
      <c r="J238" t="s">
        <v>782</v>
      </c>
      <c r="K238">
        <v>12.375</v>
      </c>
      <c r="T238" s="184"/>
      <c r="U238">
        <v>59280</v>
      </c>
      <c r="V238" t="s">
        <v>83</v>
      </c>
      <c r="W238">
        <v>45</v>
      </c>
    </row>
    <row r="239" spans="1:23" x14ac:dyDescent="0.35">
      <c r="A239" s="30" t="s">
        <v>748</v>
      </c>
      <c r="B239">
        <v>94520</v>
      </c>
      <c r="C239" t="s">
        <v>53</v>
      </c>
      <c r="D239" t="s">
        <v>164</v>
      </c>
      <c r="E239">
        <v>70.462999999999994</v>
      </c>
      <c r="G239" s="29" t="str">
        <f t="shared" si="5"/>
        <v>74369 JUL/2025</v>
      </c>
      <c r="H239">
        <v>74369</v>
      </c>
      <c r="I239" t="s">
        <v>52</v>
      </c>
      <c r="J239" t="s">
        <v>512</v>
      </c>
      <c r="K239" s="6">
        <v>29.082999999999998</v>
      </c>
      <c r="T239" s="184"/>
      <c r="U239">
        <v>144260</v>
      </c>
      <c r="V239" t="s">
        <v>1029</v>
      </c>
      <c r="W239">
        <v>49.667000000000002</v>
      </c>
    </row>
    <row r="240" spans="1:23" x14ac:dyDescent="0.35">
      <c r="A240" s="30" t="s">
        <v>749</v>
      </c>
      <c r="B240">
        <v>94520</v>
      </c>
      <c r="C240" t="s">
        <v>53</v>
      </c>
      <c r="D240" t="s">
        <v>165</v>
      </c>
      <c r="E240">
        <v>54.207000000000001</v>
      </c>
      <c r="G240" s="29" t="str">
        <f t="shared" si="5"/>
        <v>74369 AGO/2025</v>
      </c>
      <c r="H240">
        <v>74369</v>
      </c>
      <c r="I240" t="s">
        <v>52</v>
      </c>
      <c r="J240" t="s">
        <v>773</v>
      </c>
      <c r="K240">
        <v>0.58299999999999996</v>
      </c>
      <c r="T240" s="184"/>
      <c r="U240">
        <v>48248</v>
      </c>
      <c r="V240" t="s">
        <v>7</v>
      </c>
      <c r="W240">
        <v>5</v>
      </c>
    </row>
    <row r="241" spans="1:23" x14ac:dyDescent="0.35">
      <c r="A241" s="30" t="s">
        <v>750</v>
      </c>
      <c r="B241">
        <v>94520</v>
      </c>
      <c r="C241" t="s">
        <v>53</v>
      </c>
      <c r="D241" t="s">
        <v>166</v>
      </c>
      <c r="E241">
        <v>-3.5830000000000002</v>
      </c>
      <c r="G241" s="29" t="str">
        <f t="shared" si="5"/>
        <v>74369 SET/2025</v>
      </c>
      <c r="H241">
        <v>74369</v>
      </c>
      <c r="I241" t="s">
        <v>52</v>
      </c>
      <c r="J241" t="s">
        <v>772</v>
      </c>
      <c r="K241">
        <v>322.83300000000003</v>
      </c>
      <c r="T241" s="184"/>
      <c r="U241">
        <v>64883</v>
      </c>
      <c r="V241" t="s">
        <v>7</v>
      </c>
      <c r="W241">
        <v>110</v>
      </c>
    </row>
    <row r="242" spans="1:23" x14ac:dyDescent="0.35">
      <c r="A242" s="30" t="s">
        <v>751</v>
      </c>
      <c r="B242">
        <v>94520</v>
      </c>
      <c r="C242" t="s">
        <v>53</v>
      </c>
      <c r="D242" t="s">
        <v>167</v>
      </c>
      <c r="E242">
        <v>154.17500000000001</v>
      </c>
      <c r="G242" s="29" t="str">
        <f t="shared" si="5"/>
        <v>74369 OUT/2025</v>
      </c>
      <c r="H242">
        <v>74369</v>
      </c>
      <c r="I242" t="s">
        <v>52</v>
      </c>
      <c r="J242" t="s">
        <v>774</v>
      </c>
      <c r="K242">
        <v>6</v>
      </c>
      <c r="T242" s="184"/>
      <c r="U242">
        <v>184994</v>
      </c>
      <c r="V242" t="s">
        <v>7</v>
      </c>
      <c r="W242">
        <v>6</v>
      </c>
    </row>
    <row r="243" spans="1:23" x14ac:dyDescent="0.35">
      <c r="A243" s="30" t="s">
        <v>752</v>
      </c>
      <c r="B243">
        <v>94520</v>
      </c>
      <c r="C243" t="s">
        <v>53</v>
      </c>
      <c r="D243" t="s">
        <v>168</v>
      </c>
      <c r="E243">
        <v>-15.007</v>
      </c>
      <c r="G243" s="29" t="str">
        <f t="shared" si="5"/>
        <v>74369 NOV/2025</v>
      </c>
      <c r="H243">
        <v>74369</v>
      </c>
      <c r="I243" t="s">
        <v>52</v>
      </c>
      <c r="J243" t="s">
        <v>775</v>
      </c>
      <c r="K243" s="6">
        <v>13.167</v>
      </c>
      <c r="T243" s="184"/>
      <c r="U243">
        <v>171048</v>
      </c>
      <c r="V243" t="s">
        <v>1030</v>
      </c>
      <c r="W243">
        <v>0.125</v>
      </c>
    </row>
    <row r="244" spans="1:23" x14ac:dyDescent="0.35">
      <c r="A244" s="30" t="s">
        <v>753</v>
      </c>
      <c r="B244">
        <v>53461</v>
      </c>
      <c r="C244" t="s">
        <v>87</v>
      </c>
      <c r="D244" t="s">
        <v>158</v>
      </c>
      <c r="E244">
        <v>5.875</v>
      </c>
      <c r="G244" s="29" t="str">
        <f t="shared" si="5"/>
        <v>74369 DEZ/2025</v>
      </c>
      <c r="H244">
        <v>74369</v>
      </c>
      <c r="I244" t="s">
        <v>52</v>
      </c>
      <c r="J244" t="s">
        <v>776</v>
      </c>
      <c r="K244">
        <v>55</v>
      </c>
      <c r="T244" s="184"/>
      <c r="U244">
        <v>152098</v>
      </c>
      <c r="V244" t="s">
        <v>1031</v>
      </c>
      <c r="W244">
        <v>0.85399999999999998</v>
      </c>
    </row>
    <row r="245" spans="1:23" x14ac:dyDescent="0.35">
      <c r="A245" s="30" t="s">
        <v>754</v>
      </c>
      <c r="B245">
        <v>56110</v>
      </c>
      <c r="C245" t="s">
        <v>88</v>
      </c>
      <c r="D245" t="s">
        <v>158</v>
      </c>
      <c r="E245">
        <v>5.875</v>
      </c>
      <c r="G245" s="29" t="str">
        <f t="shared" si="5"/>
        <v>74369 JAN/2026</v>
      </c>
      <c r="H245">
        <v>74369</v>
      </c>
      <c r="I245" t="s">
        <v>52</v>
      </c>
      <c r="J245" t="s">
        <v>777</v>
      </c>
      <c r="K245">
        <v>58.292000000000002</v>
      </c>
      <c r="T245" s="184"/>
      <c r="U245">
        <v>162069</v>
      </c>
      <c r="V245" t="s">
        <v>845</v>
      </c>
      <c r="W245">
        <v>1</v>
      </c>
    </row>
    <row r="246" spans="1:23" x14ac:dyDescent="0.35">
      <c r="A246" s="30" t="s">
        <v>755</v>
      </c>
      <c r="B246">
        <v>73922</v>
      </c>
      <c r="C246" t="s">
        <v>89</v>
      </c>
      <c r="D246" t="s">
        <v>158</v>
      </c>
      <c r="E246">
        <v>5.875</v>
      </c>
      <c r="G246" s="29" t="str">
        <f t="shared" si="5"/>
        <v>74369 FEV/2026</v>
      </c>
      <c r="H246">
        <v>74369</v>
      </c>
      <c r="I246" t="s">
        <v>52</v>
      </c>
      <c r="J246" t="s">
        <v>778</v>
      </c>
      <c r="K246" s="6">
        <v>9.6669999999999998</v>
      </c>
      <c r="T246" s="184"/>
      <c r="U246">
        <v>97274</v>
      </c>
      <c r="V246" t="s">
        <v>1032</v>
      </c>
      <c r="W246">
        <v>0.25</v>
      </c>
    </row>
    <row r="247" spans="1:23" x14ac:dyDescent="0.35">
      <c r="A247" s="30" t="s">
        <v>756</v>
      </c>
      <c r="B247">
        <v>102953</v>
      </c>
      <c r="C247" t="s">
        <v>90</v>
      </c>
      <c r="D247" t="s">
        <v>158</v>
      </c>
      <c r="E247">
        <v>5.875</v>
      </c>
      <c r="G247" s="29" t="str">
        <f t="shared" si="5"/>
        <v>74369 MAR/2026</v>
      </c>
      <c r="H247">
        <v>74369</v>
      </c>
      <c r="I247" t="s">
        <v>52</v>
      </c>
      <c r="J247" t="s">
        <v>779</v>
      </c>
      <c r="K247">
        <v>51.167000000000002</v>
      </c>
      <c r="T247" s="184"/>
      <c r="U247">
        <v>49996</v>
      </c>
      <c r="V247" t="s">
        <v>1033</v>
      </c>
      <c r="W247">
        <v>7.6040000000000001</v>
      </c>
    </row>
    <row r="248" spans="1:23" x14ac:dyDescent="0.35">
      <c r="A248" s="30" t="s">
        <v>757</v>
      </c>
      <c r="B248">
        <v>119456</v>
      </c>
      <c r="C248" t="s">
        <v>94</v>
      </c>
      <c r="D248" t="s">
        <v>158</v>
      </c>
      <c r="E248">
        <v>5.875</v>
      </c>
      <c r="G248" s="29" t="str">
        <f t="shared" si="5"/>
        <v>74369 ABR/2026</v>
      </c>
      <c r="H248">
        <v>74369</v>
      </c>
      <c r="I248" t="s">
        <v>52</v>
      </c>
      <c r="J248" t="s">
        <v>780</v>
      </c>
      <c r="K248">
        <v>53.082999999999998</v>
      </c>
      <c r="T248" s="184"/>
      <c r="U248">
        <v>90442</v>
      </c>
      <c r="V248" t="s">
        <v>1034</v>
      </c>
      <c r="W248">
        <v>0</v>
      </c>
    </row>
    <row r="249" spans="1:23" x14ac:dyDescent="0.35">
      <c r="A249" s="30" t="s">
        <v>758</v>
      </c>
      <c r="B249">
        <v>150368</v>
      </c>
      <c r="C249" t="s">
        <v>91</v>
      </c>
      <c r="D249" t="s">
        <v>158</v>
      </c>
      <c r="E249">
        <v>5.875</v>
      </c>
      <c r="G249" s="29" t="str">
        <f t="shared" si="5"/>
        <v>74369 MAI/2026</v>
      </c>
      <c r="H249">
        <v>74369</v>
      </c>
      <c r="I249" t="s">
        <v>52</v>
      </c>
      <c r="J249" t="s">
        <v>781</v>
      </c>
      <c r="K249" s="6">
        <v>14.542</v>
      </c>
      <c r="T249" s="184"/>
      <c r="U249">
        <v>53601</v>
      </c>
      <c r="V249" t="s">
        <v>1035</v>
      </c>
      <c r="W249">
        <v>51</v>
      </c>
    </row>
    <row r="250" spans="1:23" x14ac:dyDescent="0.35">
      <c r="A250" s="30" t="s">
        <v>759</v>
      </c>
      <c r="B250">
        <v>164006</v>
      </c>
      <c r="C250" t="s">
        <v>93</v>
      </c>
      <c r="D250" t="s">
        <v>158</v>
      </c>
      <c r="E250">
        <v>5.875</v>
      </c>
      <c r="G250" s="29" t="str">
        <f t="shared" si="5"/>
        <v>74369 JUN/2026</v>
      </c>
      <c r="H250">
        <v>74369</v>
      </c>
      <c r="I250" t="s">
        <v>52</v>
      </c>
      <c r="J250" t="s">
        <v>782</v>
      </c>
      <c r="K250" s="6">
        <v>18</v>
      </c>
      <c r="T250" s="184"/>
      <c r="U250">
        <v>74369</v>
      </c>
      <c r="V250" t="s">
        <v>8</v>
      </c>
      <c r="W250">
        <v>0</v>
      </c>
    </row>
    <row r="251" spans="1:23" x14ac:dyDescent="0.35">
      <c r="A251" s="30" t="s">
        <v>760</v>
      </c>
      <c r="B251">
        <v>167265</v>
      </c>
      <c r="C251" t="s">
        <v>92</v>
      </c>
      <c r="D251" t="s">
        <v>158</v>
      </c>
      <c r="E251">
        <v>5.875</v>
      </c>
      <c r="G251" s="29" t="str">
        <f t="shared" si="5"/>
        <v>53581 JUL/2025</v>
      </c>
      <c r="H251">
        <v>53581</v>
      </c>
      <c r="I251" t="s">
        <v>86</v>
      </c>
      <c r="J251" t="s">
        <v>512</v>
      </c>
      <c r="K251">
        <v>15.875</v>
      </c>
      <c r="T251" s="184"/>
      <c r="U251">
        <v>53581</v>
      </c>
      <c r="V251" t="s">
        <v>100</v>
      </c>
      <c r="W251">
        <v>0</v>
      </c>
    </row>
    <row r="252" spans="1:23" x14ac:dyDescent="0.35">
      <c r="A252" s="30" t="s">
        <v>761</v>
      </c>
      <c r="B252">
        <v>48374</v>
      </c>
      <c r="C252" t="s">
        <v>54</v>
      </c>
      <c r="D252" t="s">
        <v>157</v>
      </c>
      <c r="E252">
        <v>-8.3000000000000004E-2</v>
      </c>
      <c r="G252" s="29" t="str">
        <f t="shared" si="5"/>
        <v>53581 AGO/2025</v>
      </c>
      <c r="H252">
        <v>53581</v>
      </c>
      <c r="I252" t="s">
        <v>86</v>
      </c>
      <c r="J252" t="s">
        <v>773</v>
      </c>
      <c r="K252">
        <v>13.75</v>
      </c>
      <c r="T252" s="184"/>
      <c r="U252">
        <v>55502</v>
      </c>
      <c r="V252" t="s">
        <v>1036</v>
      </c>
      <c r="W252">
        <v>5.5830000000000002</v>
      </c>
    </row>
    <row r="253" spans="1:23" x14ac:dyDescent="0.35">
      <c r="A253" s="30" t="s">
        <v>762</v>
      </c>
      <c r="B253">
        <v>48374</v>
      </c>
      <c r="C253" t="s">
        <v>54</v>
      </c>
      <c r="D253" t="s">
        <v>158</v>
      </c>
      <c r="E253">
        <v>120.583</v>
      </c>
      <c r="G253" s="29" t="str">
        <f t="shared" si="5"/>
        <v>53581 SET/2025</v>
      </c>
      <c r="H253">
        <v>53581</v>
      </c>
      <c r="I253" t="s">
        <v>86</v>
      </c>
      <c r="J253" t="s">
        <v>772</v>
      </c>
      <c r="K253" s="6">
        <v>515.65300000000002</v>
      </c>
      <c r="T253" s="184"/>
      <c r="U253">
        <v>49419</v>
      </c>
      <c r="V253" t="s">
        <v>1037</v>
      </c>
      <c r="W253">
        <v>4.7080000000000002</v>
      </c>
    </row>
    <row r="254" spans="1:23" x14ac:dyDescent="0.35">
      <c r="A254" s="30" t="s">
        <v>763</v>
      </c>
      <c r="B254">
        <v>48374</v>
      </c>
      <c r="C254" t="s">
        <v>54</v>
      </c>
      <c r="D254" t="s">
        <v>159</v>
      </c>
      <c r="E254">
        <v>496.66699999999997</v>
      </c>
      <c r="G254" s="29" t="str">
        <f t="shared" si="5"/>
        <v>53581 OUT/2025</v>
      </c>
      <c r="H254">
        <v>53581</v>
      </c>
      <c r="I254" t="s">
        <v>86</v>
      </c>
      <c r="J254" t="s">
        <v>774</v>
      </c>
      <c r="K254" s="6">
        <v>9.1669999999999998</v>
      </c>
      <c r="T254" s="184"/>
      <c r="U254">
        <v>55230</v>
      </c>
      <c r="V254" t="s">
        <v>1038</v>
      </c>
      <c r="W254">
        <v>11</v>
      </c>
    </row>
    <row r="255" spans="1:23" x14ac:dyDescent="0.35">
      <c r="A255" s="30" t="s">
        <v>764</v>
      </c>
      <c r="B255">
        <v>48374</v>
      </c>
      <c r="C255" t="s">
        <v>54</v>
      </c>
      <c r="D255" t="s">
        <v>160</v>
      </c>
      <c r="E255">
        <v>117</v>
      </c>
      <c r="G255" s="29" t="str">
        <f t="shared" si="5"/>
        <v>53581 NOV/2025</v>
      </c>
      <c r="H255">
        <v>53581</v>
      </c>
      <c r="I255" t="s">
        <v>86</v>
      </c>
      <c r="J255" t="s">
        <v>775</v>
      </c>
      <c r="K255">
        <v>9.9510000000000005</v>
      </c>
      <c r="T255" s="184"/>
      <c r="U255">
        <v>184838</v>
      </c>
      <c r="V255" t="s">
        <v>1039</v>
      </c>
      <c r="W255">
        <v>5.625</v>
      </c>
    </row>
    <row r="256" spans="1:23" x14ac:dyDescent="0.35">
      <c r="A256" s="30" t="s">
        <v>765</v>
      </c>
      <c r="B256">
        <v>48374</v>
      </c>
      <c r="C256" t="s">
        <v>54</v>
      </c>
      <c r="D256" t="s">
        <v>162</v>
      </c>
      <c r="E256">
        <v>290</v>
      </c>
      <c r="G256" s="29" t="str">
        <f t="shared" si="5"/>
        <v>53581 DEZ/2025</v>
      </c>
      <c r="H256">
        <v>53581</v>
      </c>
      <c r="I256" t="s">
        <v>86</v>
      </c>
      <c r="J256" t="s">
        <v>776</v>
      </c>
      <c r="K256" s="6">
        <v>89</v>
      </c>
      <c r="T256" s="184"/>
      <c r="U256">
        <v>60905</v>
      </c>
      <c r="V256" t="s">
        <v>846</v>
      </c>
      <c r="W256">
        <v>11</v>
      </c>
    </row>
    <row r="257" spans="1:23" x14ac:dyDescent="0.35">
      <c r="A257" s="30" t="s">
        <v>766</v>
      </c>
      <c r="B257">
        <v>48374</v>
      </c>
      <c r="C257" t="s">
        <v>54</v>
      </c>
      <c r="D257" t="s">
        <v>163</v>
      </c>
      <c r="E257">
        <v>-8</v>
      </c>
      <c r="G257" s="29" t="str">
        <f t="shared" si="5"/>
        <v>53581 JAN/2026</v>
      </c>
      <c r="H257">
        <v>53581</v>
      </c>
      <c r="I257" t="s">
        <v>86</v>
      </c>
      <c r="J257" t="s">
        <v>777</v>
      </c>
      <c r="K257">
        <v>74.457999999999998</v>
      </c>
      <c r="T257" s="184"/>
      <c r="U257">
        <v>185862</v>
      </c>
      <c r="V257" t="s">
        <v>846</v>
      </c>
      <c r="W257">
        <v>2</v>
      </c>
    </row>
    <row r="258" spans="1:23" x14ac:dyDescent="0.35">
      <c r="A258" s="30" t="s">
        <v>767</v>
      </c>
      <c r="B258">
        <v>48374</v>
      </c>
      <c r="C258" t="s">
        <v>54</v>
      </c>
      <c r="D258" t="s">
        <v>164</v>
      </c>
      <c r="E258">
        <v>215.708</v>
      </c>
      <c r="G258" s="29" t="str">
        <f t="shared" si="5"/>
        <v>53581 FEV/2026</v>
      </c>
      <c r="H258">
        <v>53581</v>
      </c>
      <c r="I258" t="s">
        <v>86</v>
      </c>
      <c r="J258" t="s">
        <v>778</v>
      </c>
      <c r="K258">
        <v>15.417</v>
      </c>
      <c r="T258" s="184"/>
      <c r="U258">
        <v>57679</v>
      </c>
      <c r="V258" t="s">
        <v>112</v>
      </c>
      <c r="W258">
        <v>59</v>
      </c>
    </row>
    <row r="259" spans="1:23" x14ac:dyDescent="0.35">
      <c r="A259" s="30" t="s">
        <v>768</v>
      </c>
      <c r="B259">
        <v>48374</v>
      </c>
      <c r="C259" t="s">
        <v>54</v>
      </c>
      <c r="D259" t="s">
        <v>165</v>
      </c>
      <c r="E259">
        <v>278</v>
      </c>
      <c r="G259" s="29" t="str">
        <f t="shared" si="5"/>
        <v>53581 MAR/2026</v>
      </c>
      <c r="H259">
        <v>53581</v>
      </c>
      <c r="I259" t="s">
        <v>86</v>
      </c>
      <c r="J259" t="s">
        <v>779</v>
      </c>
      <c r="K259">
        <v>63.125</v>
      </c>
      <c r="T259" s="184"/>
      <c r="U259">
        <v>180012</v>
      </c>
      <c r="V259" t="s">
        <v>1040</v>
      </c>
      <c r="W259">
        <v>1.917</v>
      </c>
    </row>
    <row r="260" spans="1:23" x14ac:dyDescent="0.35">
      <c r="A260" s="30" t="s">
        <v>769</v>
      </c>
      <c r="B260">
        <v>48374</v>
      </c>
      <c r="C260" t="s">
        <v>54</v>
      </c>
      <c r="D260" t="s">
        <v>166</v>
      </c>
      <c r="E260">
        <v>32</v>
      </c>
      <c r="G260" s="29" t="str">
        <f t="shared" si="5"/>
        <v>53581 ABR/2026</v>
      </c>
      <c r="H260">
        <v>53581</v>
      </c>
      <c r="I260" t="s">
        <v>86</v>
      </c>
      <c r="J260" t="s">
        <v>780</v>
      </c>
      <c r="K260" s="6">
        <v>20.457999999999998</v>
      </c>
      <c r="T260" s="184"/>
      <c r="U260">
        <v>128748</v>
      </c>
      <c r="V260" t="s">
        <v>1041</v>
      </c>
      <c r="W260">
        <v>2.1669999999999998</v>
      </c>
    </row>
    <row r="261" spans="1:23" x14ac:dyDescent="0.35">
      <c r="A261" s="30" t="s">
        <v>770</v>
      </c>
      <c r="B261">
        <v>48374</v>
      </c>
      <c r="C261" t="s">
        <v>54</v>
      </c>
      <c r="D261" t="s">
        <v>167</v>
      </c>
      <c r="E261">
        <v>160.792</v>
      </c>
      <c r="G261" s="29" t="str">
        <f t="shared" ref="G261:G322" si="6">H261&amp;J261</f>
        <v>53581 MAI/2026</v>
      </c>
      <c r="H261">
        <v>53581</v>
      </c>
      <c r="I261" t="s">
        <v>86</v>
      </c>
      <c r="J261" t="s">
        <v>781</v>
      </c>
      <c r="K261">
        <v>22</v>
      </c>
      <c r="T261" s="184"/>
      <c r="U261">
        <v>190491</v>
      </c>
      <c r="V261" t="s">
        <v>1041</v>
      </c>
      <c r="W261">
        <v>0.5</v>
      </c>
    </row>
    <row r="262" spans="1:23" x14ac:dyDescent="0.35">
      <c r="A262" s="30" t="s">
        <v>771</v>
      </c>
      <c r="B262">
        <v>48374</v>
      </c>
      <c r="C262" t="s">
        <v>54</v>
      </c>
      <c r="D262" t="s">
        <v>168</v>
      </c>
      <c r="E262">
        <v>67.832999999999998</v>
      </c>
      <c r="G262" s="29" t="str">
        <f t="shared" si="6"/>
        <v>53581 JUN/2026</v>
      </c>
      <c r="H262">
        <v>53581</v>
      </c>
      <c r="I262" t="s">
        <v>86</v>
      </c>
      <c r="J262" t="s">
        <v>782</v>
      </c>
      <c r="K262">
        <v>19.082999999999998</v>
      </c>
      <c r="T262" s="184"/>
      <c r="U262">
        <v>185567</v>
      </c>
      <c r="V262" t="s">
        <v>1042</v>
      </c>
      <c r="W262">
        <v>0.16700000000000001</v>
      </c>
    </row>
    <row r="263" spans="1:23" x14ac:dyDescent="0.35">
      <c r="G263" s="29" t="str">
        <f t="shared" si="6"/>
        <v>57679 JUL/2025</v>
      </c>
      <c r="H263">
        <v>57679</v>
      </c>
      <c r="I263" t="s">
        <v>137</v>
      </c>
      <c r="J263" t="s">
        <v>512</v>
      </c>
      <c r="K263" s="6">
        <v>109</v>
      </c>
      <c r="T263" s="184"/>
      <c r="U263">
        <v>156888</v>
      </c>
      <c r="V263" t="s">
        <v>1043</v>
      </c>
      <c r="W263">
        <v>0.25</v>
      </c>
    </row>
    <row r="264" spans="1:23" x14ac:dyDescent="0.35">
      <c r="G264" s="29" t="str">
        <f t="shared" si="6"/>
        <v>57679 AGO/2025</v>
      </c>
      <c r="H264">
        <v>57679</v>
      </c>
      <c r="I264" t="s">
        <v>137</v>
      </c>
      <c r="J264" t="s">
        <v>773</v>
      </c>
      <c r="K264" s="6">
        <v>1458</v>
      </c>
      <c r="T264" s="184"/>
      <c r="U264">
        <v>109789</v>
      </c>
      <c r="V264" t="s">
        <v>1044</v>
      </c>
      <c r="W264">
        <v>0.25</v>
      </c>
    </row>
    <row r="265" spans="1:23" x14ac:dyDescent="0.35">
      <c r="G265" s="29" t="str">
        <f t="shared" si="6"/>
        <v>57679 SET/2025</v>
      </c>
      <c r="H265">
        <v>57679</v>
      </c>
      <c r="I265" t="s">
        <v>137</v>
      </c>
      <c r="J265" t="s">
        <v>772</v>
      </c>
      <c r="K265">
        <v>261</v>
      </c>
      <c r="T265" s="184"/>
      <c r="U265">
        <v>179633</v>
      </c>
      <c r="V265" t="s">
        <v>1045</v>
      </c>
      <c r="W265">
        <v>0.625</v>
      </c>
    </row>
    <row r="266" spans="1:23" x14ac:dyDescent="0.35">
      <c r="G266" s="29" t="str">
        <f t="shared" si="6"/>
        <v>57679 OUT/2025</v>
      </c>
      <c r="H266">
        <v>57679</v>
      </c>
      <c r="I266" t="s">
        <v>137</v>
      </c>
      <c r="J266" t="s">
        <v>774</v>
      </c>
      <c r="K266" s="6">
        <v>548.75</v>
      </c>
      <c r="T266" s="184"/>
      <c r="U266">
        <v>91230</v>
      </c>
      <c r="V266" t="s">
        <v>1046</v>
      </c>
      <c r="W266">
        <v>1</v>
      </c>
    </row>
    <row r="267" spans="1:23" x14ac:dyDescent="0.35">
      <c r="G267" s="29" t="str">
        <f t="shared" si="6"/>
        <v>57679 NOV/2025</v>
      </c>
      <c r="H267">
        <v>57679</v>
      </c>
      <c r="I267" t="s">
        <v>137</v>
      </c>
      <c r="J267" t="s">
        <v>775</v>
      </c>
      <c r="K267" s="6">
        <v>578</v>
      </c>
      <c r="T267" s="184"/>
      <c r="U267">
        <v>164081</v>
      </c>
      <c r="V267" t="s">
        <v>1047</v>
      </c>
      <c r="W267">
        <v>2.125</v>
      </c>
    </row>
    <row r="268" spans="1:23" x14ac:dyDescent="0.35">
      <c r="G268" s="29" t="str">
        <f t="shared" si="6"/>
        <v>57679 DEZ/2025</v>
      </c>
      <c r="H268">
        <v>57679</v>
      </c>
      <c r="I268" t="s">
        <v>137</v>
      </c>
      <c r="J268" t="s">
        <v>776</v>
      </c>
      <c r="K268">
        <v>615</v>
      </c>
      <c r="T268" s="184"/>
    </row>
    <row r="269" spans="1:23" x14ac:dyDescent="0.35">
      <c r="G269" s="29" t="str">
        <f t="shared" si="6"/>
        <v>57679 JAN/2026</v>
      </c>
      <c r="H269">
        <v>57679</v>
      </c>
      <c r="I269" t="s">
        <v>137</v>
      </c>
      <c r="J269" t="s">
        <v>777</v>
      </c>
      <c r="K269">
        <v>235.917</v>
      </c>
      <c r="T269" s="184"/>
    </row>
    <row r="270" spans="1:23" x14ac:dyDescent="0.35">
      <c r="G270" s="29" t="str">
        <f t="shared" si="6"/>
        <v>57679 FEV/2026</v>
      </c>
      <c r="H270">
        <v>57679</v>
      </c>
      <c r="I270" t="s">
        <v>137</v>
      </c>
      <c r="J270" t="s">
        <v>778</v>
      </c>
      <c r="K270" s="6">
        <v>790.95799999999997</v>
      </c>
      <c r="T270" s="184"/>
    </row>
    <row r="271" spans="1:23" x14ac:dyDescent="0.35">
      <c r="G271" s="29" t="str">
        <f t="shared" si="6"/>
        <v>57679 MAR/2026</v>
      </c>
      <c r="H271">
        <v>57679</v>
      </c>
      <c r="I271" t="s">
        <v>137</v>
      </c>
      <c r="J271" t="s">
        <v>779</v>
      </c>
      <c r="K271">
        <v>688</v>
      </c>
      <c r="T271" s="184"/>
    </row>
    <row r="272" spans="1:23" x14ac:dyDescent="0.35">
      <c r="G272" s="29" t="str">
        <f t="shared" si="6"/>
        <v>57679 ABR/2026</v>
      </c>
      <c r="H272">
        <v>57679</v>
      </c>
      <c r="I272" t="s">
        <v>137</v>
      </c>
      <c r="J272" t="s">
        <v>780</v>
      </c>
      <c r="K272">
        <v>365</v>
      </c>
      <c r="T272" s="184"/>
    </row>
    <row r="273" spans="7:23" x14ac:dyDescent="0.35">
      <c r="G273" s="29" t="str">
        <f t="shared" si="6"/>
        <v>57679 MAI/2026</v>
      </c>
      <c r="H273">
        <v>57679</v>
      </c>
      <c r="I273" t="s">
        <v>137</v>
      </c>
      <c r="J273" t="s">
        <v>781</v>
      </c>
      <c r="K273" s="6">
        <v>518</v>
      </c>
      <c r="T273" s="184"/>
      <c r="W273" s="6"/>
    </row>
    <row r="274" spans="7:23" x14ac:dyDescent="0.35">
      <c r="G274" s="29" t="str">
        <f t="shared" si="6"/>
        <v>57679 JUN/2026</v>
      </c>
      <c r="H274">
        <v>57679</v>
      </c>
      <c r="I274" t="s">
        <v>137</v>
      </c>
      <c r="J274" t="s">
        <v>782</v>
      </c>
      <c r="K274">
        <v>204</v>
      </c>
      <c r="T274" s="184"/>
    </row>
    <row r="275" spans="7:23" x14ac:dyDescent="0.35">
      <c r="G275" s="29" t="str">
        <f t="shared" si="6"/>
        <v>184217 AGO/2025</v>
      </c>
      <c r="H275">
        <v>184217</v>
      </c>
      <c r="I275" t="s">
        <v>142</v>
      </c>
      <c r="J275" t="s">
        <v>773</v>
      </c>
      <c r="K275">
        <v>5.875</v>
      </c>
      <c r="T275" s="184"/>
    </row>
    <row r="276" spans="7:23" x14ac:dyDescent="0.35">
      <c r="G276" s="29" t="str">
        <f t="shared" si="6"/>
        <v>184217 FEV/2026</v>
      </c>
      <c r="H276">
        <v>184217</v>
      </c>
      <c r="I276" t="s">
        <v>142</v>
      </c>
      <c r="J276" t="s">
        <v>778</v>
      </c>
      <c r="K276">
        <v>3</v>
      </c>
      <c r="T276" s="184"/>
    </row>
    <row r="277" spans="7:23" x14ac:dyDescent="0.35">
      <c r="G277" s="29" t="str">
        <f t="shared" si="6"/>
        <v>184335 JUL/2025</v>
      </c>
      <c r="H277">
        <v>184335</v>
      </c>
      <c r="I277" t="s">
        <v>142</v>
      </c>
      <c r="J277" t="s">
        <v>512</v>
      </c>
      <c r="K277">
        <v>5.375</v>
      </c>
      <c r="T277" s="184"/>
    </row>
    <row r="278" spans="7:23" x14ac:dyDescent="0.35">
      <c r="G278" s="29" t="str">
        <f t="shared" si="6"/>
        <v>184335 AGO/2025</v>
      </c>
      <c r="H278">
        <v>184335</v>
      </c>
      <c r="I278" t="s">
        <v>142</v>
      </c>
      <c r="J278" t="s">
        <v>773</v>
      </c>
      <c r="K278">
        <v>0.5</v>
      </c>
      <c r="T278" s="184"/>
    </row>
    <row r="279" spans="7:23" x14ac:dyDescent="0.35">
      <c r="G279" s="29" t="str">
        <f t="shared" si="6"/>
        <v>184335 FEV/2026</v>
      </c>
      <c r="H279">
        <v>184335</v>
      </c>
      <c r="I279" t="s">
        <v>142</v>
      </c>
      <c r="J279" t="s">
        <v>778</v>
      </c>
      <c r="K279">
        <v>3</v>
      </c>
      <c r="T279" s="184"/>
    </row>
    <row r="280" spans="7:23" x14ac:dyDescent="0.35">
      <c r="G280" s="29" t="str">
        <f t="shared" si="6"/>
        <v>94520 JUL/2025</v>
      </c>
      <c r="H280">
        <v>94520</v>
      </c>
      <c r="I280" t="s">
        <v>53</v>
      </c>
      <c r="J280" t="s">
        <v>512</v>
      </c>
      <c r="K280">
        <v>397.625</v>
      </c>
      <c r="T280" s="184"/>
    </row>
    <row r="281" spans="7:23" x14ac:dyDescent="0.35">
      <c r="G281" s="29" t="str">
        <f t="shared" si="6"/>
        <v>94520 AGO/2025</v>
      </c>
      <c r="H281">
        <v>94520</v>
      </c>
      <c r="I281" t="s">
        <v>53</v>
      </c>
      <c r="J281" t="s">
        <v>773</v>
      </c>
      <c r="K281" s="6">
        <v>49.146000000000001</v>
      </c>
      <c r="T281" s="184"/>
    </row>
    <row r="282" spans="7:23" x14ac:dyDescent="0.35">
      <c r="G282" s="29" t="str">
        <f t="shared" si="6"/>
        <v>94520 SET/2025</v>
      </c>
      <c r="H282">
        <v>94520</v>
      </c>
      <c r="I282" t="s">
        <v>53</v>
      </c>
      <c r="J282" t="s">
        <v>772</v>
      </c>
      <c r="K282" s="6">
        <v>1314.6669999999999</v>
      </c>
      <c r="T282" s="184"/>
    </row>
    <row r="283" spans="7:23" x14ac:dyDescent="0.35">
      <c r="G283" s="29" t="str">
        <f t="shared" si="6"/>
        <v>94520 OUT/2025</v>
      </c>
      <c r="H283">
        <v>94520</v>
      </c>
      <c r="I283" t="s">
        <v>53</v>
      </c>
      <c r="J283" t="s">
        <v>774</v>
      </c>
      <c r="K283">
        <v>74.082999999999998</v>
      </c>
      <c r="T283" s="184"/>
    </row>
    <row r="284" spans="7:23" x14ac:dyDescent="0.35">
      <c r="G284" s="29" t="str">
        <f t="shared" si="6"/>
        <v>94520 NOV/2025</v>
      </c>
      <c r="H284">
        <v>94520</v>
      </c>
      <c r="I284" t="s">
        <v>53</v>
      </c>
      <c r="J284" t="s">
        <v>775</v>
      </c>
      <c r="K284">
        <v>397.76400000000001</v>
      </c>
      <c r="T284" s="184"/>
    </row>
    <row r="285" spans="7:23" x14ac:dyDescent="0.35">
      <c r="G285" s="29" t="str">
        <f t="shared" si="6"/>
        <v>94520 DEZ/2025</v>
      </c>
      <c r="H285">
        <v>94520</v>
      </c>
      <c r="I285" t="s">
        <v>53</v>
      </c>
      <c r="J285" t="s">
        <v>776</v>
      </c>
      <c r="K285">
        <v>592.20799999999997</v>
      </c>
      <c r="T285" s="184"/>
    </row>
    <row r="286" spans="7:23" x14ac:dyDescent="0.35">
      <c r="G286" s="29" t="str">
        <f t="shared" si="6"/>
        <v>94520 JAN/2026</v>
      </c>
      <c r="H286">
        <v>94520</v>
      </c>
      <c r="I286" t="s">
        <v>53</v>
      </c>
      <c r="J286" t="s">
        <v>777</v>
      </c>
      <c r="K286">
        <v>294.02100000000002</v>
      </c>
      <c r="T286" s="184"/>
    </row>
    <row r="287" spans="7:23" x14ac:dyDescent="0.35">
      <c r="G287" s="29" t="str">
        <f t="shared" si="6"/>
        <v>94520 FEV/2026</v>
      </c>
      <c r="H287">
        <v>94520</v>
      </c>
      <c r="I287" t="s">
        <v>53</v>
      </c>
      <c r="J287" t="s">
        <v>778</v>
      </c>
      <c r="K287">
        <v>80.582999999999998</v>
      </c>
      <c r="T287" s="184"/>
    </row>
    <row r="288" spans="7:23" x14ac:dyDescent="0.35">
      <c r="G288" s="29" t="str">
        <f t="shared" si="6"/>
        <v>94520 MAR/2026</v>
      </c>
      <c r="H288">
        <v>94520</v>
      </c>
      <c r="I288" t="s">
        <v>53</v>
      </c>
      <c r="J288" t="s">
        <v>779</v>
      </c>
      <c r="K288">
        <v>397.25</v>
      </c>
      <c r="T288" s="184"/>
    </row>
    <row r="289" spans="7:23" x14ac:dyDescent="0.35">
      <c r="G289" s="29" t="str">
        <f t="shared" si="6"/>
        <v>94520 ABR/2026</v>
      </c>
      <c r="H289">
        <v>94520</v>
      </c>
      <c r="I289" t="s">
        <v>53</v>
      </c>
      <c r="J289" t="s">
        <v>780</v>
      </c>
      <c r="K289">
        <v>220.667</v>
      </c>
      <c r="T289" s="184"/>
    </row>
    <row r="290" spans="7:23" x14ac:dyDescent="0.35">
      <c r="G290" s="29" t="str">
        <f t="shared" si="6"/>
        <v>94520 MAI/2026</v>
      </c>
      <c r="H290">
        <v>94520</v>
      </c>
      <c r="I290" t="s">
        <v>53</v>
      </c>
      <c r="J290" t="s">
        <v>781</v>
      </c>
      <c r="K290">
        <v>215.179</v>
      </c>
      <c r="T290" s="184"/>
    </row>
    <row r="291" spans="7:23" x14ac:dyDescent="0.35">
      <c r="G291" s="29" t="str">
        <f t="shared" si="6"/>
        <v>94520 JUN/2026</v>
      </c>
      <c r="H291">
        <v>94520</v>
      </c>
      <c r="I291" t="s">
        <v>53</v>
      </c>
      <c r="J291" t="s">
        <v>782</v>
      </c>
      <c r="K291">
        <v>-8.7789999999999999</v>
      </c>
      <c r="T291" s="184"/>
    </row>
    <row r="292" spans="7:23" x14ac:dyDescent="0.35">
      <c r="G292" s="29" t="str">
        <f t="shared" si="6"/>
        <v>53461 AGO/2025</v>
      </c>
      <c r="H292">
        <v>53461</v>
      </c>
      <c r="I292" t="s">
        <v>87</v>
      </c>
      <c r="J292" t="s">
        <v>773</v>
      </c>
      <c r="K292">
        <v>5.875</v>
      </c>
      <c r="T292" s="184"/>
      <c r="W292" s="6"/>
    </row>
    <row r="293" spans="7:23" x14ac:dyDescent="0.35">
      <c r="G293" s="29" t="str">
        <f t="shared" si="6"/>
        <v>53461 FEV/2026</v>
      </c>
      <c r="H293">
        <v>53461</v>
      </c>
      <c r="I293" t="s">
        <v>87</v>
      </c>
      <c r="J293" t="s">
        <v>778</v>
      </c>
      <c r="K293">
        <v>3</v>
      </c>
      <c r="T293" s="184"/>
      <c r="W293" s="6"/>
    </row>
    <row r="294" spans="7:23" x14ac:dyDescent="0.35">
      <c r="G294" s="29" t="str">
        <f t="shared" si="6"/>
        <v>56110 AGO/2025</v>
      </c>
      <c r="H294">
        <v>56110</v>
      </c>
      <c r="I294" t="s">
        <v>88</v>
      </c>
      <c r="J294" t="s">
        <v>773</v>
      </c>
      <c r="K294">
        <v>5.875</v>
      </c>
      <c r="T294" s="184"/>
    </row>
    <row r="295" spans="7:23" x14ac:dyDescent="0.35">
      <c r="G295" s="29" t="str">
        <f t="shared" si="6"/>
        <v>56110 FEV/2026</v>
      </c>
      <c r="H295">
        <v>56110</v>
      </c>
      <c r="I295" t="s">
        <v>88</v>
      </c>
      <c r="J295" t="s">
        <v>778</v>
      </c>
      <c r="K295">
        <v>3</v>
      </c>
      <c r="T295" s="184"/>
    </row>
    <row r="296" spans="7:23" x14ac:dyDescent="0.35">
      <c r="G296" s="29" t="str">
        <f t="shared" si="6"/>
        <v>73922 AGO/2025</v>
      </c>
      <c r="H296">
        <v>73922</v>
      </c>
      <c r="I296" t="s">
        <v>89</v>
      </c>
      <c r="J296" t="s">
        <v>773</v>
      </c>
      <c r="K296">
        <v>5.875</v>
      </c>
      <c r="T296" s="184"/>
    </row>
    <row r="297" spans="7:23" x14ac:dyDescent="0.35">
      <c r="G297" s="29" t="str">
        <f t="shared" si="6"/>
        <v>73922 FEV/2026</v>
      </c>
      <c r="H297">
        <v>73922</v>
      </c>
      <c r="I297" t="s">
        <v>89</v>
      </c>
      <c r="J297" t="s">
        <v>778</v>
      </c>
      <c r="K297">
        <v>3</v>
      </c>
      <c r="T297" s="184"/>
    </row>
    <row r="298" spans="7:23" x14ac:dyDescent="0.35">
      <c r="G298" s="29" t="str">
        <f t="shared" si="6"/>
        <v>102953 AGO/2025</v>
      </c>
      <c r="H298">
        <v>102953</v>
      </c>
      <c r="I298" t="s">
        <v>90</v>
      </c>
      <c r="J298" t="s">
        <v>773</v>
      </c>
      <c r="K298">
        <v>5.875</v>
      </c>
      <c r="T298" s="184"/>
    </row>
    <row r="299" spans="7:23" x14ac:dyDescent="0.35">
      <c r="G299" s="29" t="str">
        <f t="shared" si="6"/>
        <v>102953 FEV/2026</v>
      </c>
      <c r="H299">
        <v>102953</v>
      </c>
      <c r="I299" t="s">
        <v>90</v>
      </c>
      <c r="J299" t="s">
        <v>778</v>
      </c>
      <c r="K299">
        <v>3</v>
      </c>
      <c r="T299" s="184"/>
    </row>
    <row r="300" spans="7:23" x14ac:dyDescent="0.35">
      <c r="G300" s="29" t="str">
        <f t="shared" si="6"/>
        <v>119456 AGO/2025</v>
      </c>
      <c r="H300">
        <v>119456</v>
      </c>
      <c r="I300" t="s">
        <v>94</v>
      </c>
      <c r="J300" t="s">
        <v>773</v>
      </c>
      <c r="K300">
        <v>5.875</v>
      </c>
      <c r="T300" s="184"/>
    </row>
    <row r="301" spans="7:23" x14ac:dyDescent="0.35">
      <c r="G301" s="29" t="str">
        <f t="shared" si="6"/>
        <v>119456 FEV/2026</v>
      </c>
      <c r="H301">
        <v>119456</v>
      </c>
      <c r="I301" t="s">
        <v>94</v>
      </c>
      <c r="J301" t="s">
        <v>778</v>
      </c>
      <c r="K301">
        <v>3</v>
      </c>
      <c r="T301" s="184"/>
    </row>
    <row r="302" spans="7:23" x14ac:dyDescent="0.35">
      <c r="G302" s="29" t="str">
        <f t="shared" si="6"/>
        <v>150368 JUL/2025</v>
      </c>
      <c r="H302">
        <v>150368</v>
      </c>
      <c r="I302" t="s">
        <v>91</v>
      </c>
      <c r="J302" t="s">
        <v>512</v>
      </c>
      <c r="K302">
        <v>5.625</v>
      </c>
      <c r="T302" s="184"/>
    </row>
    <row r="303" spans="7:23" x14ac:dyDescent="0.35">
      <c r="G303" s="29" t="str">
        <f t="shared" si="6"/>
        <v>150368 AGO/2025</v>
      </c>
      <c r="H303">
        <v>150368</v>
      </c>
      <c r="I303" t="s">
        <v>91</v>
      </c>
      <c r="J303" t="s">
        <v>773</v>
      </c>
      <c r="K303">
        <v>-0.25</v>
      </c>
      <c r="T303" s="184"/>
    </row>
    <row r="304" spans="7:23" x14ac:dyDescent="0.35">
      <c r="G304" s="29" t="str">
        <f t="shared" si="6"/>
        <v>150368 SET/2025</v>
      </c>
      <c r="H304">
        <v>150368</v>
      </c>
      <c r="I304" t="s">
        <v>91</v>
      </c>
      <c r="J304" t="s">
        <v>772</v>
      </c>
      <c r="K304">
        <v>0.5</v>
      </c>
      <c r="T304" s="184"/>
    </row>
    <row r="305" spans="7:20" x14ac:dyDescent="0.35">
      <c r="G305" s="29" t="str">
        <f t="shared" si="6"/>
        <v>150368 FEV/2026</v>
      </c>
      <c r="H305">
        <v>150368</v>
      </c>
      <c r="I305" t="s">
        <v>91</v>
      </c>
      <c r="J305" t="s">
        <v>778</v>
      </c>
      <c r="K305">
        <v>3</v>
      </c>
      <c r="T305" s="184"/>
    </row>
    <row r="306" spans="7:20" x14ac:dyDescent="0.35">
      <c r="G306" s="29" t="str">
        <f t="shared" si="6"/>
        <v>164006 JUL/2025</v>
      </c>
      <c r="H306">
        <v>164006</v>
      </c>
      <c r="I306" t="s">
        <v>93</v>
      </c>
      <c r="J306" t="s">
        <v>512</v>
      </c>
      <c r="K306">
        <v>5.875</v>
      </c>
      <c r="T306" s="184"/>
    </row>
    <row r="307" spans="7:20" x14ac:dyDescent="0.35">
      <c r="G307" s="29" t="str">
        <f t="shared" si="6"/>
        <v>164006 FEV/2026</v>
      </c>
      <c r="H307">
        <v>164006</v>
      </c>
      <c r="I307" t="s">
        <v>93</v>
      </c>
      <c r="J307" t="s">
        <v>778</v>
      </c>
      <c r="K307">
        <v>3</v>
      </c>
      <c r="T307" s="184"/>
    </row>
    <row r="308" spans="7:20" x14ac:dyDescent="0.35">
      <c r="G308" s="29" t="str">
        <f t="shared" si="6"/>
        <v>167265 JUL/2025</v>
      </c>
      <c r="H308">
        <v>167265</v>
      </c>
      <c r="I308" t="s">
        <v>92</v>
      </c>
      <c r="J308" t="s">
        <v>512</v>
      </c>
      <c r="K308">
        <v>5.375</v>
      </c>
      <c r="T308" s="184"/>
    </row>
    <row r="309" spans="7:20" x14ac:dyDescent="0.35">
      <c r="G309" s="29" t="str">
        <f t="shared" si="6"/>
        <v>167265 AGO/2025</v>
      </c>
      <c r="H309">
        <v>167265</v>
      </c>
      <c r="I309" t="s">
        <v>92</v>
      </c>
      <c r="J309" t="s">
        <v>773</v>
      </c>
      <c r="K309">
        <v>0.5</v>
      </c>
      <c r="T309" s="184"/>
    </row>
    <row r="310" spans="7:20" x14ac:dyDescent="0.35">
      <c r="G310" s="29" t="str">
        <f t="shared" si="6"/>
        <v>167265 FEV/2026</v>
      </c>
      <c r="H310">
        <v>167265</v>
      </c>
      <c r="I310" t="s">
        <v>92</v>
      </c>
      <c r="J310" t="s">
        <v>778</v>
      </c>
      <c r="K310">
        <v>3</v>
      </c>
      <c r="T310" s="184"/>
    </row>
    <row r="311" spans="7:20" x14ac:dyDescent="0.35">
      <c r="G311" s="29" t="str">
        <f t="shared" si="6"/>
        <v>48374 JUL/2025</v>
      </c>
      <c r="H311">
        <v>48374</v>
      </c>
      <c r="I311" t="s">
        <v>54</v>
      </c>
      <c r="J311" t="s">
        <v>512</v>
      </c>
      <c r="K311">
        <v>130.708</v>
      </c>
      <c r="T311" s="184"/>
    </row>
    <row r="312" spans="7:20" x14ac:dyDescent="0.35">
      <c r="G312" s="29" t="str">
        <f t="shared" si="6"/>
        <v>48374 AGO/2025</v>
      </c>
      <c r="H312">
        <v>48374</v>
      </c>
      <c r="I312" t="s">
        <v>54</v>
      </c>
      <c r="J312" t="s">
        <v>773</v>
      </c>
      <c r="K312">
        <v>64</v>
      </c>
      <c r="T312" s="184"/>
    </row>
    <row r="313" spans="7:20" x14ac:dyDescent="0.35">
      <c r="G313" s="29" t="str">
        <f t="shared" si="6"/>
        <v>48374 SET/2025</v>
      </c>
      <c r="H313">
        <v>48374</v>
      </c>
      <c r="I313" t="s">
        <v>54</v>
      </c>
      <c r="J313" t="s">
        <v>772</v>
      </c>
      <c r="K313">
        <v>136.542</v>
      </c>
      <c r="T313" s="184"/>
    </row>
    <row r="314" spans="7:20" x14ac:dyDescent="0.35">
      <c r="G314" s="29" t="str">
        <f t="shared" si="6"/>
        <v>48374 OUT/2025</v>
      </c>
      <c r="H314">
        <v>48374</v>
      </c>
      <c r="I314" t="s">
        <v>54</v>
      </c>
      <c r="J314" t="s">
        <v>774</v>
      </c>
      <c r="K314">
        <v>214</v>
      </c>
      <c r="T314" s="184"/>
    </row>
    <row r="315" spans="7:20" x14ac:dyDescent="0.35">
      <c r="G315" s="29" t="str">
        <f t="shared" si="6"/>
        <v>48374 NOV/2025</v>
      </c>
      <c r="H315">
        <v>48374</v>
      </c>
      <c r="I315" t="s">
        <v>54</v>
      </c>
      <c r="J315" t="s">
        <v>775</v>
      </c>
      <c r="K315">
        <v>204</v>
      </c>
      <c r="T315" s="184"/>
    </row>
    <row r="316" spans="7:20" x14ac:dyDescent="0.35">
      <c r="G316" s="29" t="str">
        <f t="shared" si="6"/>
        <v>48374 DEZ/2025</v>
      </c>
      <c r="H316">
        <v>48374</v>
      </c>
      <c r="I316" t="s">
        <v>54</v>
      </c>
      <c r="J316" t="s">
        <v>776</v>
      </c>
      <c r="K316">
        <v>129.417</v>
      </c>
      <c r="T316" s="184"/>
    </row>
    <row r="317" spans="7:20" x14ac:dyDescent="0.35">
      <c r="G317" s="29" t="str">
        <f t="shared" si="6"/>
        <v>48374 JAN/2026</v>
      </c>
      <c r="H317">
        <v>48374</v>
      </c>
      <c r="I317" t="s">
        <v>54</v>
      </c>
      <c r="J317" t="s">
        <v>777</v>
      </c>
      <c r="K317">
        <v>9.9789999999999992</v>
      </c>
      <c r="T317" s="184"/>
    </row>
    <row r="318" spans="7:20" x14ac:dyDescent="0.35">
      <c r="G318" s="29" t="str">
        <f t="shared" si="6"/>
        <v>48374 FEV/2026</v>
      </c>
      <c r="H318">
        <v>48374</v>
      </c>
      <c r="I318" t="s">
        <v>54</v>
      </c>
      <c r="J318" t="s">
        <v>778</v>
      </c>
      <c r="K318">
        <v>192.167</v>
      </c>
      <c r="T318" s="184"/>
    </row>
    <row r="319" spans="7:20" x14ac:dyDescent="0.35">
      <c r="G319" s="29" t="str">
        <f t="shared" si="6"/>
        <v>48374 MAR/2026</v>
      </c>
      <c r="H319">
        <v>48374</v>
      </c>
      <c r="I319" t="s">
        <v>54</v>
      </c>
      <c r="J319" t="s">
        <v>779</v>
      </c>
      <c r="K319">
        <v>395.5</v>
      </c>
      <c r="T319" s="184"/>
    </row>
    <row r="320" spans="7:20" x14ac:dyDescent="0.35">
      <c r="G320" s="29" t="str">
        <f t="shared" si="6"/>
        <v>48374 ABR/2026</v>
      </c>
      <c r="H320">
        <v>48374</v>
      </c>
      <c r="I320" t="s">
        <v>54</v>
      </c>
      <c r="J320" t="s">
        <v>780</v>
      </c>
      <c r="K320">
        <v>-8.3000000000000004E-2</v>
      </c>
      <c r="T320" s="184"/>
    </row>
    <row r="321" spans="7:20" x14ac:dyDescent="0.35">
      <c r="G321" s="29" t="str">
        <f t="shared" si="6"/>
        <v>48374 MAI/2026</v>
      </c>
      <c r="H321">
        <v>48374</v>
      </c>
      <c r="I321" t="s">
        <v>54</v>
      </c>
      <c r="J321" t="s">
        <v>781</v>
      </c>
      <c r="K321">
        <v>186.167</v>
      </c>
      <c r="T321" s="184"/>
    </row>
    <row r="322" spans="7:20" x14ac:dyDescent="0.35">
      <c r="G322" s="29" t="str">
        <f t="shared" si="6"/>
        <v>48374 JUN/2026</v>
      </c>
      <c r="H322">
        <v>48374</v>
      </c>
      <c r="I322" t="s">
        <v>54</v>
      </c>
      <c r="J322" t="s">
        <v>782</v>
      </c>
      <c r="K322">
        <v>149.625</v>
      </c>
      <c r="T322" s="184"/>
    </row>
    <row r="323" spans="7:20" x14ac:dyDescent="0.35">
      <c r="T323" s="184"/>
    </row>
    <row r="324" spans="7:20" x14ac:dyDescent="0.35">
      <c r="T324" s="184"/>
    </row>
    <row r="325" spans="7:20" x14ac:dyDescent="0.35">
      <c r="T325" s="172"/>
    </row>
    <row r="326" spans="7:20" x14ac:dyDescent="0.35">
      <c r="T326" s="172"/>
    </row>
    <row r="327" spans="7:20" x14ac:dyDescent="0.35">
      <c r="T327" s="172"/>
    </row>
    <row r="328" spans="7:20" x14ac:dyDescent="0.35">
      <c r="T328" s="172"/>
    </row>
    <row r="329" spans="7:20" x14ac:dyDescent="0.35">
      <c r="T329" s="172"/>
    </row>
    <row r="330" spans="7:20" x14ac:dyDescent="0.35">
      <c r="T330" s="172"/>
    </row>
    <row r="331" spans="7:20" x14ac:dyDescent="0.35">
      <c r="T331" s="172"/>
    </row>
    <row r="332" spans="7:20" x14ac:dyDescent="0.35">
      <c r="T332" s="172"/>
    </row>
    <row r="333" spans="7:20" x14ac:dyDescent="0.35">
      <c r="T333" s="172"/>
    </row>
    <row r="334" spans="7:20" x14ac:dyDescent="0.35">
      <c r="T334" s="172"/>
    </row>
    <row r="335" spans="7:20" x14ac:dyDescent="0.35">
      <c r="T335" s="172"/>
    </row>
    <row r="336" spans="7:20" x14ac:dyDescent="0.35">
      <c r="T336" s="172"/>
    </row>
    <row r="337" spans="20:20" x14ac:dyDescent="0.35">
      <c r="T337" s="172"/>
    </row>
    <row r="338" spans="20:20" x14ac:dyDescent="0.35">
      <c r="T338" s="172"/>
    </row>
    <row r="339" spans="20:20" x14ac:dyDescent="0.35">
      <c r="T339" s="172"/>
    </row>
    <row r="340" spans="20:20" x14ac:dyDescent="0.35">
      <c r="T340" s="172"/>
    </row>
    <row r="341" spans="20:20" x14ac:dyDescent="0.35">
      <c r="T341" s="172"/>
    </row>
    <row r="342" spans="20:20" x14ac:dyDescent="0.35">
      <c r="T342" s="172"/>
    </row>
    <row r="343" spans="20:20" x14ac:dyDescent="0.35">
      <c r="T343" s="172"/>
    </row>
    <row r="344" spans="20:20" x14ac:dyDescent="0.35">
      <c r="T344" s="172"/>
    </row>
    <row r="345" spans="20:20" x14ac:dyDescent="0.35">
      <c r="T345" s="172"/>
    </row>
    <row r="346" spans="20:20" x14ac:dyDescent="0.35">
      <c r="T346" s="172"/>
    </row>
    <row r="347" spans="20:20" x14ac:dyDescent="0.35">
      <c r="T347" s="172"/>
    </row>
    <row r="348" spans="20:20" x14ac:dyDescent="0.35">
      <c r="T348" s="172"/>
    </row>
    <row r="349" spans="20:20" x14ac:dyDescent="0.35">
      <c r="T349" s="172"/>
    </row>
    <row r="350" spans="20:20" x14ac:dyDescent="0.35">
      <c r="T350" s="172"/>
    </row>
    <row r="351" spans="20:20" x14ac:dyDescent="0.35">
      <c r="T351" s="172"/>
    </row>
    <row r="352" spans="20:20" x14ac:dyDescent="0.35">
      <c r="T352" s="172"/>
    </row>
    <row r="353" spans="20:20" x14ac:dyDescent="0.35">
      <c r="T353" s="172"/>
    </row>
    <row r="354" spans="20:20" x14ac:dyDescent="0.35">
      <c r="T354" s="172"/>
    </row>
    <row r="355" spans="20:20" x14ac:dyDescent="0.35">
      <c r="T355" s="172"/>
    </row>
    <row r="356" spans="20:20" x14ac:dyDescent="0.35">
      <c r="T356" s="172"/>
    </row>
    <row r="357" spans="20:20" x14ac:dyDescent="0.35">
      <c r="T357" s="172"/>
    </row>
    <row r="358" spans="20:20" x14ac:dyDescent="0.35">
      <c r="T358" s="172"/>
    </row>
    <row r="359" spans="20:20" x14ac:dyDescent="0.35">
      <c r="T359" s="172"/>
    </row>
    <row r="360" spans="20:20" x14ac:dyDescent="0.35">
      <c r="T360" s="172"/>
    </row>
    <row r="361" spans="20:20" x14ac:dyDescent="0.35">
      <c r="T361" s="172"/>
    </row>
    <row r="362" spans="20:20" x14ac:dyDescent="0.35">
      <c r="T362" s="172"/>
    </row>
    <row r="363" spans="20:20" x14ac:dyDescent="0.35">
      <c r="T363" s="172"/>
    </row>
    <row r="364" spans="20:20" x14ac:dyDescent="0.35">
      <c r="T364" s="172"/>
    </row>
    <row r="365" spans="20:20" x14ac:dyDescent="0.35">
      <c r="T365" s="172"/>
    </row>
    <row r="366" spans="20:20" x14ac:dyDescent="0.35">
      <c r="T366" s="172"/>
    </row>
    <row r="367" spans="20:20" x14ac:dyDescent="0.35">
      <c r="T367" s="172"/>
    </row>
    <row r="368" spans="20:20" x14ac:dyDescent="0.35">
      <c r="T368" s="172"/>
    </row>
    <row r="369" spans="20:20" x14ac:dyDescent="0.35">
      <c r="T369" s="172"/>
    </row>
    <row r="370" spans="20:20" x14ac:dyDescent="0.35">
      <c r="T370" s="172"/>
    </row>
    <row r="371" spans="20:20" x14ac:dyDescent="0.35">
      <c r="T371" s="172"/>
    </row>
    <row r="372" spans="20:20" x14ac:dyDescent="0.35">
      <c r="T372" s="172"/>
    </row>
    <row r="373" spans="20:20" x14ac:dyDescent="0.35">
      <c r="T373" s="172"/>
    </row>
    <row r="374" spans="20:20" x14ac:dyDescent="0.35">
      <c r="T374" s="172"/>
    </row>
    <row r="375" spans="20:20" x14ac:dyDescent="0.35">
      <c r="T375" s="172"/>
    </row>
    <row r="376" spans="20:20" x14ac:dyDescent="0.35">
      <c r="T376" s="172"/>
    </row>
    <row r="377" spans="20:20" x14ac:dyDescent="0.35">
      <c r="T377" s="172"/>
    </row>
    <row r="378" spans="20:20" x14ac:dyDescent="0.35">
      <c r="T378" s="172"/>
    </row>
    <row r="379" spans="20:20" x14ac:dyDescent="0.35">
      <c r="T379" s="172"/>
    </row>
    <row r="380" spans="20:20" x14ac:dyDescent="0.35">
      <c r="T380" s="172"/>
    </row>
    <row r="381" spans="20:20" x14ac:dyDescent="0.35">
      <c r="T381" s="172"/>
    </row>
    <row r="382" spans="20:20" x14ac:dyDescent="0.35">
      <c r="T382" s="172"/>
    </row>
    <row r="383" spans="20:20" x14ac:dyDescent="0.35">
      <c r="T383" s="172"/>
    </row>
    <row r="384" spans="20:20" x14ac:dyDescent="0.35">
      <c r="T384" s="172"/>
    </row>
    <row r="385" spans="20:20" x14ac:dyDescent="0.35">
      <c r="T385" s="172"/>
    </row>
    <row r="386" spans="20:20" x14ac:dyDescent="0.35">
      <c r="T386" s="172"/>
    </row>
    <row r="387" spans="20:20" x14ac:dyDescent="0.35">
      <c r="T387" s="172"/>
    </row>
    <row r="388" spans="20:20" x14ac:dyDescent="0.35">
      <c r="T388" s="172"/>
    </row>
    <row r="389" spans="20:20" x14ac:dyDescent="0.35">
      <c r="T389" s="172"/>
    </row>
    <row r="390" spans="20:20" x14ac:dyDescent="0.35">
      <c r="T390" s="172"/>
    </row>
    <row r="391" spans="20:20" x14ac:dyDescent="0.35">
      <c r="T391" s="172"/>
    </row>
    <row r="392" spans="20:20" x14ac:dyDescent="0.35">
      <c r="T392" s="172"/>
    </row>
    <row r="393" spans="20:20" x14ac:dyDescent="0.35">
      <c r="T393" s="172"/>
    </row>
    <row r="394" spans="20:20" x14ac:dyDescent="0.35">
      <c r="T394" s="172"/>
    </row>
    <row r="395" spans="20:20" x14ac:dyDescent="0.35">
      <c r="T395" s="172"/>
    </row>
    <row r="396" spans="20:20" x14ac:dyDescent="0.35">
      <c r="T396" s="172"/>
    </row>
    <row r="397" spans="20:20" x14ac:dyDescent="0.35">
      <c r="T397" s="172"/>
    </row>
    <row r="398" spans="20:20" x14ac:dyDescent="0.35">
      <c r="T398" s="172"/>
    </row>
    <row r="399" spans="20:20" x14ac:dyDescent="0.35">
      <c r="T399" s="172"/>
    </row>
    <row r="400" spans="20:20" x14ac:dyDescent="0.35">
      <c r="T400" s="172"/>
    </row>
    <row r="401" spans="20:20" x14ac:dyDescent="0.35">
      <c r="T401" s="172"/>
    </row>
    <row r="402" spans="20:20" x14ac:dyDescent="0.35">
      <c r="T402" s="172"/>
    </row>
    <row r="403" spans="20:20" x14ac:dyDescent="0.35">
      <c r="T403" s="172"/>
    </row>
    <row r="404" spans="20:20" x14ac:dyDescent="0.35">
      <c r="T404" s="172"/>
    </row>
    <row r="405" spans="20:20" x14ac:dyDescent="0.35">
      <c r="T405" s="172"/>
    </row>
    <row r="406" spans="20:20" x14ac:dyDescent="0.35">
      <c r="T406" s="172"/>
    </row>
    <row r="407" spans="20:20" x14ac:dyDescent="0.35">
      <c r="T407" s="172"/>
    </row>
    <row r="408" spans="20:20" x14ac:dyDescent="0.35">
      <c r="T408" s="172"/>
    </row>
    <row r="409" spans="20:20" x14ac:dyDescent="0.35">
      <c r="T409" s="172"/>
    </row>
    <row r="410" spans="20:20" x14ac:dyDescent="0.35">
      <c r="T410" s="172"/>
    </row>
    <row r="411" spans="20:20" x14ac:dyDescent="0.35">
      <c r="T411" s="172"/>
    </row>
    <row r="412" spans="20:20" x14ac:dyDescent="0.35">
      <c r="T412" s="172"/>
    </row>
    <row r="413" spans="20:20" x14ac:dyDescent="0.35">
      <c r="T413" s="172"/>
    </row>
    <row r="414" spans="20:20" x14ac:dyDescent="0.35">
      <c r="T414" s="172"/>
    </row>
    <row r="415" spans="20:20" x14ac:dyDescent="0.35">
      <c r="T415" s="172"/>
    </row>
    <row r="416" spans="20:20" x14ac:dyDescent="0.35">
      <c r="T416" s="172"/>
    </row>
    <row r="417" spans="20:20" x14ac:dyDescent="0.35">
      <c r="T417" s="172"/>
    </row>
    <row r="418" spans="20:20" x14ac:dyDescent="0.35">
      <c r="T418" s="172"/>
    </row>
    <row r="419" spans="20:20" x14ac:dyDescent="0.35">
      <c r="T419" s="172"/>
    </row>
    <row r="420" spans="20:20" x14ac:dyDescent="0.35">
      <c r="T420" s="172"/>
    </row>
    <row r="421" spans="20:20" x14ac:dyDescent="0.35">
      <c r="T421" s="172"/>
    </row>
    <row r="422" spans="20:20" x14ac:dyDescent="0.35">
      <c r="T422" s="172"/>
    </row>
    <row r="423" spans="20:20" x14ac:dyDescent="0.35">
      <c r="T423" s="172"/>
    </row>
    <row r="424" spans="20:20" x14ac:dyDescent="0.35">
      <c r="T424" s="172"/>
    </row>
    <row r="425" spans="20:20" x14ac:dyDescent="0.35">
      <c r="T425" s="172"/>
    </row>
    <row r="426" spans="20:20" x14ac:dyDescent="0.35">
      <c r="T426" s="172"/>
    </row>
    <row r="427" spans="20:20" x14ac:dyDescent="0.35">
      <c r="T427" s="172"/>
    </row>
    <row r="428" spans="20:20" x14ac:dyDescent="0.35">
      <c r="T428" s="172"/>
    </row>
    <row r="429" spans="20:20" x14ac:dyDescent="0.35">
      <c r="T429" s="172"/>
    </row>
    <row r="430" spans="20:20" x14ac:dyDescent="0.35">
      <c r="T430" s="172"/>
    </row>
    <row r="431" spans="20:20" x14ac:dyDescent="0.35">
      <c r="T431" s="172"/>
    </row>
    <row r="432" spans="20:20" x14ac:dyDescent="0.35">
      <c r="T432" s="172"/>
    </row>
    <row r="433" spans="20:20" x14ac:dyDescent="0.35">
      <c r="T433" s="172"/>
    </row>
    <row r="434" spans="20:20" x14ac:dyDescent="0.35">
      <c r="T434" s="172"/>
    </row>
    <row r="435" spans="20:20" x14ac:dyDescent="0.35">
      <c r="T435" s="172"/>
    </row>
    <row r="436" spans="20:20" x14ac:dyDescent="0.35">
      <c r="T436" s="172"/>
    </row>
    <row r="437" spans="20:20" x14ac:dyDescent="0.35">
      <c r="T437" s="172"/>
    </row>
    <row r="438" spans="20:20" x14ac:dyDescent="0.35">
      <c r="T438" s="172"/>
    </row>
    <row r="439" spans="20:20" x14ac:dyDescent="0.35">
      <c r="T439" s="172"/>
    </row>
    <row r="440" spans="20:20" x14ac:dyDescent="0.35">
      <c r="T440" s="172"/>
    </row>
    <row r="441" spans="20:20" x14ac:dyDescent="0.35">
      <c r="T441" s="172"/>
    </row>
    <row r="442" spans="20:20" x14ac:dyDescent="0.35">
      <c r="T442" s="172"/>
    </row>
    <row r="443" spans="20:20" x14ac:dyDescent="0.35">
      <c r="T443" s="172"/>
    </row>
    <row r="444" spans="20:20" x14ac:dyDescent="0.35">
      <c r="T444" s="172"/>
    </row>
    <row r="445" spans="20:20" x14ac:dyDescent="0.35">
      <c r="T445" s="172"/>
    </row>
    <row r="446" spans="20:20" x14ac:dyDescent="0.35">
      <c r="T446" s="172"/>
    </row>
    <row r="447" spans="20:20" x14ac:dyDescent="0.35">
      <c r="T447" s="172"/>
    </row>
    <row r="448" spans="20:20" x14ac:dyDescent="0.35">
      <c r="T448" s="172"/>
    </row>
    <row r="449" spans="20:20" x14ac:dyDescent="0.35">
      <c r="T449" s="172"/>
    </row>
    <row r="450" spans="20:20" x14ac:dyDescent="0.35">
      <c r="T450" s="172"/>
    </row>
    <row r="451" spans="20:20" x14ac:dyDescent="0.35">
      <c r="T451" s="172"/>
    </row>
    <row r="452" spans="20:20" x14ac:dyDescent="0.35">
      <c r="T452" s="172"/>
    </row>
    <row r="453" spans="20:20" x14ac:dyDescent="0.35">
      <c r="T453" s="172"/>
    </row>
    <row r="454" spans="20:20" x14ac:dyDescent="0.35">
      <c r="T454" s="172"/>
    </row>
    <row r="455" spans="20:20" x14ac:dyDescent="0.35">
      <c r="T455" s="172"/>
    </row>
    <row r="456" spans="20:20" x14ac:dyDescent="0.35">
      <c r="T456" s="172"/>
    </row>
    <row r="457" spans="20:20" x14ac:dyDescent="0.35">
      <c r="T457" s="172"/>
    </row>
    <row r="458" spans="20:20" x14ac:dyDescent="0.35">
      <c r="T458" s="172"/>
    </row>
    <row r="459" spans="20:20" x14ac:dyDescent="0.35">
      <c r="T459" s="172"/>
    </row>
    <row r="460" spans="20:20" x14ac:dyDescent="0.35">
      <c r="T460" s="172"/>
    </row>
    <row r="461" spans="20:20" x14ac:dyDescent="0.35">
      <c r="T461" s="172"/>
    </row>
    <row r="462" spans="20:20" x14ac:dyDescent="0.35">
      <c r="T462" s="172"/>
    </row>
    <row r="463" spans="20:20" x14ac:dyDescent="0.35">
      <c r="T463" s="172"/>
    </row>
    <row r="464" spans="20:20" x14ac:dyDescent="0.35">
      <c r="T464" s="172"/>
    </row>
    <row r="465" spans="20:20" x14ac:dyDescent="0.35">
      <c r="T465" s="172"/>
    </row>
    <row r="466" spans="20:20" x14ac:dyDescent="0.35">
      <c r="T466" s="172"/>
    </row>
    <row r="467" spans="20:20" x14ac:dyDescent="0.35">
      <c r="T467" s="172"/>
    </row>
    <row r="468" spans="20:20" x14ac:dyDescent="0.35">
      <c r="T468" s="172"/>
    </row>
    <row r="469" spans="20:20" x14ac:dyDescent="0.35">
      <c r="T469" s="172"/>
    </row>
    <row r="470" spans="20:20" x14ac:dyDescent="0.35">
      <c r="T470" s="172"/>
    </row>
    <row r="471" spans="20:20" x14ac:dyDescent="0.35">
      <c r="T471" s="172"/>
    </row>
    <row r="472" spans="20:20" x14ac:dyDescent="0.35">
      <c r="T472" s="172"/>
    </row>
    <row r="473" spans="20:20" x14ac:dyDescent="0.35">
      <c r="T473" s="172"/>
    </row>
    <row r="474" spans="20:20" x14ac:dyDescent="0.35">
      <c r="T474" s="172"/>
    </row>
    <row r="475" spans="20:20" x14ac:dyDescent="0.35">
      <c r="T475" s="172"/>
    </row>
    <row r="476" spans="20:20" x14ac:dyDescent="0.35">
      <c r="T476" s="172"/>
    </row>
    <row r="477" spans="20:20" x14ac:dyDescent="0.35">
      <c r="T477" s="172"/>
    </row>
    <row r="478" spans="20:20" x14ac:dyDescent="0.35">
      <c r="T478" s="172"/>
    </row>
    <row r="479" spans="20:20" x14ac:dyDescent="0.35">
      <c r="T479" s="172"/>
    </row>
    <row r="480" spans="20:20" x14ac:dyDescent="0.35">
      <c r="T480" s="172"/>
    </row>
    <row r="481" spans="20:20" x14ac:dyDescent="0.35">
      <c r="T481" s="172"/>
    </row>
    <row r="482" spans="20:20" x14ac:dyDescent="0.35">
      <c r="T482" s="172"/>
    </row>
    <row r="483" spans="20:20" x14ac:dyDescent="0.35">
      <c r="T483" s="172"/>
    </row>
    <row r="484" spans="20:20" x14ac:dyDescent="0.35">
      <c r="T484" s="172"/>
    </row>
    <row r="485" spans="20:20" x14ac:dyDescent="0.35">
      <c r="T485" s="172"/>
    </row>
    <row r="486" spans="20:20" x14ac:dyDescent="0.35">
      <c r="T486" s="172"/>
    </row>
    <row r="487" spans="20:20" x14ac:dyDescent="0.35">
      <c r="T487" s="172"/>
    </row>
    <row r="488" spans="20:20" x14ac:dyDescent="0.35">
      <c r="T488" s="172"/>
    </row>
    <row r="489" spans="20:20" x14ac:dyDescent="0.35">
      <c r="T489" s="172"/>
    </row>
    <row r="490" spans="20:20" x14ac:dyDescent="0.35">
      <c r="T490" s="172"/>
    </row>
    <row r="491" spans="20:20" x14ac:dyDescent="0.35">
      <c r="T491" s="172"/>
    </row>
    <row r="492" spans="20:20" x14ac:dyDescent="0.35">
      <c r="T492" s="172"/>
    </row>
    <row r="493" spans="20:20" x14ac:dyDescent="0.35">
      <c r="T493" s="172"/>
    </row>
    <row r="494" spans="20:20" x14ac:dyDescent="0.35">
      <c r="T494" s="172"/>
    </row>
    <row r="495" spans="20:20" x14ac:dyDescent="0.35">
      <c r="T495" s="172"/>
    </row>
    <row r="496" spans="20:20" x14ac:dyDescent="0.35">
      <c r="T496" s="172"/>
    </row>
    <row r="497" spans="20:20" x14ac:dyDescent="0.35">
      <c r="T497" s="172"/>
    </row>
    <row r="498" spans="20:20" x14ac:dyDescent="0.35">
      <c r="T498" s="172"/>
    </row>
    <row r="499" spans="20:20" x14ac:dyDescent="0.35">
      <c r="T499" s="172"/>
    </row>
    <row r="500" spans="20:20" x14ac:dyDescent="0.35">
      <c r="T500" s="172"/>
    </row>
    <row r="501" spans="20:20" x14ac:dyDescent="0.35">
      <c r="T501" s="172"/>
    </row>
    <row r="502" spans="20:20" x14ac:dyDescent="0.35">
      <c r="T502" s="172"/>
    </row>
    <row r="503" spans="20:20" x14ac:dyDescent="0.35">
      <c r="T503" s="172"/>
    </row>
    <row r="504" spans="20:20" x14ac:dyDescent="0.35">
      <c r="T504" s="172"/>
    </row>
    <row r="505" spans="20:20" x14ac:dyDescent="0.35">
      <c r="T505" s="172"/>
    </row>
    <row r="506" spans="20:20" x14ac:dyDescent="0.35">
      <c r="T506" s="172"/>
    </row>
    <row r="507" spans="20:20" x14ac:dyDescent="0.35">
      <c r="T507" s="172"/>
    </row>
    <row r="508" spans="20:20" x14ac:dyDescent="0.35">
      <c r="T508" s="172"/>
    </row>
    <row r="509" spans="20:20" x14ac:dyDescent="0.35">
      <c r="T509" s="172"/>
    </row>
    <row r="510" spans="20:20" x14ac:dyDescent="0.35">
      <c r="T510" s="172"/>
    </row>
    <row r="511" spans="20:20" x14ac:dyDescent="0.35">
      <c r="T511" s="172"/>
    </row>
    <row r="512" spans="20:20" x14ac:dyDescent="0.35">
      <c r="T512" s="172"/>
    </row>
    <row r="513" spans="20:20" x14ac:dyDescent="0.35">
      <c r="T513" s="172"/>
    </row>
    <row r="514" spans="20:20" x14ac:dyDescent="0.35">
      <c r="T514" s="172"/>
    </row>
    <row r="515" spans="20:20" x14ac:dyDescent="0.35">
      <c r="T515" s="172"/>
    </row>
    <row r="516" spans="20:20" x14ac:dyDescent="0.35">
      <c r="T516" s="172"/>
    </row>
    <row r="517" spans="20:20" x14ac:dyDescent="0.35">
      <c r="T517" s="172"/>
    </row>
    <row r="518" spans="20:20" x14ac:dyDescent="0.35">
      <c r="T518" s="172"/>
    </row>
    <row r="519" spans="20:20" x14ac:dyDescent="0.35">
      <c r="T519" s="172"/>
    </row>
    <row r="520" spans="20:20" x14ac:dyDescent="0.35">
      <c r="T520" s="172"/>
    </row>
    <row r="753" spans="23:23" x14ac:dyDescent="0.35">
      <c r="W753" s="6"/>
    </row>
    <row r="760" spans="23:23" x14ac:dyDescent="0.35">
      <c r="W760" s="6"/>
    </row>
    <row r="762" spans="23:23" x14ac:dyDescent="0.35">
      <c r="W762" s="6"/>
    </row>
  </sheetData>
  <mergeCells count="2">
    <mergeCell ref="T2:T9"/>
    <mergeCell ref="G1:K1"/>
  </mergeCells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Mecânica</vt:lpstr>
      <vt:lpstr>Top Contas</vt:lpstr>
      <vt:lpstr>VENCEDORES</vt:lpstr>
      <vt:lpstr>Geral</vt:lpstr>
      <vt:lpstr>Rede</vt:lpstr>
      <vt:lpstr>aux</vt:lpstr>
      <vt:lpstr>Cliente</vt:lpstr>
      <vt:lpstr>Metas</vt:lpstr>
      <vt:lpstr>Top Contas 04.07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Viviane Cristina Cavichioni</dc:creator>
  <cp:lastModifiedBy>Victor Almeida Nunes</cp:lastModifiedBy>
  <cp:lastPrinted>2026-06-03T11:57:58Z</cp:lastPrinted>
  <dcterms:created xsi:type="dcterms:W3CDTF">2019-01-09T11:50:56Z</dcterms:created>
  <dcterms:modified xsi:type="dcterms:W3CDTF">2026-06-24T12:12:43Z</dcterms:modified>
</cp:coreProperties>
</file>