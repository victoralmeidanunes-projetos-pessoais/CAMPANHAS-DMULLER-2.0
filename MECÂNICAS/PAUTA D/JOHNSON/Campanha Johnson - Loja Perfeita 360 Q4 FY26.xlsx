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B:\Nicolas\Acompanhamentos\JOHNSON\2025.26\Q4\"/>
    </mc:Choice>
  </mc:AlternateContent>
  <xr:revisionPtr revIDLastSave="0" documentId="13_ncr:1_{57328903-BCEB-40A7-8949-799DBB5622DD}" xr6:coauthVersionLast="47" xr6:coauthVersionMax="47" xr10:uidLastSave="{00000000-0000-0000-0000-000000000000}"/>
  <bookViews>
    <workbookView xWindow="28680" yWindow="-120" windowWidth="29040" windowHeight="15720" tabRatio="705" xr2:uid="{1E3193F5-9832-4B59-8D54-14EFCF6055F0}"/>
  </bookViews>
  <sheets>
    <sheet name="Geral" sheetId="1" r:id="rId1"/>
    <sheet name="Rede" sheetId="10" r:id="rId2"/>
    <sheet name="Cliente" sheetId="2" r:id="rId3"/>
    <sheet name="Base Kpi" sheetId="43" state="hidden" r:id="rId4"/>
    <sheet name="Revisão 03.01" sheetId="50" state="hidden" r:id="rId5"/>
  </sheets>
  <definedNames>
    <definedName name="_xlnm._FilterDatabase" localSheetId="3" hidden="1">'Base Kpi'!$AK$2:$AT$255</definedName>
    <definedName name="_xlnm._FilterDatabase" localSheetId="2" hidden="1">Cliente!$B$5:$DF$76</definedName>
    <definedName name="_xlnm._FilterDatabase" localSheetId="0" hidden="1">Geral!$B$14:$CP$22</definedName>
    <definedName name="_xlnm._FilterDatabase" localSheetId="1" hidden="1">Rede!$B$5:$BA$19</definedName>
    <definedName name="_xlnm._FilterDatabase" localSheetId="4" hidden="1">'Revisão 03.01'!$B$2:$K$131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B206" i="43" l="1"/>
  <c r="EB205" i="43"/>
  <c r="EB204" i="43"/>
  <c r="EB203" i="43"/>
  <c r="EB202" i="43"/>
  <c r="EB201" i="43"/>
  <c r="EB200" i="43"/>
  <c r="EB199" i="43"/>
  <c r="EB198" i="43"/>
  <c r="EB197" i="43"/>
  <c r="EB196" i="43"/>
  <c r="EB195" i="43"/>
  <c r="EB194" i="43"/>
  <c r="EB193" i="43"/>
  <c r="EB192" i="43"/>
  <c r="EB191" i="43"/>
  <c r="EB190" i="43"/>
  <c r="EB189" i="43"/>
  <c r="EB188" i="43"/>
  <c r="EB187" i="43"/>
  <c r="EB186" i="43"/>
  <c r="EB185" i="43"/>
  <c r="EB184" i="43"/>
  <c r="EB183" i="43"/>
  <c r="EB182" i="43"/>
  <c r="EB181" i="43"/>
  <c r="EB180" i="43"/>
  <c r="EB179" i="43"/>
  <c r="EB178" i="43"/>
  <c r="EB177" i="43"/>
  <c r="EB176" i="43"/>
  <c r="EB175" i="43"/>
  <c r="EB174" i="43"/>
  <c r="EB173" i="43"/>
  <c r="EB172" i="43"/>
  <c r="EB171" i="43"/>
  <c r="EB170" i="43"/>
  <c r="EB169" i="43"/>
  <c r="EB168" i="43"/>
  <c r="EB167" i="43"/>
  <c r="EB166" i="43"/>
  <c r="EB165" i="43"/>
  <c r="EB164" i="43"/>
  <c r="EB163" i="43"/>
  <c r="EB162" i="43"/>
  <c r="EB161" i="43"/>
  <c r="EB160" i="43"/>
  <c r="EB159" i="43"/>
  <c r="EB158" i="43"/>
  <c r="EB157" i="43"/>
  <c r="EB156" i="43"/>
  <c r="EB155" i="43"/>
  <c r="EB154" i="43"/>
  <c r="EB153" i="43"/>
  <c r="EB152" i="43"/>
  <c r="EB151" i="43"/>
  <c r="EB150" i="43"/>
  <c r="EB149" i="43"/>
  <c r="EB148" i="43"/>
  <c r="EB147" i="43"/>
  <c r="EB146" i="43"/>
  <c r="EB145" i="43"/>
  <c r="EB144" i="43"/>
  <c r="EB143" i="43"/>
  <c r="EB142" i="43"/>
  <c r="EB141" i="43"/>
  <c r="EB140" i="43"/>
  <c r="EB139" i="43"/>
  <c r="EB138" i="43"/>
  <c r="EB137" i="43"/>
  <c r="EB136" i="43"/>
  <c r="EB135" i="43"/>
  <c r="EB134" i="43"/>
  <c r="EB133" i="43"/>
  <c r="EB132" i="43"/>
  <c r="EB131" i="43"/>
  <c r="EB130" i="43"/>
  <c r="EB129" i="43"/>
  <c r="EB128" i="43"/>
  <c r="EB127" i="43"/>
  <c r="EB126" i="43"/>
  <c r="EB125" i="43"/>
  <c r="EB124" i="43"/>
  <c r="EB123" i="43"/>
  <c r="EB122" i="43"/>
  <c r="EB121" i="43"/>
  <c r="EB120" i="43"/>
  <c r="EB119" i="43"/>
  <c r="EB118" i="43"/>
  <c r="EB117" i="43"/>
  <c r="EB116" i="43"/>
  <c r="EB115" i="43"/>
  <c r="EB114" i="43"/>
  <c r="EB113" i="43"/>
  <c r="EB112" i="43"/>
  <c r="EB111" i="43"/>
  <c r="EB110" i="43"/>
  <c r="EB109" i="43"/>
  <c r="EB108" i="43"/>
  <c r="EB107" i="43"/>
  <c r="EB106" i="43"/>
  <c r="EB105" i="43"/>
  <c r="EB104" i="43"/>
  <c r="EB103" i="43"/>
  <c r="EB102" i="43"/>
  <c r="EB101" i="43"/>
  <c r="EB100" i="43"/>
  <c r="EB99" i="43"/>
  <c r="EB98" i="43"/>
  <c r="EB97" i="43"/>
  <c r="EB96" i="43"/>
  <c r="EB95" i="43"/>
  <c r="EB94" i="43"/>
  <c r="EB93" i="43"/>
  <c r="EB92" i="43"/>
  <c r="EB91" i="43"/>
  <c r="EB90" i="43"/>
  <c r="EB89" i="43"/>
  <c r="EB88" i="43"/>
  <c r="EB87" i="43"/>
  <c r="EB86" i="43"/>
  <c r="EB85" i="43"/>
  <c r="EB84" i="43"/>
  <c r="EB83" i="43"/>
  <c r="EB82" i="43"/>
  <c r="EB81" i="43"/>
  <c r="EB80" i="43"/>
  <c r="EB79" i="43"/>
  <c r="EB78" i="43"/>
  <c r="EB77" i="43"/>
  <c r="EB76" i="43"/>
  <c r="EB75" i="43"/>
  <c r="EB74" i="43"/>
  <c r="EB73" i="43"/>
  <c r="EB72" i="43"/>
  <c r="EB71" i="43"/>
  <c r="EB70" i="43"/>
  <c r="EB69" i="43"/>
  <c r="EB68" i="43"/>
  <c r="EB67" i="43"/>
  <c r="EB66" i="43"/>
  <c r="EB65" i="43"/>
  <c r="EB64" i="43"/>
  <c r="EB63" i="43"/>
  <c r="EB62" i="43"/>
  <c r="EB61" i="43"/>
  <c r="EB60" i="43"/>
  <c r="EB59" i="43"/>
  <c r="EB58" i="43"/>
  <c r="EB57" i="43"/>
  <c r="EB56" i="43"/>
  <c r="EB55" i="43"/>
  <c r="EB54" i="43"/>
  <c r="EB53" i="43"/>
  <c r="EB52" i="43"/>
  <c r="EB51" i="43"/>
  <c r="EB50" i="43"/>
  <c r="EB49" i="43"/>
  <c r="EB48" i="43"/>
  <c r="EB47" i="43"/>
  <c r="EB46" i="43"/>
  <c r="EB45" i="43"/>
  <c r="EB44" i="43"/>
  <c r="EB43" i="43"/>
  <c r="EB42" i="43"/>
  <c r="EB41" i="43"/>
  <c r="EB40" i="43"/>
  <c r="EB39" i="43"/>
  <c r="EB38" i="43"/>
  <c r="EB37" i="43"/>
  <c r="EB36" i="43"/>
  <c r="EB35" i="43"/>
  <c r="EB34" i="43"/>
  <c r="EB33" i="43"/>
  <c r="EB32" i="43"/>
  <c r="EB31" i="43"/>
  <c r="EB30" i="43"/>
  <c r="EB29" i="43"/>
  <c r="EB28" i="43"/>
  <c r="EB27" i="43"/>
  <c r="EB26" i="43"/>
  <c r="EB25" i="43"/>
  <c r="EB24" i="43"/>
  <c r="EB23" i="43"/>
  <c r="EB22" i="43"/>
  <c r="EB21" i="43"/>
  <c r="EB20" i="43"/>
  <c r="EB19" i="43"/>
  <c r="EB18" i="43"/>
  <c r="EB17" i="43"/>
  <c r="EB16" i="43"/>
  <c r="EB15" i="43"/>
  <c r="EB14" i="43"/>
  <c r="EB4" i="43"/>
  <c r="EB5" i="43"/>
  <c r="EB6" i="43"/>
  <c r="EB7" i="43"/>
  <c r="EB8" i="43"/>
  <c r="EB9" i="43"/>
  <c r="EB10" i="43"/>
  <c r="EB11" i="43"/>
  <c r="EB12" i="43"/>
  <c r="EB13" i="43"/>
  <c r="EB3" i="43"/>
  <c r="DP345" i="43"/>
  <c r="DP344" i="43"/>
  <c r="DP343" i="43"/>
  <c r="DP342" i="43"/>
  <c r="DP341" i="43"/>
  <c r="DP340" i="43"/>
  <c r="DP339" i="43"/>
  <c r="DP338" i="43"/>
  <c r="DP337" i="43"/>
  <c r="DP336" i="43"/>
  <c r="DP335" i="43"/>
  <c r="DP334" i="43"/>
  <c r="DP333" i="43"/>
  <c r="DP332" i="43"/>
  <c r="DP331" i="43"/>
  <c r="DP330" i="43"/>
  <c r="DP329" i="43"/>
  <c r="DP328" i="43"/>
  <c r="DP327" i="43"/>
  <c r="DP326" i="43"/>
  <c r="DP325" i="43"/>
  <c r="DP324" i="43"/>
  <c r="DP323" i="43"/>
  <c r="DP322" i="43"/>
  <c r="DP321" i="43"/>
  <c r="DP320" i="43"/>
  <c r="DP319" i="43"/>
  <c r="DP318" i="43"/>
  <c r="DP317" i="43"/>
  <c r="DP316" i="43"/>
  <c r="DP315" i="43"/>
  <c r="DP314" i="43"/>
  <c r="DP313" i="43"/>
  <c r="DP312" i="43"/>
  <c r="DP311" i="43"/>
  <c r="DP310" i="43"/>
  <c r="DP309" i="43"/>
  <c r="DP308" i="43"/>
  <c r="DP307" i="43"/>
  <c r="DP306" i="43"/>
  <c r="DP305" i="43"/>
  <c r="DP304" i="43"/>
  <c r="DP303" i="43"/>
  <c r="DP302" i="43"/>
  <c r="DP301" i="43"/>
  <c r="DP300" i="43"/>
  <c r="DP299" i="43"/>
  <c r="DP298" i="43"/>
  <c r="DP297" i="43"/>
  <c r="DP296" i="43"/>
  <c r="DP295" i="43"/>
  <c r="DP294" i="43"/>
  <c r="DP293" i="43"/>
  <c r="DP292" i="43"/>
  <c r="DP291" i="43"/>
  <c r="DP290" i="43"/>
  <c r="DP289" i="43"/>
  <c r="DP288" i="43"/>
  <c r="DP287" i="43"/>
  <c r="DP286" i="43"/>
  <c r="DP285" i="43"/>
  <c r="DP284" i="43"/>
  <c r="DP283" i="43"/>
  <c r="DP282" i="43"/>
  <c r="DP281" i="43"/>
  <c r="DP280" i="43"/>
  <c r="DP279" i="43"/>
  <c r="DP278" i="43"/>
  <c r="DP277" i="43"/>
  <c r="DP276" i="43"/>
  <c r="DP275" i="43"/>
  <c r="DP274" i="43"/>
  <c r="DP273" i="43"/>
  <c r="DP272" i="43"/>
  <c r="DP271" i="43"/>
  <c r="DP270" i="43"/>
  <c r="DP269" i="43"/>
  <c r="DP268" i="43"/>
  <c r="DP267" i="43"/>
  <c r="DP266" i="43"/>
  <c r="DP265" i="43"/>
  <c r="DP264" i="43"/>
  <c r="DP263" i="43"/>
  <c r="DP262" i="43"/>
  <c r="DP261" i="43"/>
  <c r="DP260" i="43"/>
  <c r="DP259" i="43"/>
  <c r="DP258" i="43"/>
  <c r="DP257" i="43"/>
  <c r="DP256" i="43"/>
  <c r="DP255" i="43"/>
  <c r="DP254" i="43"/>
  <c r="DP253" i="43"/>
  <c r="DP252" i="43"/>
  <c r="DP251" i="43"/>
  <c r="DP250" i="43"/>
  <c r="DP249" i="43"/>
  <c r="DP248" i="43"/>
  <c r="DP247" i="43"/>
  <c r="DP246" i="43"/>
  <c r="DP245" i="43"/>
  <c r="DP244" i="43"/>
  <c r="DP243" i="43"/>
  <c r="DP242" i="43"/>
  <c r="DP241" i="43"/>
  <c r="DP240" i="43"/>
  <c r="DP239" i="43"/>
  <c r="DP238" i="43"/>
  <c r="DP237" i="43"/>
  <c r="DP236" i="43"/>
  <c r="DP235" i="43"/>
  <c r="DP234" i="43"/>
  <c r="DP233" i="43"/>
  <c r="DP232" i="43"/>
  <c r="DP231" i="43"/>
  <c r="DP230" i="43"/>
  <c r="DP229" i="43"/>
  <c r="DP228" i="43"/>
  <c r="DP227" i="43"/>
  <c r="DP226" i="43"/>
  <c r="DP225" i="43"/>
  <c r="DP224" i="43"/>
  <c r="DP223" i="43"/>
  <c r="DP222" i="43"/>
  <c r="DP221" i="43"/>
  <c r="DP220" i="43"/>
  <c r="DP219" i="43"/>
  <c r="DP218" i="43"/>
  <c r="DP217" i="43"/>
  <c r="DP216" i="43"/>
  <c r="DP215" i="43"/>
  <c r="DP214" i="43"/>
  <c r="DP213" i="43"/>
  <c r="DP212" i="43"/>
  <c r="DP211" i="43"/>
  <c r="DP210" i="43"/>
  <c r="DP209" i="43"/>
  <c r="DP208" i="43"/>
  <c r="DP207" i="43"/>
  <c r="DP206" i="43"/>
  <c r="DP205" i="43"/>
  <c r="DP204" i="43"/>
  <c r="DP203" i="43"/>
  <c r="DP202" i="43"/>
  <c r="DP201" i="43"/>
  <c r="DP200" i="43"/>
  <c r="DP199" i="43"/>
  <c r="DP198" i="43"/>
  <c r="DP197" i="43"/>
  <c r="DP196" i="43"/>
  <c r="DP195" i="43"/>
  <c r="DP194" i="43"/>
  <c r="DP193" i="43"/>
  <c r="DP192" i="43"/>
  <c r="DP191" i="43"/>
  <c r="DP190" i="43"/>
  <c r="DP189" i="43"/>
  <c r="DP188" i="43"/>
  <c r="DP187" i="43"/>
  <c r="DP186" i="43"/>
  <c r="DP185" i="43"/>
  <c r="DP184" i="43"/>
  <c r="DP183" i="43"/>
  <c r="DP182" i="43"/>
  <c r="DP181" i="43"/>
  <c r="DP180" i="43"/>
  <c r="DP179" i="43"/>
  <c r="DP178" i="43"/>
  <c r="DP177" i="43"/>
  <c r="DP176" i="43"/>
  <c r="DP175" i="43"/>
  <c r="DP174" i="43"/>
  <c r="DP173" i="43"/>
  <c r="DP172" i="43"/>
  <c r="DP171" i="43"/>
  <c r="DP170" i="43"/>
  <c r="DP169" i="43"/>
  <c r="DP168" i="43"/>
  <c r="DP167" i="43"/>
  <c r="DP166" i="43"/>
  <c r="DP165" i="43"/>
  <c r="DP164" i="43"/>
  <c r="DP163" i="43"/>
  <c r="DP162" i="43"/>
  <c r="DP161" i="43"/>
  <c r="DP160" i="43"/>
  <c r="DP159" i="43"/>
  <c r="DP158" i="43"/>
  <c r="DP157" i="43"/>
  <c r="DP156" i="43"/>
  <c r="DP155" i="43"/>
  <c r="DP154" i="43"/>
  <c r="DP153" i="43"/>
  <c r="DP152" i="43"/>
  <c r="DP151" i="43"/>
  <c r="DP150" i="43"/>
  <c r="DP149" i="43"/>
  <c r="DP148" i="43"/>
  <c r="DP147" i="43"/>
  <c r="DP51" i="43"/>
  <c r="DP52" i="43"/>
  <c r="DP53" i="43"/>
  <c r="DP54" i="43"/>
  <c r="DP55" i="43"/>
  <c r="DP56" i="43"/>
  <c r="DP57" i="43"/>
  <c r="DP58" i="43"/>
  <c r="DP59" i="43"/>
  <c r="DP60" i="43"/>
  <c r="DP61" i="43"/>
  <c r="DP62" i="43"/>
  <c r="DP63" i="43"/>
  <c r="DP64" i="43"/>
  <c r="DP65" i="43"/>
  <c r="DP66" i="43"/>
  <c r="DP67" i="43"/>
  <c r="DP68" i="43"/>
  <c r="DP69" i="43"/>
  <c r="DP70" i="43"/>
  <c r="DP71" i="43"/>
  <c r="DP72" i="43"/>
  <c r="DP73" i="43"/>
  <c r="DP74" i="43"/>
  <c r="DP75" i="43"/>
  <c r="DP76" i="43"/>
  <c r="DP77" i="43"/>
  <c r="DP78" i="43"/>
  <c r="DP79" i="43"/>
  <c r="DP80" i="43"/>
  <c r="DP81" i="43"/>
  <c r="DP82" i="43"/>
  <c r="DP83" i="43"/>
  <c r="DP84" i="43"/>
  <c r="DP85" i="43"/>
  <c r="DP86" i="43"/>
  <c r="DP87" i="43"/>
  <c r="DP88" i="43"/>
  <c r="DP89" i="43"/>
  <c r="DP90" i="43"/>
  <c r="DP91" i="43"/>
  <c r="DP92" i="43"/>
  <c r="DP93" i="43"/>
  <c r="DP94" i="43"/>
  <c r="DP95" i="43"/>
  <c r="DP96" i="43"/>
  <c r="DP97" i="43"/>
  <c r="DP98" i="43"/>
  <c r="DP99" i="43"/>
  <c r="DP100" i="43"/>
  <c r="DP101" i="43"/>
  <c r="DP102" i="43"/>
  <c r="DP103" i="43"/>
  <c r="DP104" i="43"/>
  <c r="DP105" i="43"/>
  <c r="DP106" i="43"/>
  <c r="DP107" i="43"/>
  <c r="DP108" i="43"/>
  <c r="DP109" i="43"/>
  <c r="DP110" i="43"/>
  <c r="DP111" i="43"/>
  <c r="DP112" i="43"/>
  <c r="DP113" i="43"/>
  <c r="DP114" i="43"/>
  <c r="DP115" i="43"/>
  <c r="DP116" i="43"/>
  <c r="DP117" i="43"/>
  <c r="DP118" i="43"/>
  <c r="DP119" i="43"/>
  <c r="DP120" i="43"/>
  <c r="DP121" i="43"/>
  <c r="DP122" i="43"/>
  <c r="DP123" i="43"/>
  <c r="DP124" i="43"/>
  <c r="DP125" i="43"/>
  <c r="DP126" i="43"/>
  <c r="DP127" i="43"/>
  <c r="DP128" i="43"/>
  <c r="DP129" i="43"/>
  <c r="DP130" i="43"/>
  <c r="DP131" i="43"/>
  <c r="DP132" i="43"/>
  <c r="DP133" i="43"/>
  <c r="DP134" i="43"/>
  <c r="DP135" i="43"/>
  <c r="DP136" i="43"/>
  <c r="DP137" i="43"/>
  <c r="DP138" i="43"/>
  <c r="DP139" i="43"/>
  <c r="DP140" i="43"/>
  <c r="DP141" i="43"/>
  <c r="DP142" i="43"/>
  <c r="DP143" i="43"/>
  <c r="DP144" i="43"/>
  <c r="DP145" i="43"/>
  <c r="DP146" i="43"/>
  <c r="DP50" i="43"/>
  <c r="DP49" i="43"/>
  <c r="DP48" i="43"/>
  <c r="DP47" i="43"/>
  <c r="DP46" i="43"/>
  <c r="DP45" i="43"/>
  <c r="DP44" i="43"/>
  <c r="DP43" i="43"/>
  <c r="DP42" i="43"/>
  <c r="DP41" i="43"/>
  <c r="DP40" i="43"/>
  <c r="DP39" i="43"/>
  <c r="DP38" i="43"/>
  <c r="DP37" i="43"/>
  <c r="DP36" i="43"/>
  <c r="DP35" i="43"/>
  <c r="DP34" i="43"/>
  <c r="DP33" i="43"/>
  <c r="DP32" i="43"/>
  <c r="DP31" i="43"/>
  <c r="DP30" i="43"/>
  <c r="DP29" i="43"/>
  <c r="DP28" i="43"/>
  <c r="DP27" i="43"/>
  <c r="DP26" i="43"/>
  <c r="DP25" i="43"/>
  <c r="DP24" i="43"/>
  <c r="DP23" i="43"/>
  <c r="DP22" i="43"/>
  <c r="DP21" i="43"/>
  <c r="DP20" i="43"/>
  <c r="DP19" i="43"/>
  <c r="DP18" i="43"/>
  <c r="DP17" i="43"/>
  <c r="DP16" i="43"/>
  <c r="DP15" i="43"/>
  <c r="DP14" i="43"/>
  <c r="DP13" i="43"/>
  <c r="DP12" i="43"/>
  <c r="DP11" i="43"/>
  <c r="DP10" i="43"/>
  <c r="DP9" i="43"/>
  <c r="DP8" i="43"/>
  <c r="DP7" i="43"/>
  <c r="DP6" i="43"/>
  <c r="DP5" i="43"/>
  <c r="DP4" i="43"/>
  <c r="DP3" i="43"/>
  <c r="DB76" i="2"/>
  <c r="DB75" i="2"/>
  <c r="DB74" i="2"/>
  <c r="DB73" i="2"/>
  <c r="DB72" i="2"/>
  <c r="DB71" i="2"/>
  <c r="DB70" i="2"/>
  <c r="DB69" i="2"/>
  <c r="DB68" i="2"/>
  <c r="DB67" i="2"/>
  <c r="DB66" i="2"/>
  <c r="DB65" i="2"/>
  <c r="DB64" i="2"/>
  <c r="DB63" i="2"/>
  <c r="DB62" i="2"/>
  <c r="DB61" i="2"/>
  <c r="DB60" i="2"/>
  <c r="DB59" i="2"/>
  <c r="DB58" i="2"/>
  <c r="DB57" i="2"/>
  <c r="DB56" i="2"/>
  <c r="DB55" i="2"/>
  <c r="DB54" i="2"/>
  <c r="DB53" i="2"/>
  <c r="DB52" i="2"/>
  <c r="DB51" i="2"/>
  <c r="DB50" i="2"/>
  <c r="DB49" i="2"/>
  <c r="DB48" i="2"/>
  <c r="DB47" i="2"/>
  <c r="DB46" i="2"/>
  <c r="DB45" i="2"/>
  <c r="DB44" i="2"/>
  <c r="DB43" i="2"/>
  <c r="DB42" i="2"/>
  <c r="DB41" i="2"/>
  <c r="DB40" i="2"/>
  <c r="DB39" i="2"/>
  <c r="DB38" i="2"/>
  <c r="DB37" i="2"/>
  <c r="DB36" i="2"/>
  <c r="DB35" i="2"/>
  <c r="DB34" i="2"/>
  <c r="DB33" i="2"/>
  <c r="DB32" i="2"/>
  <c r="DB31" i="2"/>
  <c r="DB30" i="2"/>
  <c r="DB29" i="2"/>
  <c r="DB28" i="2"/>
  <c r="DB27" i="2"/>
  <c r="DB26" i="2"/>
  <c r="DB25" i="2"/>
  <c r="DB24" i="2"/>
  <c r="DB23" i="2"/>
  <c r="DB22" i="2"/>
  <c r="DB21" i="2"/>
  <c r="DB20" i="2"/>
  <c r="DB19" i="2"/>
  <c r="DB18" i="2"/>
  <c r="DB17" i="2"/>
  <c r="DB16" i="2"/>
  <c r="DB15" i="2"/>
  <c r="DB14" i="2"/>
  <c r="DB13" i="2"/>
  <c r="DB12" i="2"/>
  <c r="DB11" i="2"/>
  <c r="DB10" i="2"/>
  <c r="DB9" i="2"/>
  <c r="DB8" i="2"/>
  <c r="DB7" i="2"/>
  <c r="DB6" i="2"/>
  <c r="CS76" i="2"/>
  <c r="CS75" i="2"/>
  <c r="CS74" i="2"/>
  <c r="CS73" i="2"/>
  <c r="CS72" i="2"/>
  <c r="CS71" i="2"/>
  <c r="CS70" i="2"/>
  <c r="CS69" i="2"/>
  <c r="CS68" i="2"/>
  <c r="CS67" i="2"/>
  <c r="CS66" i="2"/>
  <c r="CS65" i="2"/>
  <c r="CS64" i="2"/>
  <c r="CS63" i="2"/>
  <c r="CS62" i="2"/>
  <c r="CS61" i="2"/>
  <c r="CS60" i="2"/>
  <c r="CS59" i="2"/>
  <c r="CS58" i="2"/>
  <c r="CS57" i="2"/>
  <c r="CS56" i="2"/>
  <c r="CS55" i="2"/>
  <c r="CS54" i="2"/>
  <c r="CS53" i="2"/>
  <c r="CS52" i="2"/>
  <c r="CS51" i="2"/>
  <c r="CS50" i="2"/>
  <c r="CS49" i="2"/>
  <c r="CS48" i="2"/>
  <c r="CS47" i="2"/>
  <c r="CS46" i="2"/>
  <c r="CS45" i="2"/>
  <c r="CS44" i="2"/>
  <c r="CS43" i="2"/>
  <c r="CS42" i="2"/>
  <c r="CS41" i="2"/>
  <c r="CS40" i="2"/>
  <c r="CS39" i="2"/>
  <c r="CS38" i="2"/>
  <c r="CS37" i="2"/>
  <c r="CS36" i="2"/>
  <c r="CS35" i="2"/>
  <c r="CS34" i="2"/>
  <c r="CS33" i="2"/>
  <c r="CS32" i="2"/>
  <c r="CS31" i="2"/>
  <c r="CS30" i="2"/>
  <c r="CS29" i="2"/>
  <c r="CS28" i="2"/>
  <c r="CS27" i="2"/>
  <c r="CS26" i="2"/>
  <c r="CS25" i="2"/>
  <c r="CS24" i="2"/>
  <c r="CS23" i="2"/>
  <c r="CS22" i="2"/>
  <c r="CS21" i="2"/>
  <c r="CS20" i="2"/>
  <c r="CS19" i="2"/>
  <c r="CS18" i="2"/>
  <c r="CS17" i="2"/>
  <c r="CS16" i="2"/>
  <c r="CS15" i="2"/>
  <c r="CS14" i="2"/>
  <c r="CS13" i="2"/>
  <c r="CS12" i="2"/>
  <c r="CS11" i="2"/>
  <c r="CS10" i="2"/>
  <c r="CS9" i="2"/>
  <c r="CS8" i="2"/>
  <c r="CS7" i="2"/>
  <c r="CS6" i="2"/>
  <c r="CK76" i="2"/>
  <c r="CK76" i="2" a="1"/>
  <c r="CJ76" i="2"/>
  <c r="CJ76" i="2" a="1"/>
  <c r="CK75" i="2"/>
  <c r="CK75" i="2" a="1"/>
  <c r="CJ75" i="2"/>
  <c r="CJ75" i="2" a="1"/>
  <c r="CK74" i="2"/>
  <c r="CK74" i="2" a="1"/>
  <c r="CJ74" i="2"/>
  <c r="CJ74" i="2" a="1"/>
  <c r="CK73" i="2"/>
  <c r="CK73" i="2" a="1"/>
  <c r="CJ73" i="2"/>
  <c r="CJ73" i="2" a="1"/>
  <c r="CK72" i="2"/>
  <c r="CK72" i="2" a="1"/>
  <c r="CJ72" i="2"/>
  <c r="CJ72" i="2" a="1"/>
  <c r="CK71" i="2"/>
  <c r="CK71" i="2" a="1"/>
  <c r="CJ71" i="2"/>
  <c r="CJ71" i="2" a="1"/>
  <c r="CK70" i="2"/>
  <c r="CK70" i="2" a="1"/>
  <c r="CJ70" i="2"/>
  <c r="CJ70" i="2" a="1"/>
  <c r="CK69" i="2"/>
  <c r="CK69" i="2" a="1"/>
  <c r="CJ69" i="2"/>
  <c r="CJ69" i="2" a="1"/>
  <c r="CK68" i="2"/>
  <c r="CK68" i="2" a="1"/>
  <c r="CJ68" i="2"/>
  <c r="CJ68" i="2" a="1"/>
  <c r="CK67" i="2"/>
  <c r="CK67" i="2" a="1"/>
  <c r="CJ67" i="2" a="1"/>
  <c r="CJ67" i="2" s="1"/>
  <c r="CK66" i="2"/>
  <c r="CK66" i="2" a="1"/>
  <c r="CJ66" i="2"/>
  <c r="CJ66" i="2" a="1"/>
  <c r="CK65" i="2"/>
  <c r="CK65" i="2" a="1"/>
  <c r="CJ65" i="2"/>
  <c r="CJ65" i="2" a="1"/>
  <c r="CK64" i="2" a="1"/>
  <c r="CK64" i="2" s="1"/>
  <c r="CJ64" i="2" a="1"/>
  <c r="CJ64" i="2" s="1"/>
  <c r="CK63" i="2" a="1"/>
  <c r="CK63" i="2" s="1"/>
  <c r="CJ63" i="2" a="1"/>
  <c r="CJ63" i="2" s="1"/>
  <c r="CK62" i="2" a="1"/>
  <c r="CK62" i="2" s="1"/>
  <c r="CJ62" i="2" a="1"/>
  <c r="CJ62" i="2" s="1"/>
  <c r="CK61" i="2" a="1"/>
  <c r="CK61" i="2" s="1"/>
  <c r="CJ61" i="2" a="1"/>
  <c r="CJ61" i="2" s="1"/>
  <c r="CK60" i="2" a="1"/>
  <c r="CK60" i="2" s="1"/>
  <c r="CJ60" i="2" a="1"/>
  <c r="CJ60" i="2" s="1"/>
  <c r="CK59" i="2" a="1"/>
  <c r="CK59" i="2" s="1"/>
  <c r="CJ59" i="2" a="1"/>
  <c r="CJ59" i="2" s="1"/>
  <c r="CK58" i="2" a="1"/>
  <c r="CK58" i="2" s="1"/>
  <c r="CJ58" i="2" a="1"/>
  <c r="CJ58" i="2" s="1"/>
  <c r="CK57" i="2" a="1"/>
  <c r="CK57" i="2" s="1"/>
  <c r="CJ57" i="2" a="1"/>
  <c r="CJ57" i="2" s="1"/>
  <c r="CK56" i="2" a="1"/>
  <c r="CK56" i="2" s="1"/>
  <c r="CJ56" i="2" a="1"/>
  <c r="CJ56" i="2" s="1"/>
  <c r="CK55" i="2" a="1"/>
  <c r="CK55" i="2" s="1"/>
  <c r="CJ55" i="2" a="1"/>
  <c r="CJ55" i="2" s="1"/>
  <c r="CK54" i="2" a="1"/>
  <c r="CK54" i="2" s="1"/>
  <c r="CJ54" i="2" a="1"/>
  <c r="CJ54" i="2" s="1"/>
  <c r="CK53" i="2" a="1"/>
  <c r="CK53" i="2" s="1"/>
  <c r="CJ53" i="2" a="1"/>
  <c r="CJ53" i="2" s="1"/>
  <c r="CK52" i="2" a="1"/>
  <c r="CK52" i="2" s="1"/>
  <c r="CJ52" i="2" a="1"/>
  <c r="CJ52" i="2" s="1"/>
  <c r="CK51" i="2" a="1"/>
  <c r="CK51" i="2" s="1"/>
  <c r="CJ51" i="2" a="1"/>
  <c r="CJ51" i="2" s="1"/>
  <c r="CK50" i="2" a="1"/>
  <c r="CK50" i="2" s="1"/>
  <c r="CJ50" i="2" a="1"/>
  <c r="CJ50" i="2" s="1"/>
  <c r="CK49" i="2" a="1"/>
  <c r="CK49" i="2" s="1"/>
  <c r="CJ49" i="2" a="1"/>
  <c r="CJ49" i="2" s="1"/>
  <c r="CK48" i="2" a="1"/>
  <c r="CK48" i="2" s="1"/>
  <c r="CJ48" i="2" a="1"/>
  <c r="CJ48" i="2" s="1"/>
  <c r="CK47" i="2" a="1"/>
  <c r="CK47" i="2" s="1"/>
  <c r="CJ47" i="2" a="1"/>
  <c r="CJ47" i="2" s="1"/>
  <c r="CK46" i="2" a="1"/>
  <c r="CK46" i="2" s="1"/>
  <c r="CJ46" i="2" a="1"/>
  <c r="CJ46" i="2" s="1"/>
  <c r="CK45" i="2" a="1"/>
  <c r="CK45" i="2" s="1"/>
  <c r="CJ45" i="2" a="1"/>
  <c r="CJ45" i="2" s="1"/>
  <c r="CK44" i="2" a="1"/>
  <c r="CK44" i="2" s="1"/>
  <c r="CJ44" i="2" a="1"/>
  <c r="CJ44" i="2" s="1"/>
  <c r="CK43" i="2" a="1"/>
  <c r="CK43" i="2" s="1"/>
  <c r="CJ43" i="2" a="1"/>
  <c r="CJ43" i="2" s="1"/>
  <c r="CK42" i="2" a="1"/>
  <c r="CK42" i="2" s="1"/>
  <c r="CJ42" i="2" a="1"/>
  <c r="CJ42" i="2" s="1"/>
  <c r="CK41" i="2" a="1"/>
  <c r="CK41" i="2" s="1"/>
  <c r="CJ41" i="2" a="1"/>
  <c r="CJ41" i="2" s="1"/>
  <c r="CK40" i="2" a="1"/>
  <c r="CK40" i="2" s="1"/>
  <c r="CJ40" i="2" a="1"/>
  <c r="CJ40" i="2" s="1"/>
  <c r="CK39" i="2" a="1"/>
  <c r="CK39" i="2" s="1"/>
  <c r="CJ39" i="2" a="1"/>
  <c r="CJ39" i="2" s="1"/>
  <c r="CK38" i="2" a="1"/>
  <c r="CK38" i="2" s="1"/>
  <c r="CJ38" i="2" a="1"/>
  <c r="CJ38" i="2" s="1"/>
  <c r="CK37" i="2" a="1"/>
  <c r="CK37" i="2" s="1"/>
  <c r="CJ37" i="2" a="1"/>
  <c r="CJ37" i="2" s="1"/>
  <c r="CK36" i="2" a="1"/>
  <c r="CK36" i="2" s="1"/>
  <c r="CJ36" i="2" a="1"/>
  <c r="CJ36" i="2" s="1"/>
  <c r="CK35" i="2" a="1"/>
  <c r="CK35" i="2" s="1"/>
  <c r="CJ35" i="2" a="1"/>
  <c r="CJ35" i="2" s="1"/>
  <c r="CK34" i="2" a="1"/>
  <c r="CK34" i="2" s="1"/>
  <c r="CJ34" i="2" a="1"/>
  <c r="CJ34" i="2" s="1"/>
  <c r="CK33" i="2"/>
  <c r="CK33" i="2" a="1"/>
  <c r="CJ33" i="2"/>
  <c r="CJ33" i="2" a="1"/>
  <c r="CK32" i="2"/>
  <c r="CK32" i="2" a="1"/>
  <c r="CJ32" i="2"/>
  <c r="CJ32" i="2" a="1"/>
  <c r="CK31" i="2"/>
  <c r="CK31" i="2" a="1"/>
  <c r="CJ31" i="2" a="1"/>
  <c r="CJ31" i="2" s="1"/>
  <c r="CK30" i="2" a="1"/>
  <c r="CK30" i="2" s="1"/>
  <c r="CJ30" i="2" a="1"/>
  <c r="CJ30" i="2" s="1"/>
  <c r="CK29" i="2" a="1"/>
  <c r="CK29" i="2" s="1"/>
  <c r="CJ29" i="2" a="1"/>
  <c r="CJ29" i="2" s="1"/>
  <c r="CK28" i="2" a="1"/>
  <c r="CK28" i="2" s="1"/>
  <c r="CJ28" i="2" a="1"/>
  <c r="CJ28" i="2" s="1"/>
  <c r="CK27" i="2" a="1"/>
  <c r="CK27" i="2" s="1"/>
  <c r="CJ27" i="2" a="1"/>
  <c r="CJ27" i="2" s="1"/>
  <c r="CK26" i="2" a="1"/>
  <c r="CK26" i="2" s="1"/>
  <c r="CJ26" i="2" a="1"/>
  <c r="CJ26" i="2" s="1"/>
  <c r="CK25" i="2"/>
  <c r="CK25" i="2" a="1"/>
  <c r="CJ25" i="2" a="1"/>
  <c r="CJ25" i="2" s="1"/>
  <c r="CK24" i="2" a="1"/>
  <c r="CK24" i="2" s="1"/>
  <c r="CJ24" i="2" a="1"/>
  <c r="CJ24" i="2" s="1"/>
  <c r="CK23" i="2" a="1"/>
  <c r="CK23" i="2" s="1"/>
  <c r="CJ23" i="2" a="1"/>
  <c r="CJ23" i="2" s="1"/>
  <c r="CK22" i="2" a="1"/>
  <c r="CK22" i="2" s="1"/>
  <c r="CJ22" i="2" a="1"/>
  <c r="CJ22" i="2" s="1"/>
  <c r="CK21" i="2" a="1"/>
  <c r="CK21" i="2" s="1"/>
  <c r="CJ21" i="2" a="1"/>
  <c r="CJ21" i="2" s="1"/>
  <c r="CK20" i="2" a="1"/>
  <c r="CK20" i="2" s="1"/>
  <c r="CJ20" i="2" a="1"/>
  <c r="CJ20" i="2" s="1"/>
  <c r="CK19" i="2" a="1"/>
  <c r="CK19" i="2" s="1"/>
  <c r="CJ19" i="2" a="1"/>
  <c r="CJ19" i="2" s="1"/>
  <c r="CK18" i="2" a="1"/>
  <c r="CK18" i="2" s="1"/>
  <c r="CJ18" i="2" a="1"/>
  <c r="CJ18" i="2" s="1"/>
  <c r="CK17" i="2" a="1"/>
  <c r="CK17" i="2" s="1"/>
  <c r="CJ17" i="2" a="1"/>
  <c r="CJ17" i="2" s="1"/>
  <c r="CK16" i="2" a="1"/>
  <c r="CK16" i="2" s="1"/>
  <c r="CJ16" i="2" a="1"/>
  <c r="CJ16" i="2" s="1"/>
  <c r="CK15" i="2" a="1"/>
  <c r="CK15" i="2" s="1"/>
  <c r="CJ15" i="2" a="1"/>
  <c r="CJ15" i="2" s="1"/>
  <c r="CK14" i="2" a="1"/>
  <c r="CK14" i="2" s="1"/>
  <c r="CJ14" i="2" a="1"/>
  <c r="CJ14" i="2" s="1"/>
  <c r="CK13" i="2" a="1"/>
  <c r="CK13" i="2" s="1"/>
  <c r="CJ13" i="2" a="1"/>
  <c r="CJ13" i="2" s="1"/>
  <c r="CK12" i="2" a="1"/>
  <c r="CK12" i="2" s="1"/>
  <c r="CJ12" i="2" a="1"/>
  <c r="CJ12" i="2" s="1"/>
  <c r="CK11" i="2" a="1"/>
  <c r="CK11" i="2" s="1"/>
  <c r="CJ11" i="2" a="1"/>
  <c r="CJ11" i="2" s="1"/>
  <c r="CK10" i="2" a="1"/>
  <c r="CK10" i="2" s="1"/>
  <c r="CJ10" i="2" a="1"/>
  <c r="CJ10" i="2" s="1"/>
  <c r="CK9" i="2" a="1"/>
  <c r="CK9" i="2" s="1"/>
  <c r="CJ9" i="2" a="1"/>
  <c r="CJ9" i="2" s="1"/>
  <c r="CK8" i="2" a="1"/>
  <c r="CK8" i="2" s="1"/>
  <c r="CJ8" i="2" a="1"/>
  <c r="CJ8" i="2" s="1"/>
  <c r="CK7" i="2" a="1"/>
  <c r="CK7" i="2" s="1"/>
  <c r="CJ7" i="2" a="1"/>
  <c r="CJ7" i="2" s="1"/>
  <c r="CK6" i="2" a="1"/>
  <c r="CK6" i="2" s="1"/>
  <c r="CJ6" i="2" a="1"/>
  <c r="CJ6" i="2" s="1"/>
  <c r="DD111" i="43"/>
  <c r="DD112" i="43"/>
  <c r="DD113" i="43"/>
  <c r="DD114" i="43"/>
  <c r="DD115" i="43"/>
  <c r="DD116" i="43"/>
  <c r="DD117" i="43"/>
  <c r="DD118" i="43"/>
  <c r="DD119" i="43"/>
  <c r="DD120" i="43"/>
  <c r="DD121" i="43"/>
  <c r="DD122" i="43"/>
  <c r="DD123" i="43"/>
  <c r="DD124" i="43"/>
  <c r="DD125" i="43"/>
  <c r="DD126" i="43"/>
  <c r="DD127" i="43"/>
  <c r="DD128" i="43"/>
  <c r="DD129" i="43"/>
  <c r="DD130" i="43"/>
  <c r="DD131" i="43"/>
  <c r="DD132" i="43"/>
  <c r="DD133" i="43"/>
  <c r="DD134" i="43"/>
  <c r="DD135" i="43"/>
  <c r="DD136" i="43"/>
  <c r="DD137" i="43"/>
  <c r="DD138" i="43"/>
  <c r="DD139" i="43"/>
  <c r="DD140" i="43"/>
  <c r="DD141" i="43"/>
  <c r="DD142" i="43"/>
  <c r="DD143" i="43"/>
  <c r="DD144" i="43"/>
  <c r="DD145" i="43"/>
  <c r="DD146" i="43"/>
  <c r="DD147" i="43"/>
  <c r="DD148" i="43"/>
  <c r="DD149" i="43"/>
  <c r="DD150" i="43"/>
  <c r="DD151" i="43"/>
  <c r="DD152" i="43"/>
  <c r="DD153" i="43"/>
  <c r="DD154" i="43"/>
  <c r="DD155" i="43"/>
  <c r="DD156" i="43"/>
  <c r="DD157" i="43"/>
  <c r="DD158" i="43"/>
  <c r="DD159" i="43"/>
  <c r="DD160" i="43"/>
  <c r="DD161" i="43"/>
  <c r="DD162" i="43"/>
  <c r="DD163" i="43"/>
  <c r="DD164" i="43"/>
  <c r="DD165" i="43"/>
  <c r="DD166" i="43"/>
  <c r="DD167" i="43"/>
  <c r="DD168" i="43"/>
  <c r="DD169" i="43"/>
  <c r="DD170" i="43"/>
  <c r="DD171" i="43"/>
  <c r="DD172" i="43"/>
  <c r="DD173" i="43"/>
  <c r="DD174" i="43"/>
  <c r="DD175" i="43"/>
  <c r="DD176" i="43"/>
  <c r="DD177" i="43"/>
  <c r="DD178" i="43"/>
  <c r="DD179" i="43"/>
  <c r="DD180" i="43"/>
  <c r="DD181" i="43"/>
  <c r="DD182" i="43"/>
  <c r="DD183" i="43"/>
  <c r="DD184" i="43"/>
  <c r="DD185" i="43"/>
  <c r="DD186" i="43"/>
  <c r="DD187" i="43"/>
  <c r="DD188" i="43"/>
  <c r="DD189" i="43"/>
  <c r="DD190" i="43"/>
  <c r="DD191" i="43"/>
  <c r="DD192" i="43"/>
  <c r="DD193" i="43"/>
  <c r="DD194" i="43"/>
  <c r="DD195" i="43"/>
  <c r="DD196" i="43"/>
  <c r="DD197" i="43"/>
  <c r="DD198" i="43"/>
  <c r="DD199" i="43"/>
  <c r="DD200" i="43"/>
  <c r="DD201" i="43"/>
  <c r="DD202" i="43"/>
  <c r="DD203" i="43"/>
  <c r="DD204" i="43"/>
  <c r="DD205" i="43"/>
  <c r="DD206" i="43"/>
  <c r="DD207" i="43"/>
  <c r="DD208" i="43"/>
  <c r="DD209" i="43"/>
  <c r="DD210" i="43"/>
  <c r="DD211" i="43"/>
  <c r="DD212" i="43"/>
  <c r="DD213" i="43"/>
  <c r="DD214" i="43"/>
  <c r="DD215" i="43"/>
  <c r="DD216" i="43"/>
  <c r="DD217" i="43"/>
  <c r="DD218" i="43"/>
  <c r="DD219" i="43"/>
  <c r="DD220" i="43"/>
  <c r="DD221" i="43"/>
  <c r="DD222" i="43"/>
  <c r="DD223" i="43"/>
  <c r="DD224" i="43"/>
  <c r="DD225" i="43"/>
  <c r="DD226" i="43"/>
  <c r="DD227" i="43"/>
  <c r="DD228" i="43"/>
  <c r="DD229" i="43"/>
  <c r="DD230" i="43"/>
  <c r="DD231" i="43"/>
  <c r="DD232" i="43"/>
  <c r="DD233" i="43"/>
  <c r="DD234" i="43"/>
  <c r="DD235" i="43"/>
  <c r="DD236" i="43"/>
  <c r="DD237" i="43"/>
  <c r="DD238" i="43"/>
  <c r="DD239" i="43"/>
  <c r="DD240" i="43"/>
  <c r="DD241" i="43"/>
  <c r="DD242" i="43"/>
  <c r="DD243" i="43"/>
  <c r="DD244" i="43"/>
  <c r="DD245" i="43"/>
  <c r="DD246" i="43"/>
  <c r="DD247" i="43"/>
  <c r="DD248" i="43"/>
  <c r="DD249" i="43"/>
  <c r="DD250" i="43"/>
  <c r="DD251" i="43"/>
  <c r="DD252" i="43"/>
  <c r="DD253" i="43"/>
  <c r="DD254" i="43"/>
  <c r="DD255" i="43"/>
  <c r="DD256" i="43"/>
  <c r="DD257" i="43"/>
  <c r="DD258" i="43"/>
  <c r="DD259" i="43"/>
  <c r="DD260" i="43"/>
  <c r="DD261" i="43"/>
  <c r="DD262" i="43"/>
  <c r="DD263" i="43"/>
  <c r="DD264" i="43"/>
  <c r="DD265" i="43"/>
  <c r="DD266" i="43"/>
  <c r="DD267" i="43"/>
  <c r="DD268" i="43"/>
  <c r="DD269" i="43"/>
  <c r="DD270" i="43"/>
  <c r="DD271" i="43"/>
  <c r="DD272" i="43"/>
  <c r="DD273" i="43"/>
  <c r="DD274" i="43"/>
  <c r="DD275" i="43"/>
  <c r="DD276" i="43"/>
  <c r="DD277" i="43"/>
  <c r="DD278" i="43"/>
  <c r="DD279" i="43"/>
  <c r="DD280" i="43"/>
  <c r="DD281" i="43"/>
  <c r="DD282" i="43"/>
  <c r="DD283" i="43"/>
  <c r="DD284" i="43"/>
  <c r="DD285" i="43"/>
  <c r="DD286" i="43"/>
  <c r="DD287" i="43"/>
  <c r="DD288" i="43"/>
  <c r="DD289" i="43"/>
  <c r="DD290" i="43"/>
  <c r="DD291" i="43"/>
  <c r="DD292" i="43"/>
  <c r="DD293" i="43"/>
  <c r="DD294" i="43"/>
  <c r="DD295" i="43"/>
  <c r="DD296" i="43"/>
  <c r="DD297" i="43"/>
  <c r="DD298" i="43"/>
  <c r="DD299" i="43"/>
  <c r="DD300" i="43"/>
  <c r="DD301" i="43"/>
  <c r="DD302" i="43"/>
  <c r="DD303" i="43"/>
  <c r="DD304" i="43"/>
  <c r="DD305" i="43"/>
  <c r="DD306" i="43"/>
  <c r="DD307" i="43"/>
  <c r="DD308" i="43"/>
  <c r="DD309" i="43"/>
  <c r="DD310" i="43"/>
  <c r="DD311" i="43"/>
  <c r="DD312" i="43"/>
  <c r="DD313" i="43"/>
  <c r="DD314" i="43"/>
  <c r="DD315" i="43"/>
  <c r="DD316" i="43"/>
  <c r="DD317" i="43"/>
  <c r="DD318" i="43"/>
  <c r="DD319" i="43"/>
  <c r="DD320" i="43"/>
  <c r="DD321" i="43"/>
  <c r="DD322" i="43"/>
  <c r="DD323" i="43"/>
  <c r="DD324" i="43"/>
  <c r="DD325" i="43"/>
  <c r="DD326" i="43"/>
  <c r="DD327" i="43"/>
  <c r="DD328" i="43"/>
  <c r="DD329" i="43"/>
  <c r="DD330" i="43"/>
  <c r="DD331" i="43"/>
  <c r="DD332" i="43"/>
  <c r="DD333" i="43"/>
  <c r="DD334" i="43"/>
  <c r="DD335" i="43"/>
  <c r="DD336" i="43"/>
  <c r="DD337" i="43"/>
  <c r="DD338" i="43"/>
  <c r="DD339" i="43"/>
  <c r="DD340" i="43"/>
  <c r="DD341" i="43"/>
  <c r="DD342" i="43"/>
  <c r="DD343" i="43"/>
  <c r="DD344" i="43"/>
  <c r="DD345" i="43"/>
  <c r="DD346" i="43"/>
  <c r="DD347" i="43"/>
  <c r="DD348" i="43"/>
  <c r="DD349" i="43"/>
  <c r="DD350" i="43"/>
  <c r="DD351" i="43"/>
  <c r="DD22" i="43"/>
  <c r="DD23" i="43"/>
  <c r="DD24" i="43"/>
  <c r="DD25" i="43"/>
  <c r="DD26" i="43"/>
  <c r="DD27" i="43"/>
  <c r="DD28" i="43"/>
  <c r="DD29" i="43"/>
  <c r="DD30" i="43"/>
  <c r="DD31" i="43"/>
  <c r="DD32" i="43"/>
  <c r="DD33" i="43"/>
  <c r="DD34" i="43"/>
  <c r="DD35" i="43"/>
  <c r="DD36" i="43"/>
  <c r="DD37" i="43"/>
  <c r="DD38" i="43"/>
  <c r="DD39" i="43"/>
  <c r="DD40" i="43"/>
  <c r="DD41" i="43"/>
  <c r="DD42" i="43"/>
  <c r="DD43" i="43"/>
  <c r="DD44" i="43"/>
  <c r="DD45" i="43"/>
  <c r="DD46" i="43"/>
  <c r="DD47" i="43"/>
  <c r="DD48" i="43"/>
  <c r="DD49" i="43"/>
  <c r="DD50" i="43"/>
  <c r="DD51" i="43"/>
  <c r="DD52" i="43"/>
  <c r="DD53" i="43"/>
  <c r="DD54" i="43"/>
  <c r="DD55" i="43"/>
  <c r="DD56" i="43"/>
  <c r="DD57" i="43"/>
  <c r="DD58" i="43"/>
  <c r="DD59" i="43"/>
  <c r="DD60" i="43"/>
  <c r="DD61" i="43"/>
  <c r="DD62" i="43"/>
  <c r="DD63" i="43"/>
  <c r="DD64" i="43"/>
  <c r="DD65" i="43"/>
  <c r="DD66" i="43"/>
  <c r="DD67" i="43"/>
  <c r="DD68" i="43"/>
  <c r="DD69" i="43"/>
  <c r="DD70" i="43"/>
  <c r="DD71" i="43"/>
  <c r="DD72" i="43"/>
  <c r="DD73" i="43"/>
  <c r="DD74" i="43"/>
  <c r="DD75" i="43"/>
  <c r="DD76" i="43"/>
  <c r="DD77" i="43"/>
  <c r="DD78" i="43"/>
  <c r="DD79" i="43"/>
  <c r="DD80" i="43"/>
  <c r="DD81" i="43"/>
  <c r="DD82" i="43"/>
  <c r="DD83" i="43"/>
  <c r="DD84" i="43"/>
  <c r="DD85" i="43"/>
  <c r="DD86" i="43"/>
  <c r="DD87" i="43"/>
  <c r="DD88" i="43"/>
  <c r="DD89" i="43"/>
  <c r="DD90" i="43"/>
  <c r="DD91" i="43"/>
  <c r="DD92" i="43"/>
  <c r="DD93" i="43"/>
  <c r="DD94" i="43"/>
  <c r="DD95" i="43"/>
  <c r="DD96" i="43"/>
  <c r="DD97" i="43"/>
  <c r="DD98" i="43"/>
  <c r="DD99" i="43"/>
  <c r="DD100" i="43"/>
  <c r="DD101" i="43"/>
  <c r="DD102" i="43"/>
  <c r="DD103" i="43"/>
  <c r="DD104" i="43"/>
  <c r="DD105" i="43"/>
  <c r="DD106" i="43"/>
  <c r="DD107" i="43"/>
  <c r="DD108" i="43"/>
  <c r="DD109" i="43"/>
  <c r="DD110" i="43"/>
  <c r="CE6" i="2" a="1"/>
  <c r="CE6" i="2" s="1"/>
  <c r="CF6" i="2" a="1"/>
  <c r="CF6" i="2" s="1"/>
  <c r="CG6" i="2" a="1"/>
  <c r="CG6" i="2" s="1"/>
  <c r="CH6" i="2" a="1"/>
  <c r="CH6" i="2" s="1"/>
  <c r="CI6" i="2" a="1"/>
  <c r="CI6" i="2" s="1"/>
  <c r="CE7" i="2" a="1"/>
  <c r="CE7" i="2" s="1"/>
  <c r="CF7" i="2" a="1"/>
  <c r="CF7" i="2" s="1"/>
  <c r="CG7" i="2" a="1"/>
  <c r="CG7" i="2" s="1"/>
  <c r="CH7" i="2" a="1"/>
  <c r="CH7" i="2" s="1"/>
  <c r="CI7" i="2" a="1"/>
  <c r="CI7" i="2" s="1"/>
  <c r="CE8" i="2" a="1"/>
  <c r="CE8" i="2" s="1"/>
  <c r="CF8" i="2" a="1"/>
  <c r="CF8" i="2" s="1"/>
  <c r="CG8" i="2" a="1"/>
  <c r="CG8" i="2" s="1"/>
  <c r="CH8" i="2" a="1"/>
  <c r="CH8" i="2" s="1"/>
  <c r="CI8" i="2" a="1"/>
  <c r="CI8" i="2" s="1"/>
  <c r="CE9" i="2" a="1"/>
  <c r="CE9" i="2" s="1"/>
  <c r="CF9" i="2" a="1"/>
  <c r="CF9" i="2" s="1"/>
  <c r="CG9" i="2" a="1"/>
  <c r="CG9" i="2" s="1"/>
  <c r="CH9" i="2" a="1"/>
  <c r="CH9" i="2" s="1"/>
  <c r="CI9" i="2" a="1"/>
  <c r="CI9" i="2" s="1"/>
  <c r="CE10" i="2" a="1"/>
  <c r="CE10" i="2" s="1"/>
  <c r="CF10" i="2" a="1"/>
  <c r="CF10" i="2" s="1"/>
  <c r="CG10" i="2" a="1"/>
  <c r="CG10" i="2" s="1"/>
  <c r="CH10" i="2" a="1"/>
  <c r="CH10" i="2" s="1"/>
  <c r="CI10" i="2" a="1"/>
  <c r="CI10" i="2" s="1"/>
  <c r="CE11" i="2" a="1"/>
  <c r="CE11" i="2" s="1"/>
  <c r="CF11" i="2" a="1"/>
  <c r="CF11" i="2" s="1"/>
  <c r="CG11" i="2" a="1"/>
  <c r="CG11" i="2" s="1"/>
  <c r="CH11" i="2" a="1"/>
  <c r="CH11" i="2" s="1"/>
  <c r="CI11" i="2" a="1"/>
  <c r="CI11" i="2" s="1"/>
  <c r="CE12" i="2" a="1"/>
  <c r="CE12" i="2" s="1"/>
  <c r="CF12" i="2" a="1"/>
  <c r="CF12" i="2" s="1"/>
  <c r="CG12" i="2" a="1"/>
  <c r="CG12" i="2" s="1"/>
  <c r="CH12" i="2" a="1"/>
  <c r="CH12" i="2" s="1"/>
  <c r="CI12" i="2" a="1"/>
  <c r="CI12" i="2" s="1"/>
  <c r="CE13" i="2" a="1"/>
  <c r="CE13" i="2" s="1"/>
  <c r="CF13" i="2" a="1"/>
  <c r="CF13" i="2" s="1"/>
  <c r="CG13" i="2" a="1"/>
  <c r="CG13" i="2" s="1"/>
  <c r="CH13" i="2" a="1"/>
  <c r="CH13" i="2" s="1"/>
  <c r="CI13" i="2" a="1"/>
  <c r="CI13" i="2" s="1"/>
  <c r="CE14" i="2" a="1"/>
  <c r="CE14" i="2" s="1"/>
  <c r="CF14" i="2" a="1"/>
  <c r="CF14" i="2" s="1"/>
  <c r="CG14" i="2" a="1"/>
  <c r="CG14" i="2" s="1"/>
  <c r="CH14" i="2" a="1"/>
  <c r="CH14" i="2" s="1"/>
  <c r="CI14" i="2" a="1"/>
  <c r="CI14" i="2" s="1"/>
  <c r="DD21" i="43"/>
  <c r="DD20" i="43"/>
  <c r="DD19" i="43"/>
  <c r="DD18" i="43"/>
  <c r="DD17" i="43"/>
  <c r="DD16" i="43"/>
  <c r="DD15" i="43"/>
  <c r="DD14" i="43"/>
  <c r="DD13" i="43"/>
  <c r="DD12" i="43"/>
  <c r="DD11" i="43"/>
  <c r="DD10" i="43"/>
  <c r="DD9" i="43"/>
  <c r="DD8" i="43"/>
  <c r="DD7" i="43"/>
  <c r="DD6" i="43"/>
  <c r="DD5" i="43"/>
  <c r="DD4" i="43"/>
  <c r="DD3" i="43"/>
  <c r="CR351" i="43"/>
  <c r="CR350" i="43"/>
  <c r="CR349" i="43"/>
  <c r="CR348" i="43"/>
  <c r="CR347" i="43"/>
  <c r="CR346" i="43"/>
  <c r="CR340" i="43"/>
  <c r="CR341" i="43"/>
  <c r="CR342" i="43"/>
  <c r="CR343" i="43"/>
  <c r="CR344" i="43"/>
  <c r="CR345" i="43"/>
  <c r="CR328" i="43"/>
  <c r="CR329" i="43"/>
  <c r="CR330" i="43"/>
  <c r="CR331" i="43"/>
  <c r="CR332" i="43"/>
  <c r="CR333" i="43"/>
  <c r="CR334" i="43"/>
  <c r="CR335" i="43"/>
  <c r="CR336" i="43"/>
  <c r="CR337" i="43"/>
  <c r="CR338" i="43"/>
  <c r="CR339" i="43"/>
  <c r="CR88" i="43"/>
  <c r="CR89" i="43"/>
  <c r="CR90" i="43"/>
  <c r="CR91" i="43"/>
  <c r="CR92" i="43"/>
  <c r="CR93" i="43"/>
  <c r="CR94" i="43"/>
  <c r="CR95" i="43"/>
  <c r="CR96" i="43"/>
  <c r="CR97" i="43"/>
  <c r="CR98" i="43"/>
  <c r="CR99" i="43"/>
  <c r="CR100" i="43"/>
  <c r="CR101" i="43"/>
  <c r="CR102" i="43"/>
  <c r="CR103" i="43"/>
  <c r="CR104" i="43"/>
  <c r="CR105" i="43"/>
  <c r="CR106" i="43"/>
  <c r="CR107" i="43"/>
  <c r="CR108" i="43"/>
  <c r="CR109" i="43"/>
  <c r="CR110" i="43"/>
  <c r="CR111" i="43"/>
  <c r="CR112" i="43"/>
  <c r="CR113" i="43"/>
  <c r="CR114" i="43"/>
  <c r="CR115" i="43"/>
  <c r="CR116" i="43"/>
  <c r="CR117" i="43"/>
  <c r="CR118" i="43"/>
  <c r="CR119" i="43"/>
  <c r="CR120" i="43"/>
  <c r="CR121" i="43"/>
  <c r="CR122" i="43"/>
  <c r="CR123" i="43"/>
  <c r="CR124" i="43"/>
  <c r="CR125" i="43"/>
  <c r="CR126" i="43"/>
  <c r="CR127" i="43"/>
  <c r="CR128" i="43"/>
  <c r="CR129" i="43"/>
  <c r="CR130" i="43"/>
  <c r="CR131" i="43"/>
  <c r="CR132" i="43"/>
  <c r="CR133" i="43"/>
  <c r="CR134" i="43"/>
  <c r="CR135" i="43"/>
  <c r="CR136" i="43"/>
  <c r="CR137" i="43"/>
  <c r="CR138" i="43"/>
  <c r="CR139" i="43"/>
  <c r="CR140" i="43"/>
  <c r="CR141" i="43"/>
  <c r="CR142" i="43"/>
  <c r="CR143" i="43"/>
  <c r="CR144" i="43"/>
  <c r="CR145" i="43"/>
  <c r="CR146" i="43"/>
  <c r="CR147" i="43"/>
  <c r="CR148" i="43"/>
  <c r="CR149" i="43"/>
  <c r="CR150" i="43"/>
  <c r="CR151" i="43"/>
  <c r="CR152" i="43"/>
  <c r="CR153" i="43"/>
  <c r="CR154" i="43"/>
  <c r="CR155" i="43"/>
  <c r="CR156" i="43"/>
  <c r="CR157" i="43"/>
  <c r="CR158" i="43"/>
  <c r="CR159" i="43"/>
  <c r="CR160" i="43"/>
  <c r="CR161" i="43"/>
  <c r="CR162" i="43"/>
  <c r="CR163" i="43"/>
  <c r="CR164" i="43"/>
  <c r="CR165" i="43"/>
  <c r="CR166" i="43"/>
  <c r="CR167" i="43"/>
  <c r="CR168" i="43"/>
  <c r="CR169" i="43"/>
  <c r="CR170" i="43"/>
  <c r="CR171" i="43"/>
  <c r="CR172" i="43"/>
  <c r="CR173" i="43"/>
  <c r="CR174" i="43"/>
  <c r="CR175" i="43"/>
  <c r="CR176" i="43"/>
  <c r="CR177" i="43"/>
  <c r="CR178" i="43"/>
  <c r="CR179" i="43"/>
  <c r="CR180" i="43"/>
  <c r="CR181" i="43"/>
  <c r="CR182" i="43"/>
  <c r="CR183" i="43"/>
  <c r="CR184" i="43"/>
  <c r="CR185" i="43"/>
  <c r="CR186" i="43"/>
  <c r="CR187" i="43"/>
  <c r="CR188" i="43"/>
  <c r="CR189" i="43"/>
  <c r="CR190" i="43"/>
  <c r="CR191" i="43"/>
  <c r="CR192" i="43"/>
  <c r="CR193" i="43"/>
  <c r="CR194" i="43"/>
  <c r="CR195" i="43"/>
  <c r="CR196" i="43"/>
  <c r="CR197" i="43"/>
  <c r="CR198" i="43"/>
  <c r="CR199" i="43"/>
  <c r="CR200" i="43"/>
  <c r="CR201" i="43"/>
  <c r="CR202" i="43"/>
  <c r="CR203" i="43"/>
  <c r="CR204" i="43"/>
  <c r="CR205" i="43"/>
  <c r="CR206" i="43"/>
  <c r="CR207" i="43"/>
  <c r="CR208" i="43"/>
  <c r="CR209" i="43"/>
  <c r="CR210" i="43"/>
  <c r="CR211" i="43"/>
  <c r="CR212" i="43"/>
  <c r="CR213" i="43"/>
  <c r="CR214" i="43"/>
  <c r="CR215" i="43"/>
  <c r="CR216" i="43"/>
  <c r="CR217" i="43"/>
  <c r="CR218" i="43"/>
  <c r="CR219" i="43"/>
  <c r="CR220" i="43"/>
  <c r="CR221" i="43"/>
  <c r="CR222" i="43"/>
  <c r="CR223" i="43"/>
  <c r="CR224" i="43"/>
  <c r="CR225" i="43"/>
  <c r="CR226" i="43"/>
  <c r="CR227" i="43"/>
  <c r="CR228" i="43"/>
  <c r="CR229" i="43"/>
  <c r="CR230" i="43"/>
  <c r="CR231" i="43"/>
  <c r="CR232" i="43"/>
  <c r="CR233" i="43"/>
  <c r="CR234" i="43"/>
  <c r="CR235" i="43"/>
  <c r="CR236" i="43"/>
  <c r="CR237" i="43"/>
  <c r="CR238" i="43"/>
  <c r="CR239" i="43"/>
  <c r="CR240" i="43"/>
  <c r="CR241" i="43"/>
  <c r="CR242" i="43"/>
  <c r="CR243" i="43"/>
  <c r="CR244" i="43"/>
  <c r="CR245" i="43"/>
  <c r="CR246" i="43"/>
  <c r="CR247" i="43"/>
  <c r="CR248" i="43"/>
  <c r="CR249" i="43"/>
  <c r="CR250" i="43"/>
  <c r="CR251" i="43"/>
  <c r="CR252" i="43"/>
  <c r="CR253" i="43"/>
  <c r="CR254" i="43"/>
  <c r="CR255" i="43"/>
  <c r="CR256" i="43"/>
  <c r="CR257" i="43"/>
  <c r="CR258" i="43"/>
  <c r="CR259" i="43"/>
  <c r="CR260" i="43"/>
  <c r="CR261" i="43"/>
  <c r="CR262" i="43"/>
  <c r="CR263" i="43"/>
  <c r="CR264" i="43"/>
  <c r="CR265" i="43"/>
  <c r="CR266" i="43"/>
  <c r="CR267" i="43"/>
  <c r="CR268" i="43"/>
  <c r="CR269" i="43"/>
  <c r="CR270" i="43"/>
  <c r="CR271" i="43"/>
  <c r="CR272" i="43"/>
  <c r="CR273" i="43"/>
  <c r="CR274" i="43"/>
  <c r="CR275" i="43"/>
  <c r="CR276" i="43"/>
  <c r="CR277" i="43"/>
  <c r="CR278" i="43"/>
  <c r="CR279" i="43"/>
  <c r="CR280" i="43"/>
  <c r="CR281" i="43"/>
  <c r="CR282" i="43"/>
  <c r="CR283" i="43"/>
  <c r="CR284" i="43"/>
  <c r="CR285" i="43"/>
  <c r="CR286" i="43"/>
  <c r="CR287" i="43"/>
  <c r="CR288" i="43"/>
  <c r="CR289" i="43"/>
  <c r="CR290" i="43"/>
  <c r="CR291" i="43"/>
  <c r="CR292" i="43"/>
  <c r="CR293" i="43"/>
  <c r="CR294" i="43"/>
  <c r="CR295" i="43"/>
  <c r="CR296" i="43"/>
  <c r="CR297" i="43"/>
  <c r="CR298" i="43"/>
  <c r="CR299" i="43"/>
  <c r="CR300" i="43"/>
  <c r="CR301" i="43"/>
  <c r="CR302" i="43"/>
  <c r="CR303" i="43"/>
  <c r="CR304" i="43"/>
  <c r="CR305" i="43"/>
  <c r="CR306" i="43"/>
  <c r="CR307" i="43"/>
  <c r="CR308" i="43"/>
  <c r="CR309" i="43"/>
  <c r="CR310" i="43"/>
  <c r="CR311" i="43"/>
  <c r="CR312" i="43"/>
  <c r="CR313" i="43"/>
  <c r="CR314" i="43"/>
  <c r="CR315" i="43"/>
  <c r="CR316" i="43"/>
  <c r="CR317" i="43"/>
  <c r="CR318" i="43"/>
  <c r="CR319" i="43"/>
  <c r="CR320" i="43"/>
  <c r="CR321" i="43"/>
  <c r="CR322" i="43"/>
  <c r="CR323" i="43"/>
  <c r="CR324" i="43"/>
  <c r="CR325" i="43"/>
  <c r="CR326" i="43"/>
  <c r="CR327" i="43"/>
  <c r="CR87" i="43"/>
  <c r="CR86" i="43"/>
  <c r="CR85" i="43"/>
  <c r="CR84" i="43"/>
  <c r="CR83" i="43"/>
  <c r="CR82" i="43"/>
  <c r="CR81" i="43"/>
  <c r="CR80" i="43"/>
  <c r="CR79" i="43"/>
  <c r="CR78" i="43"/>
  <c r="CR77" i="43"/>
  <c r="CR76" i="43"/>
  <c r="CR57" i="43"/>
  <c r="CR58" i="43"/>
  <c r="CR59" i="43"/>
  <c r="CR60" i="43"/>
  <c r="CR61" i="43"/>
  <c r="CR62" i="43"/>
  <c r="CR63" i="43"/>
  <c r="CR64" i="43"/>
  <c r="CR65" i="43"/>
  <c r="CR66" i="43"/>
  <c r="CR67" i="43"/>
  <c r="CR68" i="43"/>
  <c r="CR69" i="43"/>
  <c r="CR70" i="43"/>
  <c r="CR71" i="43"/>
  <c r="CR72" i="43"/>
  <c r="CR73" i="43"/>
  <c r="CR74" i="43"/>
  <c r="CR75" i="43"/>
  <c r="CR4" i="43"/>
  <c r="CR5" i="43"/>
  <c r="CR6" i="43"/>
  <c r="CR7" i="43"/>
  <c r="CR8" i="43"/>
  <c r="CR9" i="43"/>
  <c r="CR10" i="43"/>
  <c r="CR11" i="43"/>
  <c r="CR12" i="43"/>
  <c r="CR13" i="43"/>
  <c r="CR14" i="43"/>
  <c r="CR15" i="43"/>
  <c r="CR16" i="43"/>
  <c r="CR17" i="43"/>
  <c r="CR18" i="43"/>
  <c r="CR19" i="43"/>
  <c r="CR20" i="43"/>
  <c r="CR21" i="43"/>
  <c r="CR22" i="43"/>
  <c r="CR23" i="43"/>
  <c r="CR24" i="43"/>
  <c r="CR25" i="43"/>
  <c r="CR26" i="43"/>
  <c r="CR27" i="43"/>
  <c r="CR28" i="43"/>
  <c r="CR29" i="43"/>
  <c r="CR30" i="43"/>
  <c r="CR31" i="43"/>
  <c r="CR32" i="43"/>
  <c r="CR33" i="43"/>
  <c r="CR34" i="43"/>
  <c r="CR35" i="43"/>
  <c r="CR36" i="43"/>
  <c r="CR37" i="43"/>
  <c r="CR38" i="43"/>
  <c r="CR39" i="43"/>
  <c r="CR40" i="43"/>
  <c r="CR41" i="43"/>
  <c r="CR42" i="43"/>
  <c r="CR43" i="43"/>
  <c r="CR44" i="43"/>
  <c r="CR45" i="43"/>
  <c r="CR46" i="43"/>
  <c r="CR47" i="43"/>
  <c r="CR48" i="43"/>
  <c r="CR49" i="43"/>
  <c r="CR50" i="43"/>
  <c r="CR51" i="43"/>
  <c r="CR52" i="43"/>
  <c r="CR53" i="43"/>
  <c r="CR54" i="43"/>
  <c r="CR55" i="43"/>
  <c r="CR56" i="43"/>
  <c r="CR3" i="43"/>
  <c r="CF328" i="43"/>
  <c r="CF329" i="43"/>
  <c r="CF330" i="43"/>
  <c r="CF331" i="43"/>
  <c r="CF332" i="43"/>
  <c r="CF333" i="43"/>
  <c r="CF334" i="43"/>
  <c r="CF335" i="43"/>
  <c r="CF336" i="43"/>
  <c r="CF337" i="43"/>
  <c r="CF338" i="43"/>
  <c r="CF339" i="43"/>
  <c r="CF340" i="43"/>
  <c r="CF341" i="43"/>
  <c r="CF342" i="43"/>
  <c r="CF343" i="43"/>
  <c r="CF344" i="43"/>
  <c r="CF345" i="43"/>
  <c r="CF346" i="43"/>
  <c r="CF347" i="43"/>
  <c r="CF348" i="43"/>
  <c r="CF349" i="43"/>
  <c r="CF350" i="43"/>
  <c r="CF351" i="43"/>
  <c r="CF256" i="43"/>
  <c r="CF257" i="43"/>
  <c r="CF258" i="43"/>
  <c r="CF259" i="43"/>
  <c r="CF260" i="43"/>
  <c r="CF261" i="43"/>
  <c r="CF262" i="43"/>
  <c r="CF263" i="43"/>
  <c r="CF264" i="43"/>
  <c r="CF265" i="43"/>
  <c r="CF266" i="43"/>
  <c r="CF267" i="43"/>
  <c r="CF268" i="43"/>
  <c r="CF269" i="43"/>
  <c r="CF270" i="43"/>
  <c r="CF271" i="43"/>
  <c r="CF272" i="43"/>
  <c r="CF273" i="43"/>
  <c r="CF274" i="43"/>
  <c r="CF275" i="43"/>
  <c r="CF276" i="43"/>
  <c r="CF277" i="43"/>
  <c r="CF278" i="43"/>
  <c r="CF279" i="43"/>
  <c r="CF280" i="43"/>
  <c r="CF281" i="43"/>
  <c r="CF282" i="43"/>
  <c r="CF283" i="43"/>
  <c r="CF284" i="43"/>
  <c r="CF285" i="43"/>
  <c r="CF286" i="43"/>
  <c r="CF287" i="43"/>
  <c r="CF288" i="43"/>
  <c r="CF289" i="43"/>
  <c r="CF290" i="43"/>
  <c r="CF291" i="43"/>
  <c r="CF292" i="43"/>
  <c r="CF293" i="43"/>
  <c r="CF294" i="43"/>
  <c r="CF295" i="43"/>
  <c r="CF296" i="43"/>
  <c r="CF297" i="43"/>
  <c r="CF298" i="43"/>
  <c r="CF299" i="43"/>
  <c r="CF300" i="43"/>
  <c r="CF301" i="43"/>
  <c r="CF302" i="43"/>
  <c r="CF303" i="43"/>
  <c r="CF304" i="43"/>
  <c r="CF305" i="43"/>
  <c r="CF306" i="43"/>
  <c r="CF307" i="43"/>
  <c r="CF308" i="43"/>
  <c r="CF309" i="43"/>
  <c r="CF310" i="43"/>
  <c r="CF311" i="43"/>
  <c r="CF312" i="43"/>
  <c r="CF313" i="43"/>
  <c r="CF314" i="43"/>
  <c r="CF315" i="43"/>
  <c r="CF316" i="43"/>
  <c r="CF317" i="43"/>
  <c r="CF318" i="43"/>
  <c r="CF319" i="43"/>
  <c r="CF320" i="43"/>
  <c r="CF321" i="43"/>
  <c r="CF322" i="43"/>
  <c r="CF323" i="43"/>
  <c r="CF324" i="43"/>
  <c r="CF325" i="43"/>
  <c r="CF326" i="43"/>
  <c r="CF327" i="43"/>
  <c r="CF166" i="43"/>
  <c r="CF167" i="43"/>
  <c r="CF168" i="43"/>
  <c r="CF169" i="43"/>
  <c r="CF170" i="43"/>
  <c r="CF171" i="43"/>
  <c r="CF172" i="43"/>
  <c r="CF173" i="43"/>
  <c r="CF174" i="43"/>
  <c r="CF175" i="43"/>
  <c r="CF176" i="43"/>
  <c r="CF177" i="43"/>
  <c r="CF178" i="43"/>
  <c r="CF179" i="43"/>
  <c r="CF180" i="43"/>
  <c r="CF181" i="43"/>
  <c r="CF182" i="43"/>
  <c r="CF183" i="43"/>
  <c r="CF184" i="43"/>
  <c r="CF185" i="43"/>
  <c r="CF186" i="43"/>
  <c r="CF187" i="43"/>
  <c r="CF188" i="43"/>
  <c r="CF189" i="43"/>
  <c r="CF190" i="43"/>
  <c r="CF191" i="43"/>
  <c r="CF192" i="43"/>
  <c r="CF193" i="43"/>
  <c r="CF194" i="43"/>
  <c r="CF195" i="43"/>
  <c r="CF196" i="43"/>
  <c r="CF197" i="43"/>
  <c r="CF198" i="43"/>
  <c r="CF199" i="43"/>
  <c r="CF200" i="43"/>
  <c r="CF201" i="43"/>
  <c r="CF202" i="43"/>
  <c r="CF203" i="43"/>
  <c r="CF204" i="43"/>
  <c r="CF205" i="43"/>
  <c r="CF206" i="43"/>
  <c r="CF207" i="43"/>
  <c r="CF208" i="43"/>
  <c r="CF209" i="43"/>
  <c r="CF210" i="43"/>
  <c r="CF211" i="43"/>
  <c r="CF212" i="43"/>
  <c r="CF213" i="43"/>
  <c r="CF214" i="43"/>
  <c r="CF215" i="43"/>
  <c r="CF216" i="43"/>
  <c r="CF217" i="43"/>
  <c r="CF218" i="43"/>
  <c r="CF219" i="43"/>
  <c r="CF220" i="43"/>
  <c r="CF221" i="43"/>
  <c r="CF222" i="43"/>
  <c r="CF223" i="43"/>
  <c r="CF224" i="43"/>
  <c r="CF225" i="43"/>
  <c r="CF226" i="43"/>
  <c r="CF227" i="43"/>
  <c r="CF228" i="43"/>
  <c r="CF229" i="43"/>
  <c r="CF230" i="43"/>
  <c r="CF231" i="43"/>
  <c r="CF232" i="43"/>
  <c r="CF233" i="43"/>
  <c r="CF234" i="43"/>
  <c r="CF235" i="43"/>
  <c r="CF236" i="43"/>
  <c r="CF237" i="43"/>
  <c r="CF238" i="43"/>
  <c r="CF239" i="43"/>
  <c r="CF240" i="43"/>
  <c r="CF241" i="43"/>
  <c r="CF242" i="43"/>
  <c r="CF243" i="43"/>
  <c r="CF244" i="43"/>
  <c r="CF245" i="43"/>
  <c r="CF246" i="43"/>
  <c r="CF247" i="43"/>
  <c r="CF248" i="43"/>
  <c r="CF249" i="43"/>
  <c r="CF250" i="43"/>
  <c r="CF251" i="43"/>
  <c r="CF252" i="43"/>
  <c r="CF253" i="43"/>
  <c r="CF254" i="43"/>
  <c r="CF255" i="43"/>
  <c r="CF94" i="43"/>
  <c r="CF95" i="43"/>
  <c r="CF96" i="43"/>
  <c r="CF97" i="43"/>
  <c r="CF98" i="43"/>
  <c r="CF99" i="43"/>
  <c r="CF100" i="43"/>
  <c r="CF101" i="43"/>
  <c r="CF102" i="43"/>
  <c r="CF103" i="43"/>
  <c r="CF104" i="43"/>
  <c r="CF105" i="43"/>
  <c r="CF106" i="43"/>
  <c r="CF107" i="43"/>
  <c r="CF108" i="43"/>
  <c r="CF109" i="43"/>
  <c r="CF110" i="43"/>
  <c r="CF111" i="43"/>
  <c r="CF112" i="43"/>
  <c r="CF113" i="43"/>
  <c r="CF114" i="43"/>
  <c r="CF115" i="43"/>
  <c r="CF116" i="43"/>
  <c r="CF117" i="43"/>
  <c r="CF118" i="43"/>
  <c r="CF119" i="43"/>
  <c r="CF120" i="43"/>
  <c r="CF121" i="43"/>
  <c r="CF122" i="43"/>
  <c r="CF123" i="43"/>
  <c r="CF124" i="43"/>
  <c r="CF125" i="43"/>
  <c r="CF126" i="43"/>
  <c r="CF127" i="43"/>
  <c r="CF128" i="43"/>
  <c r="CF129" i="43"/>
  <c r="CF130" i="43"/>
  <c r="CF131" i="43"/>
  <c r="CF132" i="43"/>
  <c r="CF133" i="43"/>
  <c r="CF134" i="43"/>
  <c r="CF135" i="43"/>
  <c r="CF136" i="43"/>
  <c r="CF137" i="43"/>
  <c r="CF138" i="43"/>
  <c r="CF139" i="43"/>
  <c r="CF140" i="43"/>
  <c r="CF141" i="43"/>
  <c r="CF142" i="43"/>
  <c r="CF143" i="43"/>
  <c r="CF144" i="43"/>
  <c r="CF145" i="43"/>
  <c r="CF146" i="43"/>
  <c r="CF147" i="43"/>
  <c r="CF148" i="43"/>
  <c r="CF149" i="43"/>
  <c r="CF150" i="43"/>
  <c r="CF151" i="43"/>
  <c r="CF152" i="43"/>
  <c r="CF153" i="43"/>
  <c r="CF154" i="43"/>
  <c r="CF155" i="43"/>
  <c r="CF156" i="43"/>
  <c r="CF157" i="43"/>
  <c r="CF158" i="43"/>
  <c r="CF159" i="43"/>
  <c r="CF160" i="43"/>
  <c r="CF161" i="43"/>
  <c r="CF162" i="43"/>
  <c r="CF163" i="43"/>
  <c r="CF164" i="43"/>
  <c r="CF165" i="43"/>
  <c r="CF93" i="43"/>
  <c r="CF92" i="43"/>
  <c r="CF91" i="43"/>
  <c r="CF90" i="43"/>
  <c r="CF89" i="43"/>
  <c r="CF88" i="43"/>
  <c r="CF87" i="43"/>
  <c r="CF86" i="43"/>
  <c r="CF85" i="43"/>
  <c r="CF84" i="43"/>
  <c r="CF83" i="43"/>
  <c r="CF82" i="43"/>
  <c r="CF81" i="43"/>
  <c r="CF80" i="43"/>
  <c r="CF79" i="43"/>
  <c r="CF78" i="43"/>
  <c r="CF77" i="43"/>
  <c r="CF76" i="43"/>
  <c r="CF75" i="43"/>
  <c r="CF74" i="43"/>
  <c r="CF73" i="43"/>
  <c r="CF72" i="43"/>
  <c r="CF71" i="43"/>
  <c r="CF70" i="43"/>
  <c r="CF69" i="43"/>
  <c r="CF68" i="43"/>
  <c r="CF67" i="43"/>
  <c r="CF66" i="43"/>
  <c r="CF65" i="43"/>
  <c r="CF64" i="43"/>
  <c r="CF4" i="43"/>
  <c r="CF5" i="43"/>
  <c r="CF6" i="43"/>
  <c r="CF7" i="43"/>
  <c r="CF8" i="43"/>
  <c r="CF9" i="43"/>
  <c r="CF10" i="43"/>
  <c r="CF11" i="43"/>
  <c r="CF12" i="43"/>
  <c r="CF13" i="43"/>
  <c r="CF14" i="43"/>
  <c r="CF15" i="43"/>
  <c r="CF16" i="43"/>
  <c r="CF17" i="43"/>
  <c r="CF18" i="43"/>
  <c r="CF19" i="43"/>
  <c r="CF20" i="43"/>
  <c r="CF21" i="43"/>
  <c r="CF22" i="43"/>
  <c r="CF23" i="43"/>
  <c r="CF24" i="43"/>
  <c r="CF25" i="43"/>
  <c r="CF26" i="43"/>
  <c r="CF27" i="43"/>
  <c r="CF28" i="43"/>
  <c r="CF29" i="43"/>
  <c r="CF30" i="43"/>
  <c r="CF31" i="43"/>
  <c r="CF32" i="43"/>
  <c r="CF33" i="43"/>
  <c r="CF34" i="43"/>
  <c r="CF35" i="43"/>
  <c r="CF36" i="43"/>
  <c r="CF37" i="43"/>
  <c r="CF38" i="43"/>
  <c r="CF39" i="43"/>
  <c r="CF40" i="43"/>
  <c r="CF41" i="43"/>
  <c r="CF42" i="43"/>
  <c r="CF43" i="43"/>
  <c r="CF44" i="43"/>
  <c r="CF45" i="43"/>
  <c r="CF46" i="43"/>
  <c r="CF47" i="43"/>
  <c r="CF48" i="43"/>
  <c r="CF49" i="43"/>
  <c r="CF50" i="43"/>
  <c r="CF51" i="43"/>
  <c r="CF52" i="43"/>
  <c r="CF53" i="43"/>
  <c r="CF54" i="43"/>
  <c r="CF55" i="43"/>
  <c r="CF56" i="43"/>
  <c r="CF57" i="43"/>
  <c r="CF58" i="43"/>
  <c r="CF59" i="43"/>
  <c r="CF60" i="43"/>
  <c r="CF61" i="43"/>
  <c r="CF62" i="43"/>
  <c r="CF63" i="43"/>
  <c r="CF3" i="43"/>
  <c r="BT382" i="43"/>
  <c r="BT383" i="43"/>
  <c r="BT384" i="43"/>
  <c r="BT385" i="43"/>
  <c r="BT386" i="43"/>
  <c r="BT387" i="43"/>
  <c r="BT388" i="43"/>
  <c r="BT389" i="43"/>
  <c r="BT390" i="43"/>
  <c r="BT391" i="43"/>
  <c r="BT392" i="43"/>
  <c r="BT393" i="43"/>
  <c r="BT370" i="43"/>
  <c r="BT371" i="43"/>
  <c r="BT372" i="43"/>
  <c r="BT373" i="43"/>
  <c r="BT374" i="43"/>
  <c r="BT375" i="43"/>
  <c r="BT376" i="43"/>
  <c r="BT377" i="43"/>
  <c r="BT378" i="43"/>
  <c r="BT379" i="43"/>
  <c r="BT380" i="43"/>
  <c r="BT381" i="43"/>
  <c r="BT359" i="43"/>
  <c r="BT360" i="43"/>
  <c r="BT361" i="43"/>
  <c r="BT362" i="43"/>
  <c r="BT363" i="43"/>
  <c r="BT364" i="43"/>
  <c r="BT365" i="43"/>
  <c r="BT366" i="43"/>
  <c r="BT367" i="43"/>
  <c r="BT368" i="43"/>
  <c r="BT369" i="43"/>
  <c r="BT47" i="43"/>
  <c r="BT48" i="43"/>
  <c r="BT49" i="43"/>
  <c r="BT50" i="43"/>
  <c r="BT51" i="43"/>
  <c r="BT52" i="43"/>
  <c r="BT53" i="43"/>
  <c r="BT54" i="43"/>
  <c r="BT55" i="43"/>
  <c r="BT56" i="43"/>
  <c r="BT57" i="43"/>
  <c r="BT58" i="43"/>
  <c r="BT59" i="43"/>
  <c r="BT60" i="43"/>
  <c r="BT61" i="43"/>
  <c r="BT62" i="43"/>
  <c r="BT63" i="43"/>
  <c r="BT64" i="43"/>
  <c r="BT65" i="43"/>
  <c r="BT66" i="43"/>
  <c r="BT67" i="43"/>
  <c r="BT68" i="43"/>
  <c r="BT69" i="43"/>
  <c r="BT70" i="43"/>
  <c r="BT71" i="43"/>
  <c r="BT72" i="43"/>
  <c r="BT73" i="43"/>
  <c r="BT74" i="43"/>
  <c r="BT75" i="43"/>
  <c r="BT76" i="43"/>
  <c r="BT77" i="43"/>
  <c r="BT78" i="43"/>
  <c r="BT79" i="43"/>
  <c r="BT80" i="43"/>
  <c r="BT81" i="43"/>
  <c r="BT82" i="43"/>
  <c r="BT83" i="43"/>
  <c r="BT84" i="43"/>
  <c r="BT85" i="43"/>
  <c r="BT86" i="43"/>
  <c r="BT87" i="43"/>
  <c r="BT88" i="43"/>
  <c r="BT89" i="43"/>
  <c r="BT90" i="43"/>
  <c r="BT91" i="43"/>
  <c r="BT92" i="43"/>
  <c r="BT93" i="43"/>
  <c r="BT94" i="43"/>
  <c r="BT95" i="43"/>
  <c r="BT96" i="43"/>
  <c r="BT97" i="43"/>
  <c r="BT98" i="43"/>
  <c r="BT99" i="43"/>
  <c r="BT100" i="43"/>
  <c r="BT101" i="43"/>
  <c r="BT102" i="43"/>
  <c r="BT103" i="43"/>
  <c r="BT104" i="43"/>
  <c r="BT105" i="43"/>
  <c r="BT106" i="43"/>
  <c r="BT107" i="43"/>
  <c r="BT108" i="43"/>
  <c r="BT109" i="43"/>
  <c r="BT110" i="43"/>
  <c r="BT111" i="43"/>
  <c r="BT112" i="43"/>
  <c r="BT113" i="43"/>
  <c r="BT114" i="43"/>
  <c r="BT115" i="43"/>
  <c r="BT116" i="43"/>
  <c r="BT117" i="43"/>
  <c r="BT118" i="43"/>
  <c r="BT119" i="43"/>
  <c r="BT120" i="43"/>
  <c r="BT121" i="43"/>
  <c r="BT122" i="43"/>
  <c r="BT123" i="43"/>
  <c r="BT124" i="43"/>
  <c r="BT125" i="43"/>
  <c r="BT126" i="43"/>
  <c r="BT127" i="43"/>
  <c r="BT128" i="43"/>
  <c r="BT129" i="43"/>
  <c r="BT130" i="43"/>
  <c r="BT131" i="43"/>
  <c r="BT132" i="43"/>
  <c r="BT133" i="43"/>
  <c r="BT134" i="43"/>
  <c r="BT135" i="43"/>
  <c r="BT136" i="43"/>
  <c r="BT137" i="43"/>
  <c r="BT138" i="43"/>
  <c r="BT139" i="43"/>
  <c r="BT140" i="43"/>
  <c r="BT141" i="43"/>
  <c r="BT142" i="43"/>
  <c r="BT143" i="43"/>
  <c r="BT144" i="43"/>
  <c r="BT145" i="43"/>
  <c r="BT146" i="43"/>
  <c r="BT147" i="43"/>
  <c r="BT148" i="43"/>
  <c r="BT149" i="43"/>
  <c r="BT150" i="43"/>
  <c r="BT151" i="43"/>
  <c r="BT152" i="43"/>
  <c r="BT153" i="43"/>
  <c r="BT154" i="43"/>
  <c r="BT155" i="43"/>
  <c r="BT156" i="43"/>
  <c r="BT157" i="43"/>
  <c r="BT158" i="43"/>
  <c r="BT159" i="43"/>
  <c r="BT160" i="43"/>
  <c r="BT161" i="43"/>
  <c r="BT162" i="43"/>
  <c r="BT163" i="43"/>
  <c r="BT164" i="43"/>
  <c r="BT165" i="43"/>
  <c r="BT166" i="43"/>
  <c r="BT167" i="43"/>
  <c r="BT168" i="43"/>
  <c r="BT169" i="43"/>
  <c r="BT170" i="43"/>
  <c r="BT171" i="43"/>
  <c r="BT172" i="43"/>
  <c r="BT173" i="43"/>
  <c r="BT174" i="43"/>
  <c r="BT175" i="43"/>
  <c r="BT176" i="43"/>
  <c r="BT177" i="43"/>
  <c r="BT178" i="43"/>
  <c r="BT179" i="43"/>
  <c r="BT180" i="43"/>
  <c r="BT181" i="43"/>
  <c r="BT182" i="43"/>
  <c r="BT183" i="43"/>
  <c r="BT184" i="43"/>
  <c r="BT185" i="43"/>
  <c r="BT186" i="43"/>
  <c r="BT187" i="43"/>
  <c r="BT188" i="43"/>
  <c r="BT189" i="43"/>
  <c r="BT190" i="43"/>
  <c r="BT191" i="43"/>
  <c r="BT192" i="43"/>
  <c r="BT193" i="43"/>
  <c r="BT194" i="43"/>
  <c r="BT195" i="43"/>
  <c r="BT196" i="43"/>
  <c r="BT197" i="43"/>
  <c r="BT198" i="43"/>
  <c r="BT199" i="43"/>
  <c r="BT200" i="43"/>
  <c r="BT201" i="43"/>
  <c r="BT202" i="43"/>
  <c r="BT203" i="43"/>
  <c r="BT204" i="43"/>
  <c r="BT205" i="43"/>
  <c r="BT206" i="43"/>
  <c r="BT207" i="43"/>
  <c r="BT208" i="43"/>
  <c r="BT209" i="43"/>
  <c r="BT210" i="43"/>
  <c r="BT211" i="43"/>
  <c r="BT212" i="43"/>
  <c r="BT213" i="43"/>
  <c r="BT214" i="43"/>
  <c r="BT215" i="43"/>
  <c r="BT216" i="43"/>
  <c r="BT217" i="43"/>
  <c r="BT218" i="43"/>
  <c r="BT219" i="43"/>
  <c r="BT220" i="43"/>
  <c r="BT221" i="43"/>
  <c r="BT222" i="43"/>
  <c r="BT223" i="43"/>
  <c r="BT224" i="43"/>
  <c r="BT225" i="43"/>
  <c r="BT226" i="43"/>
  <c r="BT227" i="43"/>
  <c r="BT228" i="43"/>
  <c r="BT229" i="43"/>
  <c r="BT230" i="43"/>
  <c r="BT231" i="43"/>
  <c r="BT232" i="43"/>
  <c r="BT233" i="43"/>
  <c r="BT234" i="43"/>
  <c r="BT235" i="43"/>
  <c r="BT236" i="43"/>
  <c r="BT237" i="43"/>
  <c r="BT238" i="43"/>
  <c r="BT239" i="43"/>
  <c r="BT240" i="43"/>
  <c r="BT241" i="43"/>
  <c r="BT242" i="43"/>
  <c r="BT243" i="43"/>
  <c r="BT244" i="43"/>
  <c r="BT245" i="43"/>
  <c r="BT246" i="43"/>
  <c r="BT247" i="43"/>
  <c r="BT248" i="43"/>
  <c r="BT249" i="43"/>
  <c r="BT250" i="43"/>
  <c r="BT251" i="43"/>
  <c r="BT252" i="43"/>
  <c r="BT253" i="43"/>
  <c r="BT254" i="43"/>
  <c r="BT255" i="43"/>
  <c r="BT256" i="43"/>
  <c r="BT257" i="43"/>
  <c r="BT258" i="43"/>
  <c r="BT259" i="43"/>
  <c r="BT260" i="43"/>
  <c r="BT261" i="43"/>
  <c r="BT262" i="43"/>
  <c r="BT263" i="43"/>
  <c r="BT264" i="43"/>
  <c r="BT265" i="43"/>
  <c r="BT266" i="43"/>
  <c r="BT267" i="43"/>
  <c r="BT268" i="43"/>
  <c r="BT269" i="43"/>
  <c r="BT270" i="43"/>
  <c r="BT271" i="43"/>
  <c r="BT272" i="43"/>
  <c r="BT273" i="43"/>
  <c r="BT274" i="43"/>
  <c r="BT275" i="43"/>
  <c r="BT276" i="43"/>
  <c r="BT277" i="43"/>
  <c r="BT278" i="43"/>
  <c r="BT279" i="43"/>
  <c r="BT280" i="43"/>
  <c r="BT281" i="43"/>
  <c r="BT282" i="43"/>
  <c r="BT283" i="43"/>
  <c r="BT284" i="43"/>
  <c r="BT285" i="43"/>
  <c r="BT286" i="43"/>
  <c r="BT287" i="43"/>
  <c r="BT288" i="43"/>
  <c r="BT289" i="43"/>
  <c r="BT290" i="43"/>
  <c r="BT291" i="43"/>
  <c r="BT292" i="43"/>
  <c r="BT293" i="43"/>
  <c r="BT294" i="43"/>
  <c r="BT295" i="43"/>
  <c r="BT296" i="43"/>
  <c r="BT297" i="43"/>
  <c r="BT298" i="43"/>
  <c r="BT299" i="43"/>
  <c r="BT300" i="43"/>
  <c r="BT301" i="43"/>
  <c r="BT302" i="43"/>
  <c r="BT303" i="43"/>
  <c r="BT304" i="43"/>
  <c r="BT305" i="43"/>
  <c r="BT306" i="43"/>
  <c r="BT307" i="43"/>
  <c r="BT308" i="43"/>
  <c r="BT309" i="43"/>
  <c r="BT310" i="43"/>
  <c r="BT311" i="43"/>
  <c r="BT312" i="43"/>
  <c r="BT313" i="43"/>
  <c r="BT314" i="43"/>
  <c r="BT315" i="43"/>
  <c r="BT316" i="43"/>
  <c r="BT317" i="43"/>
  <c r="BT318" i="43"/>
  <c r="BT319" i="43"/>
  <c r="BT320" i="43"/>
  <c r="BT321" i="43"/>
  <c r="BT322" i="43"/>
  <c r="BT323" i="43"/>
  <c r="BT324" i="43"/>
  <c r="BT325" i="43"/>
  <c r="BT326" i="43"/>
  <c r="BT327" i="43"/>
  <c r="BT328" i="43"/>
  <c r="BT329" i="43"/>
  <c r="BT330" i="43"/>
  <c r="BT331" i="43"/>
  <c r="BT332" i="43"/>
  <c r="BT333" i="43"/>
  <c r="BT334" i="43"/>
  <c r="BT335" i="43"/>
  <c r="BT336" i="43"/>
  <c r="BT337" i="43"/>
  <c r="BT338" i="43"/>
  <c r="BT339" i="43"/>
  <c r="BT340" i="43"/>
  <c r="BT341" i="43"/>
  <c r="BT342" i="43"/>
  <c r="BT343" i="43"/>
  <c r="BT344" i="43"/>
  <c r="BT345" i="43"/>
  <c r="BT346" i="43"/>
  <c r="BT347" i="43"/>
  <c r="BT348" i="43"/>
  <c r="BT349" i="43"/>
  <c r="BT350" i="43"/>
  <c r="BT351" i="43"/>
  <c r="BT352" i="43"/>
  <c r="BT353" i="43"/>
  <c r="BT354" i="43"/>
  <c r="BT355" i="43"/>
  <c r="BT356" i="43"/>
  <c r="BT357" i="43"/>
  <c r="BT358" i="43"/>
  <c r="BT39" i="43"/>
  <c r="BT40" i="43"/>
  <c r="BT41" i="43"/>
  <c r="BT42" i="43"/>
  <c r="BT43" i="43"/>
  <c r="BT44" i="43"/>
  <c r="BT45" i="43"/>
  <c r="BT46" i="43"/>
  <c r="BT38" i="43"/>
  <c r="BT37" i="43"/>
  <c r="BT36" i="43"/>
  <c r="BT35" i="43"/>
  <c r="BT34" i="43"/>
  <c r="BT33" i="43"/>
  <c r="BT32" i="43"/>
  <c r="BT31" i="43"/>
  <c r="BT30" i="43"/>
  <c r="BT29" i="43"/>
  <c r="BT28" i="43"/>
  <c r="BT27" i="43"/>
  <c r="BT26" i="43"/>
  <c r="BT25" i="43"/>
  <c r="BT24" i="43"/>
  <c r="BT23" i="43"/>
  <c r="BT22" i="43"/>
  <c r="BT21" i="43"/>
  <c r="BT20" i="43"/>
  <c r="BT19" i="43"/>
  <c r="BT18" i="43"/>
  <c r="BT17" i="43"/>
  <c r="BT16" i="43"/>
  <c r="BT15" i="43"/>
  <c r="BT14" i="43"/>
  <c r="BT13" i="43"/>
  <c r="BT12" i="43"/>
  <c r="BT11" i="43"/>
  <c r="BT10" i="43"/>
  <c r="BT9" i="43"/>
  <c r="BT8" i="43"/>
  <c r="BT7" i="43"/>
  <c r="BT6" i="43"/>
  <c r="BT5" i="43"/>
  <c r="BT4" i="43"/>
  <c r="BT3" i="43"/>
  <c r="BN6" i="2"/>
  <c r="BO6" i="2"/>
  <c r="BP6" i="2"/>
  <c r="BQ6" i="2"/>
  <c r="BR6" i="2"/>
  <c r="BN7" i="2"/>
  <c r="BO7" i="2"/>
  <c r="BP7" i="2"/>
  <c r="BQ7" i="2"/>
  <c r="BR7" i="2"/>
  <c r="BN8" i="2"/>
  <c r="BO8" i="2"/>
  <c r="BP8" i="2"/>
  <c r="BQ8" i="2"/>
  <c r="BR8" i="2"/>
  <c r="BN9" i="2"/>
  <c r="BO9" i="2"/>
  <c r="BP9" i="2"/>
  <c r="BQ9" i="2"/>
  <c r="BR9" i="2"/>
  <c r="BN10" i="2"/>
  <c r="BO10" i="2"/>
  <c r="BP10" i="2"/>
  <c r="BQ10" i="2"/>
  <c r="BR10" i="2"/>
  <c r="BN11" i="2"/>
  <c r="BO11" i="2"/>
  <c r="BP11" i="2"/>
  <c r="BQ11" i="2"/>
  <c r="BR11" i="2"/>
  <c r="BN12" i="2"/>
  <c r="BO12" i="2"/>
  <c r="BP12" i="2"/>
  <c r="BQ12" i="2"/>
  <c r="BR12" i="2"/>
  <c r="BN13" i="2"/>
  <c r="BO13" i="2"/>
  <c r="BP13" i="2"/>
  <c r="BQ13" i="2"/>
  <c r="BR13" i="2"/>
  <c r="BN14" i="2"/>
  <c r="BO14" i="2"/>
  <c r="BP14" i="2"/>
  <c r="BQ14" i="2"/>
  <c r="BR14" i="2"/>
  <c r="BN15" i="2"/>
  <c r="BO15" i="2"/>
  <c r="BP15" i="2"/>
  <c r="BQ15" i="2"/>
  <c r="BR15" i="2"/>
  <c r="BN16" i="2"/>
  <c r="BO16" i="2"/>
  <c r="BP16" i="2"/>
  <c r="BQ16" i="2"/>
  <c r="BR16" i="2"/>
  <c r="BN17" i="2"/>
  <c r="BO17" i="2"/>
  <c r="BP17" i="2"/>
  <c r="BQ17" i="2"/>
  <c r="BR17" i="2"/>
  <c r="BN18" i="2"/>
  <c r="BO18" i="2"/>
  <c r="BP18" i="2"/>
  <c r="BQ18" i="2"/>
  <c r="BR18" i="2"/>
  <c r="BN19" i="2"/>
  <c r="BO19" i="2"/>
  <c r="BP19" i="2"/>
  <c r="BQ19" i="2"/>
  <c r="BR19" i="2"/>
  <c r="BN20" i="2"/>
  <c r="BO20" i="2"/>
  <c r="BP20" i="2"/>
  <c r="BQ20" i="2"/>
  <c r="BR20" i="2"/>
  <c r="BN21" i="2"/>
  <c r="BO21" i="2"/>
  <c r="BP21" i="2"/>
  <c r="BQ21" i="2"/>
  <c r="BR21" i="2"/>
  <c r="BN22" i="2"/>
  <c r="BO22" i="2"/>
  <c r="BP22" i="2"/>
  <c r="BQ22" i="2"/>
  <c r="BR22" i="2"/>
  <c r="BN23" i="2"/>
  <c r="BO23" i="2"/>
  <c r="BP23" i="2"/>
  <c r="BQ23" i="2"/>
  <c r="BR23" i="2"/>
  <c r="BN24" i="2"/>
  <c r="BO24" i="2"/>
  <c r="BP24" i="2"/>
  <c r="BQ24" i="2"/>
  <c r="BR24" i="2"/>
  <c r="BN25" i="2"/>
  <c r="BO25" i="2"/>
  <c r="BP25" i="2"/>
  <c r="BQ25" i="2"/>
  <c r="BR25" i="2"/>
  <c r="BN26" i="2"/>
  <c r="BO26" i="2"/>
  <c r="BP26" i="2"/>
  <c r="BQ26" i="2"/>
  <c r="BR26" i="2"/>
  <c r="BN27" i="2"/>
  <c r="BO27" i="2"/>
  <c r="BP27" i="2"/>
  <c r="BQ27" i="2"/>
  <c r="BR27" i="2"/>
  <c r="BN28" i="2"/>
  <c r="BO28" i="2"/>
  <c r="BP28" i="2"/>
  <c r="BQ28" i="2"/>
  <c r="BR28" i="2"/>
  <c r="BN29" i="2"/>
  <c r="BO29" i="2"/>
  <c r="BP29" i="2"/>
  <c r="BQ29" i="2"/>
  <c r="BR29" i="2"/>
  <c r="BN30" i="2"/>
  <c r="BO30" i="2"/>
  <c r="BP30" i="2"/>
  <c r="BQ30" i="2"/>
  <c r="BR30" i="2"/>
  <c r="BN31" i="2"/>
  <c r="BO31" i="2"/>
  <c r="BP31" i="2"/>
  <c r="BQ31" i="2"/>
  <c r="BR31" i="2"/>
  <c r="BN32" i="2"/>
  <c r="BO32" i="2"/>
  <c r="BP32" i="2"/>
  <c r="BQ32" i="2"/>
  <c r="BR32" i="2"/>
  <c r="BN33" i="2"/>
  <c r="BO33" i="2"/>
  <c r="BP33" i="2"/>
  <c r="BQ33" i="2"/>
  <c r="BR33" i="2"/>
  <c r="BN34" i="2"/>
  <c r="BO34" i="2"/>
  <c r="BP34" i="2"/>
  <c r="BQ34" i="2"/>
  <c r="BR34" i="2"/>
  <c r="BN35" i="2"/>
  <c r="BO35" i="2"/>
  <c r="BP35" i="2"/>
  <c r="BQ35" i="2"/>
  <c r="BR35" i="2"/>
  <c r="BN36" i="2"/>
  <c r="BO36" i="2"/>
  <c r="BP36" i="2"/>
  <c r="BQ36" i="2"/>
  <c r="BR36" i="2"/>
  <c r="BN37" i="2"/>
  <c r="BO37" i="2"/>
  <c r="BP37" i="2"/>
  <c r="BQ37" i="2"/>
  <c r="BR37" i="2"/>
  <c r="BN38" i="2"/>
  <c r="BO38" i="2"/>
  <c r="BP38" i="2"/>
  <c r="BQ38" i="2"/>
  <c r="BR38" i="2"/>
  <c r="BU6" i="2"/>
  <c r="BV6" i="2"/>
  <c r="BW6" i="2"/>
  <c r="BX6" i="2"/>
  <c r="BY6" i="2"/>
  <c r="BU7" i="2"/>
  <c r="BV7" i="2"/>
  <c r="BW7" i="2"/>
  <c r="BX7" i="2"/>
  <c r="BY7" i="2"/>
  <c r="BU8" i="2"/>
  <c r="BV8" i="2"/>
  <c r="BW8" i="2"/>
  <c r="BX8" i="2"/>
  <c r="BY8" i="2"/>
  <c r="BU9" i="2"/>
  <c r="BV9" i="2"/>
  <c r="BW9" i="2"/>
  <c r="BX9" i="2"/>
  <c r="BY9" i="2"/>
  <c r="BU10" i="2"/>
  <c r="BV10" i="2"/>
  <c r="BW10" i="2"/>
  <c r="BX10" i="2"/>
  <c r="BY10" i="2"/>
  <c r="BU11" i="2"/>
  <c r="BV11" i="2"/>
  <c r="BW11" i="2"/>
  <c r="BX11" i="2"/>
  <c r="BY11" i="2"/>
  <c r="BU12" i="2"/>
  <c r="BV12" i="2"/>
  <c r="BW12" i="2"/>
  <c r="BX12" i="2"/>
  <c r="BY12" i="2"/>
  <c r="BU13" i="2"/>
  <c r="BV13" i="2"/>
  <c r="BW13" i="2"/>
  <c r="BX13" i="2"/>
  <c r="BY13" i="2"/>
  <c r="BU14" i="2"/>
  <c r="BV14" i="2"/>
  <c r="BW14" i="2"/>
  <c r="BX14" i="2"/>
  <c r="BY14" i="2"/>
  <c r="BU15" i="2"/>
  <c r="BV15" i="2"/>
  <c r="BW15" i="2"/>
  <c r="BX15" i="2"/>
  <c r="BY15" i="2"/>
  <c r="BU16" i="2"/>
  <c r="BV16" i="2"/>
  <c r="BW16" i="2"/>
  <c r="BX16" i="2"/>
  <c r="BY16" i="2"/>
  <c r="BU17" i="2"/>
  <c r="BV17" i="2"/>
  <c r="BW17" i="2"/>
  <c r="BX17" i="2"/>
  <c r="BY17" i="2"/>
  <c r="BU18" i="2"/>
  <c r="BV18" i="2"/>
  <c r="BW18" i="2"/>
  <c r="BX18" i="2"/>
  <c r="BY18" i="2"/>
  <c r="BU19" i="2"/>
  <c r="BV19" i="2"/>
  <c r="BW19" i="2"/>
  <c r="BX19" i="2"/>
  <c r="BY19" i="2"/>
  <c r="BU20" i="2"/>
  <c r="BV20" i="2"/>
  <c r="BW20" i="2"/>
  <c r="BX20" i="2"/>
  <c r="BY20" i="2"/>
  <c r="BU21" i="2"/>
  <c r="BV21" i="2"/>
  <c r="BW21" i="2"/>
  <c r="BX21" i="2"/>
  <c r="BY21" i="2"/>
  <c r="BU22" i="2"/>
  <c r="BV22" i="2"/>
  <c r="BW22" i="2"/>
  <c r="BX22" i="2"/>
  <c r="BY22" i="2"/>
  <c r="BU23" i="2"/>
  <c r="BV23" i="2"/>
  <c r="BW23" i="2"/>
  <c r="BX23" i="2"/>
  <c r="BY23" i="2"/>
  <c r="BU24" i="2"/>
  <c r="BV24" i="2"/>
  <c r="BW24" i="2"/>
  <c r="BX24" i="2"/>
  <c r="BY24" i="2"/>
  <c r="BU25" i="2"/>
  <c r="BV25" i="2"/>
  <c r="BW25" i="2"/>
  <c r="BX25" i="2"/>
  <c r="BY25" i="2"/>
  <c r="BU26" i="2"/>
  <c r="BV26" i="2"/>
  <c r="BW26" i="2"/>
  <c r="BX26" i="2"/>
  <c r="BY26" i="2"/>
  <c r="BU27" i="2"/>
  <c r="BV27" i="2"/>
  <c r="BW27" i="2"/>
  <c r="BX27" i="2"/>
  <c r="BY27" i="2"/>
  <c r="BU28" i="2"/>
  <c r="BV28" i="2"/>
  <c r="BW28" i="2"/>
  <c r="BX28" i="2"/>
  <c r="BY28" i="2"/>
  <c r="BU29" i="2"/>
  <c r="BV29" i="2"/>
  <c r="BW29" i="2"/>
  <c r="BX29" i="2"/>
  <c r="BY29" i="2"/>
  <c r="BU30" i="2"/>
  <c r="BV30" i="2"/>
  <c r="BW30" i="2"/>
  <c r="BX30" i="2"/>
  <c r="BY30" i="2"/>
  <c r="BU31" i="2"/>
  <c r="BV31" i="2"/>
  <c r="BW31" i="2"/>
  <c r="BX31" i="2"/>
  <c r="BY31" i="2"/>
  <c r="BU32" i="2"/>
  <c r="BV32" i="2"/>
  <c r="BW32" i="2"/>
  <c r="BX32" i="2"/>
  <c r="BY32" i="2"/>
  <c r="BU33" i="2"/>
  <c r="BV33" i="2"/>
  <c r="BW33" i="2"/>
  <c r="BX33" i="2"/>
  <c r="BY33" i="2"/>
  <c r="BU34" i="2"/>
  <c r="BV34" i="2"/>
  <c r="BW34" i="2"/>
  <c r="BX34" i="2"/>
  <c r="BY34" i="2"/>
  <c r="BU35" i="2"/>
  <c r="BV35" i="2"/>
  <c r="BW35" i="2"/>
  <c r="BX35" i="2"/>
  <c r="BY35" i="2"/>
  <c r="BU36" i="2"/>
  <c r="BV36" i="2"/>
  <c r="BW36" i="2"/>
  <c r="BX36" i="2"/>
  <c r="BY36" i="2"/>
  <c r="BU37" i="2"/>
  <c r="BV37" i="2"/>
  <c r="BW37" i="2"/>
  <c r="BX37" i="2"/>
  <c r="BY37" i="2"/>
  <c r="BU38" i="2"/>
  <c r="BV38" i="2"/>
  <c r="BW38" i="2"/>
  <c r="BX38" i="2"/>
  <c r="BY38" i="2"/>
  <c r="BH309" i="43"/>
  <c r="BH310" i="43"/>
  <c r="BH311" i="43"/>
  <c r="BH312" i="43"/>
  <c r="BH313" i="43"/>
  <c r="BH314" i="43"/>
  <c r="BH315" i="43"/>
  <c r="BH316" i="43"/>
  <c r="BH317" i="43"/>
  <c r="BH318" i="43"/>
  <c r="BH269" i="43"/>
  <c r="BH270" i="43"/>
  <c r="BH271" i="43"/>
  <c r="BH272" i="43"/>
  <c r="BH273" i="43"/>
  <c r="BH274" i="43"/>
  <c r="BH275" i="43"/>
  <c r="BH276" i="43"/>
  <c r="BH277" i="43"/>
  <c r="BH278" i="43"/>
  <c r="BH279" i="43"/>
  <c r="BH280" i="43"/>
  <c r="BH281" i="43"/>
  <c r="BH282" i="43"/>
  <c r="BH283" i="43"/>
  <c r="BH284" i="43"/>
  <c r="BH285" i="43"/>
  <c r="BH286" i="43"/>
  <c r="BH287" i="43"/>
  <c r="BH288" i="43"/>
  <c r="BH289" i="43"/>
  <c r="BH290" i="43"/>
  <c r="BH291" i="43"/>
  <c r="BH292" i="43"/>
  <c r="BH293" i="43"/>
  <c r="BH294" i="43"/>
  <c r="BH295" i="43"/>
  <c r="BH296" i="43"/>
  <c r="BH297" i="43"/>
  <c r="BH298" i="43"/>
  <c r="BH299" i="43"/>
  <c r="BH300" i="43"/>
  <c r="BH301" i="43"/>
  <c r="BH302" i="43"/>
  <c r="BH303" i="43"/>
  <c r="BH304" i="43"/>
  <c r="BH305" i="43"/>
  <c r="BH306" i="43"/>
  <c r="BH307" i="43"/>
  <c r="BH308" i="43"/>
  <c r="BH188" i="43"/>
  <c r="BH189" i="43"/>
  <c r="BH190" i="43"/>
  <c r="BH191" i="43"/>
  <c r="BH192" i="43"/>
  <c r="BH193" i="43"/>
  <c r="BH194" i="43"/>
  <c r="BH195" i="43"/>
  <c r="BH196" i="43"/>
  <c r="BH197" i="43"/>
  <c r="BH198" i="43"/>
  <c r="BH199" i="43"/>
  <c r="BH200" i="43"/>
  <c r="BH201" i="43"/>
  <c r="BH202" i="43"/>
  <c r="BH203" i="43"/>
  <c r="BH204" i="43"/>
  <c r="BH205" i="43"/>
  <c r="BH206" i="43"/>
  <c r="BH207" i="43"/>
  <c r="BH208" i="43"/>
  <c r="BH209" i="43"/>
  <c r="BH210" i="43"/>
  <c r="BH211" i="43"/>
  <c r="BH212" i="43"/>
  <c r="BH213" i="43"/>
  <c r="BH214" i="43"/>
  <c r="BH215" i="43"/>
  <c r="BH216" i="43"/>
  <c r="BH217" i="43"/>
  <c r="BH218" i="43"/>
  <c r="BH219" i="43"/>
  <c r="BH220" i="43"/>
  <c r="BH221" i="43"/>
  <c r="BH222" i="43"/>
  <c r="BH223" i="43"/>
  <c r="BH224" i="43"/>
  <c r="BH225" i="43"/>
  <c r="BH226" i="43"/>
  <c r="BH227" i="43"/>
  <c r="BH228" i="43"/>
  <c r="BH229" i="43"/>
  <c r="BH230" i="43"/>
  <c r="BH231" i="43"/>
  <c r="BH232" i="43"/>
  <c r="BH233" i="43"/>
  <c r="BH234" i="43"/>
  <c r="BH235" i="43"/>
  <c r="BH236" i="43"/>
  <c r="BH237" i="43"/>
  <c r="BH238" i="43"/>
  <c r="BH239" i="43"/>
  <c r="BH240" i="43"/>
  <c r="BH241" i="43"/>
  <c r="BH242" i="43"/>
  <c r="BH243" i="43"/>
  <c r="BH244" i="43"/>
  <c r="BH245" i="43"/>
  <c r="BH246" i="43"/>
  <c r="BH247" i="43"/>
  <c r="BH248" i="43"/>
  <c r="BH249" i="43"/>
  <c r="BH250" i="43"/>
  <c r="BH251" i="43"/>
  <c r="BH252" i="43"/>
  <c r="BH253" i="43"/>
  <c r="BH254" i="43"/>
  <c r="BH255" i="43"/>
  <c r="BH256" i="43"/>
  <c r="BH257" i="43"/>
  <c r="BH258" i="43"/>
  <c r="BH259" i="43"/>
  <c r="BH260" i="43"/>
  <c r="BH261" i="43"/>
  <c r="BH262" i="43"/>
  <c r="BH263" i="43"/>
  <c r="BH264" i="43"/>
  <c r="BH265" i="43"/>
  <c r="BH266" i="43"/>
  <c r="BH267" i="43"/>
  <c r="BH268" i="43"/>
  <c r="BH78" i="43"/>
  <c r="BH79" i="43"/>
  <c r="BH80" i="43"/>
  <c r="BH81" i="43"/>
  <c r="BH82" i="43"/>
  <c r="BH83" i="43"/>
  <c r="BH84" i="43"/>
  <c r="BH85" i="43"/>
  <c r="BH86" i="43"/>
  <c r="BH87" i="43"/>
  <c r="BH88" i="43"/>
  <c r="BH89" i="43"/>
  <c r="BH90" i="43"/>
  <c r="BH91" i="43"/>
  <c r="BH92" i="43"/>
  <c r="BH93" i="43"/>
  <c r="BH94" i="43"/>
  <c r="BH95" i="43"/>
  <c r="BH96" i="43"/>
  <c r="BH97" i="43"/>
  <c r="BH98" i="43"/>
  <c r="BH99" i="43"/>
  <c r="BH100" i="43"/>
  <c r="BH101" i="43"/>
  <c r="BH102" i="43"/>
  <c r="BH103" i="43"/>
  <c r="BH104" i="43"/>
  <c r="BH105" i="43"/>
  <c r="BH106" i="43"/>
  <c r="BH107" i="43"/>
  <c r="BH108" i="43"/>
  <c r="BH109" i="43"/>
  <c r="BH110" i="43"/>
  <c r="BH111" i="43"/>
  <c r="BH112" i="43"/>
  <c r="BH113" i="43"/>
  <c r="BH114" i="43"/>
  <c r="BH115" i="43"/>
  <c r="BH116" i="43"/>
  <c r="BH117" i="43"/>
  <c r="BH118" i="43"/>
  <c r="BH119" i="43"/>
  <c r="BH120" i="43"/>
  <c r="BH121" i="43"/>
  <c r="BH122" i="43"/>
  <c r="BH123" i="43"/>
  <c r="BH124" i="43"/>
  <c r="BH125" i="43"/>
  <c r="BH126" i="43"/>
  <c r="BH127" i="43"/>
  <c r="BH128" i="43"/>
  <c r="BH129" i="43"/>
  <c r="BH130" i="43"/>
  <c r="BH131" i="43"/>
  <c r="BH132" i="43"/>
  <c r="BH133" i="43"/>
  <c r="BH134" i="43"/>
  <c r="BH135" i="43"/>
  <c r="BH136" i="43"/>
  <c r="BH137" i="43"/>
  <c r="BH138" i="43"/>
  <c r="BH139" i="43"/>
  <c r="BH140" i="43"/>
  <c r="BH141" i="43"/>
  <c r="BH142" i="43"/>
  <c r="BH143" i="43"/>
  <c r="BH144" i="43"/>
  <c r="BH145" i="43"/>
  <c r="BH146" i="43"/>
  <c r="BH147" i="43"/>
  <c r="BH148" i="43"/>
  <c r="BH149" i="43"/>
  <c r="BH150" i="43"/>
  <c r="BH151" i="43"/>
  <c r="BH152" i="43"/>
  <c r="BH153" i="43"/>
  <c r="BH154" i="43"/>
  <c r="BH155" i="43"/>
  <c r="BH156" i="43"/>
  <c r="BH157" i="43"/>
  <c r="BH158" i="43"/>
  <c r="BH159" i="43"/>
  <c r="BH160" i="43"/>
  <c r="BH161" i="43"/>
  <c r="BH162" i="43"/>
  <c r="BH163" i="43"/>
  <c r="BH164" i="43"/>
  <c r="BH165" i="43"/>
  <c r="BH166" i="43"/>
  <c r="BH167" i="43"/>
  <c r="BH168" i="43"/>
  <c r="BH169" i="43"/>
  <c r="BH170" i="43"/>
  <c r="BH171" i="43"/>
  <c r="BH172" i="43"/>
  <c r="BH173" i="43"/>
  <c r="BH174" i="43"/>
  <c r="BH175" i="43"/>
  <c r="BH176" i="43"/>
  <c r="BH177" i="43"/>
  <c r="BH178" i="43"/>
  <c r="BH179" i="43"/>
  <c r="BH180" i="43"/>
  <c r="BH181" i="43"/>
  <c r="BH182" i="43"/>
  <c r="BH183" i="43"/>
  <c r="BH184" i="43"/>
  <c r="BH185" i="43"/>
  <c r="BH186" i="43"/>
  <c r="BH187" i="43"/>
  <c r="BA76" i="2"/>
  <c r="BA75" i="2"/>
  <c r="BA74" i="2"/>
  <c r="BA73" i="2"/>
  <c r="BA72" i="2"/>
  <c r="BA71" i="2"/>
  <c r="BA70" i="2"/>
  <c r="BA69" i="2"/>
  <c r="BA68" i="2"/>
  <c r="BA67" i="2"/>
  <c r="BA66" i="2"/>
  <c r="BA65" i="2"/>
  <c r="BA64" i="2"/>
  <c r="BA63" i="2"/>
  <c r="BA62" i="2"/>
  <c r="BA61" i="2"/>
  <c r="BA60" i="2"/>
  <c r="BA59" i="2"/>
  <c r="BA58" i="2"/>
  <c r="BA57" i="2"/>
  <c r="BA56" i="2"/>
  <c r="BA55" i="2"/>
  <c r="BA54" i="2"/>
  <c r="BA53" i="2"/>
  <c r="BA52" i="2"/>
  <c r="BA51" i="2"/>
  <c r="BA50" i="2"/>
  <c r="BA49" i="2"/>
  <c r="BA48" i="2"/>
  <c r="BA47" i="2"/>
  <c r="BA46" i="2"/>
  <c r="BA45" i="2"/>
  <c r="BA44" i="2"/>
  <c r="BA43" i="2"/>
  <c r="BA42" i="2"/>
  <c r="BA41" i="2"/>
  <c r="BA40" i="2"/>
  <c r="BA39" i="2"/>
  <c r="BA38" i="2"/>
  <c r="BA37" i="2"/>
  <c r="BA36" i="2"/>
  <c r="BA35" i="2"/>
  <c r="BA34" i="2"/>
  <c r="BA33" i="2"/>
  <c r="BA32" i="2"/>
  <c r="BA31" i="2"/>
  <c r="BA30" i="2"/>
  <c r="BA29" i="2"/>
  <c r="BA28" i="2"/>
  <c r="BA27" i="2"/>
  <c r="BA26" i="2"/>
  <c r="BA25" i="2"/>
  <c r="BA24" i="2"/>
  <c r="BA23" i="2"/>
  <c r="BA22" i="2"/>
  <c r="BA21" i="2"/>
  <c r="BA20" i="2"/>
  <c r="BA19" i="2"/>
  <c r="BA18" i="2"/>
  <c r="BA17" i="2"/>
  <c r="BA16" i="2"/>
  <c r="BA15" i="2"/>
  <c r="BA14" i="2"/>
  <c r="BA13" i="2"/>
  <c r="BA12" i="2"/>
  <c r="BA11" i="2"/>
  <c r="BA10" i="2"/>
  <c r="BA9" i="2"/>
  <c r="BA8" i="2"/>
  <c r="BA7" i="2"/>
  <c r="BA6" i="2"/>
  <c r="BH63" i="43"/>
  <c r="BH64" i="43"/>
  <c r="BH65" i="43"/>
  <c r="BH66" i="43"/>
  <c r="BH67" i="43"/>
  <c r="BH68" i="43"/>
  <c r="BH69" i="43"/>
  <c r="BH70" i="43"/>
  <c r="BH71" i="43"/>
  <c r="BH72" i="43"/>
  <c r="BH73" i="43"/>
  <c r="BH74" i="43"/>
  <c r="BH75" i="43"/>
  <c r="BH76" i="43"/>
  <c r="BH77" i="43"/>
  <c r="BH33" i="43"/>
  <c r="BH34" i="43"/>
  <c r="BH35" i="43"/>
  <c r="BH36" i="43"/>
  <c r="BH37" i="43"/>
  <c r="BH38" i="43"/>
  <c r="BH39" i="43"/>
  <c r="BH40" i="43"/>
  <c r="BH41" i="43"/>
  <c r="BH42" i="43"/>
  <c r="BH43" i="43"/>
  <c r="BH44" i="43"/>
  <c r="BH45" i="43"/>
  <c r="BH46" i="43"/>
  <c r="BH47" i="43"/>
  <c r="BH48" i="43"/>
  <c r="BH49" i="43"/>
  <c r="BH50" i="43"/>
  <c r="BH51" i="43"/>
  <c r="BH52" i="43"/>
  <c r="BH53" i="43"/>
  <c r="BH54" i="43"/>
  <c r="BH55" i="43"/>
  <c r="BH56" i="43"/>
  <c r="BH57" i="43"/>
  <c r="BH58" i="43"/>
  <c r="BH59" i="43"/>
  <c r="BH60" i="43"/>
  <c r="BH61" i="43"/>
  <c r="BH62" i="43"/>
  <c r="BH32" i="43"/>
  <c r="BH31" i="43"/>
  <c r="BH30" i="43"/>
  <c r="BH29" i="43"/>
  <c r="BH28" i="43"/>
  <c r="BH27" i="43"/>
  <c r="BH26" i="43"/>
  <c r="BH25" i="43"/>
  <c r="BH24" i="43"/>
  <c r="BH23" i="43"/>
  <c r="BH22" i="43"/>
  <c r="BH21" i="43"/>
  <c r="BH20" i="43"/>
  <c r="BH19" i="43"/>
  <c r="BH18" i="43"/>
  <c r="BH17" i="43"/>
  <c r="BH16" i="43"/>
  <c r="BH15" i="43"/>
  <c r="BH14" i="43"/>
  <c r="BH13" i="43"/>
  <c r="BH12" i="43"/>
  <c r="BH11" i="43"/>
  <c r="BH10" i="43"/>
  <c r="BH9" i="43"/>
  <c r="BH8" i="43"/>
  <c r="BH7" i="43"/>
  <c r="BH6" i="43"/>
  <c r="BH5" i="43"/>
  <c r="BH4" i="43"/>
  <c r="BH3" i="43"/>
  <c r="AV297" i="43"/>
  <c r="AV296" i="43"/>
  <c r="AV295" i="43"/>
  <c r="AV294" i="43"/>
  <c r="AV293" i="43"/>
  <c r="AV292" i="43"/>
  <c r="AV291" i="43"/>
  <c r="AV290" i="43"/>
  <c r="AV289" i="43"/>
  <c r="AV288" i="43"/>
  <c r="AV287" i="43"/>
  <c r="AV286" i="43"/>
  <c r="AV285" i="43"/>
  <c r="AV284" i="43"/>
  <c r="AV283" i="43"/>
  <c r="AV282" i="43"/>
  <c r="AV281" i="43"/>
  <c r="AV280" i="43"/>
  <c r="AV279" i="43"/>
  <c r="AV278" i="43"/>
  <c r="AV277" i="43"/>
  <c r="AV276" i="43"/>
  <c r="AV275" i="43"/>
  <c r="AV274" i="43"/>
  <c r="AV273" i="43"/>
  <c r="AV272" i="43"/>
  <c r="AV271" i="43"/>
  <c r="AV270" i="43"/>
  <c r="AV269" i="43"/>
  <c r="AV268" i="43"/>
  <c r="AV267" i="43"/>
  <c r="AV266" i="43"/>
  <c r="AV265" i="43"/>
  <c r="AV264" i="43"/>
  <c r="AV263" i="43"/>
  <c r="AV262" i="43"/>
  <c r="AV261" i="43"/>
  <c r="AV260" i="43"/>
  <c r="AV259" i="43"/>
  <c r="AV258" i="43"/>
  <c r="AV257" i="43"/>
  <c r="AV256" i="43"/>
  <c r="AV255" i="43"/>
  <c r="AV254" i="43"/>
  <c r="AV253" i="43"/>
  <c r="AV252" i="43"/>
  <c r="AV251" i="43"/>
  <c r="AV250" i="43"/>
  <c r="AV249" i="43"/>
  <c r="AV248" i="43"/>
  <c r="AV247" i="43"/>
  <c r="AV246" i="43"/>
  <c r="AV245" i="43"/>
  <c r="AV244" i="43"/>
  <c r="AV243" i="43"/>
  <c r="AV242" i="43"/>
  <c r="AV241" i="43"/>
  <c r="AV240" i="43"/>
  <c r="AV239" i="43"/>
  <c r="AV238" i="43"/>
  <c r="AV237" i="43"/>
  <c r="AV236" i="43"/>
  <c r="AV235" i="43"/>
  <c r="AV234" i="43"/>
  <c r="AV233" i="43"/>
  <c r="AV232" i="43"/>
  <c r="AV231" i="43"/>
  <c r="AV230" i="43"/>
  <c r="AV229" i="43"/>
  <c r="AV228" i="43"/>
  <c r="AV227" i="43"/>
  <c r="AV226" i="43"/>
  <c r="AV225" i="43"/>
  <c r="AV224" i="43"/>
  <c r="AV223" i="43"/>
  <c r="AV222" i="43"/>
  <c r="AV221" i="43"/>
  <c r="AV220" i="43"/>
  <c r="AV219" i="43"/>
  <c r="AV218" i="43"/>
  <c r="AV217" i="43"/>
  <c r="AV216" i="43"/>
  <c r="AV215" i="43"/>
  <c r="AV214" i="43"/>
  <c r="AV213" i="43"/>
  <c r="AV212" i="43"/>
  <c r="AV211" i="43"/>
  <c r="AV210" i="43"/>
  <c r="AV209" i="43"/>
  <c r="AV208" i="43"/>
  <c r="AV207" i="43"/>
  <c r="AV206" i="43"/>
  <c r="AV205" i="43"/>
  <c r="AV204" i="43"/>
  <c r="AV203" i="43"/>
  <c r="AV202" i="43"/>
  <c r="AV201" i="43"/>
  <c r="AV200" i="43"/>
  <c r="AV199" i="43"/>
  <c r="AV198" i="43"/>
  <c r="AV197" i="43"/>
  <c r="AV196" i="43"/>
  <c r="AV195" i="43"/>
  <c r="AV194" i="43"/>
  <c r="AV193" i="43"/>
  <c r="AV192" i="43"/>
  <c r="AV191" i="43"/>
  <c r="AV190" i="43"/>
  <c r="AV189" i="43"/>
  <c r="AV188" i="43"/>
  <c r="AV187" i="43"/>
  <c r="AV186" i="43"/>
  <c r="AV185" i="43"/>
  <c r="AV184" i="43"/>
  <c r="AV183" i="43"/>
  <c r="AV182" i="43"/>
  <c r="AV181" i="43"/>
  <c r="AV180" i="43"/>
  <c r="AV179" i="43"/>
  <c r="AV178" i="43"/>
  <c r="AV177" i="43"/>
  <c r="AV176" i="43"/>
  <c r="AV175" i="43"/>
  <c r="AV174" i="43"/>
  <c r="AV173" i="43"/>
  <c r="AV172" i="43"/>
  <c r="AV171" i="43"/>
  <c r="AV170" i="43"/>
  <c r="AV169" i="43"/>
  <c r="AV168" i="43"/>
  <c r="AV167" i="43"/>
  <c r="AV166" i="43"/>
  <c r="AV165" i="43"/>
  <c r="AV164" i="43"/>
  <c r="AV163" i="43"/>
  <c r="AV162" i="43"/>
  <c r="AV161" i="43"/>
  <c r="AV160" i="43"/>
  <c r="AV159" i="43"/>
  <c r="AV158" i="43"/>
  <c r="AV157" i="43"/>
  <c r="AV156" i="43"/>
  <c r="AV155" i="43"/>
  <c r="AV154" i="43"/>
  <c r="AV153" i="43"/>
  <c r="AV152" i="43"/>
  <c r="AV151" i="43"/>
  <c r="AV150" i="43"/>
  <c r="AV149" i="43"/>
  <c r="AV148" i="43"/>
  <c r="AV147" i="43"/>
  <c r="AV146" i="43"/>
  <c r="AV145" i="43"/>
  <c r="AV144" i="43"/>
  <c r="AV143" i="43"/>
  <c r="AV142" i="43"/>
  <c r="AV141" i="43"/>
  <c r="AV140" i="43"/>
  <c r="AV139" i="43"/>
  <c r="AV138" i="43"/>
  <c r="AV137" i="43"/>
  <c r="AV136" i="43"/>
  <c r="AV135" i="43"/>
  <c r="AV134" i="43"/>
  <c r="AV133" i="43"/>
  <c r="AV132" i="43"/>
  <c r="AV131" i="43"/>
  <c r="AV130" i="43"/>
  <c r="AV129" i="43"/>
  <c r="AV128" i="43"/>
  <c r="AV127" i="43"/>
  <c r="AV126" i="43"/>
  <c r="AV125" i="43"/>
  <c r="AV124" i="43"/>
  <c r="AV123" i="43"/>
  <c r="AV122" i="43"/>
  <c r="AV121" i="43"/>
  <c r="AV120" i="43"/>
  <c r="AV119" i="43"/>
  <c r="AV118" i="43"/>
  <c r="AV117" i="43"/>
  <c r="AV116" i="43"/>
  <c r="AV115" i="43"/>
  <c r="AV114" i="43"/>
  <c r="AV113" i="43"/>
  <c r="AV112" i="43"/>
  <c r="AV111" i="43"/>
  <c r="AV110" i="43"/>
  <c r="AV109" i="43"/>
  <c r="AV108" i="43"/>
  <c r="AV107" i="43"/>
  <c r="AV106" i="43"/>
  <c r="AV105" i="43"/>
  <c r="AV104" i="43"/>
  <c r="AV103" i="43"/>
  <c r="AV102" i="43"/>
  <c r="AV101" i="43"/>
  <c r="AV100" i="43"/>
  <c r="AV99" i="43"/>
  <c r="AV98" i="43"/>
  <c r="AV97" i="43"/>
  <c r="AV96" i="43"/>
  <c r="AV95" i="43"/>
  <c r="AV94" i="43"/>
  <c r="AV93" i="43"/>
  <c r="AV92" i="43"/>
  <c r="AV91" i="43"/>
  <c r="AV90" i="43"/>
  <c r="AV89" i="43"/>
  <c r="AV88" i="43"/>
  <c r="AV87" i="43"/>
  <c r="AV86" i="43"/>
  <c r="AV85" i="43"/>
  <c r="AV84" i="43"/>
  <c r="AV83" i="43"/>
  <c r="AV82" i="43"/>
  <c r="AV81" i="43"/>
  <c r="AV80" i="43"/>
  <c r="AV79" i="43"/>
  <c r="AV78" i="43"/>
  <c r="AV77" i="43"/>
  <c r="AV76" i="43"/>
  <c r="AV75" i="43"/>
  <c r="AV74" i="43"/>
  <c r="AV73" i="43"/>
  <c r="AV72" i="43"/>
  <c r="AV71" i="43"/>
  <c r="AV70" i="43"/>
  <c r="AV69" i="43"/>
  <c r="AV68" i="43"/>
  <c r="AV67" i="43"/>
  <c r="AV66" i="43"/>
  <c r="AV65" i="43"/>
  <c r="AV64" i="43"/>
  <c r="AV63" i="43"/>
  <c r="AV62" i="43"/>
  <c r="AV61" i="43"/>
  <c r="AV60" i="43"/>
  <c r="AV59" i="43"/>
  <c r="AV58" i="43"/>
  <c r="AV57" i="43"/>
  <c r="AV56" i="43"/>
  <c r="AV55" i="43"/>
  <c r="AV54" i="43"/>
  <c r="AV53" i="43"/>
  <c r="AV52" i="43"/>
  <c r="AV51" i="43"/>
  <c r="AV50" i="43"/>
  <c r="AV49" i="43"/>
  <c r="AV48" i="43"/>
  <c r="AV47" i="43"/>
  <c r="AV46" i="43"/>
  <c r="AV45" i="43"/>
  <c r="AV44" i="43"/>
  <c r="AV43" i="43"/>
  <c r="AV42" i="43"/>
  <c r="AV41" i="43"/>
  <c r="AV40" i="43"/>
  <c r="AV39" i="43"/>
  <c r="AV38" i="43"/>
  <c r="AV37" i="43"/>
  <c r="AV36" i="43"/>
  <c r="AV35" i="43"/>
  <c r="AV34" i="43"/>
  <c r="AV33" i="43"/>
  <c r="AV4" i="43"/>
  <c r="AV5" i="43"/>
  <c r="AV6" i="43"/>
  <c r="AV7" i="43"/>
  <c r="AV8" i="43"/>
  <c r="AV9" i="43"/>
  <c r="AV10" i="43"/>
  <c r="AV11" i="43"/>
  <c r="AV12" i="43"/>
  <c r="AV13" i="43"/>
  <c r="AV14" i="43"/>
  <c r="AV15" i="43"/>
  <c r="AV16" i="43"/>
  <c r="AV17" i="43"/>
  <c r="AV18" i="43"/>
  <c r="AV19" i="43"/>
  <c r="AV20" i="43"/>
  <c r="AV21" i="43"/>
  <c r="AV22" i="43"/>
  <c r="AV23" i="43"/>
  <c r="AV24" i="43"/>
  <c r="AV25" i="43"/>
  <c r="AV26" i="43"/>
  <c r="AV27" i="43"/>
  <c r="AV28" i="43"/>
  <c r="AV29" i="43"/>
  <c r="AV30" i="43"/>
  <c r="AV31" i="43"/>
  <c r="AV32" i="43"/>
  <c r="AV3" i="43"/>
  <c r="AJ248" i="43"/>
  <c r="AJ249" i="43"/>
  <c r="AJ250" i="43"/>
  <c r="AJ251" i="43"/>
  <c r="AJ252" i="43"/>
  <c r="AJ253" i="43"/>
  <c r="AJ254" i="43"/>
  <c r="AJ255" i="43"/>
  <c r="AJ256" i="43"/>
  <c r="AJ257" i="43"/>
  <c r="AJ258" i="43"/>
  <c r="AJ259" i="43"/>
  <c r="AJ260" i="43"/>
  <c r="AJ261" i="43"/>
  <c r="AJ262" i="43"/>
  <c r="AJ263" i="43"/>
  <c r="AJ264" i="43"/>
  <c r="AJ265" i="43"/>
  <c r="AJ266" i="43"/>
  <c r="AJ267" i="43"/>
  <c r="AJ268" i="43"/>
  <c r="AJ269" i="43"/>
  <c r="AJ270" i="43"/>
  <c r="AJ271" i="43"/>
  <c r="AJ272" i="43"/>
  <c r="AJ273" i="43"/>
  <c r="AJ274" i="43"/>
  <c r="AJ275" i="43"/>
  <c r="AJ276" i="43"/>
  <c r="AJ277" i="43"/>
  <c r="AJ278" i="43"/>
  <c r="AJ279" i="43"/>
  <c r="AJ280" i="43"/>
  <c r="AJ281" i="43"/>
  <c r="AJ282" i="43"/>
  <c r="AJ283" i="43"/>
  <c r="AJ284" i="43"/>
  <c r="AJ285" i="43"/>
  <c r="AJ286" i="43"/>
  <c r="AJ287" i="43"/>
  <c r="AJ288" i="43"/>
  <c r="AJ289" i="43"/>
  <c r="AJ290" i="43"/>
  <c r="AJ291" i="43"/>
  <c r="AJ292" i="43"/>
  <c r="AJ293" i="43"/>
  <c r="AJ294" i="43"/>
  <c r="AJ295" i="43"/>
  <c r="AJ296" i="43"/>
  <c r="AJ297" i="43"/>
  <c r="AJ247" i="43"/>
  <c r="AJ246" i="43"/>
  <c r="AJ245" i="43"/>
  <c r="AJ244" i="43"/>
  <c r="AJ243" i="43"/>
  <c r="AJ242" i="43"/>
  <c r="AJ241" i="43"/>
  <c r="AJ240" i="43"/>
  <c r="AJ239" i="43"/>
  <c r="AJ238" i="43"/>
  <c r="AJ237" i="43"/>
  <c r="AJ236" i="43"/>
  <c r="AJ235" i="43"/>
  <c r="AJ234" i="43"/>
  <c r="AJ233" i="43"/>
  <c r="AJ232" i="43"/>
  <c r="AJ231" i="43"/>
  <c r="AJ230" i="43"/>
  <c r="AJ229" i="43"/>
  <c r="AJ228" i="43"/>
  <c r="AJ227" i="43"/>
  <c r="AJ226" i="43"/>
  <c r="AJ225" i="43"/>
  <c r="AJ224" i="43"/>
  <c r="AJ223" i="43"/>
  <c r="AJ222" i="43"/>
  <c r="AJ221" i="43"/>
  <c r="AJ220" i="43"/>
  <c r="AJ219" i="43"/>
  <c r="AJ218" i="43"/>
  <c r="AJ217" i="43"/>
  <c r="AJ216" i="43"/>
  <c r="AJ215" i="43"/>
  <c r="AJ214" i="43"/>
  <c r="AJ213" i="43"/>
  <c r="AJ212" i="43"/>
  <c r="AJ211" i="43"/>
  <c r="AJ210" i="43"/>
  <c r="AJ209" i="43"/>
  <c r="AJ208" i="43"/>
  <c r="AJ207" i="43"/>
  <c r="AJ206" i="43"/>
  <c r="AJ205" i="43"/>
  <c r="AJ204" i="43"/>
  <c r="AJ203" i="43"/>
  <c r="AJ202" i="43"/>
  <c r="AJ201" i="43"/>
  <c r="AJ200" i="43"/>
  <c r="AJ199" i="43"/>
  <c r="AJ198" i="43"/>
  <c r="AJ197" i="43"/>
  <c r="AJ196" i="43"/>
  <c r="AJ195" i="43"/>
  <c r="AJ194" i="43"/>
  <c r="AJ193" i="43"/>
  <c r="AJ163" i="43"/>
  <c r="AJ164" i="43"/>
  <c r="AJ165" i="43"/>
  <c r="AJ166" i="43"/>
  <c r="AJ167" i="43"/>
  <c r="AJ168" i="43"/>
  <c r="AJ169" i="43"/>
  <c r="AJ170" i="43"/>
  <c r="AJ171" i="43"/>
  <c r="AJ172" i="43"/>
  <c r="AJ173" i="43"/>
  <c r="AJ174" i="43"/>
  <c r="AJ175" i="43"/>
  <c r="AJ176" i="43"/>
  <c r="AJ177" i="43"/>
  <c r="AJ178" i="43"/>
  <c r="AJ179" i="43"/>
  <c r="AJ180" i="43"/>
  <c r="AJ181" i="43"/>
  <c r="AJ182" i="43"/>
  <c r="AJ183" i="43"/>
  <c r="AJ184" i="43"/>
  <c r="AJ185" i="43"/>
  <c r="AJ186" i="43"/>
  <c r="AJ187" i="43"/>
  <c r="AJ188" i="43"/>
  <c r="AJ189" i="43"/>
  <c r="AJ190" i="43"/>
  <c r="AJ191" i="43"/>
  <c r="AJ192" i="43"/>
  <c r="AM76" i="2"/>
  <c r="AM75" i="2"/>
  <c r="AM74" i="2"/>
  <c r="AM73" i="2"/>
  <c r="AM72" i="2"/>
  <c r="AM71" i="2"/>
  <c r="AM70" i="2"/>
  <c r="AM69" i="2"/>
  <c r="AM68" i="2"/>
  <c r="AM67" i="2"/>
  <c r="AM66" i="2"/>
  <c r="AM65" i="2"/>
  <c r="AM64" i="2"/>
  <c r="AM63" i="2"/>
  <c r="AM62" i="2"/>
  <c r="AM61" i="2"/>
  <c r="AM60" i="2"/>
  <c r="AM59" i="2"/>
  <c r="AM58" i="2"/>
  <c r="AM57" i="2"/>
  <c r="AM56" i="2"/>
  <c r="AM55" i="2"/>
  <c r="AM54" i="2"/>
  <c r="AM53" i="2"/>
  <c r="AM52" i="2"/>
  <c r="AM51" i="2"/>
  <c r="AM50" i="2"/>
  <c r="AM49" i="2"/>
  <c r="AM48" i="2"/>
  <c r="AM47" i="2"/>
  <c r="AM46" i="2"/>
  <c r="AM45" i="2"/>
  <c r="AM44" i="2"/>
  <c r="AM43" i="2"/>
  <c r="AM42" i="2"/>
  <c r="AM41" i="2"/>
  <c r="AM40" i="2"/>
  <c r="AM39" i="2"/>
  <c r="AM38" i="2"/>
  <c r="AM37" i="2"/>
  <c r="AM36" i="2"/>
  <c r="AM35" i="2"/>
  <c r="AM34" i="2"/>
  <c r="AM33" i="2"/>
  <c r="AM32" i="2"/>
  <c r="AM31" i="2"/>
  <c r="AM30" i="2"/>
  <c r="AM29" i="2"/>
  <c r="AM28" i="2"/>
  <c r="AM27" i="2"/>
  <c r="AM26" i="2"/>
  <c r="AM25" i="2"/>
  <c r="AM24" i="2"/>
  <c r="AM23" i="2"/>
  <c r="AM22" i="2"/>
  <c r="AM21" i="2"/>
  <c r="AM20" i="2"/>
  <c r="AM19" i="2"/>
  <c r="AM18" i="2"/>
  <c r="AM17" i="2"/>
  <c r="AM16" i="2"/>
  <c r="AM15" i="2"/>
  <c r="AM14" i="2"/>
  <c r="AM13" i="2"/>
  <c r="AM12" i="2"/>
  <c r="AM11" i="2"/>
  <c r="AM10" i="2"/>
  <c r="AM9" i="2"/>
  <c r="AM8" i="2"/>
  <c r="AM7" i="2"/>
  <c r="AM6" i="2"/>
  <c r="AL76" i="2"/>
  <c r="AL75" i="2"/>
  <c r="AL74" i="2"/>
  <c r="AL73" i="2"/>
  <c r="AL72" i="2"/>
  <c r="AL71" i="2"/>
  <c r="AL70" i="2"/>
  <c r="AL69" i="2"/>
  <c r="AL68" i="2"/>
  <c r="AL67" i="2"/>
  <c r="AL66" i="2"/>
  <c r="AL65" i="2"/>
  <c r="AL64" i="2"/>
  <c r="AL63" i="2"/>
  <c r="AL62" i="2"/>
  <c r="AL61" i="2"/>
  <c r="AL60" i="2"/>
  <c r="AL59" i="2"/>
  <c r="AL58" i="2"/>
  <c r="AL57" i="2"/>
  <c r="AL56" i="2"/>
  <c r="AL55" i="2"/>
  <c r="AL54" i="2"/>
  <c r="AL53" i="2"/>
  <c r="AL52" i="2"/>
  <c r="AL51" i="2"/>
  <c r="AL50" i="2"/>
  <c r="AL49" i="2"/>
  <c r="AL48" i="2"/>
  <c r="AL47" i="2"/>
  <c r="AL46" i="2"/>
  <c r="AL45" i="2"/>
  <c r="AL44" i="2"/>
  <c r="AL43" i="2"/>
  <c r="AL42" i="2"/>
  <c r="AL41" i="2"/>
  <c r="AL40" i="2"/>
  <c r="AL39" i="2"/>
  <c r="AL38" i="2"/>
  <c r="AL37" i="2"/>
  <c r="AL36" i="2"/>
  <c r="AL35" i="2"/>
  <c r="AL34" i="2"/>
  <c r="AL33" i="2"/>
  <c r="AL32" i="2"/>
  <c r="AL31" i="2"/>
  <c r="AL30" i="2"/>
  <c r="AL29" i="2"/>
  <c r="AL28" i="2"/>
  <c r="AL27" i="2"/>
  <c r="AL26" i="2"/>
  <c r="AL25" i="2"/>
  <c r="AL24" i="2"/>
  <c r="AL23" i="2"/>
  <c r="AL22" i="2"/>
  <c r="AL21" i="2"/>
  <c r="AL20" i="2"/>
  <c r="AL19" i="2"/>
  <c r="AL18" i="2"/>
  <c r="AL17" i="2"/>
  <c r="AL16" i="2"/>
  <c r="AL15" i="2"/>
  <c r="AL14" i="2"/>
  <c r="AL13" i="2"/>
  <c r="AL12" i="2"/>
  <c r="AL11" i="2"/>
  <c r="AL10" i="2"/>
  <c r="AL9" i="2"/>
  <c r="AL8" i="2"/>
  <c r="AL7" i="2"/>
  <c r="AL6" i="2"/>
  <c r="AK76" i="2"/>
  <c r="AK75" i="2"/>
  <c r="AK74" i="2"/>
  <c r="AK73" i="2"/>
  <c r="AK72" i="2"/>
  <c r="AK71" i="2"/>
  <c r="AK70" i="2"/>
  <c r="AK69" i="2"/>
  <c r="AK68" i="2"/>
  <c r="AK67" i="2"/>
  <c r="AK66" i="2"/>
  <c r="AK65" i="2"/>
  <c r="AK64" i="2"/>
  <c r="AK63" i="2"/>
  <c r="AK62" i="2"/>
  <c r="AK61" i="2"/>
  <c r="AK60" i="2"/>
  <c r="AK59" i="2"/>
  <c r="AK58" i="2"/>
  <c r="AK57" i="2"/>
  <c r="AK56" i="2"/>
  <c r="AK55" i="2"/>
  <c r="AK54" i="2"/>
  <c r="AK53" i="2"/>
  <c r="AK52" i="2"/>
  <c r="AK51" i="2"/>
  <c r="AK50" i="2"/>
  <c r="AK49" i="2"/>
  <c r="AK48" i="2"/>
  <c r="AK47" i="2"/>
  <c r="AK46" i="2"/>
  <c r="AK45" i="2"/>
  <c r="AK44" i="2"/>
  <c r="AK43" i="2"/>
  <c r="AK42" i="2"/>
  <c r="AK41" i="2"/>
  <c r="AK40" i="2"/>
  <c r="AK39" i="2"/>
  <c r="AK38" i="2"/>
  <c r="AK37" i="2"/>
  <c r="AK36" i="2"/>
  <c r="AK35" i="2"/>
  <c r="AK34" i="2"/>
  <c r="AK33" i="2"/>
  <c r="AK32" i="2"/>
  <c r="AK31" i="2"/>
  <c r="AK30" i="2"/>
  <c r="AK29" i="2"/>
  <c r="AK28" i="2"/>
  <c r="AK27" i="2"/>
  <c r="AK26" i="2"/>
  <c r="AK25" i="2"/>
  <c r="AK24" i="2"/>
  <c r="AK23" i="2"/>
  <c r="AK22" i="2"/>
  <c r="AK21" i="2"/>
  <c r="AK20" i="2"/>
  <c r="AK19" i="2"/>
  <c r="AK18" i="2"/>
  <c r="AK17" i="2"/>
  <c r="AK16" i="2"/>
  <c r="AK15" i="2"/>
  <c r="AK14" i="2"/>
  <c r="AK13" i="2"/>
  <c r="AK12" i="2"/>
  <c r="AK11" i="2"/>
  <c r="AK10" i="2"/>
  <c r="AK9" i="2"/>
  <c r="AK8" i="2"/>
  <c r="AK7" i="2"/>
  <c r="AK6" i="2"/>
  <c r="AJ76" i="2"/>
  <c r="AJ75" i="2"/>
  <c r="AJ74" i="2"/>
  <c r="AJ73" i="2"/>
  <c r="AJ72" i="2"/>
  <c r="AJ71" i="2"/>
  <c r="AJ70" i="2"/>
  <c r="AJ69" i="2"/>
  <c r="AJ68" i="2"/>
  <c r="AJ67" i="2"/>
  <c r="AJ66" i="2"/>
  <c r="AJ65" i="2"/>
  <c r="AJ64" i="2"/>
  <c r="AJ63" i="2"/>
  <c r="AJ62" i="2"/>
  <c r="AJ61" i="2"/>
  <c r="AJ60" i="2"/>
  <c r="AJ59" i="2"/>
  <c r="AJ58" i="2"/>
  <c r="AJ57" i="2"/>
  <c r="AJ56" i="2"/>
  <c r="AJ55" i="2"/>
  <c r="AJ54" i="2"/>
  <c r="AJ53" i="2"/>
  <c r="AJ52" i="2"/>
  <c r="AJ51" i="2"/>
  <c r="AJ50" i="2"/>
  <c r="AJ49" i="2"/>
  <c r="AJ48" i="2"/>
  <c r="AJ47" i="2"/>
  <c r="AJ46" i="2"/>
  <c r="AJ45" i="2"/>
  <c r="AJ44" i="2"/>
  <c r="AJ43" i="2"/>
  <c r="AJ42" i="2"/>
  <c r="AJ41" i="2"/>
  <c r="AJ40" i="2"/>
  <c r="AJ39" i="2"/>
  <c r="AJ38" i="2"/>
  <c r="AJ37" i="2"/>
  <c r="AJ36" i="2"/>
  <c r="AJ35" i="2"/>
  <c r="AJ34" i="2"/>
  <c r="AJ33" i="2"/>
  <c r="AJ32" i="2"/>
  <c r="AJ31" i="2"/>
  <c r="AJ30" i="2"/>
  <c r="AJ29" i="2"/>
  <c r="AJ28" i="2"/>
  <c r="AJ27" i="2"/>
  <c r="AJ26" i="2"/>
  <c r="AJ25" i="2"/>
  <c r="AJ24" i="2"/>
  <c r="AJ23" i="2"/>
  <c r="AJ22" i="2"/>
  <c r="AJ21" i="2"/>
  <c r="AJ20" i="2"/>
  <c r="AJ19" i="2"/>
  <c r="AJ18" i="2"/>
  <c r="AJ17" i="2"/>
  <c r="AJ16" i="2"/>
  <c r="AJ15" i="2"/>
  <c r="AJ14" i="2"/>
  <c r="AJ13" i="2"/>
  <c r="AJ12" i="2"/>
  <c r="AJ11" i="2"/>
  <c r="AJ10" i="2"/>
  <c r="AJ9" i="2"/>
  <c r="AJ8" i="2"/>
  <c r="AJ7" i="2"/>
  <c r="AJ6" i="2"/>
  <c r="AT4" i="2"/>
  <c r="AN4" i="2"/>
  <c r="AJ162" i="43"/>
  <c r="AJ161" i="43"/>
  <c r="AJ160" i="43"/>
  <c r="AJ159" i="43"/>
  <c r="AJ158" i="43"/>
  <c r="AJ157" i="43"/>
  <c r="AJ156" i="43"/>
  <c r="AJ155" i="43"/>
  <c r="AJ154" i="43"/>
  <c r="AJ153" i="43"/>
  <c r="AJ152" i="43"/>
  <c r="AJ151" i="43"/>
  <c r="AJ150" i="43"/>
  <c r="AJ149" i="43"/>
  <c r="AJ148" i="43"/>
  <c r="AJ147" i="43"/>
  <c r="AJ146" i="43"/>
  <c r="AJ145" i="43"/>
  <c r="AJ144" i="43"/>
  <c r="AJ143" i="43"/>
  <c r="AJ142" i="43"/>
  <c r="AJ141" i="43"/>
  <c r="AJ140" i="43"/>
  <c r="AJ139" i="43"/>
  <c r="AJ138" i="43"/>
  <c r="AJ137" i="43"/>
  <c r="AJ136" i="43"/>
  <c r="AJ135" i="43"/>
  <c r="AJ134" i="43"/>
  <c r="AJ133" i="43"/>
  <c r="AJ132" i="43"/>
  <c r="AJ131" i="43"/>
  <c r="AJ130" i="43"/>
  <c r="AJ129" i="43"/>
  <c r="AJ128" i="43"/>
  <c r="AJ127" i="43"/>
  <c r="AJ126" i="43"/>
  <c r="AJ125" i="43"/>
  <c r="AJ124" i="43"/>
  <c r="AJ123" i="43"/>
  <c r="AJ122" i="43"/>
  <c r="AJ121" i="43"/>
  <c r="AJ120" i="43"/>
  <c r="AJ119" i="43"/>
  <c r="AJ118" i="43"/>
  <c r="AJ117" i="43"/>
  <c r="AJ116" i="43"/>
  <c r="AJ115" i="43"/>
  <c r="AJ114" i="43"/>
  <c r="AJ113" i="43"/>
  <c r="AJ112" i="43"/>
  <c r="AJ111" i="43"/>
  <c r="AJ110" i="43"/>
  <c r="AJ109" i="43"/>
  <c r="AJ108" i="43"/>
  <c r="AJ107" i="43"/>
  <c r="AJ106" i="43"/>
  <c r="AJ105" i="43"/>
  <c r="AJ104" i="43"/>
  <c r="AJ103" i="43"/>
  <c r="AJ102" i="43"/>
  <c r="AJ101" i="43"/>
  <c r="AJ100" i="43"/>
  <c r="AJ99" i="43"/>
  <c r="AJ4" i="43"/>
  <c r="AJ5" i="43"/>
  <c r="AJ6" i="43"/>
  <c r="AJ7" i="43"/>
  <c r="AJ8" i="43"/>
  <c r="AJ9" i="43"/>
  <c r="AJ10" i="43"/>
  <c r="AJ11" i="43"/>
  <c r="AJ12" i="43"/>
  <c r="AJ13" i="43"/>
  <c r="AJ14" i="43"/>
  <c r="AJ15" i="43"/>
  <c r="AJ16" i="43"/>
  <c r="AJ17" i="43"/>
  <c r="AJ18" i="43"/>
  <c r="AJ19" i="43"/>
  <c r="AJ20" i="43"/>
  <c r="AJ21" i="43"/>
  <c r="AJ22" i="43"/>
  <c r="AJ23" i="43"/>
  <c r="AJ24" i="43"/>
  <c r="AJ25" i="43"/>
  <c r="AJ26" i="43"/>
  <c r="AJ27" i="43"/>
  <c r="AJ28" i="43"/>
  <c r="AJ29" i="43"/>
  <c r="AJ30" i="43"/>
  <c r="AJ31" i="43"/>
  <c r="AJ32" i="43"/>
  <c r="AJ33" i="43"/>
  <c r="AJ34" i="43"/>
  <c r="AJ35" i="43"/>
  <c r="AJ36" i="43"/>
  <c r="AJ37" i="43"/>
  <c r="AJ38" i="43"/>
  <c r="AJ39" i="43"/>
  <c r="AJ40" i="43"/>
  <c r="AJ41" i="43"/>
  <c r="AJ42" i="43"/>
  <c r="AJ43" i="43"/>
  <c r="AJ44" i="43"/>
  <c r="AJ45" i="43"/>
  <c r="AJ46" i="43"/>
  <c r="AJ47" i="43"/>
  <c r="AJ48" i="43"/>
  <c r="AJ49" i="43"/>
  <c r="AJ50" i="43"/>
  <c r="AJ51" i="43"/>
  <c r="AJ52" i="43"/>
  <c r="AJ53" i="43"/>
  <c r="AJ54" i="43"/>
  <c r="AJ55" i="43"/>
  <c r="AJ56" i="43"/>
  <c r="AJ57" i="43"/>
  <c r="AJ58" i="43"/>
  <c r="AJ59" i="43"/>
  <c r="AJ60" i="43"/>
  <c r="AJ61" i="43"/>
  <c r="AJ62" i="43"/>
  <c r="AJ63" i="43"/>
  <c r="AJ64" i="43"/>
  <c r="AJ65" i="43"/>
  <c r="AJ66" i="43"/>
  <c r="AJ67" i="43"/>
  <c r="AJ68" i="43"/>
  <c r="AJ69" i="43"/>
  <c r="AJ70" i="43"/>
  <c r="AJ71" i="43"/>
  <c r="AJ72" i="43"/>
  <c r="AJ73" i="43"/>
  <c r="AJ74" i="43"/>
  <c r="AJ75" i="43"/>
  <c r="AJ76" i="43"/>
  <c r="AJ77" i="43"/>
  <c r="AJ78" i="43"/>
  <c r="AJ79" i="43"/>
  <c r="AJ80" i="43"/>
  <c r="AJ81" i="43"/>
  <c r="AJ82" i="43"/>
  <c r="AJ83" i="43"/>
  <c r="AJ84" i="43"/>
  <c r="AJ85" i="43"/>
  <c r="AJ86" i="43"/>
  <c r="AJ87" i="43"/>
  <c r="AJ88" i="43"/>
  <c r="AJ89" i="43"/>
  <c r="AJ90" i="43"/>
  <c r="AJ91" i="43"/>
  <c r="AJ92" i="43"/>
  <c r="AJ93" i="43"/>
  <c r="AJ94" i="43"/>
  <c r="AJ95" i="43"/>
  <c r="AJ96" i="43"/>
  <c r="AJ97" i="43"/>
  <c r="AJ98" i="43"/>
  <c r="AJ3" i="43"/>
  <c r="X298" i="43"/>
  <c r="X297" i="43"/>
  <c r="X296" i="43"/>
  <c r="X295" i="43"/>
  <c r="X294" i="43"/>
  <c r="X293" i="43"/>
  <c r="X292" i="43"/>
  <c r="X291" i="43"/>
  <c r="X290" i="43"/>
  <c r="X289" i="43"/>
  <c r="X288" i="43"/>
  <c r="X287" i="43"/>
  <c r="X231" i="43"/>
  <c r="X232" i="43"/>
  <c r="X233" i="43"/>
  <c r="X234" i="43"/>
  <c r="X235" i="43"/>
  <c r="X236" i="43"/>
  <c r="X237" i="43"/>
  <c r="X238" i="43"/>
  <c r="X239" i="43"/>
  <c r="X240" i="43"/>
  <c r="X241" i="43"/>
  <c r="X242" i="43"/>
  <c r="X243" i="43"/>
  <c r="X244" i="43"/>
  <c r="X245" i="43"/>
  <c r="X246" i="43"/>
  <c r="X247" i="43"/>
  <c r="X248" i="43"/>
  <c r="X249" i="43"/>
  <c r="X250" i="43"/>
  <c r="X251" i="43"/>
  <c r="X252" i="43"/>
  <c r="X253" i="43"/>
  <c r="X254" i="43"/>
  <c r="X255" i="43"/>
  <c r="X256" i="43"/>
  <c r="X257" i="43"/>
  <c r="X258" i="43"/>
  <c r="X259" i="43"/>
  <c r="X260" i="43"/>
  <c r="X261" i="43"/>
  <c r="X262" i="43"/>
  <c r="X263" i="43"/>
  <c r="X264" i="43"/>
  <c r="X265" i="43"/>
  <c r="X266" i="43"/>
  <c r="X267" i="43"/>
  <c r="X268" i="43"/>
  <c r="X269" i="43"/>
  <c r="X270" i="43"/>
  <c r="X271" i="43"/>
  <c r="X272" i="43"/>
  <c r="X273" i="43"/>
  <c r="X274" i="43"/>
  <c r="X275" i="43"/>
  <c r="X276" i="43"/>
  <c r="X277" i="43"/>
  <c r="X278" i="43"/>
  <c r="X279" i="43"/>
  <c r="X280" i="43"/>
  <c r="X281" i="43"/>
  <c r="X282" i="43"/>
  <c r="X283" i="43"/>
  <c r="X284" i="43"/>
  <c r="X285" i="43"/>
  <c r="X286" i="43"/>
  <c r="X147" i="43"/>
  <c r="X148" i="43"/>
  <c r="X149" i="43"/>
  <c r="X150" i="43"/>
  <c r="X151" i="43"/>
  <c r="X152" i="43"/>
  <c r="X153" i="43"/>
  <c r="X154" i="43"/>
  <c r="X155" i="43"/>
  <c r="X156" i="43"/>
  <c r="X157" i="43"/>
  <c r="X158" i="43"/>
  <c r="X159" i="43"/>
  <c r="X160" i="43"/>
  <c r="X161" i="43"/>
  <c r="X162" i="43"/>
  <c r="X163" i="43"/>
  <c r="X164" i="43"/>
  <c r="X165" i="43"/>
  <c r="X166" i="43"/>
  <c r="X167" i="43"/>
  <c r="X168" i="43"/>
  <c r="X169" i="43"/>
  <c r="X170" i="43"/>
  <c r="X171" i="43"/>
  <c r="X172" i="43"/>
  <c r="X173" i="43"/>
  <c r="X174" i="43"/>
  <c r="X175" i="43"/>
  <c r="X176" i="43"/>
  <c r="X177" i="43"/>
  <c r="X178" i="43"/>
  <c r="X179" i="43"/>
  <c r="X180" i="43"/>
  <c r="X181" i="43"/>
  <c r="X182" i="43"/>
  <c r="X183" i="43"/>
  <c r="X184" i="43"/>
  <c r="X185" i="43"/>
  <c r="X186" i="43"/>
  <c r="X187" i="43"/>
  <c r="X188" i="43"/>
  <c r="X189" i="43"/>
  <c r="X190" i="43"/>
  <c r="X191" i="43"/>
  <c r="X192" i="43"/>
  <c r="X193" i="43"/>
  <c r="X194" i="43"/>
  <c r="X195" i="43"/>
  <c r="X196" i="43"/>
  <c r="X197" i="43"/>
  <c r="X198" i="43"/>
  <c r="X199" i="43"/>
  <c r="X200" i="43"/>
  <c r="X201" i="43"/>
  <c r="X202" i="43"/>
  <c r="X203" i="43"/>
  <c r="X204" i="43"/>
  <c r="X205" i="43"/>
  <c r="X206" i="43"/>
  <c r="X207" i="43"/>
  <c r="X208" i="43"/>
  <c r="X209" i="43"/>
  <c r="X210" i="43"/>
  <c r="X211" i="43"/>
  <c r="X212" i="43"/>
  <c r="X213" i="43"/>
  <c r="X214" i="43"/>
  <c r="X215" i="43"/>
  <c r="X216" i="43"/>
  <c r="X217" i="43"/>
  <c r="X218" i="43"/>
  <c r="X219" i="43"/>
  <c r="X220" i="43"/>
  <c r="X221" i="43"/>
  <c r="X222" i="43"/>
  <c r="X223" i="43"/>
  <c r="X224" i="43"/>
  <c r="X225" i="43"/>
  <c r="X226" i="43"/>
  <c r="X227" i="43"/>
  <c r="X228" i="43"/>
  <c r="X229" i="43"/>
  <c r="X230" i="43"/>
  <c r="X127" i="43"/>
  <c r="X128" i="43"/>
  <c r="X129" i="43"/>
  <c r="X130" i="43"/>
  <c r="X131" i="43"/>
  <c r="X132" i="43"/>
  <c r="X133" i="43"/>
  <c r="X134" i="43"/>
  <c r="X135" i="43"/>
  <c r="X136" i="43"/>
  <c r="X137" i="43"/>
  <c r="X138" i="43"/>
  <c r="X139" i="43"/>
  <c r="X140" i="43"/>
  <c r="X141" i="43"/>
  <c r="X142" i="43"/>
  <c r="X143" i="43"/>
  <c r="X144" i="43"/>
  <c r="X145" i="43"/>
  <c r="X146" i="43"/>
  <c r="X87" i="43"/>
  <c r="X88" i="43"/>
  <c r="X89" i="43"/>
  <c r="X90" i="43"/>
  <c r="X91" i="43"/>
  <c r="X92" i="43"/>
  <c r="X93" i="43"/>
  <c r="X94" i="43"/>
  <c r="X95" i="43"/>
  <c r="X96" i="43"/>
  <c r="X97" i="43"/>
  <c r="X98" i="43"/>
  <c r="X99" i="43"/>
  <c r="X100" i="43"/>
  <c r="X101" i="43"/>
  <c r="X102" i="43"/>
  <c r="X103" i="43"/>
  <c r="X104" i="43"/>
  <c r="X105" i="43"/>
  <c r="X106" i="43"/>
  <c r="X107" i="43"/>
  <c r="X108" i="43"/>
  <c r="X109" i="43"/>
  <c r="X110" i="43"/>
  <c r="X111" i="43"/>
  <c r="X112" i="43"/>
  <c r="X113" i="43"/>
  <c r="X114" i="43"/>
  <c r="X115" i="43"/>
  <c r="X116" i="43"/>
  <c r="X117" i="43"/>
  <c r="X118" i="43"/>
  <c r="X119" i="43"/>
  <c r="X120" i="43"/>
  <c r="X121" i="43"/>
  <c r="X122" i="43"/>
  <c r="X123" i="43"/>
  <c r="X124" i="43"/>
  <c r="X125" i="43"/>
  <c r="X126" i="43"/>
  <c r="X86" i="43"/>
  <c r="X85" i="43"/>
  <c r="X84" i="43"/>
  <c r="X83" i="43"/>
  <c r="X82" i="43"/>
  <c r="X81" i="43"/>
  <c r="X80" i="43"/>
  <c r="X79" i="43"/>
  <c r="X51" i="43"/>
  <c r="X52" i="43"/>
  <c r="X53" i="43"/>
  <c r="X54" i="43"/>
  <c r="X55" i="43"/>
  <c r="X56" i="43"/>
  <c r="X57" i="43"/>
  <c r="X58" i="43"/>
  <c r="X59" i="43"/>
  <c r="X60" i="43"/>
  <c r="X61" i="43"/>
  <c r="X62" i="43"/>
  <c r="X63" i="43"/>
  <c r="X64" i="43"/>
  <c r="X65" i="43"/>
  <c r="X66" i="43"/>
  <c r="X67" i="43"/>
  <c r="X68" i="43"/>
  <c r="X69" i="43"/>
  <c r="X70" i="43"/>
  <c r="X71" i="43"/>
  <c r="X72" i="43"/>
  <c r="X73" i="43"/>
  <c r="X74" i="43"/>
  <c r="X75" i="43"/>
  <c r="X76" i="43"/>
  <c r="X77" i="43"/>
  <c r="X78" i="43"/>
  <c r="X7" i="43"/>
  <c r="X8" i="43"/>
  <c r="X9" i="43"/>
  <c r="X10" i="43"/>
  <c r="X11" i="43"/>
  <c r="X12" i="43"/>
  <c r="X13" i="43"/>
  <c r="X14" i="43"/>
  <c r="X15" i="43"/>
  <c r="X16" i="43"/>
  <c r="X17" i="43"/>
  <c r="X18" i="43"/>
  <c r="X19" i="43"/>
  <c r="X20" i="43"/>
  <c r="X21" i="43"/>
  <c r="X22" i="43"/>
  <c r="X23" i="43"/>
  <c r="X24" i="43"/>
  <c r="X25" i="43"/>
  <c r="X26" i="43"/>
  <c r="X27" i="43"/>
  <c r="X28" i="43"/>
  <c r="X29" i="43"/>
  <c r="X30" i="43"/>
  <c r="X31" i="43"/>
  <c r="X32" i="43"/>
  <c r="X33" i="43"/>
  <c r="X34" i="43"/>
  <c r="X35" i="43"/>
  <c r="X36" i="43"/>
  <c r="X37" i="43"/>
  <c r="X38" i="43"/>
  <c r="X39" i="43"/>
  <c r="X40" i="43"/>
  <c r="X41" i="43"/>
  <c r="X42" i="43"/>
  <c r="X43" i="43"/>
  <c r="X44" i="43"/>
  <c r="X45" i="43"/>
  <c r="X46" i="43"/>
  <c r="X47" i="43"/>
  <c r="X48" i="43"/>
  <c r="X49" i="43"/>
  <c r="X50" i="43"/>
  <c r="L7" i="1"/>
  <c r="X4" i="43"/>
  <c r="X5" i="43"/>
  <c r="X6" i="43"/>
  <c r="X3" i="43"/>
  <c r="L14" i="43"/>
  <c r="L15" i="43"/>
  <c r="L16" i="43"/>
  <c r="L17" i="43"/>
  <c r="L18" i="43"/>
  <c r="L19" i="43"/>
  <c r="L20" i="43"/>
  <c r="L21" i="43"/>
  <c r="L22" i="43"/>
  <c r="L23" i="43"/>
  <c r="L24" i="43"/>
  <c r="L25" i="43"/>
  <c r="L26" i="43"/>
  <c r="L27" i="43"/>
  <c r="L28" i="43"/>
  <c r="L29" i="43"/>
  <c r="L30" i="43"/>
  <c r="L31" i="43"/>
  <c r="L32" i="43"/>
  <c r="L33" i="43"/>
  <c r="L34" i="43"/>
  <c r="L35" i="43"/>
  <c r="L36" i="43"/>
  <c r="L37" i="43"/>
  <c r="L38" i="43"/>
  <c r="L39" i="43"/>
  <c r="L40" i="43"/>
  <c r="L41" i="43"/>
  <c r="L42" i="43"/>
  <c r="L43" i="43"/>
  <c r="L44" i="43"/>
  <c r="L45" i="43"/>
  <c r="L46" i="43"/>
  <c r="L47" i="43"/>
  <c r="L48" i="43"/>
  <c r="L49" i="43"/>
  <c r="L50" i="43"/>
  <c r="L51" i="43"/>
  <c r="L52" i="43"/>
  <c r="L53" i="43"/>
  <c r="L54" i="43"/>
  <c r="L55" i="43"/>
  <c r="L56" i="43"/>
  <c r="L57" i="43"/>
  <c r="L58" i="43"/>
  <c r="L59" i="43"/>
  <c r="L60" i="43"/>
  <c r="L61" i="43"/>
  <c r="L62" i="43"/>
  <c r="L63" i="43"/>
  <c r="L64" i="43"/>
  <c r="L65" i="43"/>
  <c r="L66" i="43"/>
  <c r="L67" i="43"/>
  <c r="L68" i="43"/>
  <c r="L69" i="43"/>
  <c r="L70" i="43"/>
  <c r="L71" i="43"/>
  <c r="L72" i="43"/>
  <c r="L73" i="43"/>
  <c r="L74" i="43"/>
  <c r="L75" i="43"/>
  <c r="L76" i="43"/>
  <c r="L77" i="43"/>
  <c r="L78" i="43"/>
  <c r="L79" i="43"/>
  <c r="L80" i="43"/>
  <c r="L81" i="43"/>
  <c r="L82" i="43"/>
  <c r="L83" i="43"/>
  <c r="L84" i="43"/>
  <c r="L85" i="43"/>
  <c r="L86" i="43"/>
  <c r="L87" i="43"/>
  <c r="L88" i="43"/>
  <c r="L89" i="43"/>
  <c r="L90" i="43"/>
  <c r="L91" i="43"/>
  <c r="L92" i="43"/>
  <c r="L93" i="43"/>
  <c r="L94" i="43"/>
  <c r="L95" i="43"/>
  <c r="L96" i="43"/>
  <c r="L97" i="43"/>
  <c r="L98" i="43"/>
  <c r="L99" i="43"/>
  <c r="L100" i="43"/>
  <c r="L101" i="43"/>
  <c r="L102" i="43"/>
  <c r="L103" i="43"/>
  <c r="L104" i="43"/>
  <c r="L105" i="43"/>
  <c r="L106" i="43"/>
  <c r="L107" i="43"/>
  <c r="L108" i="43"/>
  <c r="L109" i="43"/>
  <c r="L110" i="43"/>
  <c r="L111" i="43"/>
  <c r="L112" i="43"/>
  <c r="L113" i="43"/>
  <c r="L114" i="43"/>
  <c r="L115" i="43"/>
  <c r="L116" i="43"/>
  <c r="L117" i="43"/>
  <c r="L118" i="43"/>
  <c r="L119" i="43"/>
  <c r="L120" i="43"/>
  <c r="L121" i="43"/>
  <c r="L122" i="43"/>
  <c r="L123" i="43"/>
  <c r="L124" i="43"/>
  <c r="L125" i="43"/>
  <c r="L126" i="43"/>
  <c r="L127" i="43"/>
  <c r="L128" i="43"/>
  <c r="L129" i="43"/>
  <c r="L130" i="43"/>
  <c r="L131" i="43"/>
  <c r="L132" i="43"/>
  <c r="L133" i="43"/>
  <c r="L134" i="43"/>
  <c r="L135" i="43"/>
  <c r="L136" i="43"/>
  <c r="L137" i="43"/>
  <c r="L138" i="43"/>
  <c r="L139" i="43"/>
  <c r="L140" i="43"/>
  <c r="L141" i="43"/>
  <c r="L142" i="43"/>
  <c r="L143" i="43"/>
  <c r="L144" i="43"/>
  <c r="L145" i="43"/>
  <c r="L146" i="43"/>
  <c r="L147" i="43"/>
  <c r="L148" i="43"/>
  <c r="L149" i="43"/>
  <c r="L150" i="43"/>
  <c r="L151" i="43"/>
  <c r="L152" i="43"/>
  <c r="L153" i="43"/>
  <c r="L154" i="43"/>
  <c r="L155" i="43"/>
  <c r="L156" i="43"/>
  <c r="L157" i="43"/>
  <c r="L158" i="43"/>
  <c r="L159" i="43"/>
  <c r="L160" i="43"/>
  <c r="L161" i="43"/>
  <c r="L162" i="43"/>
  <c r="L163" i="43"/>
  <c r="L164" i="43"/>
  <c r="L165" i="43"/>
  <c r="L166" i="43"/>
  <c r="L167" i="43"/>
  <c r="L168" i="43"/>
  <c r="L169" i="43"/>
  <c r="L170" i="43"/>
  <c r="L171" i="43"/>
  <c r="L172" i="43"/>
  <c r="L173" i="43"/>
  <c r="L174" i="43"/>
  <c r="L175" i="43"/>
  <c r="L176" i="43"/>
  <c r="L177" i="43"/>
  <c r="L178" i="43"/>
  <c r="L179" i="43"/>
  <c r="L180" i="43"/>
  <c r="L181" i="43"/>
  <c r="L182" i="43"/>
  <c r="L183" i="43"/>
  <c r="L184" i="43"/>
  <c r="L185" i="43"/>
  <c r="L186" i="43"/>
  <c r="L187" i="43"/>
  <c r="L188" i="43"/>
  <c r="L189" i="43"/>
  <c r="L190" i="43"/>
  <c r="L191" i="43"/>
  <c r="L192" i="43"/>
  <c r="L193" i="43"/>
  <c r="L194" i="43"/>
  <c r="L195" i="43"/>
  <c r="L196" i="43"/>
  <c r="L197" i="43"/>
  <c r="L198" i="43"/>
  <c r="L199" i="43"/>
  <c r="L200" i="43"/>
  <c r="L201" i="43"/>
  <c r="L202" i="43"/>
  <c r="L203" i="43"/>
  <c r="L204" i="43"/>
  <c r="L205" i="43"/>
  <c r="L206" i="43"/>
  <c r="L207" i="43"/>
  <c r="L208" i="43"/>
  <c r="L209" i="43"/>
  <c r="L210" i="43"/>
  <c r="L211" i="43"/>
  <c r="L212" i="43"/>
  <c r="L213" i="43"/>
  <c r="L214" i="43"/>
  <c r="L215" i="43"/>
  <c r="L216" i="43"/>
  <c r="L217" i="43"/>
  <c r="L218" i="43"/>
  <c r="L219" i="43"/>
  <c r="L220" i="43"/>
  <c r="L221" i="43"/>
  <c r="L222" i="43"/>
  <c r="L223" i="43"/>
  <c r="L224" i="43"/>
  <c r="L225" i="43"/>
  <c r="L226" i="43"/>
  <c r="L227" i="43"/>
  <c r="L228" i="43"/>
  <c r="L229" i="43"/>
  <c r="L230" i="43"/>
  <c r="L231" i="43"/>
  <c r="L232" i="43"/>
  <c r="L233" i="43"/>
  <c r="L234" i="43"/>
  <c r="L235" i="43"/>
  <c r="L236" i="43"/>
  <c r="L237" i="43"/>
  <c r="L238" i="43"/>
  <c r="L239" i="43"/>
  <c r="L240" i="43"/>
  <c r="L241" i="43"/>
  <c r="L242" i="43"/>
  <c r="L243" i="43"/>
  <c r="L244" i="43"/>
  <c r="L245" i="43"/>
  <c r="L246" i="43"/>
  <c r="L247" i="43"/>
  <c r="L248" i="43"/>
  <c r="L249" i="43"/>
  <c r="L250" i="43"/>
  <c r="L251" i="43"/>
  <c r="L252" i="43"/>
  <c r="L253" i="43"/>
  <c r="L254" i="43"/>
  <c r="L255" i="43"/>
  <c r="L256" i="43"/>
  <c r="L257" i="43"/>
  <c r="L258" i="43"/>
  <c r="L259" i="43"/>
  <c r="L260" i="43"/>
  <c r="L261" i="43"/>
  <c r="L262" i="43"/>
  <c r="L263" i="43"/>
  <c r="L264" i="43"/>
  <c r="L265" i="43"/>
  <c r="L266" i="43"/>
  <c r="L267" i="43"/>
  <c r="L268" i="43"/>
  <c r="L269" i="43"/>
  <c r="L270" i="43"/>
  <c r="L271" i="43"/>
  <c r="L272" i="43"/>
  <c r="L273" i="43"/>
  <c r="L274" i="43"/>
  <c r="L275" i="43"/>
  <c r="L276" i="43"/>
  <c r="L277" i="43"/>
  <c r="L278" i="43"/>
  <c r="L279" i="43"/>
  <c r="L280" i="43"/>
  <c r="L281" i="43"/>
  <c r="L282" i="43"/>
  <c r="L283" i="43"/>
  <c r="L284" i="43"/>
  <c r="L285" i="43"/>
  <c r="L286" i="43"/>
  <c r="L4" i="43"/>
  <c r="L5" i="43"/>
  <c r="L6" i="43"/>
  <c r="L7" i="43"/>
  <c r="L8" i="43"/>
  <c r="L9" i="43"/>
  <c r="L10" i="43"/>
  <c r="L11" i="43"/>
  <c r="L12" i="43"/>
  <c r="L13" i="43"/>
  <c r="AE4" i="2"/>
  <c r="Y4" i="2"/>
  <c r="S4" i="2"/>
  <c r="R76" i="2"/>
  <c r="R75" i="2"/>
  <c r="R74" i="2"/>
  <c r="R73" i="2"/>
  <c r="R72" i="2"/>
  <c r="R71" i="2"/>
  <c r="R70" i="2"/>
  <c r="R69" i="2"/>
  <c r="R68" i="2"/>
  <c r="R67" i="2"/>
  <c r="R66" i="2"/>
  <c r="R65" i="2"/>
  <c r="R64" i="2"/>
  <c r="R63" i="2"/>
  <c r="R62" i="2"/>
  <c r="R61" i="2"/>
  <c r="R60" i="2"/>
  <c r="R59" i="2"/>
  <c r="R58" i="2"/>
  <c r="R57" i="2"/>
  <c r="R56" i="2"/>
  <c r="R55" i="2"/>
  <c r="R54" i="2"/>
  <c r="R53" i="2"/>
  <c r="R52" i="2"/>
  <c r="R51" i="2"/>
  <c r="R50" i="2"/>
  <c r="R49" i="2"/>
  <c r="R48" i="2"/>
  <c r="R47" i="2"/>
  <c r="R46" i="2"/>
  <c r="R45" i="2"/>
  <c r="R44" i="2"/>
  <c r="R43" i="2"/>
  <c r="R42" i="2"/>
  <c r="R41" i="2"/>
  <c r="R40" i="2"/>
  <c r="R39" i="2"/>
  <c r="R38" i="2"/>
  <c r="R37" i="2"/>
  <c r="R36" i="2"/>
  <c r="R35" i="2"/>
  <c r="R34" i="2"/>
  <c r="R33" i="2"/>
  <c r="R32" i="2"/>
  <c r="R31" i="2"/>
  <c r="R30" i="2"/>
  <c r="R29" i="2"/>
  <c r="R28" i="2"/>
  <c r="R27" i="2"/>
  <c r="R26" i="2"/>
  <c r="R25" i="2"/>
  <c r="R24" i="2"/>
  <c r="R23" i="2"/>
  <c r="R22" i="2"/>
  <c r="R21" i="2"/>
  <c r="R20" i="2"/>
  <c r="R19" i="2"/>
  <c r="R18" i="2"/>
  <c r="R17" i="2"/>
  <c r="R16" i="2"/>
  <c r="R15" i="2"/>
  <c r="R14" i="2"/>
  <c r="R13" i="2"/>
  <c r="R12" i="2"/>
  <c r="R11" i="2"/>
  <c r="R10" i="2"/>
  <c r="R9" i="2"/>
  <c r="R8" i="2"/>
  <c r="R7" i="2"/>
  <c r="R6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O76" i="2"/>
  <c r="O75" i="2"/>
  <c r="O74" i="2"/>
  <c r="O73" i="2"/>
  <c r="O72" i="2"/>
  <c r="O71" i="2"/>
  <c r="O70" i="2"/>
  <c r="O69" i="2"/>
  <c r="O68" i="2"/>
  <c r="O67" i="2"/>
  <c r="O66" i="2"/>
  <c r="O65" i="2"/>
  <c r="O64" i="2"/>
  <c r="O63" i="2"/>
  <c r="O62" i="2"/>
  <c r="O61" i="2"/>
  <c r="O60" i="2"/>
  <c r="O59" i="2"/>
  <c r="O58" i="2"/>
  <c r="O57" i="2"/>
  <c r="O56" i="2"/>
  <c r="O55" i="2"/>
  <c r="O54" i="2"/>
  <c r="O53" i="2"/>
  <c r="O52" i="2"/>
  <c r="O51" i="2"/>
  <c r="O50" i="2"/>
  <c r="O49" i="2"/>
  <c r="O48" i="2"/>
  <c r="O47" i="2"/>
  <c r="O46" i="2"/>
  <c r="O45" i="2"/>
  <c r="O44" i="2"/>
  <c r="O43" i="2"/>
  <c r="O42" i="2"/>
  <c r="O41" i="2"/>
  <c r="O40" i="2"/>
  <c r="O39" i="2"/>
  <c r="O38" i="2"/>
  <c r="O37" i="2"/>
  <c r="O36" i="2"/>
  <c r="O35" i="2"/>
  <c r="O34" i="2"/>
  <c r="O33" i="2"/>
  <c r="O32" i="2"/>
  <c r="O31" i="2"/>
  <c r="O30" i="2"/>
  <c r="O29" i="2"/>
  <c r="O28" i="2"/>
  <c r="O27" i="2"/>
  <c r="O26" i="2"/>
  <c r="O25" i="2"/>
  <c r="O24" i="2"/>
  <c r="O23" i="2"/>
  <c r="O22" i="2"/>
  <c r="O21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DC76" i="2"/>
  <c r="DA76" i="2"/>
  <c r="CZ76" i="2"/>
  <c r="CY76" i="2"/>
  <c r="CX76" i="2"/>
  <c r="CW76" i="2"/>
  <c r="CT76" i="2"/>
  <c r="CR76" i="2"/>
  <c r="CQ76" i="2"/>
  <c r="CP76" i="2"/>
  <c r="CO76" i="2"/>
  <c r="CN76" i="2"/>
  <c r="CI76" i="2" a="1"/>
  <c r="CI76" i="2" s="1"/>
  <c r="CH76" i="2" a="1"/>
  <c r="CH76" i="2" s="1"/>
  <c r="CG76" i="2" a="1"/>
  <c r="CG76" i="2" s="1"/>
  <c r="CF76" i="2" a="1"/>
  <c r="CF76" i="2" s="1"/>
  <c r="CE76" i="2" a="1"/>
  <c r="CE76" i="2" s="1"/>
  <c r="BY76" i="2"/>
  <c r="BX76" i="2"/>
  <c r="BW76" i="2"/>
  <c r="BV76" i="2"/>
  <c r="BU76" i="2"/>
  <c r="BR76" i="2"/>
  <c r="BQ76" i="2"/>
  <c r="BP76" i="2"/>
  <c r="BO76" i="2"/>
  <c r="BN76" i="2"/>
  <c r="BK76" i="2"/>
  <c r="BJ76" i="2"/>
  <c r="BI76" i="2"/>
  <c r="BH76" i="2"/>
  <c r="BG76" i="2"/>
  <c r="AZ76" i="2"/>
  <c r="AY76" i="2"/>
  <c r="AX76" i="2"/>
  <c r="AW76" i="2"/>
  <c r="AT76" i="2"/>
  <c r="AS76" i="2"/>
  <c r="AR76" i="2"/>
  <c r="AQ76" i="2"/>
  <c r="AP76" i="2"/>
  <c r="AD76" i="2"/>
  <c r="AC76" i="2"/>
  <c r="AB76" i="2"/>
  <c r="AA76" i="2"/>
  <c r="X76" i="2"/>
  <c r="W76" i="2"/>
  <c r="V76" i="2"/>
  <c r="U76" i="2"/>
  <c r="DC75" i="2"/>
  <c r="DA75" i="2"/>
  <c r="CZ75" i="2"/>
  <c r="CY75" i="2"/>
  <c r="CX75" i="2"/>
  <c r="CW75" i="2"/>
  <c r="CT75" i="2"/>
  <c r="CR75" i="2"/>
  <c r="CQ75" i="2"/>
  <c r="CP75" i="2"/>
  <c r="CO75" i="2"/>
  <c r="CN75" i="2"/>
  <c r="CI75" i="2" a="1"/>
  <c r="CI75" i="2" s="1"/>
  <c r="CH75" i="2" a="1"/>
  <c r="CH75" i="2" s="1"/>
  <c r="CG75" i="2" a="1"/>
  <c r="CG75" i="2" s="1"/>
  <c r="CF75" i="2" a="1"/>
  <c r="CF75" i="2" s="1"/>
  <c r="CE75" i="2" a="1"/>
  <c r="CE75" i="2" s="1"/>
  <c r="BY75" i="2"/>
  <c r="BX75" i="2"/>
  <c r="BW75" i="2"/>
  <c r="BV75" i="2"/>
  <c r="BU75" i="2"/>
  <c r="BR75" i="2"/>
  <c r="BQ75" i="2"/>
  <c r="BP75" i="2"/>
  <c r="BO75" i="2"/>
  <c r="BN75" i="2"/>
  <c r="BK75" i="2"/>
  <c r="BJ75" i="2"/>
  <c r="BI75" i="2"/>
  <c r="BH75" i="2"/>
  <c r="BG75" i="2"/>
  <c r="AZ75" i="2"/>
  <c r="AY75" i="2"/>
  <c r="AX75" i="2"/>
  <c r="AW75" i="2"/>
  <c r="AT75" i="2"/>
  <c r="AS75" i="2"/>
  <c r="AR75" i="2"/>
  <c r="AQ75" i="2"/>
  <c r="AP75" i="2"/>
  <c r="AD75" i="2"/>
  <c r="AC75" i="2"/>
  <c r="AB75" i="2"/>
  <c r="AA75" i="2"/>
  <c r="X75" i="2"/>
  <c r="W75" i="2"/>
  <c r="V75" i="2"/>
  <c r="U75" i="2"/>
  <c r="DC74" i="2"/>
  <c r="DA74" i="2"/>
  <c r="CZ74" i="2"/>
  <c r="CY74" i="2"/>
  <c r="CX74" i="2"/>
  <c r="CW74" i="2"/>
  <c r="CT74" i="2"/>
  <c r="CR74" i="2"/>
  <c r="CQ74" i="2"/>
  <c r="CP74" i="2"/>
  <c r="CO74" i="2"/>
  <c r="CN74" i="2"/>
  <c r="CI74" i="2" a="1"/>
  <c r="CI74" i="2" s="1"/>
  <c r="CH74" i="2" a="1"/>
  <c r="CH74" i="2" s="1"/>
  <c r="CG74" i="2" a="1"/>
  <c r="CG74" i="2" s="1"/>
  <c r="CF74" i="2" a="1"/>
  <c r="CF74" i="2" s="1"/>
  <c r="CE74" i="2" a="1"/>
  <c r="CE74" i="2" s="1"/>
  <c r="BY74" i="2"/>
  <c r="BX74" i="2"/>
  <c r="BW74" i="2"/>
  <c r="BV74" i="2"/>
  <c r="BU74" i="2"/>
  <c r="BR74" i="2"/>
  <c r="BQ74" i="2"/>
  <c r="BP74" i="2"/>
  <c r="BO74" i="2"/>
  <c r="BN74" i="2"/>
  <c r="BK74" i="2"/>
  <c r="BJ74" i="2"/>
  <c r="BI74" i="2"/>
  <c r="BH74" i="2"/>
  <c r="BG74" i="2"/>
  <c r="AZ74" i="2"/>
  <c r="AY74" i="2"/>
  <c r="AX74" i="2"/>
  <c r="AW74" i="2"/>
  <c r="AT74" i="2"/>
  <c r="AS74" i="2"/>
  <c r="AR74" i="2"/>
  <c r="AQ74" i="2"/>
  <c r="AP74" i="2"/>
  <c r="AD74" i="2"/>
  <c r="AC74" i="2"/>
  <c r="AB74" i="2"/>
  <c r="AA74" i="2"/>
  <c r="X74" i="2"/>
  <c r="W74" i="2"/>
  <c r="V74" i="2"/>
  <c r="U74" i="2"/>
  <c r="DC73" i="2"/>
  <c r="DA73" i="2"/>
  <c r="CZ73" i="2"/>
  <c r="CY73" i="2"/>
  <c r="CX73" i="2"/>
  <c r="CW73" i="2"/>
  <c r="CT73" i="2"/>
  <c r="CR73" i="2"/>
  <c r="CQ73" i="2"/>
  <c r="CP73" i="2"/>
  <c r="CO73" i="2"/>
  <c r="CN73" i="2"/>
  <c r="CI73" i="2" a="1"/>
  <c r="CI73" i="2" s="1"/>
  <c r="CH73" i="2" a="1"/>
  <c r="CH73" i="2" s="1"/>
  <c r="CG73" i="2" a="1"/>
  <c r="CG73" i="2" s="1"/>
  <c r="CF73" i="2" a="1"/>
  <c r="CF73" i="2" s="1"/>
  <c r="CE73" i="2" a="1"/>
  <c r="CE73" i="2" s="1"/>
  <c r="BY73" i="2"/>
  <c r="BX73" i="2"/>
  <c r="BW73" i="2"/>
  <c r="BV73" i="2"/>
  <c r="BU73" i="2"/>
  <c r="BR73" i="2"/>
  <c r="BQ73" i="2"/>
  <c r="BP73" i="2"/>
  <c r="BO73" i="2"/>
  <c r="BN73" i="2"/>
  <c r="BK73" i="2"/>
  <c r="BJ73" i="2"/>
  <c r="BI73" i="2"/>
  <c r="BH73" i="2"/>
  <c r="BG73" i="2"/>
  <c r="AZ73" i="2"/>
  <c r="AY73" i="2"/>
  <c r="AX73" i="2"/>
  <c r="AW73" i="2"/>
  <c r="AT73" i="2"/>
  <c r="AS73" i="2"/>
  <c r="AR73" i="2"/>
  <c r="AQ73" i="2"/>
  <c r="AP73" i="2"/>
  <c r="AD73" i="2"/>
  <c r="AC73" i="2"/>
  <c r="AB73" i="2"/>
  <c r="AA73" i="2"/>
  <c r="X73" i="2"/>
  <c r="W73" i="2"/>
  <c r="V73" i="2"/>
  <c r="U73" i="2"/>
  <c r="DC72" i="2"/>
  <c r="DA72" i="2"/>
  <c r="CZ72" i="2"/>
  <c r="CY72" i="2"/>
  <c r="CX72" i="2"/>
  <c r="CW72" i="2"/>
  <c r="CT72" i="2"/>
  <c r="CR72" i="2"/>
  <c r="CQ72" i="2"/>
  <c r="CP72" i="2"/>
  <c r="CO72" i="2"/>
  <c r="CN72" i="2"/>
  <c r="CI72" i="2" a="1"/>
  <c r="CI72" i="2" s="1"/>
  <c r="CH72" i="2" a="1"/>
  <c r="CH72" i="2" s="1"/>
  <c r="CG72" i="2" a="1"/>
  <c r="CG72" i="2" s="1"/>
  <c r="CF72" i="2" a="1"/>
  <c r="CF72" i="2" s="1"/>
  <c r="CE72" i="2" a="1"/>
  <c r="CE72" i="2" s="1"/>
  <c r="BY72" i="2"/>
  <c r="BX72" i="2"/>
  <c r="BW72" i="2"/>
  <c r="BV72" i="2"/>
  <c r="BU72" i="2"/>
  <c r="BR72" i="2"/>
  <c r="BQ72" i="2"/>
  <c r="BP72" i="2"/>
  <c r="BO72" i="2"/>
  <c r="BN72" i="2"/>
  <c r="BK72" i="2"/>
  <c r="BJ72" i="2"/>
  <c r="BI72" i="2"/>
  <c r="BH72" i="2"/>
  <c r="BG72" i="2"/>
  <c r="AZ72" i="2"/>
  <c r="AY72" i="2"/>
  <c r="AX72" i="2"/>
  <c r="AW72" i="2"/>
  <c r="AT72" i="2"/>
  <c r="AS72" i="2"/>
  <c r="AR72" i="2"/>
  <c r="AQ72" i="2"/>
  <c r="AP72" i="2"/>
  <c r="AD72" i="2"/>
  <c r="AC72" i="2"/>
  <c r="AB72" i="2"/>
  <c r="AA72" i="2"/>
  <c r="X72" i="2"/>
  <c r="W72" i="2"/>
  <c r="V72" i="2"/>
  <c r="U72" i="2"/>
  <c r="DC71" i="2"/>
  <c r="DA71" i="2"/>
  <c r="CZ71" i="2"/>
  <c r="CY71" i="2"/>
  <c r="CX71" i="2"/>
  <c r="CW71" i="2"/>
  <c r="CT71" i="2"/>
  <c r="CR71" i="2"/>
  <c r="CQ71" i="2"/>
  <c r="CP71" i="2"/>
  <c r="CO71" i="2"/>
  <c r="CN71" i="2"/>
  <c r="CI71" i="2" a="1"/>
  <c r="CI71" i="2" s="1"/>
  <c r="CH71" i="2" a="1"/>
  <c r="CH71" i="2" s="1"/>
  <c r="CG71" i="2" a="1"/>
  <c r="CG71" i="2" s="1"/>
  <c r="CF71" i="2" a="1"/>
  <c r="CF71" i="2" s="1"/>
  <c r="CE71" i="2" a="1"/>
  <c r="CE71" i="2" s="1"/>
  <c r="BY71" i="2"/>
  <c r="BX71" i="2"/>
  <c r="BW71" i="2"/>
  <c r="BV71" i="2"/>
  <c r="BU71" i="2"/>
  <c r="BR71" i="2"/>
  <c r="BQ71" i="2"/>
  <c r="BP71" i="2"/>
  <c r="BO71" i="2"/>
  <c r="BN71" i="2"/>
  <c r="BK71" i="2"/>
  <c r="BJ71" i="2"/>
  <c r="BI71" i="2"/>
  <c r="BH71" i="2"/>
  <c r="BG71" i="2"/>
  <c r="AZ71" i="2"/>
  <c r="AY71" i="2"/>
  <c r="AX71" i="2"/>
  <c r="AW71" i="2"/>
  <c r="AT71" i="2"/>
  <c r="AS71" i="2"/>
  <c r="AR71" i="2"/>
  <c r="AQ71" i="2"/>
  <c r="AP71" i="2"/>
  <c r="AD71" i="2"/>
  <c r="AC71" i="2"/>
  <c r="AB71" i="2"/>
  <c r="AA71" i="2"/>
  <c r="X71" i="2"/>
  <c r="W71" i="2"/>
  <c r="V71" i="2"/>
  <c r="U71" i="2"/>
  <c r="DC70" i="2"/>
  <c r="DA70" i="2"/>
  <c r="CZ70" i="2"/>
  <c r="CY70" i="2"/>
  <c r="CX70" i="2"/>
  <c r="CW70" i="2"/>
  <c r="CT70" i="2"/>
  <c r="CR70" i="2"/>
  <c r="CQ70" i="2"/>
  <c r="CP70" i="2"/>
  <c r="CO70" i="2"/>
  <c r="CN70" i="2"/>
  <c r="CI70" i="2" a="1"/>
  <c r="CI70" i="2" s="1"/>
  <c r="CH70" i="2" a="1"/>
  <c r="CH70" i="2" s="1"/>
  <c r="CG70" i="2" a="1"/>
  <c r="CG70" i="2" s="1"/>
  <c r="CF70" i="2" a="1"/>
  <c r="CF70" i="2" s="1"/>
  <c r="CE70" i="2" a="1"/>
  <c r="CE70" i="2" s="1"/>
  <c r="BY70" i="2"/>
  <c r="BX70" i="2"/>
  <c r="BW70" i="2"/>
  <c r="BV70" i="2"/>
  <c r="BU70" i="2"/>
  <c r="BR70" i="2"/>
  <c r="BQ70" i="2"/>
  <c r="BP70" i="2"/>
  <c r="BO70" i="2"/>
  <c r="BN70" i="2"/>
  <c r="BK70" i="2"/>
  <c r="BJ70" i="2"/>
  <c r="BI70" i="2"/>
  <c r="BH70" i="2"/>
  <c r="BG70" i="2"/>
  <c r="AZ70" i="2"/>
  <c r="AY70" i="2"/>
  <c r="AX70" i="2"/>
  <c r="AW70" i="2"/>
  <c r="AT70" i="2"/>
  <c r="AS70" i="2"/>
  <c r="AR70" i="2"/>
  <c r="AQ70" i="2"/>
  <c r="AP70" i="2"/>
  <c r="AD70" i="2"/>
  <c r="AC70" i="2"/>
  <c r="AB70" i="2"/>
  <c r="AA70" i="2"/>
  <c r="X70" i="2"/>
  <c r="W70" i="2"/>
  <c r="V70" i="2"/>
  <c r="U70" i="2"/>
  <c r="DC69" i="2"/>
  <c r="DA69" i="2"/>
  <c r="CZ69" i="2"/>
  <c r="CY69" i="2"/>
  <c r="CX69" i="2"/>
  <c r="CW69" i="2"/>
  <c r="CT69" i="2"/>
  <c r="CR69" i="2"/>
  <c r="CQ69" i="2"/>
  <c r="CP69" i="2"/>
  <c r="CO69" i="2"/>
  <c r="CN69" i="2"/>
  <c r="CI69" i="2" a="1"/>
  <c r="CI69" i="2" s="1"/>
  <c r="CH69" i="2" a="1"/>
  <c r="CH69" i="2" s="1"/>
  <c r="CG69" i="2" a="1"/>
  <c r="CG69" i="2" s="1"/>
  <c r="CF69" i="2" a="1"/>
  <c r="CF69" i="2" s="1"/>
  <c r="CE69" i="2" a="1"/>
  <c r="CE69" i="2" s="1"/>
  <c r="BY69" i="2"/>
  <c r="BX69" i="2"/>
  <c r="BW69" i="2"/>
  <c r="BV69" i="2"/>
  <c r="BU69" i="2"/>
  <c r="BR69" i="2"/>
  <c r="BQ69" i="2"/>
  <c r="BP69" i="2"/>
  <c r="BO69" i="2"/>
  <c r="BN69" i="2"/>
  <c r="BK69" i="2"/>
  <c r="BJ69" i="2"/>
  <c r="BI69" i="2"/>
  <c r="BH69" i="2"/>
  <c r="BG69" i="2"/>
  <c r="AZ69" i="2"/>
  <c r="AY69" i="2"/>
  <c r="AX69" i="2"/>
  <c r="AW69" i="2"/>
  <c r="AT69" i="2"/>
  <c r="AS69" i="2"/>
  <c r="AR69" i="2"/>
  <c r="AQ69" i="2"/>
  <c r="AP69" i="2"/>
  <c r="AD69" i="2"/>
  <c r="AC69" i="2"/>
  <c r="AB69" i="2"/>
  <c r="AA69" i="2"/>
  <c r="X69" i="2"/>
  <c r="W69" i="2"/>
  <c r="V69" i="2"/>
  <c r="U69" i="2"/>
  <c r="DC68" i="2"/>
  <c r="DA68" i="2"/>
  <c r="CZ68" i="2"/>
  <c r="CY68" i="2"/>
  <c r="CX68" i="2"/>
  <c r="CW68" i="2"/>
  <c r="CT68" i="2"/>
  <c r="CR68" i="2"/>
  <c r="CQ68" i="2"/>
  <c r="CP68" i="2"/>
  <c r="CO68" i="2"/>
  <c r="CN68" i="2"/>
  <c r="CI68" i="2" a="1"/>
  <c r="CI68" i="2" s="1"/>
  <c r="CH68" i="2" a="1"/>
  <c r="CH68" i="2" s="1"/>
  <c r="CG68" i="2" a="1"/>
  <c r="CG68" i="2" s="1"/>
  <c r="CF68" i="2" a="1"/>
  <c r="CF68" i="2" s="1"/>
  <c r="CE68" i="2" a="1"/>
  <c r="CE68" i="2" s="1"/>
  <c r="BY68" i="2"/>
  <c r="BX68" i="2"/>
  <c r="BW68" i="2"/>
  <c r="BV68" i="2"/>
  <c r="BU68" i="2"/>
  <c r="BR68" i="2"/>
  <c r="BQ68" i="2"/>
  <c r="BP68" i="2"/>
  <c r="BO68" i="2"/>
  <c r="BN68" i="2"/>
  <c r="BK68" i="2"/>
  <c r="BJ68" i="2"/>
  <c r="BI68" i="2"/>
  <c r="BH68" i="2"/>
  <c r="BG68" i="2"/>
  <c r="AZ68" i="2"/>
  <c r="AY68" i="2"/>
  <c r="AX68" i="2"/>
  <c r="AW68" i="2"/>
  <c r="AT68" i="2"/>
  <c r="AS68" i="2"/>
  <c r="AR68" i="2"/>
  <c r="AQ68" i="2"/>
  <c r="AP68" i="2"/>
  <c r="AD68" i="2"/>
  <c r="AC68" i="2"/>
  <c r="AB68" i="2"/>
  <c r="AA68" i="2"/>
  <c r="X68" i="2"/>
  <c r="W68" i="2"/>
  <c r="V68" i="2"/>
  <c r="U68" i="2"/>
  <c r="DC67" i="2"/>
  <c r="DA67" i="2"/>
  <c r="CZ67" i="2"/>
  <c r="CY67" i="2"/>
  <c r="CX67" i="2"/>
  <c r="CW67" i="2"/>
  <c r="CT67" i="2"/>
  <c r="CR67" i="2"/>
  <c r="CQ67" i="2"/>
  <c r="CP67" i="2"/>
  <c r="CO67" i="2"/>
  <c r="CN67" i="2"/>
  <c r="CI67" i="2" a="1"/>
  <c r="CI67" i="2" s="1"/>
  <c r="CH67" i="2" a="1"/>
  <c r="CH67" i="2" s="1"/>
  <c r="CG67" i="2" a="1"/>
  <c r="CG67" i="2" s="1"/>
  <c r="CF67" i="2" a="1"/>
  <c r="CF67" i="2" s="1"/>
  <c r="CE67" i="2" a="1"/>
  <c r="CE67" i="2" s="1"/>
  <c r="BY67" i="2"/>
  <c r="BX67" i="2"/>
  <c r="BW67" i="2"/>
  <c r="BV67" i="2"/>
  <c r="BU67" i="2"/>
  <c r="BR67" i="2"/>
  <c r="BQ67" i="2"/>
  <c r="BP67" i="2"/>
  <c r="BO67" i="2"/>
  <c r="BN67" i="2"/>
  <c r="BK67" i="2"/>
  <c r="BJ67" i="2"/>
  <c r="BI67" i="2"/>
  <c r="BH67" i="2"/>
  <c r="BG67" i="2"/>
  <c r="AZ67" i="2"/>
  <c r="AY67" i="2"/>
  <c r="AX67" i="2"/>
  <c r="AW67" i="2"/>
  <c r="AT67" i="2"/>
  <c r="AS67" i="2"/>
  <c r="AR67" i="2"/>
  <c r="AQ67" i="2"/>
  <c r="AP67" i="2"/>
  <c r="AD67" i="2"/>
  <c r="AC67" i="2"/>
  <c r="AB67" i="2"/>
  <c r="AA67" i="2"/>
  <c r="X67" i="2"/>
  <c r="W67" i="2"/>
  <c r="V67" i="2"/>
  <c r="U67" i="2"/>
  <c r="DC66" i="2"/>
  <c r="DA66" i="2"/>
  <c r="CZ66" i="2"/>
  <c r="CY66" i="2"/>
  <c r="CX66" i="2"/>
  <c r="CW66" i="2"/>
  <c r="CT66" i="2"/>
  <c r="CR66" i="2"/>
  <c r="CQ66" i="2"/>
  <c r="CP66" i="2"/>
  <c r="CO66" i="2"/>
  <c r="CN66" i="2"/>
  <c r="CI66" i="2" a="1"/>
  <c r="CI66" i="2" s="1"/>
  <c r="CH66" i="2" a="1"/>
  <c r="CH66" i="2" s="1"/>
  <c r="CG66" i="2" a="1"/>
  <c r="CG66" i="2" s="1"/>
  <c r="CF66" i="2" a="1"/>
  <c r="CF66" i="2" s="1"/>
  <c r="CE66" i="2" a="1"/>
  <c r="CE66" i="2" s="1"/>
  <c r="BY66" i="2"/>
  <c r="BX66" i="2"/>
  <c r="BW66" i="2"/>
  <c r="BV66" i="2"/>
  <c r="BU66" i="2"/>
  <c r="BR66" i="2"/>
  <c r="BQ66" i="2"/>
  <c r="BP66" i="2"/>
  <c r="BO66" i="2"/>
  <c r="BN66" i="2"/>
  <c r="BK66" i="2"/>
  <c r="BJ66" i="2"/>
  <c r="BI66" i="2"/>
  <c r="BH66" i="2"/>
  <c r="BG66" i="2"/>
  <c r="AZ66" i="2"/>
  <c r="AY66" i="2"/>
  <c r="AX66" i="2"/>
  <c r="AW66" i="2"/>
  <c r="AT66" i="2"/>
  <c r="AS66" i="2"/>
  <c r="AR66" i="2"/>
  <c r="AQ66" i="2"/>
  <c r="AP66" i="2"/>
  <c r="AD66" i="2"/>
  <c r="AC66" i="2"/>
  <c r="AB66" i="2"/>
  <c r="AA66" i="2"/>
  <c r="X66" i="2"/>
  <c r="W66" i="2"/>
  <c r="V66" i="2"/>
  <c r="U66" i="2"/>
  <c r="DC65" i="2"/>
  <c r="DA65" i="2"/>
  <c r="CZ65" i="2"/>
  <c r="CY65" i="2"/>
  <c r="CX65" i="2"/>
  <c r="CW65" i="2"/>
  <c r="CT65" i="2"/>
  <c r="CR65" i="2"/>
  <c r="CQ65" i="2"/>
  <c r="CP65" i="2"/>
  <c r="CO65" i="2"/>
  <c r="CN65" i="2"/>
  <c r="CI65" i="2" a="1"/>
  <c r="CI65" i="2" s="1"/>
  <c r="CH65" i="2" a="1"/>
  <c r="CH65" i="2" s="1"/>
  <c r="CG65" i="2" a="1"/>
  <c r="CG65" i="2" s="1"/>
  <c r="CF65" i="2" a="1"/>
  <c r="CF65" i="2" s="1"/>
  <c r="CE65" i="2" a="1"/>
  <c r="CE65" i="2" s="1"/>
  <c r="BY65" i="2"/>
  <c r="BX65" i="2"/>
  <c r="BW65" i="2"/>
  <c r="BV65" i="2"/>
  <c r="BU65" i="2"/>
  <c r="BR65" i="2"/>
  <c r="BQ65" i="2"/>
  <c r="BP65" i="2"/>
  <c r="BO65" i="2"/>
  <c r="BN65" i="2"/>
  <c r="BK65" i="2"/>
  <c r="BJ65" i="2"/>
  <c r="BI65" i="2"/>
  <c r="BH65" i="2"/>
  <c r="BG65" i="2"/>
  <c r="AZ65" i="2"/>
  <c r="AY65" i="2"/>
  <c r="AX65" i="2"/>
  <c r="AW65" i="2"/>
  <c r="AT65" i="2"/>
  <c r="AS65" i="2"/>
  <c r="AR65" i="2"/>
  <c r="AQ65" i="2"/>
  <c r="AP65" i="2"/>
  <c r="AD65" i="2"/>
  <c r="AC65" i="2"/>
  <c r="AB65" i="2"/>
  <c r="AA65" i="2"/>
  <c r="X65" i="2"/>
  <c r="W65" i="2"/>
  <c r="V65" i="2"/>
  <c r="U65" i="2"/>
  <c r="DC64" i="2"/>
  <c r="DA64" i="2"/>
  <c r="CZ64" i="2"/>
  <c r="CY64" i="2"/>
  <c r="CX64" i="2"/>
  <c r="CW64" i="2"/>
  <c r="CT64" i="2"/>
  <c r="CR64" i="2"/>
  <c r="CQ64" i="2"/>
  <c r="CP64" i="2"/>
  <c r="CO64" i="2"/>
  <c r="CN64" i="2"/>
  <c r="CI64" i="2" a="1"/>
  <c r="CI64" i="2" s="1"/>
  <c r="CH64" i="2" a="1"/>
  <c r="CH64" i="2" s="1"/>
  <c r="CG64" i="2" a="1"/>
  <c r="CG64" i="2" s="1"/>
  <c r="CF64" i="2" a="1"/>
  <c r="CF64" i="2" s="1"/>
  <c r="CE64" i="2" a="1"/>
  <c r="CE64" i="2" s="1"/>
  <c r="BY64" i="2"/>
  <c r="BX64" i="2"/>
  <c r="BW64" i="2"/>
  <c r="BV64" i="2"/>
  <c r="BU64" i="2"/>
  <c r="BR64" i="2"/>
  <c r="BQ64" i="2"/>
  <c r="BP64" i="2"/>
  <c r="BO64" i="2"/>
  <c r="BN64" i="2"/>
  <c r="BK64" i="2"/>
  <c r="BJ64" i="2"/>
  <c r="BI64" i="2"/>
  <c r="BH64" i="2"/>
  <c r="BG64" i="2"/>
  <c r="AZ64" i="2"/>
  <c r="AY64" i="2"/>
  <c r="AX64" i="2"/>
  <c r="AW64" i="2"/>
  <c r="AT64" i="2"/>
  <c r="AS64" i="2"/>
  <c r="AR64" i="2"/>
  <c r="AQ64" i="2"/>
  <c r="AP64" i="2"/>
  <c r="AD64" i="2"/>
  <c r="AC64" i="2"/>
  <c r="AB64" i="2"/>
  <c r="AA64" i="2"/>
  <c r="X64" i="2"/>
  <c r="W64" i="2"/>
  <c r="V64" i="2"/>
  <c r="U64" i="2"/>
  <c r="DC63" i="2"/>
  <c r="DA63" i="2"/>
  <c r="CZ63" i="2"/>
  <c r="CY63" i="2"/>
  <c r="CX63" i="2"/>
  <c r="CW63" i="2"/>
  <c r="CT63" i="2"/>
  <c r="CR63" i="2"/>
  <c r="CQ63" i="2"/>
  <c r="CP63" i="2"/>
  <c r="CO63" i="2"/>
  <c r="CN63" i="2"/>
  <c r="CI63" i="2" a="1"/>
  <c r="CI63" i="2" s="1"/>
  <c r="CH63" i="2" a="1"/>
  <c r="CH63" i="2" s="1"/>
  <c r="CG63" i="2" a="1"/>
  <c r="CG63" i="2" s="1"/>
  <c r="CF63" i="2" a="1"/>
  <c r="CF63" i="2" s="1"/>
  <c r="CE63" i="2" a="1"/>
  <c r="CE63" i="2" s="1"/>
  <c r="BY63" i="2"/>
  <c r="BX63" i="2"/>
  <c r="BW63" i="2"/>
  <c r="BV63" i="2"/>
  <c r="BU63" i="2"/>
  <c r="BR63" i="2"/>
  <c r="BQ63" i="2"/>
  <c r="BP63" i="2"/>
  <c r="BO63" i="2"/>
  <c r="BN63" i="2"/>
  <c r="BK63" i="2"/>
  <c r="BJ63" i="2"/>
  <c r="BI63" i="2"/>
  <c r="BH63" i="2"/>
  <c r="BG63" i="2"/>
  <c r="AZ63" i="2"/>
  <c r="AY63" i="2"/>
  <c r="AX63" i="2"/>
  <c r="AW63" i="2"/>
  <c r="AT63" i="2"/>
  <c r="AS63" i="2"/>
  <c r="AR63" i="2"/>
  <c r="AQ63" i="2"/>
  <c r="AP63" i="2"/>
  <c r="AD63" i="2"/>
  <c r="AC63" i="2"/>
  <c r="AB63" i="2"/>
  <c r="AA63" i="2"/>
  <c r="X63" i="2"/>
  <c r="W63" i="2"/>
  <c r="V63" i="2"/>
  <c r="U63" i="2"/>
  <c r="DC62" i="2"/>
  <c r="DA62" i="2"/>
  <c r="CZ62" i="2"/>
  <c r="CY62" i="2"/>
  <c r="CX62" i="2"/>
  <c r="CW62" i="2"/>
  <c r="CT62" i="2"/>
  <c r="CR62" i="2"/>
  <c r="CQ62" i="2"/>
  <c r="CP62" i="2"/>
  <c r="CO62" i="2"/>
  <c r="CN62" i="2"/>
  <c r="CI62" i="2" a="1"/>
  <c r="CI62" i="2" s="1"/>
  <c r="CH62" i="2" a="1"/>
  <c r="CH62" i="2" s="1"/>
  <c r="CG62" i="2" a="1"/>
  <c r="CG62" i="2" s="1"/>
  <c r="CF62" i="2" a="1"/>
  <c r="CF62" i="2" s="1"/>
  <c r="CE62" i="2" a="1"/>
  <c r="CE62" i="2" s="1"/>
  <c r="BY62" i="2"/>
  <c r="BX62" i="2"/>
  <c r="BW62" i="2"/>
  <c r="BV62" i="2"/>
  <c r="BU62" i="2"/>
  <c r="BR62" i="2"/>
  <c r="BQ62" i="2"/>
  <c r="BP62" i="2"/>
  <c r="BO62" i="2"/>
  <c r="BN62" i="2"/>
  <c r="BK62" i="2"/>
  <c r="BJ62" i="2"/>
  <c r="BI62" i="2"/>
  <c r="BH62" i="2"/>
  <c r="BG62" i="2"/>
  <c r="AZ62" i="2"/>
  <c r="AY62" i="2"/>
  <c r="AX62" i="2"/>
  <c r="AW62" i="2"/>
  <c r="AT62" i="2"/>
  <c r="AS62" i="2"/>
  <c r="AR62" i="2"/>
  <c r="AQ62" i="2"/>
  <c r="AP62" i="2"/>
  <c r="AD62" i="2"/>
  <c r="AC62" i="2"/>
  <c r="AB62" i="2"/>
  <c r="AA62" i="2"/>
  <c r="X62" i="2"/>
  <c r="W62" i="2"/>
  <c r="V62" i="2"/>
  <c r="U62" i="2"/>
  <c r="DC61" i="2"/>
  <c r="DA61" i="2"/>
  <c r="CZ61" i="2"/>
  <c r="CY61" i="2"/>
  <c r="CX61" i="2"/>
  <c r="CW61" i="2"/>
  <c r="CT61" i="2"/>
  <c r="CR61" i="2"/>
  <c r="CQ61" i="2"/>
  <c r="CP61" i="2"/>
  <c r="CO61" i="2"/>
  <c r="CN61" i="2"/>
  <c r="CI61" i="2" a="1"/>
  <c r="CI61" i="2" s="1"/>
  <c r="CH61" i="2" a="1"/>
  <c r="CH61" i="2" s="1"/>
  <c r="CG61" i="2" a="1"/>
  <c r="CG61" i="2" s="1"/>
  <c r="CF61" i="2" a="1"/>
  <c r="CF61" i="2" s="1"/>
  <c r="CE61" i="2" a="1"/>
  <c r="CE61" i="2" s="1"/>
  <c r="BY61" i="2"/>
  <c r="BX61" i="2"/>
  <c r="BW61" i="2"/>
  <c r="BV61" i="2"/>
  <c r="BU61" i="2"/>
  <c r="BR61" i="2"/>
  <c r="BQ61" i="2"/>
  <c r="BP61" i="2"/>
  <c r="BO61" i="2"/>
  <c r="BN61" i="2"/>
  <c r="BK61" i="2"/>
  <c r="BJ61" i="2"/>
  <c r="BI61" i="2"/>
  <c r="BH61" i="2"/>
  <c r="BG61" i="2"/>
  <c r="AZ61" i="2"/>
  <c r="AY61" i="2"/>
  <c r="AX61" i="2"/>
  <c r="AW61" i="2"/>
  <c r="AT61" i="2"/>
  <c r="AS61" i="2"/>
  <c r="AR61" i="2"/>
  <c r="AQ61" i="2"/>
  <c r="AP61" i="2"/>
  <c r="AD61" i="2"/>
  <c r="AC61" i="2"/>
  <c r="AB61" i="2"/>
  <c r="AA61" i="2"/>
  <c r="X61" i="2"/>
  <c r="W61" i="2"/>
  <c r="V61" i="2"/>
  <c r="U61" i="2"/>
  <c r="DC60" i="2"/>
  <c r="DA60" i="2"/>
  <c r="CZ60" i="2"/>
  <c r="CY60" i="2"/>
  <c r="CX60" i="2"/>
  <c r="CW60" i="2"/>
  <c r="CT60" i="2"/>
  <c r="CR60" i="2"/>
  <c r="CQ60" i="2"/>
  <c r="CP60" i="2"/>
  <c r="CO60" i="2"/>
  <c r="CN60" i="2"/>
  <c r="CI60" i="2" a="1"/>
  <c r="CI60" i="2" s="1"/>
  <c r="CH60" i="2" a="1"/>
  <c r="CH60" i="2" s="1"/>
  <c r="CG60" i="2" a="1"/>
  <c r="CG60" i="2" s="1"/>
  <c r="CF60" i="2" a="1"/>
  <c r="CF60" i="2" s="1"/>
  <c r="CE60" i="2" a="1"/>
  <c r="CE60" i="2" s="1"/>
  <c r="BY60" i="2"/>
  <c r="BX60" i="2"/>
  <c r="BW60" i="2"/>
  <c r="BV60" i="2"/>
  <c r="BU60" i="2"/>
  <c r="BR60" i="2"/>
  <c r="BQ60" i="2"/>
  <c r="BP60" i="2"/>
  <c r="BO60" i="2"/>
  <c r="BN60" i="2"/>
  <c r="BK60" i="2"/>
  <c r="BJ60" i="2"/>
  <c r="BI60" i="2"/>
  <c r="BH60" i="2"/>
  <c r="BG60" i="2"/>
  <c r="AZ60" i="2"/>
  <c r="AY60" i="2"/>
  <c r="AX60" i="2"/>
  <c r="AW60" i="2"/>
  <c r="AT60" i="2"/>
  <c r="AS60" i="2"/>
  <c r="AR60" i="2"/>
  <c r="AQ60" i="2"/>
  <c r="AP60" i="2"/>
  <c r="AD60" i="2"/>
  <c r="AC60" i="2"/>
  <c r="AB60" i="2"/>
  <c r="AA60" i="2"/>
  <c r="X60" i="2"/>
  <c r="W60" i="2"/>
  <c r="V60" i="2"/>
  <c r="U60" i="2"/>
  <c r="CI59" i="2" a="1"/>
  <c r="CI59" i="2" s="1"/>
  <c r="CH59" i="2" a="1"/>
  <c r="CH59" i="2" s="1"/>
  <c r="CG59" i="2" a="1"/>
  <c r="CG59" i="2" s="1"/>
  <c r="CF59" i="2" a="1"/>
  <c r="CF59" i="2" s="1"/>
  <c r="CE59" i="2" a="1"/>
  <c r="CE59" i="2" s="1"/>
  <c r="CI58" i="2" a="1"/>
  <c r="CI58" i="2" s="1"/>
  <c r="CH58" i="2" a="1"/>
  <c r="CH58" i="2" s="1"/>
  <c r="CG58" i="2" a="1"/>
  <c r="CG58" i="2" s="1"/>
  <c r="CF58" i="2" a="1"/>
  <c r="CF58" i="2" s="1"/>
  <c r="CE58" i="2" a="1"/>
  <c r="CE58" i="2" s="1"/>
  <c r="CI57" i="2" a="1"/>
  <c r="CI57" i="2" s="1"/>
  <c r="CH57" i="2" a="1"/>
  <c r="CH57" i="2" s="1"/>
  <c r="CG57" i="2" a="1"/>
  <c r="CG57" i="2" s="1"/>
  <c r="CF57" i="2" a="1"/>
  <c r="CF57" i="2" s="1"/>
  <c r="CE57" i="2" a="1"/>
  <c r="CE57" i="2" s="1"/>
  <c r="CI56" i="2" a="1"/>
  <c r="CI56" i="2" s="1"/>
  <c r="CH56" i="2" a="1"/>
  <c r="CH56" i="2" s="1"/>
  <c r="CG56" i="2" a="1"/>
  <c r="CG56" i="2" s="1"/>
  <c r="CF56" i="2" a="1"/>
  <c r="CF56" i="2" s="1"/>
  <c r="CE56" i="2" a="1"/>
  <c r="CE56" i="2" s="1"/>
  <c r="CI55" i="2" a="1"/>
  <c r="CI55" i="2" s="1"/>
  <c r="CH55" i="2" a="1"/>
  <c r="CH55" i="2" s="1"/>
  <c r="CG55" i="2" a="1"/>
  <c r="CG55" i="2" s="1"/>
  <c r="CF55" i="2" a="1"/>
  <c r="CF55" i="2" s="1"/>
  <c r="CE55" i="2" a="1"/>
  <c r="CE55" i="2" s="1"/>
  <c r="CI54" i="2" a="1"/>
  <c r="CI54" i="2" s="1"/>
  <c r="CH54" i="2" a="1"/>
  <c r="CH54" i="2" s="1"/>
  <c r="CG54" i="2" a="1"/>
  <c r="CG54" i="2" s="1"/>
  <c r="CF54" i="2" a="1"/>
  <c r="CF54" i="2" s="1"/>
  <c r="CE54" i="2" a="1"/>
  <c r="CE54" i="2" s="1"/>
  <c r="CI53" i="2" a="1"/>
  <c r="CI53" i="2" s="1"/>
  <c r="CH53" i="2" a="1"/>
  <c r="CH53" i="2" s="1"/>
  <c r="CG53" i="2" a="1"/>
  <c r="CG53" i="2" s="1"/>
  <c r="CF53" i="2" a="1"/>
  <c r="CF53" i="2" s="1"/>
  <c r="CE53" i="2" a="1"/>
  <c r="CE53" i="2" s="1"/>
  <c r="CI52" i="2" a="1"/>
  <c r="CI52" i="2" s="1"/>
  <c r="CH52" i="2" a="1"/>
  <c r="CH52" i="2" s="1"/>
  <c r="CG52" i="2" a="1"/>
  <c r="CG52" i="2" s="1"/>
  <c r="CF52" i="2" a="1"/>
  <c r="CF52" i="2" s="1"/>
  <c r="CE52" i="2" a="1"/>
  <c r="CE52" i="2" s="1"/>
  <c r="CI51" i="2" a="1"/>
  <c r="CI51" i="2" s="1"/>
  <c r="CH51" i="2" a="1"/>
  <c r="CH51" i="2" s="1"/>
  <c r="CG51" i="2" a="1"/>
  <c r="CG51" i="2" s="1"/>
  <c r="CF51" i="2" a="1"/>
  <c r="CF51" i="2" s="1"/>
  <c r="CE51" i="2" a="1"/>
  <c r="CE51" i="2" s="1"/>
  <c r="CI50" i="2" a="1"/>
  <c r="CI50" i="2" s="1"/>
  <c r="CH50" i="2" a="1"/>
  <c r="CH50" i="2" s="1"/>
  <c r="CG50" i="2" a="1"/>
  <c r="CG50" i="2" s="1"/>
  <c r="CF50" i="2" a="1"/>
  <c r="CF50" i="2" s="1"/>
  <c r="CE50" i="2" a="1"/>
  <c r="CE50" i="2" s="1"/>
  <c r="CI49" i="2" a="1"/>
  <c r="CI49" i="2" s="1"/>
  <c r="CH49" i="2" a="1"/>
  <c r="CH49" i="2" s="1"/>
  <c r="CG49" i="2" a="1"/>
  <c r="CG49" i="2" s="1"/>
  <c r="CF49" i="2" a="1"/>
  <c r="CF49" i="2" s="1"/>
  <c r="CE49" i="2" a="1"/>
  <c r="CE49" i="2" s="1"/>
  <c r="CI48" i="2" a="1"/>
  <c r="CI48" i="2" s="1"/>
  <c r="CH48" i="2" a="1"/>
  <c r="CH48" i="2" s="1"/>
  <c r="CG48" i="2" a="1"/>
  <c r="CG48" i="2" s="1"/>
  <c r="CF48" i="2" a="1"/>
  <c r="CF48" i="2" s="1"/>
  <c r="CE48" i="2" a="1"/>
  <c r="CE48" i="2" s="1"/>
  <c r="CI47" i="2" a="1"/>
  <c r="CI47" i="2" s="1"/>
  <c r="CH47" i="2" a="1"/>
  <c r="CH47" i="2" s="1"/>
  <c r="CG47" i="2" a="1"/>
  <c r="CG47" i="2" s="1"/>
  <c r="CF47" i="2" a="1"/>
  <c r="CF47" i="2" s="1"/>
  <c r="CE47" i="2" a="1"/>
  <c r="CE47" i="2" s="1"/>
  <c r="CI46" i="2" a="1"/>
  <c r="CI46" i="2" s="1"/>
  <c r="CH46" i="2" a="1"/>
  <c r="CH46" i="2" s="1"/>
  <c r="CG46" i="2" a="1"/>
  <c r="CG46" i="2" s="1"/>
  <c r="CF46" i="2" a="1"/>
  <c r="CF46" i="2" s="1"/>
  <c r="CE46" i="2" a="1"/>
  <c r="CE46" i="2" s="1"/>
  <c r="CI45" i="2" a="1"/>
  <c r="CI45" i="2" s="1"/>
  <c r="CH45" i="2" a="1"/>
  <c r="CH45" i="2" s="1"/>
  <c r="CG45" i="2" a="1"/>
  <c r="CG45" i="2" s="1"/>
  <c r="CF45" i="2" a="1"/>
  <c r="CF45" i="2" s="1"/>
  <c r="CE45" i="2" a="1"/>
  <c r="CE45" i="2" s="1"/>
  <c r="CI44" i="2" a="1"/>
  <c r="CI44" i="2" s="1"/>
  <c r="CH44" i="2" a="1"/>
  <c r="CH44" i="2" s="1"/>
  <c r="CG44" i="2" a="1"/>
  <c r="CG44" i="2" s="1"/>
  <c r="CF44" i="2" a="1"/>
  <c r="CF44" i="2" s="1"/>
  <c r="CE44" i="2" a="1"/>
  <c r="CE44" i="2" s="1"/>
  <c r="CI43" i="2" a="1"/>
  <c r="CI43" i="2" s="1"/>
  <c r="CH43" i="2" a="1"/>
  <c r="CH43" i="2" s="1"/>
  <c r="CG43" i="2" a="1"/>
  <c r="CG43" i="2" s="1"/>
  <c r="CF43" i="2" a="1"/>
  <c r="CF43" i="2" s="1"/>
  <c r="CE43" i="2" a="1"/>
  <c r="CE43" i="2" s="1"/>
  <c r="CI42" i="2" a="1"/>
  <c r="CI42" i="2" s="1"/>
  <c r="CH42" i="2" a="1"/>
  <c r="CH42" i="2" s="1"/>
  <c r="CG42" i="2" a="1"/>
  <c r="CG42" i="2" s="1"/>
  <c r="CF42" i="2" a="1"/>
  <c r="CF42" i="2" s="1"/>
  <c r="CE42" i="2" a="1"/>
  <c r="CE42" i="2" s="1"/>
  <c r="CI41" i="2" a="1"/>
  <c r="CI41" i="2" s="1"/>
  <c r="CH41" i="2" a="1"/>
  <c r="CH41" i="2" s="1"/>
  <c r="CG41" i="2" a="1"/>
  <c r="CG41" i="2" s="1"/>
  <c r="CF41" i="2" a="1"/>
  <c r="CF41" i="2" s="1"/>
  <c r="CE41" i="2" a="1"/>
  <c r="CE41" i="2" s="1"/>
  <c r="CI40" i="2" a="1"/>
  <c r="CI40" i="2" s="1"/>
  <c r="CH40" i="2" a="1"/>
  <c r="CH40" i="2" s="1"/>
  <c r="CG40" i="2" a="1"/>
  <c r="CG40" i="2" s="1"/>
  <c r="CF40" i="2" a="1"/>
  <c r="CF40" i="2" s="1"/>
  <c r="CE40" i="2" a="1"/>
  <c r="CE40" i="2" s="1"/>
  <c r="CI39" i="2" a="1"/>
  <c r="CI39" i="2" s="1"/>
  <c r="CH39" i="2" a="1"/>
  <c r="CH39" i="2" s="1"/>
  <c r="CG39" i="2" a="1"/>
  <c r="CG39" i="2" s="1"/>
  <c r="CF39" i="2" a="1"/>
  <c r="CF39" i="2" s="1"/>
  <c r="CE39" i="2" a="1"/>
  <c r="CE39" i="2" s="1"/>
  <c r="CI38" i="2" a="1"/>
  <c r="CI38" i="2" s="1"/>
  <c r="CH38" i="2" a="1"/>
  <c r="CH38" i="2" s="1"/>
  <c r="CG38" i="2" a="1"/>
  <c r="CG38" i="2" s="1"/>
  <c r="CF38" i="2" a="1"/>
  <c r="CF38" i="2" s="1"/>
  <c r="CE38" i="2" a="1"/>
  <c r="CE38" i="2" s="1"/>
  <c r="CI37" i="2" a="1"/>
  <c r="CI37" i="2" s="1"/>
  <c r="CH37" i="2" a="1"/>
  <c r="CH37" i="2" s="1"/>
  <c r="CG37" i="2" a="1"/>
  <c r="CG37" i="2" s="1"/>
  <c r="CF37" i="2" a="1"/>
  <c r="CF37" i="2" s="1"/>
  <c r="CE37" i="2" a="1"/>
  <c r="CE37" i="2" s="1"/>
  <c r="CI36" i="2" a="1"/>
  <c r="CI36" i="2" s="1"/>
  <c r="CH36" i="2" a="1"/>
  <c r="CH36" i="2" s="1"/>
  <c r="CG36" i="2" a="1"/>
  <c r="CG36" i="2" s="1"/>
  <c r="CF36" i="2" a="1"/>
  <c r="CF36" i="2" s="1"/>
  <c r="CE36" i="2" a="1"/>
  <c r="CE36" i="2" s="1"/>
  <c r="CI35" i="2" a="1"/>
  <c r="CI35" i="2" s="1"/>
  <c r="CH35" i="2" a="1"/>
  <c r="CH35" i="2" s="1"/>
  <c r="CG35" i="2" a="1"/>
  <c r="CG35" i="2" s="1"/>
  <c r="CF35" i="2" a="1"/>
  <c r="CF35" i="2" s="1"/>
  <c r="CE35" i="2" a="1"/>
  <c r="CE35" i="2" s="1"/>
  <c r="CI34" i="2" a="1"/>
  <c r="CI34" i="2" s="1"/>
  <c r="CH34" i="2" a="1"/>
  <c r="CH34" i="2" s="1"/>
  <c r="CG34" i="2" a="1"/>
  <c r="CG34" i="2" s="1"/>
  <c r="CF34" i="2" a="1"/>
  <c r="CF34" i="2" s="1"/>
  <c r="CE34" i="2" a="1"/>
  <c r="CE34" i="2" s="1"/>
  <c r="CI33" i="2" a="1"/>
  <c r="CI33" i="2" s="1"/>
  <c r="CH33" i="2" a="1"/>
  <c r="CH33" i="2" s="1"/>
  <c r="CG33" i="2" a="1"/>
  <c r="CG33" i="2" s="1"/>
  <c r="CF33" i="2" a="1"/>
  <c r="CF33" i="2" s="1"/>
  <c r="CE33" i="2" a="1"/>
  <c r="CE33" i="2" s="1"/>
  <c r="CI32" i="2" a="1"/>
  <c r="CI32" i="2" s="1"/>
  <c r="CH32" i="2" a="1"/>
  <c r="CH32" i="2" s="1"/>
  <c r="CG32" i="2" a="1"/>
  <c r="CG32" i="2" s="1"/>
  <c r="CF32" i="2" a="1"/>
  <c r="CF32" i="2" s="1"/>
  <c r="CE32" i="2" a="1"/>
  <c r="CE32" i="2" s="1"/>
  <c r="CI31" i="2" a="1"/>
  <c r="CI31" i="2" s="1"/>
  <c r="CH31" i="2" a="1"/>
  <c r="CH31" i="2" s="1"/>
  <c r="CG31" i="2" a="1"/>
  <c r="CG31" i="2" s="1"/>
  <c r="CF31" i="2" a="1"/>
  <c r="CF31" i="2" s="1"/>
  <c r="CE31" i="2" a="1"/>
  <c r="CE31" i="2" s="1"/>
  <c r="CI30" i="2" a="1"/>
  <c r="CI30" i="2" s="1"/>
  <c r="CH30" i="2" a="1"/>
  <c r="CH30" i="2" s="1"/>
  <c r="CG30" i="2" a="1"/>
  <c r="CG30" i="2" s="1"/>
  <c r="CF30" i="2" a="1"/>
  <c r="CF30" i="2" s="1"/>
  <c r="CE30" i="2" a="1"/>
  <c r="CE30" i="2" s="1"/>
  <c r="CI29" i="2" a="1"/>
  <c r="CI29" i="2" s="1"/>
  <c r="CH29" i="2" a="1"/>
  <c r="CH29" i="2" s="1"/>
  <c r="CG29" i="2" a="1"/>
  <c r="CG29" i="2" s="1"/>
  <c r="CF29" i="2" a="1"/>
  <c r="CF29" i="2" s="1"/>
  <c r="CE29" i="2" a="1"/>
  <c r="CE29" i="2" s="1"/>
  <c r="CI28" i="2" a="1"/>
  <c r="CI28" i="2" s="1"/>
  <c r="CH28" i="2" a="1"/>
  <c r="CH28" i="2" s="1"/>
  <c r="CG28" i="2" a="1"/>
  <c r="CG28" i="2" s="1"/>
  <c r="CF28" i="2" a="1"/>
  <c r="CF28" i="2" s="1"/>
  <c r="CE28" i="2" a="1"/>
  <c r="CE28" i="2" s="1"/>
  <c r="CI27" i="2" a="1"/>
  <c r="CI27" i="2" s="1"/>
  <c r="CH27" i="2" a="1"/>
  <c r="CH27" i="2" s="1"/>
  <c r="CG27" i="2" a="1"/>
  <c r="CG27" i="2" s="1"/>
  <c r="CF27" i="2" a="1"/>
  <c r="CF27" i="2" s="1"/>
  <c r="CE27" i="2" a="1"/>
  <c r="CE27" i="2" s="1"/>
  <c r="CI26" i="2" a="1"/>
  <c r="CI26" i="2" s="1"/>
  <c r="CH26" i="2" a="1"/>
  <c r="CH26" i="2" s="1"/>
  <c r="CG26" i="2" a="1"/>
  <c r="CG26" i="2" s="1"/>
  <c r="CF26" i="2" a="1"/>
  <c r="CF26" i="2" s="1"/>
  <c r="CE26" i="2" a="1"/>
  <c r="CE26" i="2" s="1"/>
  <c r="CI25" i="2" a="1"/>
  <c r="CI25" i="2" s="1"/>
  <c r="CH25" i="2" a="1"/>
  <c r="CH25" i="2" s="1"/>
  <c r="CG25" i="2" a="1"/>
  <c r="CG25" i="2" s="1"/>
  <c r="CF25" i="2" a="1"/>
  <c r="CF25" i="2" s="1"/>
  <c r="CE25" i="2" a="1"/>
  <c r="CE25" i="2" s="1"/>
  <c r="CI24" i="2" a="1"/>
  <c r="CI24" i="2" s="1"/>
  <c r="CH24" i="2" a="1"/>
  <c r="CH24" i="2" s="1"/>
  <c r="CG24" i="2" a="1"/>
  <c r="CG24" i="2" s="1"/>
  <c r="CF24" i="2" a="1"/>
  <c r="CF24" i="2" s="1"/>
  <c r="CE24" i="2" a="1"/>
  <c r="CE24" i="2" s="1"/>
  <c r="CI23" i="2" a="1"/>
  <c r="CI23" i="2" s="1"/>
  <c r="CH23" i="2" a="1"/>
  <c r="CH23" i="2" s="1"/>
  <c r="CG23" i="2" a="1"/>
  <c r="CG23" i="2" s="1"/>
  <c r="CF23" i="2" a="1"/>
  <c r="CF23" i="2" s="1"/>
  <c r="CE23" i="2" a="1"/>
  <c r="CE23" i="2" s="1"/>
  <c r="CI22" i="2" a="1"/>
  <c r="CI22" i="2" s="1"/>
  <c r="CH22" i="2" a="1"/>
  <c r="CH22" i="2" s="1"/>
  <c r="CG22" i="2" a="1"/>
  <c r="CG22" i="2" s="1"/>
  <c r="CF22" i="2" a="1"/>
  <c r="CF22" i="2" s="1"/>
  <c r="CE22" i="2" a="1"/>
  <c r="CE22" i="2" s="1"/>
  <c r="CI21" i="2" a="1"/>
  <c r="CI21" i="2" s="1"/>
  <c r="CH21" i="2" a="1"/>
  <c r="CH21" i="2" s="1"/>
  <c r="CG21" i="2" a="1"/>
  <c r="CG21" i="2" s="1"/>
  <c r="CF21" i="2" a="1"/>
  <c r="CF21" i="2" s="1"/>
  <c r="CE21" i="2" a="1"/>
  <c r="CE21" i="2" s="1"/>
  <c r="CI20" i="2" a="1"/>
  <c r="CI20" i="2" s="1"/>
  <c r="CH20" i="2" a="1"/>
  <c r="CH20" i="2" s="1"/>
  <c r="CG20" i="2" a="1"/>
  <c r="CG20" i="2" s="1"/>
  <c r="CF20" i="2" a="1"/>
  <c r="CF20" i="2" s="1"/>
  <c r="CE20" i="2" a="1"/>
  <c r="CE20" i="2" s="1"/>
  <c r="CI19" i="2" a="1"/>
  <c r="CI19" i="2" s="1"/>
  <c r="CH19" i="2" a="1"/>
  <c r="CH19" i="2" s="1"/>
  <c r="CG19" i="2" a="1"/>
  <c r="CG19" i="2" s="1"/>
  <c r="CF19" i="2" a="1"/>
  <c r="CF19" i="2" s="1"/>
  <c r="CE19" i="2" a="1"/>
  <c r="CE19" i="2" s="1"/>
  <c r="CI18" i="2" a="1"/>
  <c r="CI18" i="2" s="1"/>
  <c r="CH18" i="2" a="1"/>
  <c r="CH18" i="2" s="1"/>
  <c r="CG18" i="2" a="1"/>
  <c r="CG18" i="2" s="1"/>
  <c r="CF18" i="2" a="1"/>
  <c r="CF18" i="2" s="1"/>
  <c r="CE18" i="2" a="1"/>
  <c r="CE18" i="2" s="1"/>
  <c r="CI17" i="2" a="1"/>
  <c r="CI17" i="2" s="1"/>
  <c r="CH17" i="2" a="1"/>
  <c r="CH17" i="2" s="1"/>
  <c r="CG17" i="2" a="1"/>
  <c r="CG17" i="2" s="1"/>
  <c r="CF17" i="2" a="1"/>
  <c r="CF17" i="2" s="1"/>
  <c r="CE17" i="2" a="1"/>
  <c r="CE17" i="2" s="1"/>
  <c r="CI16" i="2" a="1"/>
  <c r="CI16" i="2" s="1"/>
  <c r="CH16" i="2" a="1"/>
  <c r="CH16" i="2" s="1"/>
  <c r="CG16" i="2" a="1"/>
  <c r="CG16" i="2" s="1"/>
  <c r="CF16" i="2" a="1"/>
  <c r="CF16" i="2" s="1"/>
  <c r="CE16" i="2" a="1"/>
  <c r="CE16" i="2" s="1"/>
  <c r="CI15" i="2" a="1"/>
  <c r="CI15" i="2" s="1"/>
  <c r="CH15" i="2" a="1"/>
  <c r="CH15" i="2" s="1"/>
  <c r="CG15" i="2" a="1"/>
  <c r="CG15" i="2" s="1"/>
  <c r="CF15" i="2" a="1"/>
  <c r="CF15" i="2" s="1"/>
  <c r="CE15" i="2" a="1"/>
  <c r="CE15" i="2" s="1"/>
  <c r="DC59" i="2"/>
  <c r="DA59" i="2"/>
  <c r="CZ59" i="2"/>
  <c r="CY59" i="2"/>
  <c r="CX59" i="2"/>
  <c r="CW59" i="2"/>
  <c r="DC58" i="2"/>
  <c r="DA58" i="2"/>
  <c r="CZ58" i="2"/>
  <c r="CY58" i="2"/>
  <c r="CX58" i="2"/>
  <c r="CW58" i="2"/>
  <c r="DC57" i="2"/>
  <c r="DA57" i="2"/>
  <c r="CZ57" i="2"/>
  <c r="CY57" i="2"/>
  <c r="CX57" i="2"/>
  <c r="CW57" i="2"/>
  <c r="DC56" i="2"/>
  <c r="DA56" i="2"/>
  <c r="CZ56" i="2"/>
  <c r="CY56" i="2"/>
  <c r="CX56" i="2"/>
  <c r="CW56" i="2"/>
  <c r="DC55" i="2"/>
  <c r="DA55" i="2"/>
  <c r="CZ55" i="2"/>
  <c r="CY55" i="2"/>
  <c r="CX55" i="2"/>
  <c r="CW55" i="2"/>
  <c r="DC54" i="2"/>
  <c r="DA54" i="2"/>
  <c r="CZ54" i="2"/>
  <c r="CY54" i="2"/>
  <c r="CX54" i="2"/>
  <c r="CW54" i="2"/>
  <c r="DC53" i="2"/>
  <c r="DA53" i="2"/>
  <c r="CZ53" i="2"/>
  <c r="CY53" i="2"/>
  <c r="CX53" i="2"/>
  <c r="CW53" i="2"/>
  <c r="DC52" i="2"/>
  <c r="DA52" i="2"/>
  <c r="CZ52" i="2"/>
  <c r="CY52" i="2"/>
  <c r="CX52" i="2"/>
  <c r="CW52" i="2"/>
  <c r="DC51" i="2"/>
  <c r="DA51" i="2"/>
  <c r="CZ51" i="2"/>
  <c r="CY51" i="2"/>
  <c r="CX51" i="2"/>
  <c r="CW51" i="2"/>
  <c r="DC50" i="2"/>
  <c r="DA50" i="2"/>
  <c r="CZ50" i="2"/>
  <c r="CY50" i="2"/>
  <c r="CX50" i="2"/>
  <c r="CW50" i="2"/>
  <c r="DC49" i="2"/>
  <c r="DA49" i="2"/>
  <c r="CZ49" i="2"/>
  <c r="CY49" i="2"/>
  <c r="CX49" i="2"/>
  <c r="CW49" i="2"/>
  <c r="DC48" i="2"/>
  <c r="DA48" i="2"/>
  <c r="CZ48" i="2"/>
  <c r="CY48" i="2"/>
  <c r="CX48" i="2"/>
  <c r="CW48" i="2"/>
  <c r="DC47" i="2"/>
  <c r="DA47" i="2"/>
  <c r="CZ47" i="2"/>
  <c r="CY47" i="2"/>
  <c r="CX47" i="2"/>
  <c r="CW47" i="2"/>
  <c r="DC46" i="2"/>
  <c r="DA46" i="2"/>
  <c r="CZ46" i="2"/>
  <c r="CY46" i="2"/>
  <c r="CX46" i="2"/>
  <c r="CW46" i="2"/>
  <c r="DC45" i="2"/>
  <c r="DA45" i="2"/>
  <c r="CZ45" i="2"/>
  <c r="CY45" i="2"/>
  <c r="CX45" i="2"/>
  <c r="CW45" i="2"/>
  <c r="DC44" i="2"/>
  <c r="DA44" i="2"/>
  <c r="CZ44" i="2"/>
  <c r="CY44" i="2"/>
  <c r="CX44" i="2"/>
  <c r="CW44" i="2"/>
  <c r="DC43" i="2"/>
  <c r="DA43" i="2"/>
  <c r="CZ43" i="2"/>
  <c r="CY43" i="2"/>
  <c r="CX43" i="2"/>
  <c r="CW43" i="2"/>
  <c r="DC42" i="2"/>
  <c r="DA42" i="2"/>
  <c r="CZ42" i="2"/>
  <c r="CY42" i="2"/>
  <c r="CX42" i="2"/>
  <c r="CW42" i="2"/>
  <c r="DC41" i="2"/>
  <c r="DA41" i="2"/>
  <c r="CZ41" i="2"/>
  <c r="CY41" i="2"/>
  <c r="CX41" i="2"/>
  <c r="CW41" i="2"/>
  <c r="DC40" i="2"/>
  <c r="DA40" i="2"/>
  <c r="CZ40" i="2"/>
  <c r="CY40" i="2"/>
  <c r="CX40" i="2"/>
  <c r="CW40" i="2"/>
  <c r="DC39" i="2"/>
  <c r="DA39" i="2"/>
  <c r="CZ39" i="2"/>
  <c r="CY39" i="2"/>
  <c r="CX39" i="2"/>
  <c r="CW39" i="2"/>
  <c r="DC38" i="2"/>
  <c r="DA38" i="2"/>
  <c r="CZ38" i="2"/>
  <c r="CY38" i="2"/>
  <c r="CX38" i="2"/>
  <c r="CW38" i="2"/>
  <c r="DC37" i="2"/>
  <c r="DA37" i="2"/>
  <c r="CZ37" i="2"/>
  <c r="CY37" i="2"/>
  <c r="CX37" i="2"/>
  <c r="CW37" i="2"/>
  <c r="DC36" i="2"/>
  <c r="DA36" i="2"/>
  <c r="CZ36" i="2"/>
  <c r="CY36" i="2"/>
  <c r="CX36" i="2"/>
  <c r="CW36" i="2"/>
  <c r="DC35" i="2"/>
  <c r="DA35" i="2"/>
  <c r="CZ35" i="2"/>
  <c r="CY35" i="2"/>
  <c r="CX35" i="2"/>
  <c r="CW35" i="2"/>
  <c r="DC34" i="2"/>
  <c r="DA34" i="2"/>
  <c r="CZ34" i="2"/>
  <c r="CY34" i="2"/>
  <c r="CX34" i="2"/>
  <c r="CW34" i="2"/>
  <c r="DC33" i="2"/>
  <c r="DA33" i="2"/>
  <c r="CZ33" i="2"/>
  <c r="CY33" i="2"/>
  <c r="CX33" i="2"/>
  <c r="CW33" i="2"/>
  <c r="DC32" i="2"/>
  <c r="DA32" i="2"/>
  <c r="CZ32" i="2"/>
  <c r="CY32" i="2"/>
  <c r="CX32" i="2"/>
  <c r="CW32" i="2"/>
  <c r="DC31" i="2"/>
  <c r="DA31" i="2"/>
  <c r="CZ31" i="2"/>
  <c r="CY31" i="2"/>
  <c r="CX31" i="2"/>
  <c r="CW31" i="2"/>
  <c r="DC30" i="2"/>
  <c r="DA30" i="2"/>
  <c r="CZ30" i="2"/>
  <c r="CY30" i="2"/>
  <c r="CX30" i="2"/>
  <c r="CW30" i="2"/>
  <c r="DC29" i="2"/>
  <c r="DA29" i="2"/>
  <c r="CZ29" i="2"/>
  <c r="CY29" i="2"/>
  <c r="CX29" i="2"/>
  <c r="CW29" i="2"/>
  <c r="DC28" i="2"/>
  <c r="DA28" i="2"/>
  <c r="CZ28" i="2"/>
  <c r="CY28" i="2"/>
  <c r="CX28" i="2"/>
  <c r="CW28" i="2"/>
  <c r="DC27" i="2"/>
  <c r="DA27" i="2"/>
  <c r="CZ27" i="2"/>
  <c r="CY27" i="2"/>
  <c r="CX27" i="2"/>
  <c r="CW27" i="2"/>
  <c r="DC26" i="2"/>
  <c r="DA26" i="2"/>
  <c r="CZ26" i="2"/>
  <c r="CY26" i="2"/>
  <c r="CX26" i="2"/>
  <c r="CW26" i="2"/>
  <c r="DC25" i="2"/>
  <c r="DA25" i="2"/>
  <c r="CZ25" i="2"/>
  <c r="CY25" i="2"/>
  <c r="CX25" i="2"/>
  <c r="CW25" i="2"/>
  <c r="DC24" i="2"/>
  <c r="DA24" i="2"/>
  <c r="CZ24" i="2"/>
  <c r="CY24" i="2"/>
  <c r="CX24" i="2"/>
  <c r="CW24" i="2"/>
  <c r="DC23" i="2"/>
  <c r="DA23" i="2"/>
  <c r="CZ23" i="2"/>
  <c r="CY23" i="2"/>
  <c r="CX23" i="2"/>
  <c r="CW23" i="2"/>
  <c r="DC22" i="2"/>
  <c r="DA22" i="2"/>
  <c r="CZ22" i="2"/>
  <c r="CY22" i="2"/>
  <c r="CX22" i="2"/>
  <c r="CW22" i="2"/>
  <c r="DC21" i="2"/>
  <c r="DA21" i="2"/>
  <c r="CZ21" i="2"/>
  <c r="CY21" i="2"/>
  <c r="CX21" i="2"/>
  <c r="CW21" i="2"/>
  <c r="DC20" i="2"/>
  <c r="DA20" i="2"/>
  <c r="CZ20" i="2"/>
  <c r="CY20" i="2"/>
  <c r="CX20" i="2"/>
  <c r="CW20" i="2"/>
  <c r="DC19" i="2"/>
  <c r="DA19" i="2"/>
  <c r="CZ19" i="2"/>
  <c r="CY19" i="2"/>
  <c r="CX19" i="2"/>
  <c r="CW19" i="2"/>
  <c r="DC18" i="2"/>
  <c r="DA18" i="2"/>
  <c r="CZ18" i="2"/>
  <c r="CY18" i="2"/>
  <c r="CX18" i="2"/>
  <c r="CW18" i="2"/>
  <c r="DC17" i="2"/>
  <c r="DA17" i="2"/>
  <c r="CZ17" i="2"/>
  <c r="CY17" i="2"/>
  <c r="CX17" i="2"/>
  <c r="CW17" i="2"/>
  <c r="DC16" i="2"/>
  <c r="DA16" i="2"/>
  <c r="CZ16" i="2"/>
  <c r="CY16" i="2"/>
  <c r="CX16" i="2"/>
  <c r="CW16" i="2"/>
  <c r="DC15" i="2"/>
  <c r="DA15" i="2"/>
  <c r="CZ15" i="2"/>
  <c r="CY15" i="2"/>
  <c r="CX15" i="2"/>
  <c r="CW15" i="2"/>
  <c r="DC14" i="2"/>
  <c r="DA14" i="2"/>
  <c r="CZ14" i="2"/>
  <c r="CY14" i="2"/>
  <c r="CX14" i="2"/>
  <c r="CW14" i="2"/>
  <c r="DC13" i="2"/>
  <c r="DA13" i="2"/>
  <c r="CZ13" i="2"/>
  <c r="CY13" i="2"/>
  <c r="CX13" i="2"/>
  <c r="CW13" i="2"/>
  <c r="DC12" i="2"/>
  <c r="DA12" i="2"/>
  <c r="CZ12" i="2"/>
  <c r="CY12" i="2"/>
  <c r="CX12" i="2"/>
  <c r="CW12" i="2"/>
  <c r="DC11" i="2"/>
  <c r="DA11" i="2"/>
  <c r="CZ11" i="2"/>
  <c r="CY11" i="2"/>
  <c r="CX11" i="2"/>
  <c r="CW11" i="2"/>
  <c r="DC10" i="2"/>
  <c r="DA10" i="2"/>
  <c r="CZ10" i="2"/>
  <c r="CY10" i="2"/>
  <c r="CX10" i="2"/>
  <c r="CW10" i="2"/>
  <c r="DC9" i="2"/>
  <c r="DA9" i="2"/>
  <c r="CZ9" i="2"/>
  <c r="CY9" i="2"/>
  <c r="CX9" i="2"/>
  <c r="CW9" i="2"/>
  <c r="DC8" i="2"/>
  <c r="DA8" i="2"/>
  <c r="CZ8" i="2"/>
  <c r="CY8" i="2"/>
  <c r="CX8" i="2"/>
  <c r="CW8" i="2"/>
  <c r="DC7" i="2"/>
  <c r="DA7" i="2"/>
  <c r="CZ7" i="2"/>
  <c r="CY7" i="2"/>
  <c r="CX7" i="2"/>
  <c r="CW7" i="2"/>
  <c r="DC6" i="2"/>
  <c r="DA6" i="2"/>
  <c r="CZ6" i="2"/>
  <c r="CY6" i="2"/>
  <c r="CX6" i="2"/>
  <c r="CW6" i="2"/>
  <c r="CT59" i="2"/>
  <c r="CR59" i="2"/>
  <c r="CQ59" i="2"/>
  <c r="CP59" i="2"/>
  <c r="CO59" i="2"/>
  <c r="CN59" i="2"/>
  <c r="CT58" i="2"/>
  <c r="CR58" i="2"/>
  <c r="CQ58" i="2"/>
  <c r="CP58" i="2"/>
  <c r="CO58" i="2"/>
  <c r="CN58" i="2"/>
  <c r="CT57" i="2"/>
  <c r="CR57" i="2"/>
  <c r="CQ57" i="2"/>
  <c r="CP57" i="2"/>
  <c r="CO57" i="2"/>
  <c r="CN57" i="2"/>
  <c r="CT56" i="2"/>
  <c r="CR56" i="2"/>
  <c r="CQ56" i="2"/>
  <c r="CP56" i="2"/>
  <c r="CO56" i="2"/>
  <c r="CN56" i="2"/>
  <c r="CT55" i="2"/>
  <c r="CR55" i="2"/>
  <c r="CQ55" i="2"/>
  <c r="CP55" i="2"/>
  <c r="CO55" i="2"/>
  <c r="CN55" i="2"/>
  <c r="CT54" i="2"/>
  <c r="CR54" i="2"/>
  <c r="CQ54" i="2"/>
  <c r="CP54" i="2"/>
  <c r="CO54" i="2"/>
  <c r="CN54" i="2"/>
  <c r="CT53" i="2"/>
  <c r="CR53" i="2"/>
  <c r="CQ53" i="2"/>
  <c r="CP53" i="2"/>
  <c r="CO53" i="2"/>
  <c r="CN53" i="2"/>
  <c r="CT52" i="2"/>
  <c r="CR52" i="2"/>
  <c r="CQ52" i="2"/>
  <c r="CP52" i="2"/>
  <c r="CO52" i="2"/>
  <c r="CN52" i="2"/>
  <c r="CT51" i="2"/>
  <c r="CR51" i="2"/>
  <c r="CQ51" i="2"/>
  <c r="CP51" i="2"/>
  <c r="CO51" i="2"/>
  <c r="CN51" i="2"/>
  <c r="CT50" i="2"/>
  <c r="CR50" i="2"/>
  <c r="CQ50" i="2"/>
  <c r="CP50" i="2"/>
  <c r="CO50" i="2"/>
  <c r="CN50" i="2"/>
  <c r="CT49" i="2"/>
  <c r="CR49" i="2"/>
  <c r="CQ49" i="2"/>
  <c r="CP49" i="2"/>
  <c r="CO49" i="2"/>
  <c r="CN49" i="2"/>
  <c r="CT48" i="2"/>
  <c r="CR48" i="2"/>
  <c r="CQ48" i="2"/>
  <c r="CP48" i="2"/>
  <c r="CO48" i="2"/>
  <c r="CN48" i="2"/>
  <c r="CT47" i="2"/>
  <c r="CR47" i="2"/>
  <c r="CQ47" i="2"/>
  <c r="CP47" i="2"/>
  <c r="CO47" i="2"/>
  <c r="CN47" i="2"/>
  <c r="CT46" i="2"/>
  <c r="CR46" i="2"/>
  <c r="CQ46" i="2"/>
  <c r="CP46" i="2"/>
  <c r="CO46" i="2"/>
  <c r="CN46" i="2"/>
  <c r="CT45" i="2"/>
  <c r="CR45" i="2"/>
  <c r="CQ45" i="2"/>
  <c r="CP45" i="2"/>
  <c r="CO45" i="2"/>
  <c r="CN45" i="2"/>
  <c r="CT44" i="2"/>
  <c r="CR44" i="2"/>
  <c r="CQ44" i="2"/>
  <c r="CP44" i="2"/>
  <c r="CO44" i="2"/>
  <c r="CN44" i="2"/>
  <c r="CT43" i="2"/>
  <c r="CR43" i="2"/>
  <c r="CQ43" i="2"/>
  <c r="CP43" i="2"/>
  <c r="CO43" i="2"/>
  <c r="CN43" i="2"/>
  <c r="CT42" i="2"/>
  <c r="CR42" i="2"/>
  <c r="CQ42" i="2"/>
  <c r="CP42" i="2"/>
  <c r="CO42" i="2"/>
  <c r="CN42" i="2"/>
  <c r="CT41" i="2"/>
  <c r="CR41" i="2"/>
  <c r="CQ41" i="2"/>
  <c r="CP41" i="2"/>
  <c r="CO41" i="2"/>
  <c r="CN41" i="2"/>
  <c r="CT40" i="2"/>
  <c r="CR40" i="2"/>
  <c r="CQ40" i="2"/>
  <c r="CP40" i="2"/>
  <c r="CO40" i="2"/>
  <c r="CN40" i="2"/>
  <c r="CT39" i="2"/>
  <c r="CR39" i="2"/>
  <c r="CQ39" i="2"/>
  <c r="CP39" i="2"/>
  <c r="CO39" i="2"/>
  <c r="CN39" i="2"/>
  <c r="CT38" i="2"/>
  <c r="CR38" i="2"/>
  <c r="CQ38" i="2"/>
  <c r="CP38" i="2"/>
  <c r="CO38" i="2"/>
  <c r="CN38" i="2"/>
  <c r="CT37" i="2"/>
  <c r="CR37" i="2"/>
  <c r="CQ37" i="2"/>
  <c r="CP37" i="2"/>
  <c r="CO37" i="2"/>
  <c r="CN37" i="2"/>
  <c r="CT36" i="2"/>
  <c r="CR36" i="2"/>
  <c r="CQ36" i="2"/>
  <c r="CP36" i="2"/>
  <c r="CO36" i="2"/>
  <c r="CN36" i="2"/>
  <c r="CT35" i="2"/>
  <c r="CR35" i="2"/>
  <c r="CQ35" i="2"/>
  <c r="CP35" i="2"/>
  <c r="CO35" i="2"/>
  <c r="CN35" i="2"/>
  <c r="CT34" i="2"/>
  <c r="CR34" i="2"/>
  <c r="CQ34" i="2"/>
  <c r="CP34" i="2"/>
  <c r="CO34" i="2"/>
  <c r="CN34" i="2"/>
  <c r="CT33" i="2"/>
  <c r="CR33" i="2"/>
  <c r="CQ33" i="2"/>
  <c r="CP33" i="2"/>
  <c r="CO33" i="2"/>
  <c r="CN33" i="2"/>
  <c r="CT32" i="2"/>
  <c r="CR32" i="2"/>
  <c r="CQ32" i="2"/>
  <c r="CP32" i="2"/>
  <c r="CO32" i="2"/>
  <c r="CN32" i="2"/>
  <c r="CT31" i="2"/>
  <c r="CR31" i="2"/>
  <c r="CQ31" i="2"/>
  <c r="CP31" i="2"/>
  <c r="CO31" i="2"/>
  <c r="CN31" i="2"/>
  <c r="CT30" i="2"/>
  <c r="CR30" i="2"/>
  <c r="CQ30" i="2"/>
  <c r="CP30" i="2"/>
  <c r="CO30" i="2"/>
  <c r="CN30" i="2"/>
  <c r="CT29" i="2"/>
  <c r="CR29" i="2"/>
  <c r="CQ29" i="2"/>
  <c r="CP29" i="2"/>
  <c r="CO29" i="2"/>
  <c r="CN29" i="2"/>
  <c r="CT28" i="2"/>
  <c r="CR28" i="2"/>
  <c r="CQ28" i="2"/>
  <c r="CP28" i="2"/>
  <c r="CO28" i="2"/>
  <c r="CN28" i="2"/>
  <c r="CT27" i="2"/>
  <c r="CR27" i="2"/>
  <c r="CQ27" i="2"/>
  <c r="CP27" i="2"/>
  <c r="CO27" i="2"/>
  <c r="CN27" i="2"/>
  <c r="CT26" i="2"/>
  <c r="CR26" i="2"/>
  <c r="CQ26" i="2"/>
  <c r="CP26" i="2"/>
  <c r="CO26" i="2"/>
  <c r="CN26" i="2"/>
  <c r="CT25" i="2"/>
  <c r="CR25" i="2"/>
  <c r="CQ25" i="2"/>
  <c r="CP25" i="2"/>
  <c r="CO25" i="2"/>
  <c r="CN25" i="2"/>
  <c r="CT24" i="2"/>
  <c r="CR24" i="2"/>
  <c r="CQ24" i="2"/>
  <c r="CP24" i="2"/>
  <c r="CO24" i="2"/>
  <c r="CN24" i="2"/>
  <c r="CT23" i="2"/>
  <c r="CR23" i="2"/>
  <c r="CQ23" i="2"/>
  <c r="CP23" i="2"/>
  <c r="CO23" i="2"/>
  <c r="CN23" i="2"/>
  <c r="CT22" i="2"/>
  <c r="CR22" i="2"/>
  <c r="CQ22" i="2"/>
  <c r="CP22" i="2"/>
  <c r="CO22" i="2"/>
  <c r="CN22" i="2"/>
  <c r="CT21" i="2"/>
  <c r="CR21" i="2"/>
  <c r="CQ21" i="2"/>
  <c r="CP21" i="2"/>
  <c r="CO21" i="2"/>
  <c r="CN21" i="2"/>
  <c r="CT20" i="2"/>
  <c r="CR20" i="2"/>
  <c r="CQ20" i="2"/>
  <c r="CP20" i="2"/>
  <c r="CO20" i="2"/>
  <c r="CN20" i="2"/>
  <c r="CT19" i="2"/>
  <c r="CR19" i="2"/>
  <c r="CQ19" i="2"/>
  <c r="CP19" i="2"/>
  <c r="CO19" i="2"/>
  <c r="CN19" i="2"/>
  <c r="CT18" i="2"/>
  <c r="CR18" i="2"/>
  <c r="CQ18" i="2"/>
  <c r="CP18" i="2"/>
  <c r="CO18" i="2"/>
  <c r="CN18" i="2"/>
  <c r="CT17" i="2"/>
  <c r="CR17" i="2"/>
  <c r="CQ17" i="2"/>
  <c r="CP17" i="2"/>
  <c r="CO17" i="2"/>
  <c r="CN17" i="2"/>
  <c r="CT16" i="2"/>
  <c r="CR16" i="2"/>
  <c r="CQ16" i="2"/>
  <c r="CP16" i="2"/>
  <c r="CO16" i="2"/>
  <c r="CN16" i="2"/>
  <c r="CT15" i="2"/>
  <c r="CR15" i="2"/>
  <c r="CQ15" i="2"/>
  <c r="CP15" i="2"/>
  <c r="CO15" i="2"/>
  <c r="CN15" i="2"/>
  <c r="CT14" i="2"/>
  <c r="CR14" i="2"/>
  <c r="CQ14" i="2"/>
  <c r="CP14" i="2"/>
  <c r="CO14" i="2"/>
  <c r="CN14" i="2"/>
  <c r="CT13" i="2"/>
  <c r="CR13" i="2"/>
  <c r="CQ13" i="2"/>
  <c r="CP13" i="2"/>
  <c r="CO13" i="2"/>
  <c r="CN13" i="2"/>
  <c r="CT12" i="2"/>
  <c r="CR12" i="2"/>
  <c r="CQ12" i="2"/>
  <c r="CP12" i="2"/>
  <c r="CO12" i="2"/>
  <c r="CN12" i="2"/>
  <c r="CT11" i="2"/>
  <c r="CR11" i="2"/>
  <c r="CQ11" i="2"/>
  <c r="CP11" i="2"/>
  <c r="CO11" i="2"/>
  <c r="CN11" i="2"/>
  <c r="CT10" i="2"/>
  <c r="CR10" i="2"/>
  <c r="CQ10" i="2"/>
  <c r="CP10" i="2"/>
  <c r="CO10" i="2"/>
  <c r="CN10" i="2"/>
  <c r="CT9" i="2"/>
  <c r="CR9" i="2"/>
  <c r="CQ9" i="2"/>
  <c r="CP9" i="2"/>
  <c r="CO9" i="2"/>
  <c r="CN9" i="2"/>
  <c r="CT8" i="2"/>
  <c r="CR8" i="2"/>
  <c r="CQ8" i="2"/>
  <c r="CP8" i="2"/>
  <c r="CO8" i="2"/>
  <c r="CN8" i="2"/>
  <c r="CT7" i="2"/>
  <c r="CR7" i="2"/>
  <c r="CQ7" i="2"/>
  <c r="CP7" i="2"/>
  <c r="CO7" i="2"/>
  <c r="CN7" i="2"/>
  <c r="CT6" i="2"/>
  <c r="CR6" i="2"/>
  <c r="CQ6" i="2"/>
  <c r="CP6" i="2"/>
  <c r="CO6" i="2"/>
  <c r="CN6" i="2"/>
  <c r="BY59" i="2"/>
  <c r="BX59" i="2"/>
  <c r="BW59" i="2"/>
  <c r="BV59" i="2"/>
  <c r="BU59" i="2"/>
  <c r="BY58" i="2"/>
  <c r="BX58" i="2"/>
  <c r="BW58" i="2"/>
  <c r="BV58" i="2"/>
  <c r="BU58" i="2"/>
  <c r="BY57" i="2"/>
  <c r="BX57" i="2"/>
  <c r="BW57" i="2"/>
  <c r="BV57" i="2"/>
  <c r="BU57" i="2"/>
  <c r="BY56" i="2"/>
  <c r="BX56" i="2"/>
  <c r="BW56" i="2"/>
  <c r="BV56" i="2"/>
  <c r="BU56" i="2"/>
  <c r="BY55" i="2"/>
  <c r="BX55" i="2"/>
  <c r="BW55" i="2"/>
  <c r="BV55" i="2"/>
  <c r="BU55" i="2"/>
  <c r="BY54" i="2"/>
  <c r="BX54" i="2"/>
  <c r="BW54" i="2"/>
  <c r="BV54" i="2"/>
  <c r="BU54" i="2"/>
  <c r="BY53" i="2"/>
  <c r="BX53" i="2"/>
  <c r="BW53" i="2"/>
  <c r="BV53" i="2"/>
  <c r="BU53" i="2"/>
  <c r="BY52" i="2"/>
  <c r="BX52" i="2"/>
  <c r="BW52" i="2"/>
  <c r="BV52" i="2"/>
  <c r="BU52" i="2"/>
  <c r="BY51" i="2"/>
  <c r="BX51" i="2"/>
  <c r="BW51" i="2"/>
  <c r="BV51" i="2"/>
  <c r="BU51" i="2"/>
  <c r="BY50" i="2"/>
  <c r="BX50" i="2"/>
  <c r="BW50" i="2"/>
  <c r="BV50" i="2"/>
  <c r="BU50" i="2"/>
  <c r="BY49" i="2"/>
  <c r="BX49" i="2"/>
  <c r="BW49" i="2"/>
  <c r="BV49" i="2"/>
  <c r="BU49" i="2"/>
  <c r="BY48" i="2"/>
  <c r="BX48" i="2"/>
  <c r="BW48" i="2"/>
  <c r="BV48" i="2"/>
  <c r="BU48" i="2"/>
  <c r="BY47" i="2"/>
  <c r="BX47" i="2"/>
  <c r="BW47" i="2"/>
  <c r="BV47" i="2"/>
  <c r="BU47" i="2"/>
  <c r="BY46" i="2"/>
  <c r="BX46" i="2"/>
  <c r="BW46" i="2"/>
  <c r="BV46" i="2"/>
  <c r="BU46" i="2"/>
  <c r="BY45" i="2"/>
  <c r="BX45" i="2"/>
  <c r="BW45" i="2"/>
  <c r="BV45" i="2"/>
  <c r="BU45" i="2"/>
  <c r="BY44" i="2"/>
  <c r="BX44" i="2"/>
  <c r="BW44" i="2"/>
  <c r="BV44" i="2"/>
  <c r="BU44" i="2"/>
  <c r="BY43" i="2"/>
  <c r="BX43" i="2"/>
  <c r="BW43" i="2"/>
  <c r="BV43" i="2"/>
  <c r="BU43" i="2"/>
  <c r="BY42" i="2"/>
  <c r="BX42" i="2"/>
  <c r="BW42" i="2"/>
  <c r="BV42" i="2"/>
  <c r="BU42" i="2"/>
  <c r="BY41" i="2"/>
  <c r="BX41" i="2"/>
  <c r="BW41" i="2"/>
  <c r="BV41" i="2"/>
  <c r="BU41" i="2"/>
  <c r="BY40" i="2"/>
  <c r="BX40" i="2"/>
  <c r="BW40" i="2"/>
  <c r="BV40" i="2"/>
  <c r="BU40" i="2"/>
  <c r="BY39" i="2"/>
  <c r="BX39" i="2"/>
  <c r="BW39" i="2"/>
  <c r="BV39" i="2"/>
  <c r="BU39" i="2"/>
  <c r="BR59" i="2"/>
  <c r="BQ59" i="2"/>
  <c r="BP59" i="2"/>
  <c r="BO59" i="2"/>
  <c r="BN59" i="2"/>
  <c r="BR58" i="2"/>
  <c r="BQ58" i="2"/>
  <c r="BP58" i="2"/>
  <c r="BO58" i="2"/>
  <c r="BN58" i="2"/>
  <c r="BR57" i="2"/>
  <c r="BQ57" i="2"/>
  <c r="BP57" i="2"/>
  <c r="BO57" i="2"/>
  <c r="BN57" i="2"/>
  <c r="BR56" i="2"/>
  <c r="BQ56" i="2"/>
  <c r="BP56" i="2"/>
  <c r="BO56" i="2"/>
  <c r="BN56" i="2"/>
  <c r="BR55" i="2"/>
  <c r="BQ55" i="2"/>
  <c r="BP55" i="2"/>
  <c r="BO55" i="2"/>
  <c r="BN55" i="2"/>
  <c r="BR54" i="2"/>
  <c r="BQ54" i="2"/>
  <c r="BP54" i="2"/>
  <c r="BO54" i="2"/>
  <c r="BN54" i="2"/>
  <c r="BR53" i="2"/>
  <c r="BQ53" i="2"/>
  <c r="BP53" i="2"/>
  <c r="BO53" i="2"/>
  <c r="BN53" i="2"/>
  <c r="BR52" i="2"/>
  <c r="BQ52" i="2"/>
  <c r="BP52" i="2"/>
  <c r="BO52" i="2"/>
  <c r="BN52" i="2"/>
  <c r="BR51" i="2"/>
  <c r="BQ51" i="2"/>
  <c r="BP51" i="2"/>
  <c r="BO51" i="2"/>
  <c r="BN51" i="2"/>
  <c r="BR50" i="2"/>
  <c r="BQ50" i="2"/>
  <c r="BP50" i="2"/>
  <c r="BO50" i="2"/>
  <c r="BN50" i="2"/>
  <c r="BR49" i="2"/>
  <c r="BQ49" i="2"/>
  <c r="BP49" i="2"/>
  <c r="BO49" i="2"/>
  <c r="BN49" i="2"/>
  <c r="BR48" i="2"/>
  <c r="BQ48" i="2"/>
  <c r="BP48" i="2"/>
  <c r="BO48" i="2"/>
  <c r="BN48" i="2"/>
  <c r="BR47" i="2"/>
  <c r="BQ47" i="2"/>
  <c r="BP47" i="2"/>
  <c r="BO47" i="2"/>
  <c r="BN47" i="2"/>
  <c r="BR46" i="2"/>
  <c r="BQ46" i="2"/>
  <c r="BP46" i="2"/>
  <c r="BO46" i="2"/>
  <c r="BN46" i="2"/>
  <c r="BR45" i="2"/>
  <c r="BQ45" i="2"/>
  <c r="BP45" i="2"/>
  <c r="BO45" i="2"/>
  <c r="BN45" i="2"/>
  <c r="BR44" i="2"/>
  <c r="BQ44" i="2"/>
  <c r="BP44" i="2"/>
  <c r="BO44" i="2"/>
  <c r="BN44" i="2"/>
  <c r="BR43" i="2"/>
  <c r="BQ43" i="2"/>
  <c r="BP43" i="2"/>
  <c r="BO43" i="2"/>
  <c r="BN43" i="2"/>
  <c r="BR42" i="2"/>
  <c r="BQ42" i="2"/>
  <c r="BP42" i="2"/>
  <c r="BO42" i="2"/>
  <c r="BN42" i="2"/>
  <c r="BR41" i="2"/>
  <c r="BQ41" i="2"/>
  <c r="BP41" i="2"/>
  <c r="BO41" i="2"/>
  <c r="BN41" i="2"/>
  <c r="BR40" i="2"/>
  <c r="BQ40" i="2"/>
  <c r="BP40" i="2"/>
  <c r="BO40" i="2"/>
  <c r="BN40" i="2"/>
  <c r="BR39" i="2"/>
  <c r="BQ39" i="2"/>
  <c r="BP39" i="2"/>
  <c r="BO39" i="2"/>
  <c r="BN39" i="2"/>
  <c r="BK59" i="2"/>
  <c r="BJ59" i="2"/>
  <c r="BI59" i="2"/>
  <c r="BH59" i="2"/>
  <c r="BG59" i="2"/>
  <c r="BK58" i="2"/>
  <c r="BJ58" i="2"/>
  <c r="BI58" i="2"/>
  <c r="BH58" i="2"/>
  <c r="BG58" i="2"/>
  <c r="BK57" i="2"/>
  <c r="BJ57" i="2"/>
  <c r="BI57" i="2"/>
  <c r="BH57" i="2"/>
  <c r="BG57" i="2"/>
  <c r="BK56" i="2"/>
  <c r="BJ56" i="2"/>
  <c r="BI56" i="2"/>
  <c r="BH56" i="2"/>
  <c r="BG56" i="2"/>
  <c r="BK55" i="2"/>
  <c r="BJ55" i="2"/>
  <c r="BI55" i="2"/>
  <c r="BH55" i="2"/>
  <c r="BG55" i="2"/>
  <c r="BK54" i="2"/>
  <c r="BJ54" i="2"/>
  <c r="BI54" i="2"/>
  <c r="BH54" i="2"/>
  <c r="BG54" i="2"/>
  <c r="BK53" i="2"/>
  <c r="BJ53" i="2"/>
  <c r="BI53" i="2"/>
  <c r="BH53" i="2"/>
  <c r="BG53" i="2"/>
  <c r="BK52" i="2"/>
  <c r="BJ52" i="2"/>
  <c r="BI52" i="2"/>
  <c r="BH52" i="2"/>
  <c r="BG52" i="2"/>
  <c r="BK51" i="2"/>
  <c r="BJ51" i="2"/>
  <c r="BI51" i="2"/>
  <c r="BH51" i="2"/>
  <c r="BG51" i="2"/>
  <c r="BK50" i="2"/>
  <c r="BJ50" i="2"/>
  <c r="BI50" i="2"/>
  <c r="BH50" i="2"/>
  <c r="BG50" i="2"/>
  <c r="BK49" i="2"/>
  <c r="BJ49" i="2"/>
  <c r="BI49" i="2"/>
  <c r="BH49" i="2"/>
  <c r="BG49" i="2"/>
  <c r="BK48" i="2"/>
  <c r="BJ48" i="2"/>
  <c r="BI48" i="2"/>
  <c r="BH48" i="2"/>
  <c r="BG48" i="2"/>
  <c r="BK47" i="2"/>
  <c r="BJ47" i="2"/>
  <c r="BI47" i="2"/>
  <c r="BH47" i="2"/>
  <c r="BG47" i="2"/>
  <c r="BK46" i="2"/>
  <c r="BJ46" i="2"/>
  <c r="BI46" i="2"/>
  <c r="BH46" i="2"/>
  <c r="BG46" i="2"/>
  <c r="BK45" i="2"/>
  <c r="BJ45" i="2"/>
  <c r="BI45" i="2"/>
  <c r="BH45" i="2"/>
  <c r="BG45" i="2"/>
  <c r="BK44" i="2"/>
  <c r="BJ44" i="2"/>
  <c r="BI44" i="2"/>
  <c r="BH44" i="2"/>
  <c r="BG44" i="2"/>
  <c r="BK43" i="2"/>
  <c r="BJ43" i="2"/>
  <c r="BI43" i="2"/>
  <c r="BH43" i="2"/>
  <c r="BG43" i="2"/>
  <c r="BK42" i="2"/>
  <c r="BJ42" i="2"/>
  <c r="BI42" i="2"/>
  <c r="BH42" i="2"/>
  <c r="BG42" i="2"/>
  <c r="BK41" i="2"/>
  <c r="BJ41" i="2"/>
  <c r="BI41" i="2"/>
  <c r="BH41" i="2"/>
  <c r="BG41" i="2"/>
  <c r="BK40" i="2"/>
  <c r="BJ40" i="2"/>
  <c r="BI40" i="2"/>
  <c r="BH40" i="2"/>
  <c r="BG40" i="2"/>
  <c r="BK39" i="2"/>
  <c r="BJ39" i="2"/>
  <c r="BI39" i="2"/>
  <c r="BH39" i="2"/>
  <c r="BG39" i="2"/>
  <c r="BK38" i="2"/>
  <c r="BJ38" i="2"/>
  <c r="BI38" i="2"/>
  <c r="BH38" i="2"/>
  <c r="BG38" i="2"/>
  <c r="BK37" i="2"/>
  <c r="BJ37" i="2"/>
  <c r="BI37" i="2"/>
  <c r="BH37" i="2"/>
  <c r="BG37" i="2"/>
  <c r="BK36" i="2"/>
  <c r="BJ36" i="2"/>
  <c r="BI36" i="2"/>
  <c r="BH36" i="2"/>
  <c r="BG36" i="2"/>
  <c r="BK35" i="2"/>
  <c r="BJ35" i="2"/>
  <c r="BI35" i="2"/>
  <c r="BH35" i="2"/>
  <c r="BG35" i="2"/>
  <c r="BK34" i="2"/>
  <c r="BJ34" i="2"/>
  <c r="BI34" i="2"/>
  <c r="BH34" i="2"/>
  <c r="BG34" i="2"/>
  <c r="BK33" i="2"/>
  <c r="BJ33" i="2"/>
  <c r="BI33" i="2"/>
  <c r="BH33" i="2"/>
  <c r="BG33" i="2"/>
  <c r="BK32" i="2"/>
  <c r="BJ32" i="2"/>
  <c r="BI32" i="2"/>
  <c r="BH32" i="2"/>
  <c r="BG32" i="2"/>
  <c r="BK31" i="2"/>
  <c r="BJ31" i="2"/>
  <c r="BI31" i="2"/>
  <c r="BH31" i="2"/>
  <c r="BG31" i="2"/>
  <c r="BK30" i="2"/>
  <c r="BJ30" i="2"/>
  <c r="BI30" i="2"/>
  <c r="BH30" i="2"/>
  <c r="BG30" i="2"/>
  <c r="BK29" i="2"/>
  <c r="BJ29" i="2"/>
  <c r="BI29" i="2"/>
  <c r="BH29" i="2"/>
  <c r="BG29" i="2"/>
  <c r="BK28" i="2"/>
  <c r="BJ28" i="2"/>
  <c r="BI28" i="2"/>
  <c r="BH28" i="2"/>
  <c r="BG28" i="2"/>
  <c r="BK27" i="2"/>
  <c r="BJ27" i="2"/>
  <c r="BI27" i="2"/>
  <c r="BH27" i="2"/>
  <c r="BG27" i="2"/>
  <c r="BK26" i="2"/>
  <c r="BJ26" i="2"/>
  <c r="BI26" i="2"/>
  <c r="BH26" i="2"/>
  <c r="BG26" i="2"/>
  <c r="BK25" i="2"/>
  <c r="BJ25" i="2"/>
  <c r="BI25" i="2"/>
  <c r="BH25" i="2"/>
  <c r="BG25" i="2"/>
  <c r="BK24" i="2"/>
  <c r="BJ24" i="2"/>
  <c r="BI24" i="2"/>
  <c r="BH24" i="2"/>
  <c r="BG24" i="2"/>
  <c r="BK23" i="2"/>
  <c r="BJ23" i="2"/>
  <c r="BI23" i="2"/>
  <c r="BH23" i="2"/>
  <c r="BG23" i="2"/>
  <c r="BK22" i="2"/>
  <c r="BJ22" i="2"/>
  <c r="BI22" i="2"/>
  <c r="BH22" i="2"/>
  <c r="BG22" i="2"/>
  <c r="BK21" i="2"/>
  <c r="BJ21" i="2"/>
  <c r="BI21" i="2"/>
  <c r="BH21" i="2"/>
  <c r="BG21" i="2"/>
  <c r="BK20" i="2"/>
  <c r="BJ20" i="2"/>
  <c r="BI20" i="2"/>
  <c r="BH20" i="2"/>
  <c r="BG20" i="2"/>
  <c r="BK19" i="2"/>
  <c r="BJ19" i="2"/>
  <c r="BI19" i="2"/>
  <c r="BH19" i="2"/>
  <c r="BG19" i="2"/>
  <c r="BK18" i="2"/>
  <c r="BJ18" i="2"/>
  <c r="BI18" i="2"/>
  <c r="BH18" i="2"/>
  <c r="BG18" i="2"/>
  <c r="BK17" i="2"/>
  <c r="BJ17" i="2"/>
  <c r="BI17" i="2"/>
  <c r="BH17" i="2"/>
  <c r="BG17" i="2"/>
  <c r="BK16" i="2"/>
  <c r="BJ16" i="2"/>
  <c r="BI16" i="2"/>
  <c r="BH16" i="2"/>
  <c r="BG16" i="2"/>
  <c r="BK15" i="2"/>
  <c r="BJ15" i="2"/>
  <c r="BI15" i="2"/>
  <c r="BH15" i="2"/>
  <c r="BG15" i="2"/>
  <c r="BK14" i="2"/>
  <c r="BJ14" i="2"/>
  <c r="BI14" i="2"/>
  <c r="BH14" i="2"/>
  <c r="BG14" i="2"/>
  <c r="BK13" i="2"/>
  <c r="BJ13" i="2"/>
  <c r="BI13" i="2"/>
  <c r="BH13" i="2"/>
  <c r="BG13" i="2"/>
  <c r="BK12" i="2"/>
  <c r="BJ12" i="2"/>
  <c r="BI12" i="2"/>
  <c r="BH12" i="2"/>
  <c r="BG12" i="2"/>
  <c r="BK11" i="2"/>
  <c r="BJ11" i="2"/>
  <c r="BI11" i="2"/>
  <c r="BH11" i="2"/>
  <c r="BG11" i="2"/>
  <c r="BK10" i="2"/>
  <c r="BJ10" i="2"/>
  <c r="BI10" i="2"/>
  <c r="BH10" i="2"/>
  <c r="BG10" i="2"/>
  <c r="BK9" i="2"/>
  <c r="BJ9" i="2"/>
  <c r="BI9" i="2"/>
  <c r="BH9" i="2"/>
  <c r="BG9" i="2"/>
  <c r="BK8" i="2"/>
  <c r="BJ8" i="2"/>
  <c r="BI8" i="2"/>
  <c r="BH8" i="2"/>
  <c r="BG8" i="2"/>
  <c r="BK7" i="2"/>
  <c r="BJ7" i="2"/>
  <c r="BI7" i="2"/>
  <c r="BH7" i="2"/>
  <c r="BG7" i="2"/>
  <c r="BK6" i="2"/>
  <c r="BJ6" i="2"/>
  <c r="BI6" i="2"/>
  <c r="BH6" i="2"/>
  <c r="BG6" i="2"/>
  <c r="CL10" i="2" l="1"/>
  <c r="CM10" i="2" s="1"/>
  <c r="CL11" i="2"/>
  <c r="CM11" i="2" s="1"/>
  <c r="CL14" i="2"/>
  <c r="CM14" i="2" s="1"/>
  <c r="CL9" i="2"/>
  <c r="CM9" i="2" s="1"/>
  <c r="CL7" i="2"/>
  <c r="CM7" i="2" s="1"/>
  <c r="CL12" i="2"/>
  <c r="CM12" i="2" s="1"/>
  <c r="CL8" i="2"/>
  <c r="CM8" i="2" s="1"/>
  <c r="CL13" i="2"/>
  <c r="CM13" i="2" s="1"/>
  <c r="CL6" i="2"/>
  <c r="BE9" i="2"/>
  <c r="BZ32" i="2"/>
  <c r="BZ20" i="2"/>
  <c r="BZ8" i="2"/>
  <c r="BZ38" i="2"/>
  <c r="BZ26" i="2"/>
  <c r="BZ14" i="2"/>
  <c r="BZ27" i="2"/>
  <c r="BZ15" i="2"/>
  <c r="BZ30" i="2"/>
  <c r="BZ18" i="2"/>
  <c r="BZ6" i="2"/>
  <c r="BZ37" i="2"/>
  <c r="BZ25" i="2"/>
  <c r="BZ13" i="2"/>
  <c r="BZ34" i="2"/>
  <c r="BZ22" i="2"/>
  <c r="BZ10" i="2"/>
  <c r="BZ29" i="2"/>
  <c r="BZ17" i="2"/>
  <c r="BZ36" i="2"/>
  <c r="BZ24" i="2"/>
  <c r="BZ12" i="2"/>
  <c r="BE21" i="2"/>
  <c r="BZ31" i="2"/>
  <c r="BZ19" i="2"/>
  <c r="BZ7" i="2"/>
  <c r="BZ33" i="2"/>
  <c r="BZ21" i="2"/>
  <c r="BZ9" i="2"/>
  <c r="BZ28" i="2"/>
  <c r="BZ16" i="2"/>
  <c r="BZ35" i="2"/>
  <c r="BZ23" i="2"/>
  <c r="BZ11" i="2"/>
  <c r="BE16" i="2"/>
  <c r="BE28" i="2"/>
  <c r="BF28" i="2" s="1"/>
  <c r="BE11" i="2"/>
  <c r="BF11" i="2" s="1"/>
  <c r="BE23" i="2"/>
  <c r="BE35" i="2"/>
  <c r="BS33" i="2"/>
  <c r="BT33" i="2" s="1"/>
  <c r="BS28" i="2"/>
  <c r="BT28" i="2" s="1"/>
  <c r="BS21" i="2"/>
  <c r="BT21" i="2" s="1"/>
  <c r="BS16" i="2"/>
  <c r="BT16" i="2" s="1"/>
  <c r="BS9" i="2"/>
  <c r="BT9" i="2" s="1"/>
  <c r="BS30" i="2"/>
  <c r="BT30" i="2" s="1"/>
  <c r="BS18" i="2"/>
  <c r="BT18" i="2" s="1"/>
  <c r="BS6" i="2"/>
  <c r="BS36" i="2"/>
  <c r="BT36" i="2" s="1"/>
  <c r="BS24" i="2"/>
  <c r="BT24" i="2" s="1"/>
  <c r="BS12" i="2"/>
  <c r="BT12" i="2" s="1"/>
  <c r="BS35" i="2"/>
  <c r="BT35" i="2" s="1"/>
  <c r="BS23" i="2"/>
  <c r="BT23" i="2" s="1"/>
  <c r="BS11" i="2"/>
  <c r="BT11" i="2" s="1"/>
  <c r="BS37" i="2"/>
  <c r="BT37" i="2" s="1"/>
  <c r="BS25" i="2"/>
  <c r="BT25" i="2" s="1"/>
  <c r="BS13" i="2"/>
  <c r="BT13" i="2" s="1"/>
  <c r="BS32" i="2"/>
  <c r="BT32" i="2" s="1"/>
  <c r="BS20" i="2"/>
  <c r="BT20" i="2" s="1"/>
  <c r="BS8" i="2"/>
  <c r="BT8" i="2" s="1"/>
  <c r="BS27" i="2"/>
  <c r="BT27" i="2" s="1"/>
  <c r="BS15" i="2"/>
  <c r="BT15" i="2" s="1"/>
  <c r="BS34" i="2"/>
  <c r="BT34" i="2" s="1"/>
  <c r="BS22" i="2"/>
  <c r="BT22" i="2" s="1"/>
  <c r="BS10" i="2"/>
  <c r="BT10" i="2" s="1"/>
  <c r="BS38" i="2"/>
  <c r="BT38" i="2" s="1"/>
  <c r="BS29" i="2"/>
  <c r="BT29" i="2" s="1"/>
  <c r="BS26" i="2"/>
  <c r="BT26" i="2" s="1"/>
  <c r="BS17" i="2"/>
  <c r="BT17" i="2" s="1"/>
  <c r="BS14" i="2"/>
  <c r="BT14" i="2" s="1"/>
  <c r="BS31" i="2"/>
  <c r="BT31" i="2" s="1"/>
  <c r="BS19" i="2"/>
  <c r="BT19" i="2" s="1"/>
  <c r="BS7" i="2"/>
  <c r="BT7" i="2" s="1"/>
  <c r="BE10" i="2"/>
  <c r="BE19" i="2"/>
  <c r="BE26" i="2"/>
  <c r="BF26" i="2" s="1"/>
  <c r="BE38" i="2"/>
  <c r="BF38" i="2" s="1"/>
  <c r="BE34" i="2"/>
  <c r="BF34" i="2" s="1"/>
  <c r="BE20" i="2"/>
  <c r="BE13" i="2"/>
  <c r="BE22" i="2"/>
  <c r="BF22" i="2" s="1"/>
  <c r="BE15" i="2"/>
  <c r="BE27" i="2"/>
  <c r="BE8" i="2"/>
  <c r="BF8" i="2" s="1"/>
  <c r="BE32" i="2"/>
  <c r="BE25" i="2"/>
  <c r="BF25" i="2" s="1"/>
  <c r="BE37" i="2"/>
  <c r="BF37" i="2" s="1"/>
  <c r="BE6" i="2"/>
  <c r="BE18" i="2"/>
  <c r="BE30" i="2"/>
  <c r="BE33" i="2"/>
  <c r="BF33" i="2" s="1"/>
  <c r="BE14" i="2"/>
  <c r="BE7" i="2"/>
  <c r="BE31" i="2"/>
  <c r="BE12" i="2"/>
  <c r="BE24" i="2"/>
  <c r="BE36" i="2"/>
  <c r="BE17" i="2"/>
  <c r="BE29" i="2"/>
  <c r="DD75" i="2"/>
  <c r="DE75" i="2" s="1"/>
  <c r="AN30" i="2"/>
  <c r="AO30" i="2" s="1"/>
  <c r="BB73" i="2"/>
  <c r="BC73" i="2" s="1"/>
  <c r="BS73" i="2"/>
  <c r="BT73" i="2" s="1"/>
  <c r="BL76" i="2"/>
  <c r="BM76" i="2" s="1"/>
  <c r="CU76" i="2"/>
  <c r="CV76" i="2" s="1"/>
  <c r="AU76" i="2"/>
  <c r="AV76" i="2" s="1"/>
  <c r="BL68" i="2"/>
  <c r="BM68" i="2" s="1"/>
  <c r="CU68" i="2"/>
  <c r="CV68" i="2" s="1"/>
  <c r="CU75" i="2"/>
  <c r="CV75" i="2" s="1"/>
  <c r="DD67" i="2"/>
  <c r="DE67" i="2" s="1"/>
  <c r="AN71" i="2"/>
  <c r="AO71" i="2" s="1"/>
  <c r="CU73" i="2"/>
  <c r="CV73" i="2" s="1"/>
  <c r="AN64" i="2"/>
  <c r="AO64" i="2" s="1"/>
  <c r="CU71" i="2"/>
  <c r="CV71" i="2" s="1"/>
  <c r="BL75" i="2"/>
  <c r="BM75" i="2" s="1"/>
  <c r="AN70" i="2"/>
  <c r="AO70" i="2" s="1"/>
  <c r="DD70" i="2"/>
  <c r="DE70" i="2" s="1"/>
  <c r="BB74" i="2"/>
  <c r="BC74" i="2" s="1"/>
  <c r="DD74" i="2"/>
  <c r="DE74" i="2" s="1"/>
  <c r="AU75" i="2"/>
  <c r="AV75" i="2" s="1"/>
  <c r="BL67" i="2"/>
  <c r="BM67" i="2" s="1"/>
  <c r="AU69" i="2"/>
  <c r="AV69" i="2" s="1"/>
  <c r="CU72" i="2"/>
  <c r="CV72" i="2" s="1"/>
  <c r="AN74" i="2"/>
  <c r="AO74" i="2" s="1"/>
  <c r="CU67" i="2"/>
  <c r="CV67" i="2" s="1"/>
  <c r="DD71" i="2"/>
  <c r="DE71" i="2" s="1"/>
  <c r="AU73" i="2"/>
  <c r="AV73" i="2" s="1"/>
  <c r="AU70" i="2"/>
  <c r="AV70" i="2" s="1"/>
  <c r="BB75" i="2"/>
  <c r="BC75" i="2" s="1"/>
  <c r="AE73" i="2"/>
  <c r="AF73" i="2" s="1"/>
  <c r="BZ76" i="2"/>
  <c r="AN76" i="2"/>
  <c r="AO76" i="2" s="1"/>
  <c r="BB76" i="2"/>
  <c r="BC76" i="2" s="1"/>
  <c r="BS76" i="2"/>
  <c r="BT76" i="2" s="1"/>
  <c r="DD72" i="2"/>
  <c r="DE72" i="2" s="1"/>
  <c r="DD76" i="2"/>
  <c r="DE76" i="2" s="1"/>
  <c r="BZ74" i="2"/>
  <c r="DD69" i="2"/>
  <c r="DE69" i="2" s="1"/>
  <c r="AN73" i="2"/>
  <c r="AO73" i="2" s="1"/>
  <c r="AE76" i="2"/>
  <c r="AF76" i="2" s="1"/>
  <c r="Y73" i="2"/>
  <c r="Z73" i="2" s="1"/>
  <c r="AU65" i="2"/>
  <c r="AV65" i="2" s="1"/>
  <c r="BZ65" i="2"/>
  <c r="BS64" i="2"/>
  <c r="BT64" i="2" s="1"/>
  <c r="DD63" i="2"/>
  <c r="DE63" i="2" s="1"/>
  <c r="AU64" i="2"/>
  <c r="AV64" i="2" s="1"/>
  <c r="BS65" i="2"/>
  <c r="BT65" i="2" s="1"/>
  <c r="AN62" i="2"/>
  <c r="AO62" i="2" s="1"/>
  <c r="DD62" i="2"/>
  <c r="DE62" i="2" s="1"/>
  <c r="DD61" i="2"/>
  <c r="DE61" i="2" s="1"/>
  <c r="BB62" i="2"/>
  <c r="BC62" i="2" s="1"/>
  <c r="CU64" i="2"/>
  <c r="CV64" i="2" s="1"/>
  <c r="Y65" i="2"/>
  <c r="Z65" i="2" s="1"/>
  <c r="AE61" i="2"/>
  <c r="AF61" i="2" s="1"/>
  <c r="BL61" i="2"/>
  <c r="BM61" i="2" s="1"/>
  <c r="AU62" i="2"/>
  <c r="AV62" i="2" s="1"/>
  <c r="AN66" i="2"/>
  <c r="AO66" i="2" s="1"/>
  <c r="BZ70" i="2"/>
  <c r="BL71" i="2"/>
  <c r="BM71" i="2" s="1"/>
  <c r="DD73" i="2"/>
  <c r="DE73" i="2" s="1"/>
  <c r="Y64" i="2"/>
  <c r="Z64" i="2" s="1"/>
  <c r="AN67" i="2"/>
  <c r="AO67" i="2" s="1"/>
  <c r="AN69" i="2"/>
  <c r="AO69" i="2" s="1"/>
  <c r="BB60" i="2"/>
  <c r="BC60" i="2" s="1"/>
  <c r="CU62" i="2"/>
  <c r="CV62" i="2" s="1"/>
  <c r="Y63" i="2"/>
  <c r="Z63" i="2" s="1"/>
  <c r="BS63" i="2"/>
  <c r="BT63" i="2" s="1"/>
  <c r="CL63" i="2"/>
  <c r="CM63" i="2" s="1"/>
  <c r="AU66" i="2"/>
  <c r="AV66" i="2" s="1"/>
  <c r="AN68" i="2"/>
  <c r="AO68" i="2" s="1"/>
  <c r="Y69" i="2"/>
  <c r="Z69" i="2" s="1"/>
  <c r="BB69" i="2"/>
  <c r="BC69" i="2" s="1"/>
  <c r="BL70" i="2"/>
  <c r="BM70" i="2" s="1"/>
  <c r="CU70" i="2"/>
  <c r="CV70" i="2" s="1"/>
  <c r="Y71" i="2"/>
  <c r="Z71" i="2" s="1"/>
  <c r="BB71" i="2"/>
  <c r="BC71" i="2" s="1"/>
  <c r="BZ61" i="2"/>
  <c r="AU67" i="2"/>
  <c r="AV67" i="2" s="1"/>
  <c r="BS68" i="2"/>
  <c r="BT68" i="2" s="1"/>
  <c r="Y72" i="2"/>
  <c r="Z72" i="2" s="1"/>
  <c r="BB72" i="2"/>
  <c r="BC72" i="2" s="1"/>
  <c r="BS72" i="2"/>
  <c r="BT72" i="2" s="1"/>
  <c r="AU61" i="2"/>
  <c r="AV61" i="2" s="1"/>
  <c r="BL62" i="2"/>
  <c r="BM62" i="2" s="1"/>
  <c r="AE67" i="2"/>
  <c r="AF67" i="2" s="1"/>
  <c r="Y70" i="2"/>
  <c r="Z70" i="2" s="1"/>
  <c r="AN72" i="2"/>
  <c r="AO72" i="2" s="1"/>
  <c r="AE74" i="2"/>
  <c r="AF74" i="2" s="1"/>
  <c r="AE60" i="2"/>
  <c r="AF60" i="2" s="1"/>
  <c r="BB63" i="2"/>
  <c r="BC63" i="2" s="1"/>
  <c r="BL66" i="2"/>
  <c r="BM66" i="2" s="1"/>
  <c r="CU66" i="2"/>
  <c r="CV66" i="2" s="1"/>
  <c r="Y68" i="2"/>
  <c r="Z68" i="2" s="1"/>
  <c r="CL70" i="2"/>
  <c r="CM70" i="2" s="1"/>
  <c r="CL72" i="2"/>
  <c r="CM72" i="2" s="1"/>
  <c r="AU74" i="2"/>
  <c r="AV74" i="2" s="1"/>
  <c r="CU74" i="2"/>
  <c r="CV74" i="2" s="1"/>
  <c r="AU60" i="2"/>
  <c r="AV60" i="2" s="1"/>
  <c r="CU60" i="2"/>
  <c r="CV60" i="2" s="1"/>
  <c r="BB61" i="2"/>
  <c r="BC61" i="2" s="1"/>
  <c r="CU61" i="2"/>
  <c r="CV61" i="2" s="1"/>
  <c r="BB68" i="2"/>
  <c r="BC68" i="2" s="1"/>
  <c r="DD68" i="2"/>
  <c r="DE68" i="2" s="1"/>
  <c r="BB70" i="2"/>
  <c r="BC70" i="2" s="1"/>
  <c r="BS70" i="2"/>
  <c r="BT70" i="2" s="1"/>
  <c r="CU65" i="2"/>
  <c r="CV65" i="2" s="1"/>
  <c r="Y66" i="2"/>
  <c r="Z66" i="2" s="1"/>
  <c r="CL66" i="2"/>
  <c r="CM66" i="2" s="1"/>
  <c r="AU68" i="2"/>
  <c r="AV68" i="2" s="1"/>
  <c r="AE69" i="2"/>
  <c r="AF69" i="2" s="1"/>
  <c r="BL69" i="2"/>
  <c r="BM69" i="2" s="1"/>
  <c r="AU71" i="2"/>
  <c r="AV71" i="2" s="1"/>
  <c r="BZ63" i="2"/>
  <c r="BZ64" i="2"/>
  <c r="BB66" i="2"/>
  <c r="BC66" i="2" s="1"/>
  <c r="BS66" i="2"/>
  <c r="BT66" i="2" s="1"/>
  <c r="BB67" i="2"/>
  <c r="BC67" i="2" s="1"/>
  <c r="AE68" i="2"/>
  <c r="AF68" i="2" s="1"/>
  <c r="AE71" i="2"/>
  <c r="AF71" i="2" s="1"/>
  <c r="Y74" i="2"/>
  <c r="Z74" i="2" s="1"/>
  <c r="BZ75" i="2"/>
  <c r="BL63" i="2"/>
  <c r="BM63" i="2" s="1"/>
  <c r="Y67" i="2"/>
  <c r="Z67" i="2" s="1"/>
  <c r="CL67" i="2"/>
  <c r="CM67" i="2" s="1"/>
  <c r="CU69" i="2"/>
  <c r="CV69" i="2" s="1"/>
  <c r="AE72" i="2"/>
  <c r="AF72" i="2" s="1"/>
  <c r="AU72" i="2"/>
  <c r="AV72" i="2" s="1"/>
  <c r="CL73" i="2"/>
  <c r="CM73" i="2" s="1"/>
  <c r="BS74" i="2"/>
  <c r="BT74" i="2" s="1"/>
  <c r="Y60" i="2"/>
  <c r="Z60" i="2" s="1"/>
  <c r="BS62" i="2"/>
  <c r="BT62" i="2" s="1"/>
  <c r="BS60" i="2"/>
  <c r="BT60" i="2" s="1"/>
  <c r="CL60" i="2"/>
  <c r="CM60" i="2" s="1"/>
  <c r="CL65" i="2"/>
  <c r="CM65" i="2" s="1"/>
  <c r="BL60" i="2"/>
  <c r="DD65" i="2"/>
  <c r="DE65" i="2" s="1"/>
  <c r="DD66" i="2"/>
  <c r="DE66" i="2" s="1"/>
  <c r="CL68" i="2"/>
  <c r="CM68" i="2" s="1"/>
  <c r="Y62" i="2"/>
  <c r="Z62" i="2" s="1"/>
  <c r="BZ62" i="2"/>
  <c r="AN63" i="2"/>
  <c r="AO63" i="2" s="1"/>
  <c r="BB64" i="2"/>
  <c r="BC64" i="2" s="1"/>
  <c r="CL71" i="2"/>
  <c r="CM71" i="2" s="1"/>
  <c r="AN60" i="2"/>
  <c r="AO60" i="2" s="1"/>
  <c r="BS61" i="2"/>
  <c r="CU63" i="2"/>
  <c r="CV63" i="2" s="1"/>
  <c r="DD60" i="2"/>
  <c r="DE60" i="2" s="1"/>
  <c r="CL64" i="2"/>
  <c r="CM64" i="2" s="1"/>
  <c r="BL65" i="2"/>
  <c r="CL69" i="2"/>
  <c r="CM69" i="2" s="1"/>
  <c r="BZ66" i="2"/>
  <c r="CL61" i="2"/>
  <c r="CM61" i="2" s="1"/>
  <c r="AE64" i="2"/>
  <c r="AF64" i="2" s="1"/>
  <c r="Y61" i="2"/>
  <c r="Z61" i="2" s="1"/>
  <c r="AN61" i="2"/>
  <c r="AO61" i="2" s="1"/>
  <c r="AU63" i="2"/>
  <c r="AV63" i="2" s="1"/>
  <c r="BL64" i="2"/>
  <c r="DD64" i="2"/>
  <c r="DE64" i="2" s="1"/>
  <c r="AE62" i="2"/>
  <c r="AF62" i="2" s="1"/>
  <c r="CL62" i="2"/>
  <c r="CM62" i="2" s="1"/>
  <c r="AN65" i="2"/>
  <c r="AO65" i="2" s="1"/>
  <c r="BB65" i="2"/>
  <c r="BC65" i="2" s="1"/>
  <c r="BZ60" i="2"/>
  <c r="BS69" i="2"/>
  <c r="BT69" i="2" s="1"/>
  <c r="BL74" i="2"/>
  <c r="AE66" i="2"/>
  <c r="AF66" i="2" s="1"/>
  <c r="AE70" i="2"/>
  <c r="AF70" i="2" s="1"/>
  <c r="CL75" i="2"/>
  <c r="CM75" i="2" s="1"/>
  <c r="AE65" i="2"/>
  <c r="AF65" i="2" s="1"/>
  <c r="BZ67" i="2"/>
  <c r="BZ71" i="2"/>
  <c r="BZ73" i="2"/>
  <c r="BZ69" i="2"/>
  <c r="AN75" i="2"/>
  <c r="AO75" i="2" s="1"/>
  <c r="BS67" i="2"/>
  <c r="BT67" i="2" s="1"/>
  <c r="BS71" i="2"/>
  <c r="BT71" i="2" s="1"/>
  <c r="BL72" i="2"/>
  <c r="CL74" i="2"/>
  <c r="CM74" i="2" s="1"/>
  <c r="BZ72" i="2"/>
  <c r="AE63" i="2"/>
  <c r="AF63" i="2" s="1"/>
  <c r="BZ68" i="2"/>
  <c r="BS75" i="2"/>
  <c r="BT75" i="2" s="1"/>
  <c r="Y76" i="2"/>
  <c r="Z76" i="2" s="1"/>
  <c r="CL76" i="2"/>
  <c r="CM76" i="2" s="1"/>
  <c r="AE75" i="2"/>
  <c r="AF75" i="2" s="1"/>
  <c r="BL73" i="2"/>
  <c r="Y75" i="2"/>
  <c r="Z75" i="2" s="1"/>
  <c r="CM6" i="2" l="1"/>
  <c r="BT6" i="2"/>
  <c r="BD68" i="2"/>
  <c r="CA64" i="2"/>
  <c r="BD64" i="2"/>
  <c r="CA63" i="2"/>
  <c r="BD63" i="2"/>
  <c r="CA60" i="2"/>
  <c r="BD60" i="2"/>
  <c r="CA76" i="2"/>
  <c r="BD76" i="2"/>
  <c r="CA12" i="2"/>
  <c r="CA24" i="2"/>
  <c r="CA17" i="2"/>
  <c r="CA67" i="2"/>
  <c r="BD67" i="2"/>
  <c r="CA29" i="2"/>
  <c r="CA22" i="2"/>
  <c r="CA38" i="2"/>
  <c r="CA72" i="2"/>
  <c r="BD72" i="2"/>
  <c r="BF6" i="2"/>
  <c r="CA33" i="2"/>
  <c r="CA34" i="2"/>
  <c r="CA8" i="2"/>
  <c r="CA6" i="2"/>
  <c r="CA69" i="2"/>
  <c r="BD69" i="2"/>
  <c r="CA73" i="2"/>
  <c r="BD73" i="2"/>
  <c r="CA35" i="2"/>
  <c r="CA71" i="2"/>
  <c r="BD71" i="2"/>
  <c r="CA16" i="2"/>
  <c r="CA14" i="2"/>
  <c r="CA74" i="2"/>
  <c r="BD74" i="2"/>
  <c r="CA10" i="2"/>
  <c r="CA7" i="2"/>
  <c r="CA13" i="2"/>
  <c r="CA20" i="2"/>
  <c r="CA65" i="2"/>
  <c r="BD65" i="2"/>
  <c r="CA18" i="2"/>
  <c r="CA23" i="2"/>
  <c r="CA15" i="2"/>
  <c r="CA28" i="2"/>
  <c r="CA75" i="2"/>
  <c r="BD75" i="2"/>
  <c r="CA9" i="2"/>
  <c r="CA19" i="2"/>
  <c r="CA25" i="2"/>
  <c r="CA32" i="2"/>
  <c r="CA66" i="2"/>
  <c r="BD66" i="2"/>
  <c r="CA11" i="2"/>
  <c r="CA61" i="2"/>
  <c r="BD61" i="2"/>
  <c r="CA30" i="2"/>
  <c r="CA36" i="2"/>
  <c r="CA27" i="2"/>
  <c r="CA26" i="2"/>
  <c r="CA21" i="2"/>
  <c r="CA70" i="2"/>
  <c r="BD70" i="2"/>
  <c r="CA62" i="2"/>
  <c r="BD62" i="2"/>
  <c r="CA31" i="2"/>
  <c r="CA37" i="2"/>
  <c r="BE76" i="2"/>
  <c r="BE68" i="2"/>
  <c r="AH73" i="2"/>
  <c r="AH76" i="2"/>
  <c r="CB72" i="2"/>
  <c r="AG73" i="2"/>
  <c r="AH70" i="2"/>
  <c r="AG76" i="2"/>
  <c r="AG69" i="2"/>
  <c r="AG62" i="2"/>
  <c r="CC72" i="2"/>
  <c r="AH68" i="2"/>
  <c r="CB73" i="2"/>
  <c r="CC73" i="2"/>
  <c r="CD73" i="2" s="1"/>
  <c r="AH62" i="2"/>
  <c r="AG74" i="2"/>
  <c r="AH72" i="2"/>
  <c r="AH67" i="2"/>
  <c r="AG71" i="2"/>
  <c r="AG72" i="2"/>
  <c r="BE61" i="2"/>
  <c r="AH71" i="2"/>
  <c r="AG67" i="2"/>
  <c r="AH74" i="2"/>
  <c r="BE70" i="2"/>
  <c r="AG66" i="2"/>
  <c r="CC70" i="2"/>
  <c r="AH66" i="2"/>
  <c r="CB67" i="2"/>
  <c r="AH69" i="2"/>
  <c r="CB70" i="2"/>
  <c r="AG70" i="2"/>
  <c r="BE63" i="2"/>
  <c r="BF63" i="2" s="1"/>
  <c r="CC67" i="2"/>
  <c r="CD67" i="2" s="1"/>
  <c r="AG68" i="2"/>
  <c r="CC63" i="2"/>
  <c r="CD63" i="2" s="1"/>
  <c r="CB63" i="2"/>
  <c r="BE62" i="2"/>
  <c r="BE75" i="2"/>
  <c r="CB62" i="2"/>
  <c r="CC62" i="2"/>
  <c r="CD62" i="2" s="1"/>
  <c r="CB64" i="2"/>
  <c r="CC64" i="2"/>
  <c r="CD64" i="2" s="1"/>
  <c r="AG64" i="2"/>
  <c r="BE66" i="2"/>
  <c r="AH63" i="2"/>
  <c r="AG63" i="2"/>
  <c r="CC68" i="2"/>
  <c r="CD68" i="2" s="1"/>
  <c r="CB68" i="2"/>
  <c r="AH64" i="2"/>
  <c r="AG75" i="2"/>
  <c r="AH75" i="2"/>
  <c r="BT61" i="2"/>
  <c r="BE71" i="2"/>
  <c r="CC69" i="2"/>
  <c r="CD69" i="2" s="1"/>
  <c r="CB69" i="2"/>
  <c r="AG60" i="2"/>
  <c r="AH60" i="2"/>
  <c r="BE64" i="2"/>
  <c r="BM64" i="2"/>
  <c r="CC61" i="2"/>
  <c r="CB61" i="2"/>
  <c r="CC71" i="2"/>
  <c r="CD71" i="2" s="1"/>
  <c r="CB71" i="2"/>
  <c r="BE60" i="2"/>
  <c r="BM60" i="2"/>
  <c r="CA68" i="2"/>
  <c r="BE72" i="2"/>
  <c r="BM72" i="2"/>
  <c r="BE73" i="2"/>
  <c r="BM73" i="2"/>
  <c r="BM74" i="2"/>
  <c r="BE74" i="2"/>
  <c r="BF74" i="2" s="1"/>
  <c r="BE69" i="2"/>
  <c r="AH61" i="2"/>
  <c r="AG61" i="2"/>
  <c r="CC66" i="2"/>
  <c r="CC60" i="2"/>
  <c r="CD60" i="2" s="1"/>
  <c r="CB74" i="2"/>
  <c r="CC74" i="2"/>
  <c r="CD74" i="2" s="1"/>
  <c r="CB76" i="2"/>
  <c r="CC76" i="2"/>
  <c r="CD76" i="2" s="1"/>
  <c r="CB75" i="2"/>
  <c r="CC75" i="2"/>
  <c r="CD75" i="2" s="1"/>
  <c r="AH65" i="2"/>
  <c r="AG65" i="2"/>
  <c r="BM65" i="2"/>
  <c r="BE65" i="2"/>
  <c r="BE67" i="2"/>
  <c r="BF67" i="2" s="1"/>
  <c r="CC65" i="2"/>
  <c r="CD65" i="2" s="1"/>
  <c r="CB65" i="2"/>
  <c r="CB66" i="2"/>
  <c r="CB60" i="2"/>
  <c r="AZ59" i="2"/>
  <c r="AY59" i="2"/>
  <c r="AX59" i="2"/>
  <c r="AW59" i="2"/>
  <c r="AW6" i="2"/>
  <c r="AX6" i="2"/>
  <c r="AY6" i="2"/>
  <c r="AZ6" i="2"/>
  <c r="AW7" i="2"/>
  <c r="AX7" i="2"/>
  <c r="AY7" i="2"/>
  <c r="AZ7" i="2"/>
  <c r="AW8" i="2"/>
  <c r="AX8" i="2"/>
  <c r="AY8" i="2"/>
  <c r="AZ8" i="2"/>
  <c r="AW9" i="2"/>
  <c r="AX9" i="2"/>
  <c r="AY9" i="2"/>
  <c r="AZ9" i="2"/>
  <c r="AW10" i="2"/>
  <c r="AX10" i="2"/>
  <c r="AY10" i="2"/>
  <c r="AZ10" i="2"/>
  <c r="AW11" i="2"/>
  <c r="AX11" i="2"/>
  <c r="AY11" i="2"/>
  <c r="AZ11" i="2"/>
  <c r="AW12" i="2"/>
  <c r="AX12" i="2"/>
  <c r="AY12" i="2"/>
  <c r="AZ12" i="2"/>
  <c r="AW13" i="2"/>
  <c r="AX13" i="2"/>
  <c r="AY13" i="2"/>
  <c r="AZ13" i="2"/>
  <c r="AW14" i="2"/>
  <c r="AX14" i="2"/>
  <c r="AY14" i="2"/>
  <c r="AZ14" i="2"/>
  <c r="AW15" i="2"/>
  <c r="AX15" i="2"/>
  <c r="AY15" i="2"/>
  <c r="AZ15" i="2"/>
  <c r="AW16" i="2"/>
  <c r="AX16" i="2"/>
  <c r="AY16" i="2"/>
  <c r="AZ16" i="2"/>
  <c r="AW17" i="2"/>
  <c r="AX17" i="2"/>
  <c r="AY17" i="2"/>
  <c r="AZ17" i="2"/>
  <c r="AW18" i="2"/>
  <c r="AX18" i="2"/>
  <c r="AY18" i="2"/>
  <c r="AZ18" i="2"/>
  <c r="AW19" i="2"/>
  <c r="AX19" i="2"/>
  <c r="AY19" i="2"/>
  <c r="AZ19" i="2"/>
  <c r="AW20" i="2"/>
  <c r="AX20" i="2"/>
  <c r="AY20" i="2"/>
  <c r="AZ20" i="2"/>
  <c r="AW21" i="2"/>
  <c r="AX21" i="2"/>
  <c r="AY21" i="2"/>
  <c r="AZ21" i="2"/>
  <c r="AW22" i="2"/>
  <c r="AX22" i="2"/>
  <c r="AY22" i="2"/>
  <c r="AZ22" i="2"/>
  <c r="AW23" i="2"/>
  <c r="AX23" i="2"/>
  <c r="AY23" i="2"/>
  <c r="AZ23" i="2"/>
  <c r="AW24" i="2"/>
  <c r="AX24" i="2"/>
  <c r="AY24" i="2"/>
  <c r="AZ24" i="2"/>
  <c r="AW25" i="2"/>
  <c r="AX25" i="2"/>
  <c r="AY25" i="2"/>
  <c r="AZ25" i="2"/>
  <c r="AW26" i="2"/>
  <c r="AX26" i="2"/>
  <c r="AY26" i="2"/>
  <c r="AZ26" i="2"/>
  <c r="AW27" i="2"/>
  <c r="AX27" i="2"/>
  <c r="AY27" i="2"/>
  <c r="AZ27" i="2"/>
  <c r="AW28" i="2"/>
  <c r="AX28" i="2"/>
  <c r="AY28" i="2"/>
  <c r="AZ28" i="2"/>
  <c r="AW29" i="2"/>
  <c r="AX29" i="2"/>
  <c r="AY29" i="2"/>
  <c r="AZ29" i="2"/>
  <c r="AW30" i="2"/>
  <c r="AX30" i="2"/>
  <c r="AY30" i="2"/>
  <c r="AZ30" i="2"/>
  <c r="AW31" i="2"/>
  <c r="AX31" i="2"/>
  <c r="AY31" i="2"/>
  <c r="AZ31" i="2"/>
  <c r="AW32" i="2"/>
  <c r="AX32" i="2"/>
  <c r="AY32" i="2"/>
  <c r="AZ32" i="2"/>
  <c r="AW33" i="2"/>
  <c r="AX33" i="2"/>
  <c r="AY33" i="2"/>
  <c r="AZ33" i="2"/>
  <c r="AW34" i="2"/>
  <c r="AX34" i="2"/>
  <c r="AY34" i="2"/>
  <c r="AZ34" i="2"/>
  <c r="AW35" i="2"/>
  <c r="AX35" i="2"/>
  <c r="AY35" i="2"/>
  <c r="AZ35" i="2"/>
  <c r="AW36" i="2"/>
  <c r="AX36" i="2"/>
  <c r="AY36" i="2"/>
  <c r="AZ36" i="2"/>
  <c r="AW37" i="2"/>
  <c r="AX37" i="2"/>
  <c r="AY37" i="2"/>
  <c r="AZ37" i="2"/>
  <c r="AW38" i="2"/>
  <c r="AX38" i="2"/>
  <c r="AY38" i="2"/>
  <c r="AZ38" i="2"/>
  <c r="AW39" i="2"/>
  <c r="AX39" i="2"/>
  <c r="AY39" i="2"/>
  <c r="AZ39" i="2"/>
  <c r="AW40" i="2"/>
  <c r="AX40" i="2"/>
  <c r="AY40" i="2"/>
  <c r="AZ40" i="2"/>
  <c r="AW41" i="2"/>
  <c r="AX41" i="2"/>
  <c r="AY41" i="2"/>
  <c r="AZ41" i="2"/>
  <c r="AW42" i="2"/>
  <c r="AX42" i="2"/>
  <c r="AY42" i="2"/>
  <c r="AZ42" i="2"/>
  <c r="AW43" i="2"/>
  <c r="AX43" i="2"/>
  <c r="AY43" i="2"/>
  <c r="AZ43" i="2"/>
  <c r="AW44" i="2"/>
  <c r="AX44" i="2"/>
  <c r="AY44" i="2"/>
  <c r="AZ44" i="2"/>
  <c r="AW45" i="2"/>
  <c r="AX45" i="2"/>
  <c r="AY45" i="2"/>
  <c r="AZ45" i="2"/>
  <c r="AW46" i="2"/>
  <c r="AX46" i="2"/>
  <c r="AY46" i="2"/>
  <c r="AZ46" i="2"/>
  <c r="AW47" i="2"/>
  <c r="AX47" i="2"/>
  <c r="AY47" i="2"/>
  <c r="AZ47" i="2"/>
  <c r="AW48" i="2"/>
  <c r="AX48" i="2"/>
  <c r="AY48" i="2"/>
  <c r="AZ48" i="2"/>
  <c r="AW49" i="2"/>
  <c r="AX49" i="2"/>
  <c r="AY49" i="2"/>
  <c r="AZ49" i="2"/>
  <c r="AW50" i="2"/>
  <c r="AX50" i="2"/>
  <c r="AY50" i="2"/>
  <c r="AZ50" i="2"/>
  <c r="AW51" i="2"/>
  <c r="AX51" i="2"/>
  <c r="AY51" i="2"/>
  <c r="AZ51" i="2"/>
  <c r="AW52" i="2"/>
  <c r="AX52" i="2"/>
  <c r="AY52" i="2"/>
  <c r="AZ52" i="2"/>
  <c r="AW53" i="2"/>
  <c r="AX53" i="2"/>
  <c r="AY53" i="2"/>
  <c r="AZ53" i="2"/>
  <c r="AW54" i="2"/>
  <c r="AX54" i="2"/>
  <c r="AY54" i="2"/>
  <c r="AZ54" i="2"/>
  <c r="AW55" i="2"/>
  <c r="AX55" i="2"/>
  <c r="AY55" i="2"/>
  <c r="AZ55" i="2"/>
  <c r="AW56" i="2"/>
  <c r="AX56" i="2"/>
  <c r="AY56" i="2"/>
  <c r="AZ56" i="2"/>
  <c r="AW57" i="2"/>
  <c r="AX57" i="2"/>
  <c r="AY57" i="2"/>
  <c r="AZ57" i="2"/>
  <c r="AW58" i="2"/>
  <c r="AX58" i="2"/>
  <c r="AY58" i="2"/>
  <c r="AZ58" i="2"/>
  <c r="AT59" i="2"/>
  <c r="AS59" i="2"/>
  <c r="AR59" i="2"/>
  <c r="AQ59" i="2"/>
  <c r="AP59" i="2"/>
  <c r="AT58" i="2"/>
  <c r="AS58" i="2"/>
  <c r="AR58" i="2"/>
  <c r="AQ58" i="2"/>
  <c r="AP58" i="2"/>
  <c r="AT57" i="2"/>
  <c r="AS57" i="2"/>
  <c r="AR57" i="2"/>
  <c r="AQ57" i="2"/>
  <c r="AP57" i="2"/>
  <c r="AT56" i="2"/>
  <c r="AS56" i="2"/>
  <c r="AR56" i="2"/>
  <c r="AQ56" i="2"/>
  <c r="AP56" i="2"/>
  <c r="AT55" i="2"/>
  <c r="AS55" i="2"/>
  <c r="AR55" i="2"/>
  <c r="AQ55" i="2"/>
  <c r="AP55" i="2"/>
  <c r="AT54" i="2"/>
  <c r="AS54" i="2"/>
  <c r="AR54" i="2"/>
  <c r="AQ54" i="2"/>
  <c r="AP54" i="2"/>
  <c r="AT53" i="2"/>
  <c r="AS53" i="2"/>
  <c r="AR53" i="2"/>
  <c r="AQ53" i="2"/>
  <c r="AP53" i="2"/>
  <c r="AT52" i="2"/>
  <c r="AS52" i="2"/>
  <c r="AR52" i="2"/>
  <c r="AQ52" i="2"/>
  <c r="AP52" i="2"/>
  <c r="AT51" i="2"/>
  <c r="AS51" i="2"/>
  <c r="AR51" i="2"/>
  <c r="AQ51" i="2"/>
  <c r="AP51" i="2"/>
  <c r="AT50" i="2"/>
  <c r="AS50" i="2"/>
  <c r="AR50" i="2"/>
  <c r="AQ50" i="2"/>
  <c r="AP50" i="2"/>
  <c r="AT49" i="2"/>
  <c r="AS49" i="2"/>
  <c r="AR49" i="2"/>
  <c r="AQ49" i="2"/>
  <c r="AP49" i="2"/>
  <c r="AT48" i="2"/>
  <c r="AS48" i="2"/>
  <c r="AR48" i="2"/>
  <c r="AQ48" i="2"/>
  <c r="AP48" i="2"/>
  <c r="AT47" i="2"/>
  <c r="AS47" i="2"/>
  <c r="AR47" i="2"/>
  <c r="AQ47" i="2"/>
  <c r="AP47" i="2"/>
  <c r="AT46" i="2"/>
  <c r="AS46" i="2"/>
  <c r="AR46" i="2"/>
  <c r="AQ46" i="2"/>
  <c r="AP46" i="2"/>
  <c r="AT45" i="2"/>
  <c r="AS45" i="2"/>
  <c r="AR45" i="2"/>
  <c r="AQ45" i="2"/>
  <c r="AP45" i="2"/>
  <c r="AT44" i="2"/>
  <c r="AS44" i="2"/>
  <c r="AR44" i="2"/>
  <c r="AQ44" i="2"/>
  <c r="AP44" i="2"/>
  <c r="AT43" i="2"/>
  <c r="AS43" i="2"/>
  <c r="AR43" i="2"/>
  <c r="AQ43" i="2"/>
  <c r="AP43" i="2"/>
  <c r="AT42" i="2"/>
  <c r="AS42" i="2"/>
  <c r="AR42" i="2"/>
  <c r="AQ42" i="2"/>
  <c r="AP42" i="2"/>
  <c r="AT41" i="2"/>
  <c r="AS41" i="2"/>
  <c r="AR41" i="2"/>
  <c r="AQ41" i="2"/>
  <c r="AP41" i="2"/>
  <c r="AT40" i="2"/>
  <c r="AS40" i="2"/>
  <c r="AR40" i="2"/>
  <c r="AQ40" i="2"/>
  <c r="AP40" i="2"/>
  <c r="AT39" i="2"/>
  <c r="AS39" i="2"/>
  <c r="AR39" i="2"/>
  <c r="AQ39" i="2"/>
  <c r="AP39" i="2"/>
  <c r="AT38" i="2"/>
  <c r="AS38" i="2"/>
  <c r="AR38" i="2"/>
  <c r="AQ38" i="2"/>
  <c r="AP38" i="2"/>
  <c r="AT37" i="2"/>
  <c r="AS37" i="2"/>
  <c r="AR37" i="2"/>
  <c r="AQ37" i="2"/>
  <c r="AP37" i="2"/>
  <c r="AT36" i="2"/>
  <c r="AS36" i="2"/>
  <c r="AR36" i="2"/>
  <c r="AQ36" i="2"/>
  <c r="AP36" i="2"/>
  <c r="AT35" i="2"/>
  <c r="AS35" i="2"/>
  <c r="AR35" i="2"/>
  <c r="AQ35" i="2"/>
  <c r="AP35" i="2"/>
  <c r="AT34" i="2"/>
  <c r="AS34" i="2"/>
  <c r="AR34" i="2"/>
  <c r="AQ34" i="2"/>
  <c r="AP34" i="2"/>
  <c r="AT33" i="2"/>
  <c r="AS33" i="2"/>
  <c r="AR33" i="2"/>
  <c r="AQ33" i="2"/>
  <c r="AP33" i="2"/>
  <c r="AT32" i="2"/>
  <c r="AS32" i="2"/>
  <c r="AR32" i="2"/>
  <c r="AQ32" i="2"/>
  <c r="AP32" i="2"/>
  <c r="AT31" i="2"/>
  <c r="AS31" i="2"/>
  <c r="AR31" i="2"/>
  <c r="AQ31" i="2"/>
  <c r="AP31" i="2"/>
  <c r="AT30" i="2"/>
  <c r="AS30" i="2"/>
  <c r="AR30" i="2"/>
  <c r="AQ30" i="2"/>
  <c r="AP30" i="2"/>
  <c r="AT29" i="2"/>
  <c r="AS29" i="2"/>
  <c r="AR29" i="2"/>
  <c r="AQ29" i="2"/>
  <c r="AP29" i="2"/>
  <c r="AT28" i="2"/>
  <c r="AS28" i="2"/>
  <c r="AR28" i="2"/>
  <c r="AQ28" i="2"/>
  <c r="AP28" i="2"/>
  <c r="AT27" i="2"/>
  <c r="AS27" i="2"/>
  <c r="AR27" i="2"/>
  <c r="AQ27" i="2"/>
  <c r="AP27" i="2"/>
  <c r="AT26" i="2"/>
  <c r="AS26" i="2"/>
  <c r="AR26" i="2"/>
  <c r="AQ26" i="2"/>
  <c r="AP26" i="2"/>
  <c r="AT25" i="2"/>
  <c r="AS25" i="2"/>
  <c r="AR25" i="2"/>
  <c r="AQ25" i="2"/>
  <c r="AP25" i="2"/>
  <c r="AT24" i="2"/>
  <c r="AS24" i="2"/>
  <c r="AR24" i="2"/>
  <c r="AQ24" i="2"/>
  <c r="AP24" i="2"/>
  <c r="AT23" i="2"/>
  <c r="AS23" i="2"/>
  <c r="AR23" i="2"/>
  <c r="AQ23" i="2"/>
  <c r="AP23" i="2"/>
  <c r="AT22" i="2"/>
  <c r="AS22" i="2"/>
  <c r="AR22" i="2"/>
  <c r="AQ22" i="2"/>
  <c r="AP22" i="2"/>
  <c r="AT21" i="2"/>
  <c r="AS21" i="2"/>
  <c r="AR21" i="2"/>
  <c r="AQ21" i="2"/>
  <c r="AP21" i="2"/>
  <c r="AT20" i="2"/>
  <c r="AS20" i="2"/>
  <c r="AR20" i="2"/>
  <c r="AQ20" i="2"/>
  <c r="AP20" i="2"/>
  <c r="AT19" i="2"/>
  <c r="AS19" i="2"/>
  <c r="AR19" i="2"/>
  <c r="AQ19" i="2"/>
  <c r="AP19" i="2"/>
  <c r="AT18" i="2"/>
  <c r="AS18" i="2"/>
  <c r="AR18" i="2"/>
  <c r="AQ18" i="2"/>
  <c r="AP18" i="2"/>
  <c r="AT17" i="2"/>
  <c r="AS17" i="2"/>
  <c r="AR17" i="2"/>
  <c r="AQ17" i="2"/>
  <c r="AP17" i="2"/>
  <c r="AT16" i="2"/>
  <c r="AS16" i="2"/>
  <c r="AR16" i="2"/>
  <c r="AQ16" i="2"/>
  <c r="AP16" i="2"/>
  <c r="AT15" i="2"/>
  <c r="AS15" i="2"/>
  <c r="AR15" i="2"/>
  <c r="AQ15" i="2"/>
  <c r="AP15" i="2"/>
  <c r="AT14" i="2"/>
  <c r="AS14" i="2"/>
  <c r="AR14" i="2"/>
  <c r="AQ14" i="2"/>
  <c r="AP14" i="2"/>
  <c r="AT13" i="2"/>
  <c r="AS13" i="2"/>
  <c r="AR13" i="2"/>
  <c r="AQ13" i="2"/>
  <c r="AP13" i="2"/>
  <c r="AT12" i="2"/>
  <c r="AS12" i="2"/>
  <c r="AR12" i="2"/>
  <c r="AQ12" i="2"/>
  <c r="AP12" i="2"/>
  <c r="AT11" i="2"/>
  <c r="AS11" i="2"/>
  <c r="AR11" i="2"/>
  <c r="AQ11" i="2"/>
  <c r="AP11" i="2"/>
  <c r="AT10" i="2"/>
  <c r="AS10" i="2"/>
  <c r="AR10" i="2"/>
  <c r="AQ10" i="2"/>
  <c r="AP10" i="2"/>
  <c r="AT9" i="2"/>
  <c r="AS9" i="2"/>
  <c r="AR9" i="2"/>
  <c r="AQ9" i="2"/>
  <c r="AP9" i="2"/>
  <c r="AT8" i="2"/>
  <c r="AS8" i="2"/>
  <c r="AR8" i="2"/>
  <c r="AQ8" i="2"/>
  <c r="AP8" i="2"/>
  <c r="AT7" i="2"/>
  <c r="AS7" i="2"/>
  <c r="AR7" i="2"/>
  <c r="AQ7" i="2"/>
  <c r="AP7" i="2"/>
  <c r="AT6" i="2"/>
  <c r="AS6" i="2"/>
  <c r="AR6" i="2"/>
  <c r="AQ6" i="2"/>
  <c r="AP6" i="2"/>
  <c r="V6" i="1"/>
  <c r="AD59" i="2"/>
  <c r="AC59" i="2"/>
  <c r="AB59" i="2"/>
  <c r="AA59" i="2"/>
  <c r="AD58" i="2"/>
  <c r="AC58" i="2"/>
  <c r="AB58" i="2"/>
  <c r="AA58" i="2"/>
  <c r="AD57" i="2"/>
  <c r="AC57" i="2"/>
  <c r="AB57" i="2"/>
  <c r="AA57" i="2"/>
  <c r="AD56" i="2"/>
  <c r="AC56" i="2"/>
  <c r="AB56" i="2"/>
  <c r="AA56" i="2"/>
  <c r="AD55" i="2"/>
  <c r="AC55" i="2"/>
  <c r="AB55" i="2"/>
  <c r="AA55" i="2"/>
  <c r="AD54" i="2"/>
  <c r="AC54" i="2"/>
  <c r="AB54" i="2"/>
  <c r="AA54" i="2"/>
  <c r="AD53" i="2"/>
  <c r="AC53" i="2"/>
  <c r="AB53" i="2"/>
  <c r="AA53" i="2"/>
  <c r="AD52" i="2"/>
  <c r="AC52" i="2"/>
  <c r="AB52" i="2"/>
  <c r="AA52" i="2"/>
  <c r="AD51" i="2"/>
  <c r="AC51" i="2"/>
  <c r="AB51" i="2"/>
  <c r="AA51" i="2"/>
  <c r="AD50" i="2"/>
  <c r="AC50" i="2"/>
  <c r="AB50" i="2"/>
  <c r="AA50" i="2"/>
  <c r="AD49" i="2"/>
  <c r="AC49" i="2"/>
  <c r="AB49" i="2"/>
  <c r="AA49" i="2"/>
  <c r="AD48" i="2"/>
  <c r="AC48" i="2"/>
  <c r="AB48" i="2"/>
  <c r="AA48" i="2"/>
  <c r="AD47" i="2"/>
  <c r="AC47" i="2"/>
  <c r="AB47" i="2"/>
  <c r="AA47" i="2"/>
  <c r="AD46" i="2"/>
  <c r="AC46" i="2"/>
  <c r="AB46" i="2"/>
  <c r="AA46" i="2"/>
  <c r="AD45" i="2"/>
  <c r="AC45" i="2"/>
  <c r="AB45" i="2"/>
  <c r="AA45" i="2"/>
  <c r="AD44" i="2"/>
  <c r="AC44" i="2"/>
  <c r="AB44" i="2"/>
  <c r="AA44" i="2"/>
  <c r="AD43" i="2"/>
  <c r="AC43" i="2"/>
  <c r="AB43" i="2"/>
  <c r="AA43" i="2"/>
  <c r="AD42" i="2"/>
  <c r="AC42" i="2"/>
  <c r="AB42" i="2"/>
  <c r="AA42" i="2"/>
  <c r="AD41" i="2"/>
  <c r="AC41" i="2"/>
  <c r="AB41" i="2"/>
  <c r="AA41" i="2"/>
  <c r="AD40" i="2"/>
  <c r="AC40" i="2"/>
  <c r="AB40" i="2"/>
  <c r="AA40" i="2"/>
  <c r="AD39" i="2"/>
  <c r="AC39" i="2"/>
  <c r="AB39" i="2"/>
  <c r="AA39" i="2"/>
  <c r="AD38" i="2"/>
  <c r="AC38" i="2"/>
  <c r="AB38" i="2"/>
  <c r="AA38" i="2"/>
  <c r="AD37" i="2"/>
  <c r="AC37" i="2"/>
  <c r="AB37" i="2"/>
  <c r="AA37" i="2"/>
  <c r="AD36" i="2"/>
  <c r="AC36" i="2"/>
  <c r="AB36" i="2"/>
  <c r="AA36" i="2"/>
  <c r="AD35" i="2"/>
  <c r="AC35" i="2"/>
  <c r="AB35" i="2"/>
  <c r="AA35" i="2"/>
  <c r="AD34" i="2"/>
  <c r="AC34" i="2"/>
  <c r="AB34" i="2"/>
  <c r="AA34" i="2"/>
  <c r="AD33" i="2"/>
  <c r="AC33" i="2"/>
  <c r="AB33" i="2"/>
  <c r="AA33" i="2"/>
  <c r="AD32" i="2"/>
  <c r="AC32" i="2"/>
  <c r="AB32" i="2"/>
  <c r="AA32" i="2"/>
  <c r="AD31" i="2"/>
  <c r="AC31" i="2"/>
  <c r="AB31" i="2"/>
  <c r="AA31" i="2"/>
  <c r="AD30" i="2"/>
  <c r="AC30" i="2"/>
  <c r="AB30" i="2"/>
  <c r="AA30" i="2"/>
  <c r="AD29" i="2"/>
  <c r="AC29" i="2"/>
  <c r="AB29" i="2"/>
  <c r="AA29" i="2"/>
  <c r="AD28" i="2"/>
  <c r="AC28" i="2"/>
  <c r="AB28" i="2"/>
  <c r="AA28" i="2"/>
  <c r="AD27" i="2"/>
  <c r="AC27" i="2"/>
  <c r="AB27" i="2"/>
  <c r="AA27" i="2"/>
  <c r="AD26" i="2"/>
  <c r="AC26" i="2"/>
  <c r="AB26" i="2"/>
  <c r="AA26" i="2"/>
  <c r="AD25" i="2"/>
  <c r="AC25" i="2"/>
  <c r="AB25" i="2"/>
  <c r="AA25" i="2"/>
  <c r="AD24" i="2"/>
  <c r="AC24" i="2"/>
  <c r="AB24" i="2"/>
  <c r="AA24" i="2"/>
  <c r="AD23" i="2"/>
  <c r="AC23" i="2"/>
  <c r="AB23" i="2"/>
  <c r="AA23" i="2"/>
  <c r="AD22" i="2"/>
  <c r="AC22" i="2"/>
  <c r="AB22" i="2"/>
  <c r="AA22" i="2"/>
  <c r="AD21" i="2"/>
  <c r="AC21" i="2"/>
  <c r="AB21" i="2"/>
  <c r="AA21" i="2"/>
  <c r="AD20" i="2"/>
  <c r="AC20" i="2"/>
  <c r="AB20" i="2"/>
  <c r="AA20" i="2"/>
  <c r="AD19" i="2"/>
  <c r="AC19" i="2"/>
  <c r="AB19" i="2"/>
  <c r="AA19" i="2"/>
  <c r="AD18" i="2"/>
  <c r="AC18" i="2"/>
  <c r="AB18" i="2"/>
  <c r="AA18" i="2"/>
  <c r="AD17" i="2"/>
  <c r="AC17" i="2"/>
  <c r="AB17" i="2"/>
  <c r="AA17" i="2"/>
  <c r="AD16" i="2"/>
  <c r="AC16" i="2"/>
  <c r="AB16" i="2"/>
  <c r="AA16" i="2"/>
  <c r="AD15" i="2"/>
  <c r="AC15" i="2"/>
  <c r="AB15" i="2"/>
  <c r="AA15" i="2"/>
  <c r="AD14" i="2"/>
  <c r="AC14" i="2"/>
  <c r="AB14" i="2"/>
  <c r="AA14" i="2"/>
  <c r="AD13" i="2"/>
  <c r="AC13" i="2"/>
  <c r="AB13" i="2"/>
  <c r="AA13" i="2"/>
  <c r="AD12" i="2"/>
  <c r="AC12" i="2"/>
  <c r="AB12" i="2"/>
  <c r="AA12" i="2"/>
  <c r="AD11" i="2"/>
  <c r="AC11" i="2"/>
  <c r="AB11" i="2"/>
  <c r="AA11" i="2"/>
  <c r="AD10" i="2"/>
  <c r="AC10" i="2"/>
  <c r="AB10" i="2"/>
  <c r="AA10" i="2"/>
  <c r="AD9" i="2"/>
  <c r="AC9" i="2"/>
  <c r="AB9" i="2"/>
  <c r="AA9" i="2"/>
  <c r="AD8" i="2"/>
  <c r="AC8" i="2"/>
  <c r="AB8" i="2"/>
  <c r="AA8" i="2"/>
  <c r="AD7" i="2"/>
  <c r="AC7" i="2"/>
  <c r="AB7" i="2"/>
  <c r="AA7" i="2"/>
  <c r="AD6" i="2"/>
  <c r="AC6" i="2"/>
  <c r="AB6" i="2"/>
  <c r="AA6" i="2"/>
  <c r="L3" i="43"/>
  <c r="X59" i="2"/>
  <c r="W59" i="2"/>
  <c r="V59" i="2"/>
  <c r="U59" i="2"/>
  <c r="X58" i="2"/>
  <c r="W58" i="2"/>
  <c r="V58" i="2"/>
  <c r="U58" i="2"/>
  <c r="X57" i="2"/>
  <c r="W57" i="2"/>
  <c r="V57" i="2"/>
  <c r="U57" i="2"/>
  <c r="X56" i="2"/>
  <c r="W56" i="2"/>
  <c r="V56" i="2"/>
  <c r="U56" i="2"/>
  <c r="X55" i="2"/>
  <c r="W55" i="2"/>
  <c r="V55" i="2"/>
  <c r="U55" i="2"/>
  <c r="X54" i="2"/>
  <c r="W54" i="2"/>
  <c r="V54" i="2"/>
  <c r="U54" i="2"/>
  <c r="X53" i="2"/>
  <c r="W53" i="2"/>
  <c r="V53" i="2"/>
  <c r="U53" i="2"/>
  <c r="X52" i="2"/>
  <c r="W52" i="2"/>
  <c r="V52" i="2"/>
  <c r="U52" i="2"/>
  <c r="X51" i="2"/>
  <c r="W51" i="2"/>
  <c r="V51" i="2"/>
  <c r="U51" i="2"/>
  <c r="X50" i="2"/>
  <c r="W50" i="2"/>
  <c r="V50" i="2"/>
  <c r="U50" i="2"/>
  <c r="X49" i="2"/>
  <c r="W49" i="2"/>
  <c r="V49" i="2"/>
  <c r="U49" i="2"/>
  <c r="X48" i="2"/>
  <c r="W48" i="2"/>
  <c r="V48" i="2"/>
  <c r="U48" i="2"/>
  <c r="X47" i="2"/>
  <c r="W47" i="2"/>
  <c r="V47" i="2"/>
  <c r="U47" i="2"/>
  <c r="X46" i="2"/>
  <c r="W46" i="2"/>
  <c r="V46" i="2"/>
  <c r="U46" i="2"/>
  <c r="X45" i="2"/>
  <c r="W45" i="2"/>
  <c r="V45" i="2"/>
  <c r="U45" i="2"/>
  <c r="X44" i="2"/>
  <c r="W44" i="2"/>
  <c r="V44" i="2"/>
  <c r="U44" i="2"/>
  <c r="X43" i="2"/>
  <c r="W43" i="2"/>
  <c r="V43" i="2"/>
  <c r="U43" i="2"/>
  <c r="X42" i="2"/>
  <c r="W42" i="2"/>
  <c r="V42" i="2"/>
  <c r="U42" i="2"/>
  <c r="X41" i="2"/>
  <c r="W41" i="2"/>
  <c r="V41" i="2"/>
  <c r="U41" i="2"/>
  <c r="X40" i="2"/>
  <c r="W40" i="2"/>
  <c r="V40" i="2"/>
  <c r="U40" i="2"/>
  <c r="X39" i="2"/>
  <c r="W39" i="2"/>
  <c r="V39" i="2"/>
  <c r="U39" i="2"/>
  <c r="X38" i="2"/>
  <c r="W38" i="2"/>
  <c r="V38" i="2"/>
  <c r="U38" i="2"/>
  <c r="X37" i="2"/>
  <c r="W37" i="2"/>
  <c r="V37" i="2"/>
  <c r="U37" i="2"/>
  <c r="X36" i="2"/>
  <c r="W36" i="2"/>
  <c r="V36" i="2"/>
  <c r="U36" i="2"/>
  <c r="X35" i="2"/>
  <c r="W35" i="2"/>
  <c r="V35" i="2"/>
  <c r="U35" i="2"/>
  <c r="X34" i="2"/>
  <c r="W34" i="2"/>
  <c r="V34" i="2"/>
  <c r="U34" i="2"/>
  <c r="X33" i="2"/>
  <c r="W33" i="2"/>
  <c r="V33" i="2"/>
  <c r="U33" i="2"/>
  <c r="X32" i="2"/>
  <c r="W32" i="2"/>
  <c r="V32" i="2"/>
  <c r="U32" i="2"/>
  <c r="X31" i="2"/>
  <c r="W31" i="2"/>
  <c r="V31" i="2"/>
  <c r="U31" i="2"/>
  <c r="X30" i="2"/>
  <c r="W30" i="2"/>
  <c r="V30" i="2"/>
  <c r="U30" i="2"/>
  <c r="X29" i="2"/>
  <c r="W29" i="2"/>
  <c r="V29" i="2"/>
  <c r="U29" i="2"/>
  <c r="X28" i="2"/>
  <c r="W28" i="2"/>
  <c r="V28" i="2"/>
  <c r="U28" i="2"/>
  <c r="X27" i="2"/>
  <c r="W27" i="2"/>
  <c r="V27" i="2"/>
  <c r="U27" i="2"/>
  <c r="X26" i="2"/>
  <c r="W26" i="2"/>
  <c r="V26" i="2"/>
  <c r="U26" i="2"/>
  <c r="X25" i="2"/>
  <c r="W25" i="2"/>
  <c r="V25" i="2"/>
  <c r="U25" i="2"/>
  <c r="X24" i="2"/>
  <c r="W24" i="2"/>
  <c r="V24" i="2"/>
  <c r="U24" i="2"/>
  <c r="X23" i="2"/>
  <c r="W23" i="2"/>
  <c r="V23" i="2"/>
  <c r="U23" i="2"/>
  <c r="X22" i="2"/>
  <c r="W22" i="2"/>
  <c r="V22" i="2"/>
  <c r="U22" i="2"/>
  <c r="X21" i="2"/>
  <c r="W21" i="2"/>
  <c r="V21" i="2"/>
  <c r="U21" i="2"/>
  <c r="X20" i="2"/>
  <c r="W20" i="2"/>
  <c r="V20" i="2"/>
  <c r="U20" i="2"/>
  <c r="X19" i="2"/>
  <c r="W19" i="2"/>
  <c r="V19" i="2"/>
  <c r="U19" i="2"/>
  <c r="X18" i="2"/>
  <c r="W18" i="2"/>
  <c r="V18" i="2"/>
  <c r="U18" i="2"/>
  <c r="X17" i="2"/>
  <c r="W17" i="2"/>
  <c r="V17" i="2"/>
  <c r="U17" i="2"/>
  <c r="X16" i="2"/>
  <c r="W16" i="2"/>
  <c r="V16" i="2"/>
  <c r="U16" i="2"/>
  <c r="X15" i="2"/>
  <c r="W15" i="2"/>
  <c r="V15" i="2"/>
  <c r="U15" i="2"/>
  <c r="X14" i="2"/>
  <c r="W14" i="2"/>
  <c r="V14" i="2"/>
  <c r="U14" i="2"/>
  <c r="X13" i="2"/>
  <c r="W13" i="2"/>
  <c r="V13" i="2"/>
  <c r="U13" i="2"/>
  <c r="X12" i="2"/>
  <c r="W12" i="2"/>
  <c r="V12" i="2"/>
  <c r="U12" i="2"/>
  <c r="X11" i="2"/>
  <c r="W11" i="2"/>
  <c r="V11" i="2"/>
  <c r="U11" i="2"/>
  <c r="X10" i="2"/>
  <c r="W10" i="2"/>
  <c r="V10" i="2"/>
  <c r="U10" i="2"/>
  <c r="X9" i="2"/>
  <c r="W9" i="2"/>
  <c r="V9" i="2"/>
  <c r="U9" i="2"/>
  <c r="X8" i="2"/>
  <c r="W8" i="2"/>
  <c r="V8" i="2"/>
  <c r="U8" i="2"/>
  <c r="X7" i="2"/>
  <c r="W7" i="2"/>
  <c r="V7" i="2"/>
  <c r="U7" i="2"/>
  <c r="X6" i="2"/>
  <c r="W6" i="2"/>
  <c r="V6" i="2"/>
  <c r="U6" i="2"/>
  <c r="A273" i="43"/>
  <c r="A274" i="43"/>
  <c r="A275" i="43"/>
  <c r="A276" i="43"/>
  <c r="A277" i="43"/>
  <c r="A278" i="43"/>
  <c r="A279" i="43"/>
  <c r="A280" i="43"/>
  <c r="A281" i="43"/>
  <c r="A282" i="43"/>
  <c r="A283" i="43"/>
  <c r="A284" i="43"/>
  <c r="A285" i="43"/>
  <c r="A286" i="43"/>
  <c r="A287" i="43"/>
  <c r="A288" i="43"/>
  <c r="A289" i="43"/>
  <c r="A290" i="43"/>
  <c r="A291" i="43"/>
  <c r="A292" i="43"/>
  <c r="A293" i="43"/>
  <c r="A294" i="43"/>
  <c r="A295" i="43"/>
  <c r="A296" i="43"/>
  <c r="A297" i="43"/>
  <c r="A298" i="43"/>
  <c r="A299" i="43"/>
  <c r="A300" i="43"/>
  <c r="A249" i="43"/>
  <c r="A250" i="43"/>
  <c r="A251" i="43"/>
  <c r="A252" i="43"/>
  <c r="A253" i="43"/>
  <c r="A254" i="43"/>
  <c r="A255" i="43"/>
  <c r="A256" i="43"/>
  <c r="A257" i="43"/>
  <c r="A258" i="43"/>
  <c r="A259" i="43"/>
  <c r="A260" i="43"/>
  <c r="A261" i="43"/>
  <c r="A262" i="43"/>
  <c r="A263" i="43"/>
  <c r="A264" i="43"/>
  <c r="A265" i="43"/>
  <c r="A266" i="43"/>
  <c r="A267" i="43"/>
  <c r="A268" i="43"/>
  <c r="A269" i="43"/>
  <c r="A270" i="43"/>
  <c r="A271" i="43"/>
  <c r="A272" i="43"/>
  <c r="S67" i="2"/>
  <c r="T67" i="2" s="1"/>
  <c r="A159" i="43"/>
  <c r="A160" i="43"/>
  <c r="A161" i="43"/>
  <c r="A162" i="43"/>
  <c r="A163" i="43"/>
  <c r="A164" i="43"/>
  <c r="A165" i="43"/>
  <c r="A166" i="43"/>
  <c r="A167" i="43"/>
  <c r="A168" i="43"/>
  <c r="A169" i="43"/>
  <c r="A170" i="43"/>
  <c r="A171" i="43"/>
  <c r="A172" i="43"/>
  <c r="A173" i="43"/>
  <c r="A174" i="43"/>
  <c r="A175" i="43"/>
  <c r="A176" i="43"/>
  <c r="A177" i="43"/>
  <c r="A178" i="43"/>
  <c r="A179" i="43"/>
  <c r="A180" i="43"/>
  <c r="A181" i="43"/>
  <c r="A182" i="43"/>
  <c r="A183" i="43"/>
  <c r="A184" i="43"/>
  <c r="A185" i="43"/>
  <c r="A186" i="43"/>
  <c r="A187" i="43"/>
  <c r="A188" i="43"/>
  <c r="A189" i="43"/>
  <c r="A190" i="43"/>
  <c r="A191" i="43"/>
  <c r="A192" i="43"/>
  <c r="A193" i="43"/>
  <c r="A194" i="43"/>
  <c r="A195" i="43"/>
  <c r="A196" i="43"/>
  <c r="A197" i="43"/>
  <c r="A198" i="43"/>
  <c r="A199" i="43"/>
  <c r="A200" i="43"/>
  <c r="A201" i="43"/>
  <c r="A202" i="43"/>
  <c r="A203" i="43"/>
  <c r="A204" i="43"/>
  <c r="A205" i="43"/>
  <c r="A206" i="43"/>
  <c r="A207" i="43"/>
  <c r="A208" i="43"/>
  <c r="A209" i="43"/>
  <c r="A210" i="43"/>
  <c r="A211" i="43"/>
  <c r="A212" i="43"/>
  <c r="A213" i="43"/>
  <c r="A214" i="43"/>
  <c r="A215" i="43"/>
  <c r="A216" i="43"/>
  <c r="A217" i="43"/>
  <c r="A218" i="43"/>
  <c r="A219" i="43"/>
  <c r="A220" i="43"/>
  <c r="A221" i="43"/>
  <c r="A222" i="43"/>
  <c r="A223" i="43"/>
  <c r="A224" i="43"/>
  <c r="A225" i="43"/>
  <c r="A226" i="43"/>
  <c r="A227" i="43"/>
  <c r="A228" i="43"/>
  <c r="A229" i="43"/>
  <c r="A230" i="43"/>
  <c r="A231" i="43"/>
  <c r="A232" i="43"/>
  <c r="A233" i="43"/>
  <c r="A234" i="43"/>
  <c r="A235" i="43"/>
  <c r="A236" i="43"/>
  <c r="A237" i="43"/>
  <c r="A238" i="43"/>
  <c r="A239" i="43"/>
  <c r="A240" i="43"/>
  <c r="A241" i="43"/>
  <c r="A242" i="43"/>
  <c r="A243" i="43"/>
  <c r="A244" i="43"/>
  <c r="A245" i="43"/>
  <c r="A246" i="43"/>
  <c r="A247" i="43"/>
  <c r="A248" i="43"/>
  <c r="S69" i="2"/>
  <c r="T69" i="2" s="1"/>
  <c r="S70" i="2"/>
  <c r="T70" i="2" s="1"/>
  <c r="S74" i="2"/>
  <c r="T74" i="2" s="1"/>
  <c r="S75" i="2"/>
  <c r="T75" i="2" s="1"/>
  <c r="V22" i="1"/>
  <c r="Q22" i="1"/>
  <c r="L22" i="1"/>
  <c r="G22" i="1"/>
  <c r="V21" i="1"/>
  <c r="Q21" i="1"/>
  <c r="L21" i="1"/>
  <c r="G21" i="1"/>
  <c r="V20" i="1"/>
  <c r="Q20" i="1"/>
  <c r="L20" i="1"/>
  <c r="G20" i="1"/>
  <c r="V19" i="1"/>
  <c r="Q19" i="1"/>
  <c r="L19" i="1"/>
  <c r="G19" i="1"/>
  <c r="V18" i="1"/>
  <c r="Q18" i="1"/>
  <c r="L18" i="1"/>
  <c r="G18" i="1"/>
  <c r="V17" i="1"/>
  <c r="Q17" i="1"/>
  <c r="L17" i="1"/>
  <c r="G17" i="1"/>
  <c r="V16" i="1"/>
  <c r="Q16" i="1"/>
  <c r="L16" i="1"/>
  <c r="G16" i="1"/>
  <c r="V15" i="1"/>
  <c r="Q15" i="1"/>
  <c r="L15" i="1"/>
  <c r="G15" i="1"/>
  <c r="V7" i="1"/>
  <c r="Q7" i="1"/>
  <c r="G7" i="1"/>
  <c r="Q6" i="1"/>
  <c r="L6" i="1"/>
  <c r="G6" i="1"/>
  <c r="CD61" i="2" l="1"/>
  <c r="CD70" i="2"/>
  <c r="CD72" i="2"/>
  <c r="BF66" i="2"/>
  <c r="BF70" i="2"/>
  <c r="BF68" i="2"/>
  <c r="BF69" i="2"/>
  <c r="BF60" i="2"/>
  <c r="BF75" i="2"/>
  <c r="BF73" i="2"/>
  <c r="BF64" i="2"/>
  <c r="BF61" i="2"/>
  <c r="BF71" i="2"/>
  <c r="BF76" i="2"/>
  <c r="BF72" i="2"/>
  <c r="AI61" i="2"/>
  <c r="AI67" i="2"/>
  <c r="AI75" i="2"/>
  <c r="AI70" i="2"/>
  <c r="AI63" i="2"/>
  <c r="AI65" i="2"/>
  <c r="AI74" i="2"/>
  <c r="AI69" i="2"/>
  <c r="AI66" i="2"/>
  <c r="AI62" i="2"/>
  <c r="AI64" i="2"/>
  <c r="AI72" i="2"/>
  <c r="AI76" i="2"/>
  <c r="AI68" i="2"/>
  <c r="AI73" i="2"/>
  <c r="M75" i="2"/>
  <c r="M69" i="2"/>
  <c r="AI71" i="2"/>
  <c r="BF62" i="2"/>
  <c r="L70" i="2"/>
  <c r="L69" i="2"/>
  <c r="L67" i="2"/>
  <c r="L74" i="2"/>
  <c r="S73" i="2"/>
  <c r="T73" i="2" s="1"/>
  <c r="M74" i="2"/>
  <c r="N74" i="2" s="1"/>
  <c r="M70" i="2"/>
  <c r="L75" i="2"/>
  <c r="S72" i="2"/>
  <c r="T72" i="2" s="1"/>
  <c r="M67" i="2"/>
  <c r="AI60" i="2"/>
  <c r="BF65" i="2"/>
  <c r="CD66" i="2"/>
  <c r="AN16" i="2"/>
  <c r="AO16" i="2" s="1"/>
  <c r="V23" i="1"/>
  <c r="L8" i="1"/>
  <c r="L23" i="1"/>
  <c r="G8" i="1"/>
  <c r="G23" i="1"/>
  <c r="V8" i="1"/>
  <c r="Q23" i="1"/>
  <c r="Q8" i="1"/>
  <c r="R6" i="10"/>
  <c r="F17" i="10"/>
  <c r="I17" i="10"/>
  <c r="L17" i="10"/>
  <c r="O17" i="10"/>
  <c r="R17" i="10"/>
  <c r="U17" i="10"/>
  <c r="X17" i="10"/>
  <c r="AA17" i="10"/>
  <c r="AD17" i="10"/>
  <c r="AG17" i="10"/>
  <c r="AJ17" i="10"/>
  <c r="AM17" i="10"/>
  <c r="AP17" i="10"/>
  <c r="AS17" i="10"/>
  <c r="AV17" i="10"/>
  <c r="AY17" i="10"/>
  <c r="O19" i="10"/>
  <c r="L19" i="10"/>
  <c r="I19" i="10"/>
  <c r="F19" i="10"/>
  <c r="O18" i="10"/>
  <c r="L18" i="10"/>
  <c r="I18" i="10"/>
  <c r="F18" i="10"/>
  <c r="O16" i="10"/>
  <c r="L16" i="10"/>
  <c r="I16" i="10"/>
  <c r="F16" i="10"/>
  <c r="O15" i="10"/>
  <c r="L15" i="10"/>
  <c r="I15" i="10"/>
  <c r="F15" i="10"/>
  <c r="O14" i="10"/>
  <c r="L14" i="10"/>
  <c r="I14" i="10"/>
  <c r="F14" i="10"/>
  <c r="O13" i="10"/>
  <c r="L13" i="10"/>
  <c r="I13" i="10"/>
  <c r="F13" i="10"/>
  <c r="O12" i="10"/>
  <c r="L12" i="10"/>
  <c r="I12" i="10"/>
  <c r="F12" i="10"/>
  <c r="O11" i="10"/>
  <c r="L11" i="10"/>
  <c r="I11" i="10"/>
  <c r="F11" i="10"/>
  <c r="O10" i="10"/>
  <c r="L10" i="10"/>
  <c r="I10" i="10"/>
  <c r="F10" i="10"/>
  <c r="O9" i="10"/>
  <c r="L9" i="10"/>
  <c r="I9" i="10"/>
  <c r="F9" i="10"/>
  <c r="O8" i="10"/>
  <c r="L8" i="10"/>
  <c r="I8" i="10"/>
  <c r="F8" i="10"/>
  <c r="O7" i="10"/>
  <c r="L7" i="10"/>
  <c r="I7" i="10"/>
  <c r="F7" i="10"/>
  <c r="O6" i="10"/>
  <c r="L6" i="10"/>
  <c r="I6" i="10"/>
  <c r="F6" i="10"/>
  <c r="A5" i="43"/>
  <c r="A6" i="43"/>
  <c r="A7" i="43"/>
  <c r="A8" i="43"/>
  <c r="A9" i="43"/>
  <c r="A10" i="43"/>
  <c r="A11" i="43"/>
  <c r="A12" i="43"/>
  <c r="A13" i="43"/>
  <c r="A14" i="43"/>
  <c r="A15" i="43"/>
  <c r="A16" i="43"/>
  <c r="A17" i="43"/>
  <c r="A18" i="43"/>
  <c r="A19" i="43"/>
  <c r="A20" i="43"/>
  <c r="A21" i="43"/>
  <c r="A22" i="43"/>
  <c r="A23" i="43"/>
  <c r="A24" i="43"/>
  <c r="A25" i="43"/>
  <c r="A26" i="43"/>
  <c r="A27" i="43"/>
  <c r="A28" i="43"/>
  <c r="A29" i="43"/>
  <c r="A30" i="43"/>
  <c r="A31" i="43"/>
  <c r="A32" i="43"/>
  <c r="A33" i="43"/>
  <c r="A34" i="43"/>
  <c r="A35" i="43"/>
  <c r="A36" i="43"/>
  <c r="A37" i="43"/>
  <c r="A38" i="43"/>
  <c r="A39" i="43"/>
  <c r="A40" i="43"/>
  <c r="A41" i="43"/>
  <c r="A42" i="43"/>
  <c r="A43" i="43"/>
  <c r="A44" i="43"/>
  <c r="A45" i="43"/>
  <c r="A46" i="43"/>
  <c r="A47" i="43"/>
  <c r="A48" i="43"/>
  <c r="A49" i="43"/>
  <c r="A50" i="43"/>
  <c r="A51" i="43"/>
  <c r="A52" i="43"/>
  <c r="A53" i="43"/>
  <c r="A54" i="43"/>
  <c r="A55" i="43"/>
  <c r="A56" i="43"/>
  <c r="A57" i="43"/>
  <c r="A58" i="43"/>
  <c r="A59" i="43"/>
  <c r="A60" i="43"/>
  <c r="A61" i="43"/>
  <c r="A62" i="43"/>
  <c r="A63" i="43"/>
  <c r="A64" i="43"/>
  <c r="A65" i="43"/>
  <c r="A66" i="43"/>
  <c r="A67" i="43"/>
  <c r="A68" i="43"/>
  <c r="A69" i="43"/>
  <c r="A70" i="43"/>
  <c r="A71" i="43"/>
  <c r="A72" i="43"/>
  <c r="A73" i="43"/>
  <c r="A74" i="43"/>
  <c r="A75" i="43"/>
  <c r="A76" i="43"/>
  <c r="A77" i="43"/>
  <c r="A78" i="43"/>
  <c r="A79" i="43"/>
  <c r="A80" i="43"/>
  <c r="A81" i="43"/>
  <c r="A82" i="43"/>
  <c r="A83" i="43"/>
  <c r="A84" i="43"/>
  <c r="A85" i="43"/>
  <c r="A86" i="43"/>
  <c r="A87" i="43"/>
  <c r="A88" i="43"/>
  <c r="A89" i="43"/>
  <c r="A90" i="43"/>
  <c r="A91" i="43"/>
  <c r="A92" i="43"/>
  <c r="A93" i="43"/>
  <c r="A94" i="43"/>
  <c r="A95" i="43"/>
  <c r="A96" i="43"/>
  <c r="A97" i="43"/>
  <c r="A98" i="43"/>
  <c r="A99" i="43"/>
  <c r="A100" i="43"/>
  <c r="A101" i="43"/>
  <c r="A102" i="43"/>
  <c r="A103" i="43"/>
  <c r="A104" i="43"/>
  <c r="A105" i="43"/>
  <c r="A106" i="43"/>
  <c r="A107" i="43"/>
  <c r="A108" i="43"/>
  <c r="A109" i="43"/>
  <c r="A110" i="43"/>
  <c r="A111" i="43"/>
  <c r="A112" i="43"/>
  <c r="A113" i="43"/>
  <c r="A114" i="43"/>
  <c r="A115" i="43"/>
  <c r="A116" i="43"/>
  <c r="A117" i="43"/>
  <c r="A118" i="43"/>
  <c r="A119" i="43"/>
  <c r="A120" i="43"/>
  <c r="A121" i="43"/>
  <c r="A122" i="43"/>
  <c r="A123" i="43"/>
  <c r="A124" i="43"/>
  <c r="A125" i="43"/>
  <c r="A126" i="43"/>
  <c r="A127" i="43"/>
  <c r="A128" i="43"/>
  <c r="A129" i="43"/>
  <c r="A130" i="43"/>
  <c r="A131" i="43"/>
  <c r="A132" i="43"/>
  <c r="A133" i="43"/>
  <c r="A134" i="43"/>
  <c r="A135" i="43"/>
  <c r="A136" i="43"/>
  <c r="A137" i="43"/>
  <c r="A138" i="43"/>
  <c r="A139" i="43"/>
  <c r="A140" i="43"/>
  <c r="A141" i="43"/>
  <c r="A142" i="43"/>
  <c r="A143" i="43"/>
  <c r="A144" i="43"/>
  <c r="A145" i="43"/>
  <c r="A146" i="43"/>
  <c r="A147" i="43"/>
  <c r="A148" i="43"/>
  <c r="A149" i="43"/>
  <c r="A150" i="43"/>
  <c r="A151" i="43"/>
  <c r="A152" i="43"/>
  <c r="A153" i="43"/>
  <c r="A154" i="43"/>
  <c r="A155" i="43"/>
  <c r="A156" i="43"/>
  <c r="A157" i="43"/>
  <c r="A158" i="43"/>
  <c r="A4" i="43"/>
  <c r="A3" i="43"/>
  <c r="CD22" i="1"/>
  <c r="BY22" i="1"/>
  <c r="BT22" i="1"/>
  <c r="BO22" i="1"/>
  <c r="CD21" i="1"/>
  <c r="BY21" i="1"/>
  <c r="BT21" i="1"/>
  <c r="BO21" i="1"/>
  <c r="CD20" i="1"/>
  <c r="BY20" i="1"/>
  <c r="BT20" i="1"/>
  <c r="BO20" i="1"/>
  <c r="CD19" i="1"/>
  <c r="BY19" i="1"/>
  <c r="BT19" i="1"/>
  <c r="BO19" i="1"/>
  <c r="CD18" i="1"/>
  <c r="BY18" i="1"/>
  <c r="BT18" i="1"/>
  <c r="BO18" i="1"/>
  <c r="CD17" i="1"/>
  <c r="BY17" i="1"/>
  <c r="BT17" i="1"/>
  <c r="BO17" i="1"/>
  <c r="CD16" i="1"/>
  <c r="BY16" i="1"/>
  <c r="BT16" i="1"/>
  <c r="BO16" i="1"/>
  <c r="CD15" i="1"/>
  <c r="BY15" i="1"/>
  <c r="BT15" i="1"/>
  <c r="BO15" i="1"/>
  <c r="CD7" i="1"/>
  <c r="BY7" i="1"/>
  <c r="BT7" i="1"/>
  <c r="BO7" i="1"/>
  <c r="CD6" i="1"/>
  <c r="BY6" i="1"/>
  <c r="BT6" i="1"/>
  <c r="BO6" i="1"/>
  <c r="N69" i="2" l="1"/>
  <c r="N75" i="2"/>
  <c r="N70" i="2"/>
  <c r="N67" i="2"/>
  <c r="S71" i="2"/>
  <c r="T71" i="2" s="1"/>
  <c r="L73" i="2"/>
  <c r="M73" i="2"/>
  <c r="M72" i="2"/>
  <c r="L72" i="2"/>
  <c r="S19" i="2"/>
  <c r="T19" i="2" s="1"/>
  <c r="BL54" i="2"/>
  <c r="BM54" i="2" s="1"/>
  <c r="BS57" i="2"/>
  <c r="BT57" i="2" s="1"/>
  <c r="AU54" i="2"/>
  <c r="AV54" i="2" s="1"/>
  <c r="CL55" i="2"/>
  <c r="CM55" i="2" s="1"/>
  <c r="BB56" i="2"/>
  <c r="BC56" i="2" s="1"/>
  <c r="CL54" i="2"/>
  <c r="CM54" i="2" s="1"/>
  <c r="AU53" i="2"/>
  <c r="AV53" i="2" s="1"/>
  <c r="AN57" i="2"/>
  <c r="AO57" i="2" s="1"/>
  <c r="BL57" i="2"/>
  <c r="BM57" i="2" s="1"/>
  <c r="CU55" i="2"/>
  <c r="CV55" i="2" s="1"/>
  <c r="BB54" i="2"/>
  <c r="BC54" i="2" s="1"/>
  <c r="DD54" i="2"/>
  <c r="DE54" i="2" s="1"/>
  <c r="CU57" i="2"/>
  <c r="CV57" i="2" s="1"/>
  <c r="DD53" i="2"/>
  <c r="DE53" i="2" s="1"/>
  <c r="CL53" i="2"/>
  <c r="CM53" i="2" s="1"/>
  <c r="BS54" i="2"/>
  <c r="BT54" i="2" s="1"/>
  <c r="BB55" i="2"/>
  <c r="BC55" i="2" s="1"/>
  <c r="BL56" i="2"/>
  <c r="BM56" i="2" s="1"/>
  <c r="AN55" i="2"/>
  <c r="AO55" i="2" s="1"/>
  <c r="CU54" i="2"/>
  <c r="CV54" i="2" s="1"/>
  <c r="BB53" i="2"/>
  <c r="BC53" i="2" s="1"/>
  <c r="CU56" i="2"/>
  <c r="CV56" i="2" s="1"/>
  <c r="BS55" i="2"/>
  <c r="BT55" i="2" s="1"/>
  <c r="DD57" i="2"/>
  <c r="DE57" i="2" s="1"/>
  <c r="AU57" i="2"/>
  <c r="AV57" i="2" s="1"/>
  <c r="AU56" i="2"/>
  <c r="AV56" i="2" s="1"/>
  <c r="BZ55" i="2"/>
  <c r="AN54" i="2"/>
  <c r="AO54" i="2" s="1"/>
  <c r="CU53" i="2"/>
  <c r="CV53" i="2" s="1"/>
  <c r="AU55" i="2"/>
  <c r="AV55" i="2" s="1"/>
  <c r="BL53" i="2"/>
  <c r="BM53" i="2" s="1"/>
  <c r="AN56" i="2"/>
  <c r="AO56" i="2" s="1"/>
  <c r="BZ57" i="2"/>
  <c r="BS53" i="2"/>
  <c r="BT53" i="2" s="1"/>
  <c r="CL57" i="2"/>
  <c r="CM57" i="2" s="1"/>
  <c r="DD56" i="2"/>
  <c r="BZ54" i="2"/>
  <c r="AN53" i="2"/>
  <c r="AO53" i="2" s="1"/>
  <c r="BS56" i="2"/>
  <c r="BT56" i="2" s="1"/>
  <c r="DD55" i="2"/>
  <c r="BB57" i="2"/>
  <c r="BC57" i="2" s="1"/>
  <c r="BZ56" i="2"/>
  <c r="CL56" i="2"/>
  <c r="CM56" i="2" s="1"/>
  <c r="BL55" i="2"/>
  <c r="BM55" i="2" s="1"/>
  <c r="BZ53" i="2"/>
  <c r="AE12" i="2"/>
  <c r="AF12" i="2" s="1"/>
  <c r="AE13" i="2"/>
  <c r="AF13" i="2" s="1"/>
  <c r="AE16" i="2"/>
  <c r="AF16" i="2" s="1"/>
  <c r="AE19" i="2"/>
  <c r="AF19" i="2" s="1"/>
  <c r="AE21" i="2"/>
  <c r="AF21" i="2" s="1"/>
  <c r="AE24" i="2"/>
  <c r="AF24" i="2" s="1"/>
  <c r="AE25" i="2"/>
  <c r="AF25" i="2" s="1"/>
  <c r="AE27" i="2"/>
  <c r="AF27" i="2" s="1"/>
  <c r="AE29" i="2"/>
  <c r="AF29" i="2" s="1"/>
  <c r="AE31" i="2"/>
  <c r="AF31" i="2" s="1"/>
  <c r="AE33" i="2"/>
  <c r="AF33" i="2" s="1"/>
  <c r="AE35" i="2"/>
  <c r="AF35" i="2" s="1"/>
  <c r="AE37" i="2"/>
  <c r="AF37" i="2" s="1"/>
  <c r="AE39" i="2"/>
  <c r="AF39" i="2" s="1"/>
  <c r="AE42" i="2"/>
  <c r="AF42" i="2" s="1"/>
  <c r="AE43" i="2"/>
  <c r="AF43" i="2" s="1"/>
  <c r="AE45" i="2"/>
  <c r="AF45" i="2" s="1"/>
  <c r="AE47" i="2"/>
  <c r="AF47" i="2" s="1"/>
  <c r="AE49" i="2"/>
  <c r="AF49" i="2" s="1"/>
  <c r="AE52" i="2"/>
  <c r="AF52" i="2" s="1"/>
  <c r="AE54" i="2"/>
  <c r="AF54" i="2" s="1"/>
  <c r="AE57" i="2"/>
  <c r="AF57" i="2" s="1"/>
  <c r="AE59" i="2"/>
  <c r="AF59" i="2" s="1"/>
  <c r="AE9" i="2"/>
  <c r="AF9" i="2" s="1"/>
  <c r="AE6" i="2"/>
  <c r="AF6" i="2" s="1"/>
  <c r="AE7" i="2"/>
  <c r="AF7" i="2" s="1"/>
  <c r="AE8" i="2"/>
  <c r="AF8" i="2" s="1"/>
  <c r="AE10" i="2"/>
  <c r="AF10" i="2" s="1"/>
  <c r="AE11" i="2"/>
  <c r="AF11" i="2" s="1"/>
  <c r="AE14" i="2"/>
  <c r="AF14" i="2" s="1"/>
  <c r="AE15" i="2"/>
  <c r="AF15" i="2" s="1"/>
  <c r="AE17" i="2"/>
  <c r="AF17" i="2" s="1"/>
  <c r="AE18" i="2"/>
  <c r="AF18" i="2" s="1"/>
  <c r="AE20" i="2"/>
  <c r="AF20" i="2" s="1"/>
  <c r="AE22" i="2"/>
  <c r="AF22" i="2" s="1"/>
  <c r="AE23" i="2"/>
  <c r="AF23" i="2" s="1"/>
  <c r="AE26" i="2"/>
  <c r="AF26" i="2" s="1"/>
  <c r="AE28" i="2"/>
  <c r="AF28" i="2" s="1"/>
  <c r="AE30" i="2"/>
  <c r="AF30" i="2" s="1"/>
  <c r="AE32" i="2"/>
  <c r="AF32" i="2" s="1"/>
  <c r="AE34" i="2"/>
  <c r="AF34" i="2" s="1"/>
  <c r="AE36" i="2"/>
  <c r="AF36" i="2" s="1"/>
  <c r="AE38" i="2"/>
  <c r="AF38" i="2" s="1"/>
  <c r="AE40" i="2"/>
  <c r="AF40" i="2" s="1"/>
  <c r="AE41" i="2"/>
  <c r="AF41" i="2" s="1"/>
  <c r="AE44" i="2"/>
  <c r="AF44" i="2" s="1"/>
  <c r="AE46" i="2"/>
  <c r="AF46" i="2" s="1"/>
  <c r="AE48" i="2"/>
  <c r="AF48" i="2" s="1"/>
  <c r="AE50" i="2"/>
  <c r="AF50" i="2" s="1"/>
  <c r="AE51" i="2"/>
  <c r="AF51" i="2" s="1"/>
  <c r="AE53" i="2"/>
  <c r="AF53" i="2" s="1"/>
  <c r="AE55" i="2"/>
  <c r="AF55" i="2" s="1"/>
  <c r="AE56" i="2"/>
  <c r="AF56" i="2" s="1"/>
  <c r="AE58" i="2"/>
  <c r="AF58" i="2" s="1"/>
  <c r="Y19" i="2"/>
  <c r="Z19" i="2" s="1"/>
  <c r="Y21" i="2"/>
  <c r="Z21" i="2" s="1"/>
  <c r="Y25" i="2"/>
  <c r="Z25" i="2" s="1"/>
  <c r="Y27" i="2"/>
  <c r="Z27" i="2" s="1"/>
  <c r="Y29" i="2"/>
  <c r="Z29" i="2" s="1"/>
  <c r="Y33" i="2"/>
  <c r="Z33" i="2" s="1"/>
  <c r="Y35" i="2"/>
  <c r="Z35" i="2" s="1"/>
  <c r="Y37" i="2"/>
  <c r="Z37" i="2" s="1"/>
  <c r="Y39" i="2"/>
  <c r="Z39" i="2" s="1"/>
  <c r="Y42" i="2"/>
  <c r="Z42" i="2" s="1"/>
  <c r="Y43" i="2"/>
  <c r="Z43" i="2" s="1"/>
  <c r="Y45" i="2"/>
  <c r="Z45" i="2" s="1"/>
  <c r="Y47" i="2"/>
  <c r="Z47" i="2" s="1"/>
  <c r="Y49" i="2"/>
  <c r="Z49" i="2" s="1"/>
  <c r="Y52" i="2"/>
  <c r="Z52" i="2" s="1"/>
  <c r="Y54" i="2"/>
  <c r="Z54" i="2" s="1"/>
  <c r="Y57" i="2"/>
  <c r="Z57" i="2" s="1"/>
  <c r="Y59" i="2"/>
  <c r="Z59" i="2" s="1"/>
  <c r="Y13" i="2"/>
  <c r="Z13" i="2" s="1"/>
  <c r="Y16" i="2"/>
  <c r="Z16" i="2" s="1"/>
  <c r="Y8" i="2"/>
  <c r="Z8" i="2" s="1"/>
  <c r="Y10" i="2"/>
  <c r="Z10" i="2" s="1"/>
  <c r="Y11" i="2"/>
  <c r="Z11" i="2" s="1"/>
  <c r="Y24" i="2"/>
  <c r="Z24" i="2" s="1"/>
  <c r="Y20" i="2"/>
  <c r="Z20" i="2" s="1"/>
  <c r="Y22" i="2"/>
  <c r="Z22" i="2" s="1"/>
  <c r="Y23" i="2"/>
  <c r="Z23" i="2" s="1"/>
  <c r="Y26" i="2"/>
  <c r="Z26" i="2" s="1"/>
  <c r="Y28" i="2"/>
  <c r="Z28" i="2" s="1"/>
  <c r="Y30" i="2"/>
  <c r="Z30" i="2" s="1"/>
  <c r="Y32" i="2"/>
  <c r="Z32" i="2" s="1"/>
  <c r="Y34" i="2"/>
  <c r="Z34" i="2" s="1"/>
  <c r="Y36" i="2"/>
  <c r="Z36" i="2" s="1"/>
  <c r="Y38" i="2"/>
  <c r="Z38" i="2" s="1"/>
  <c r="Y40" i="2"/>
  <c r="Z40" i="2" s="1"/>
  <c r="Y41" i="2"/>
  <c r="Z41" i="2" s="1"/>
  <c r="Y44" i="2"/>
  <c r="Z44" i="2" s="1"/>
  <c r="Y46" i="2"/>
  <c r="Z46" i="2" s="1"/>
  <c r="Y48" i="2"/>
  <c r="Z48" i="2" s="1"/>
  <c r="Y50" i="2"/>
  <c r="Z50" i="2" s="1"/>
  <c r="Y51" i="2"/>
  <c r="Z51" i="2" s="1"/>
  <c r="Y53" i="2"/>
  <c r="Z53" i="2" s="1"/>
  <c r="Y55" i="2"/>
  <c r="Z55" i="2" s="1"/>
  <c r="Y56" i="2"/>
  <c r="Z56" i="2" s="1"/>
  <c r="Y58" i="2"/>
  <c r="Z58" i="2" s="1"/>
  <c r="Y6" i="2"/>
  <c r="Z6" i="2" s="1"/>
  <c r="Y7" i="2"/>
  <c r="Z7" i="2" s="1"/>
  <c r="Y9" i="2"/>
  <c r="Z9" i="2" s="1"/>
  <c r="Y12" i="2"/>
  <c r="Z12" i="2" s="1"/>
  <c r="Y14" i="2"/>
  <c r="Z14" i="2" s="1"/>
  <c r="Y15" i="2"/>
  <c r="Z15" i="2" s="1"/>
  <c r="Y17" i="2"/>
  <c r="Z17" i="2" s="1"/>
  <c r="S28" i="2"/>
  <c r="T28" i="2" s="1"/>
  <c r="S25" i="2"/>
  <c r="T25" i="2" s="1"/>
  <c r="F3" i="10"/>
  <c r="O3" i="10"/>
  <c r="I3" i="10"/>
  <c r="L3" i="10"/>
  <c r="BO23" i="1"/>
  <c r="CD8" i="1"/>
  <c r="BO8" i="1"/>
  <c r="BT23" i="1"/>
  <c r="BT8" i="1"/>
  <c r="BY23" i="1"/>
  <c r="BY8" i="1"/>
  <c r="CD23" i="1"/>
  <c r="AY19" i="10"/>
  <c r="AV19" i="10"/>
  <c r="AS19" i="10"/>
  <c r="AP19" i="10"/>
  <c r="AY18" i="10"/>
  <c r="AV18" i="10"/>
  <c r="AS18" i="10"/>
  <c r="AP18" i="10"/>
  <c r="AY16" i="10"/>
  <c r="AV16" i="10"/>
  <c r="AS16" i="10"/>
  <c r="AP16" i="10"/>
  <c r="AY15" i="10"/>
  <c r="AV15" i="10"/>
  <c r="AS15" i="10"/>
  <c r="AP15" i="10"/>
  <c r="AY14" i="10"/>
  <c r="AV14" i="10"/>
  <c r="AS14" i="10"/>
  <c r="AP14" i="10"/>
  <c r="AY13" i="10"/>
  <c r="AV13" i="10"/>
  <c r="AS13" i="10"/>
  <c r="AP13" i="10"/>
  <c r="AY12" i="10"/>
  <c r="AV12" i="10"/>
  <c r="AS12" i="10"/>
  <c r="AP12" i="10"/>
  <c r="AY11" i="10"/>
  <c r="AV11" i="10"/>
  <c r="AS11" i="10"/>
  <c r="AP11" i="10"/>
  <c r="AY10" i="10"/>
  <c r="AV10" i="10"/>
  <c r="AS10" i="10"/>
  <c r="AP10" i="10"/>
  <c r="AY9" i="10"/>
  <c r="AV9" i="10"/>
  <c r="AS9" i="10"/>
  <c r="AP9" i="10"/>
  <c r="AY8" i="10"/>
  <c r="AV8" i="10"/>
  <c r="AS8" i="10"/>
  <c r="AP8" i="10"/>
  <c r="AY7" i="10"/>
  <c r="AV7" i="10"/>
  <c r="AS7" i="10"/>
  <c r="AP7" i="10"/>
  <c r="AY6" i="10"/>
  <c r="AV6" i="10"/>
  <c r="AS6" i="10"/>
  <c r="AP6" i="10"/>
  <c r="CA56" i="2" l="1"/>
  <c r="BD56" i="2"/>
  <c r="CA57" i="2"/>
  <c r="BD57" i="2"/>
  <c r="CA53" i="2"/>
  <c r="BD53" i="2"/>
  <c r="CA54" i="2"/>
  <c r="BD54" i="2"/>
  <c r="CA55" i="2"/>
  <c r="BD55" i="2"/>
  <c r="L71" i="2"/>
  <c r="N73" i="2"/>
  <c r="N72" i="2"/>
  <c r="Z18" i="1"/>
  <c r="M71" i="2"/>
  <c r="S27" i="2"/>
  <c r="T27" i="2" s="1"/>
  <c r="S29" i="2"/>
  <c r="S76" i="2"/>
  <c r="T76" i="2" s="1"/>
  <c r="S64" i="2"/>
  <c r="T64" i="2" s="1"/>
  <c r="S66" i="2"/>
  <c r="T66" i="2" s="1"/>
  <c r="S62" i="2"/>
  <c r="T62" i="2" s="1"/>
  <c r="S65" i="2"/>
  <c r="T65" i="2" s="1"/>
  <c r="S60" i="2"/>
  <c r="T60" i="2" s="1"/>
  <c r="S68" i="2"/>
  <c r="T68" i="2" s="1"/>
  <c r="S63" i="2"/>
  <c r="T63" i="2" s="1"/>
  <c r="S61" i="2"/>
  <c r="T61" i="2" s="1"/>
  <c r="S16" i="2"/>
  <c r="T16" i="2" s="1"/>
  <c r="CC55" i="2"/>
  <c r="CD55" i="2" s="1"/>
  <c r="CU6" i="2"/>
  <c r="CU30" i="2"/>
  <c r="CV30" i="2" s="1"/>
  <c r="CU32" i="2"/>
  <c r="CV32" i="2" s="1"/>
  <c r="CU34" i="2"/>
  <c r="CV34" i="2" s="1"/>
  <c r="CU36" i="2"/>
  <c r="CV36" i="2" s="1"/>
  <c r="CU38" i="2"/>
  <c r="CV38" i="2" s="1"/>
  <c r="CU40" i="2"/>
  <c r="CV40" i="2" s="1"/>
  <c r="CU41" i="2"/>
  <c r="CV41" i="2" s="1"/>
  <c r="CU44" i="2"/>
  <c r="CV44" i="2" s="1"/>
  <c r="CU46" i="2"/>
  <c r="CV46" i="2" s="1"/>
  <c r="CU48" i="2"/>
  <c r="CV48" i="2" s="1"/>
  <c r="CU50" i="2"/>
  <c r="CV50" i="2" s="1"/>
  <c r="CU51" i="2"/>
  <c r="CV51" i="2" s="1"/>
  <c r="CU58" i="2"/>
  <c r="CV58" i="2" s="1"/>
  <c r="DD17" i="2"/>
  <c r="DE17" i="2" s="1"/>
  <c r="DD18" i="2"/>
  <c r="DE18" i="2" s="1"/>
  <c r="DD20" i="2"/>
  <c r="DE20" i="2" s="1"/>
  <c r="DD22" i="2"/>
  <c r="DE22" i="2" s="1"/>
  <c r="AG53" i="2"/>
  <c r="BE53" i="2"/>
  <c r="AH54" i="2"/>
  <c r="CU15" i="2"/>
  <c r="CV15" i="2" s="1"/>
  <c r="CU17" i="2"/>
  <c r="CV17" i="2" s="1"/>
  <c r="CU18" i="2"/>
  <c r="CV18" i="2" s="1"/>
  <c r="CU20" i="2"/>
  <c r="CV20" i="2" s="1"/>
  <c r="CU22" i="2"/>
  <c r="CV22" i="2" s="1"/>
  <c r="CU23" i="2"/>
  <c r="CV23" i="2" s="1"/>
  <c r="CU26" i="2"/>
  <c r="CV26" i="2" s="1"/>
  <c r="CU28" i="2"/>
  <c r="CV28" i="2" s="1"/>
  <c r="DD15" i="2"/>
  <c r="DE15" i="2" s="1"/>
  <c r="CL16" i="2"/>
  <c r="CM16" i="2" s="1"/>
  <c r="CL21" i="2"/>
  <c r="CM21" i="2" s="1"/>
  <c r="CL24" i="2"/>
  <c r="CM24" i="2" s="1"/>
  <c r="CL27" i="2"/>
  <c r="CM27" i="2" s="1"/>
  <c r="CL33" i="2"/>
  <c r="CM33" i="2" s="1"/>
  <c r="CL37" i="2"/>
  <c r="CM37" i="2" s="1"/>
  <c r="DD11" i="2"/>
  <c r="DE11" i="2" s="1"/>
  <c r="CL25" i="2"/>
  <c r="CM25" i="2" s="1"/>
  <c r="CL29" i="2"/>
  <c r="CM29" i="2" s="1"/>
  <c r="CL35" i="2"/>
  <c r="CM35" i="2" s="1"/>
  <c r="CL39" i="2"/>
  <c r="CM39" i="2" s="1"/>
  <c r="DD14" i="2"/>
  <c r="DE14" i="2" s="1"/>
  <c r="AG54" i="2"/>
  <c r="CB57" i="2"/>
  <c r="CL19" i="2"/>
  <c r="CM19" i="2" s="1"/>
  <c r="CL31" i="2"/>
  <c r="CM31" i="2" s="1"/>
  <c r="CU14" i="2"/>
  <c r="CV14" i="2" s="1"/>
  <c r="P9" i="10"/>
  <c r="Q9" i="10"/>
  <c r="Z7" i="1"/>
  <c r="Z6" i="1"/>
  <c r="CL48" i="2"/>
  <c r="CM48" i="2" s="1"/>
  <c r="CU10" i="2"/>
  <c r="CV10" i="2" s="1"/>
  <c r="DD10" i="2"/>
  <c r="DE10" i="2" s="1"/>
  <c r="CB54" i="2"/>
  <c r="CC56" i="2"/>
  <c r="AG55" i="2"/>
  <c r="CB55" i="2"/>
  <c r="AH53" i="2"/>
  <c r="AG56" i="2"/>
  <c r="CC54" i="2"/>
  <c r="DD44" i="2"/>
  <c r="DE44" i="2" s="1"/>
  <c r="DD46" i="2"/>
  <c r="DE46" i="2" s="1"/>
  <c r="DD48" i="2"/>
  <c r="DE48" i="2" s="1"/>
  <c r="DD50" i="2"/>
  <c r="DE50" i="2" s="1"/>
  <c r="DD51" i="2"/>
  <c r="DE51" i="2" s="1"/>
  <c r="DD58" i="2"/>
  <c r="DE58" i="2" s="1"/>
  <c r="CB53" i="2"/>
  <c r="AH57" i="2"/>
  <c r="CB56" i="2"/>
  <c r="DD6" i="2"/>
  <c r="DD26" i="2"/>
  <c r="DE26" i="2" s="1"/>
  <c r="DD28" i="2"/>
  <c r="DE28" i="2" s="1"/>
  <c r="DD30" i="2"/>
  <c r="DE30" i="2" s="1"/>
  <c r="DD32" i="2"/>
  <c r="DE32" i="2" s="1"/>
  <c r="DD34" i="2"/>
  <c r="DE34" i="2" s="1"/>
  <c r="DD36" i="2"/>
  <c r="DE36" i="2" s="1"/>
  <c r="DD38" i="2"/>
  <c r="DE38" i="2" s="1"/>
  <c r="DD40" i="2"/>
  <c r="DE40" i="2" s="1"/>
  <c r="DD41" i="2"/>
  <c r="DE41" i="2" s="1"/>
  <c r="AG57" i="2"/>
  <c r="P8" i="10"/>
  <c r="CL49" i="2"/>
  <c r="CM49" i="2" s="1"/>
  <c r="AH55" i="2"/>
  <c r="DE56" i="2"/>
  <c r="AH56" i="2"/>
  <c r="Q8" i="10"/>
  <c r="Z22" i="1"/>
  <c r="DE55" i="2"/>
  <c r="CL15" i="2"/>
  <c r="CL17" i="2"/>
  <c r="CM17" i="2" s="1"/>
  <c r="CL18" i="2"/>
  <c r="CM18" i="2" s="1"/>
  <c r="CL20" i="2"/>
  <c r="CM20" i="2" s="1"/>
  <c r="CL22" i="2"/>
  <c r="CM22" i="2" s="1"/>
  <c r="CL23" i="2"/>
  <c r="CM23" i="2" s="1"/>
  <c r="CL26" i="2"/>
  <c r="CM26" i="2" s="1"/>
  <c r="CL28" i="2"/>
  <c r="CM28" i="2" s="1"/>
  <c r="CL30" i="2"/>
  <c r="CM30" i="2" s="1"/>
  <c r="CL32" i="2"/>
  <c r="CM32" i="2" s="1"/>
  <c r="CL34" i="2"/>
  <c r="CM34" i="2" s="1"/>
  <c r="CL36" i="2"/>
  <c r="CM36" i="2" s="1"/>
  <c r="CL38" i="2"/>
  <c r="CM38" i="2" s="1"/>
  <c r="CL40" i="2"/>
  <c r="CM40" i="2" s="1"/>
  <c r="CU8" i="2"/>
  <c r="CV8" i="2" s="1"/>
  <c r="DD8" i="2"/>
  <c r="DE8" i="2" s="1"/>
  <c r="DD43" i="2"/>
  <c r="DE43" i="2" s="1"/>
  <c r="DD45" i="2"/>
  <c r="DE45" i="2" s="1"/>
  <c r="DD47" i="2"/>
  <c r="DE47" i="2" s="1"/>
  <c r="DD49" i="2"/>
  <c r="DE49" i="2" s="1"/>
  <c r="DD52" i="2"/>
  <c r="DE52" i="2" s="1"/>
  <c r="DD59" i="2"/>
  <c r="DE59" i="2" s="1"/>
  <c r="BE57" i="2"/>
  <c r="BE55" i="2"/>
  <c r="S45" i="2"/>
  <c r="T45" i="2" s="1"/>
  <c r="Z17" i="1"/>
  <c r="CC53" i="2"/>
  <c r="CL52" i="2"/>
  <c r="CM52" i="2" s="1"/>
  <c r="DD24" i="2"/>
  <c r="DE24" i="2" s="1"/>
  <c r="DD25" i="2"/>
  <c r="DE25" i="2" s="1"/>
  <c r="DD27" i="2"/>
  <c r="DE27" i="2" s="1"/>
  <c r="DD29" i="2"/>
  <c r="DE29" i="2" s="1"/>
  <c r="DD31" i="2"/>
  <c r="DE31" i="2" s="1"/>
  <c r="DD33" i="2"/>
  <c r="DE33" i="2" s="1"/>
  <c r="DD35" i="2"/>
  <c r="DE35" i="2" s="1"/>
  <c r="DD37" i="2"/>
  <c r="DE37" i="2" s="1"/>
  <c r="DD39" i="2"/>
  <c r="DE39" i="2" s="1"/>
  <c r="CU31" i="2"/>
  <c r="CV31" i="2" s="1"/>
  <c r="CU33" i="2"/>
  <c r="CV33" i="2" s="1"/>
  <c r="CU35" i="2"/>
  <c r="CV35" i="2" s="1"/>
  <c r="CU37" i="2"/>
  <c r="CV37" i="2" s="1"/>
  <c r="CU39" i="2"/>
  <c r="CV39" i="2" s="1"/>
  <c r="CU42" i="2"/>
  <c r="CV42" i="2" s="1"/>
  <c r="CU43" i="2"/>
  <c r="CV43" i="2" s="1"/>
  <c r="CU45" i="2"/>
  <c r="CV45" i="2" s="1"/>
  <c r="CU47" i="2"/>
  <c r="CV47" i="2" s="1"/>
  <c r="CU49" i="2"/>
  <c r="CV49" i="2" s="1"/>
  <c r="CU52" i="2"/>
  <c r="CV52" i="2" s="1"/>
  <c r="CU59" i="2"/>
  <c r="CV59" i="2" s="1"/>
  <c r="DD19" i="2"/>
  <c r="DE19" i="2" s="1"/>
  <c r="DD21" i="2"/>
  <c r="DE21" i="2" s="1"/>
  <c r="BE54" i="2"/>
  <c r="BE56" i="2"/>
  <c r="BF56" i="2" s="1"/>
  <c r="CL45" i="2"/>
  <c r="CM45" i="2" s="1"/>
  <c r="CL59" i="2"/>
  <c r="CM59" i="2" s="1"/>
  <c r="CU21" i="2"/>
  <c r="CV21" i="2" s="1"/>
  <c r="CU27" i="2"/>
  <c r="CV27" i="2" s="1"/>
  <c r="P18" i="10"/>
  <c r="CU25" i="2"/>
  <c r="CV25" i="2" s="1"/>
  <c r="DD13" i="2"/>
  <c r="DE13" i="2" s="1"/>
  <c r="Q18" i="10"/>
  <c r="CU16" i="2"/>
  <c r="CV16" i="2" s="1"/>
  <c r="CU19" i="2"/>
  <c r="CV19" i="2" s="1"/>
  <c r="CU24" i="2"/>
  <c r="CV24" i="2" s="1"/>
  <c r="CU12" i="2"/>
  <c r="CV12" i="2" s="1"/>
  <c r="CU13" i="2"/>
  <c r="CV13" i="2" s="1"/>
  <c r="DD12" i="2"/>
  <c r="DE12" i="2" s="1"/>
  <c r="CU9" i="2"/>
  <c r="CV9" i="2" s="1"/>
  <c r="DD9" i="2"/>
  <c r="DE9" i="2" s="1"/>
  <c r="CC57" i="2"/>
  <c r="CD57" i="2" s="1"/>
  <c r="P11" i="10"/>
  <c r="P15" i="10"/>
  <c r="AE2" i="2"/>
  <c r="Z8" i="1" s="1"/>
  <c r="Z23" i="1" s="1"/>
  <c r="P10" i="10"/>
  <c r="Q13" i="10"/>
  <c r="P13" i="10"/>
  <c r="Q11" i="10"/>
  <c r="Q7" i="10"/>
  <c r="Q19" i="10"/>
  <c r="Z21" i="1"/>
  <c r="Q17" i="10"/>
  <c r="Q10" i="10"/>
  <c r="P7" i="10"/>
  <c r="P16" i="10"/>
  <c r="Z16" i="1"/>
  <c r="Q15" i="10"/>
  <c r="Z20" i="1"/>
  <c r="Q16" i="10"/>
  <c r="P6" i="10"/>
  <c r="W15" i="1" s="1"/>
  <c r="X15" i="1" s="1"/>
  <c r="Q6" i="10"/>
  <c r="P14" i="10"/>
  <c r="Z15" i="1"/>
  <c r="Q12" i="10"/>
  <c r="Q14" i="10"/>
  <c r="P12" i="10"/>
  <c r="P19" i="10"/>
  <c r="W22" i="1" s="1"/>
  <c r="Z19" i="1"/>
  <c r="P17" i="10"/>
  <c r="S26" i="2"/>
  <c r="T26" i="2" s="1"/>
  <c r="S32" i="2"/>
  <c r="T32" i="2" s="1"/>
  <c r="S14" i="2"/>
  <c r="T14" i="2" s="1"/>
  <c r="S22" i="2"/>
  <c r="T22" i="2" s="1"/>
  <c r="S10" i="2"/>
  <c r="T10" i="2" s="1"/>
  <c r="S42" i="2"/>
  <c r="T42" i="2" s="1"/>
  <c r="S33" i="2"/>
  <c r="T33" i="2" s="1"/>
  <c r="S46" i="2"/>
  <c r="T46" i="2" s="1"/>
  <c r="S58" i="2"/>
  <c r="T58" i="2" s="1"/>
  <c r="S57" i="2"/>
  <c r="S51" i="2"/>
  <c r="T51" i="2" s="1"/>
  <c r="S44" i="2"/>
  <c r="T44" i="2" s="1"/>
  <c r="S13" i="2"/>
  <c r="T13" i="2" s="1"/>
  <c r="S31" i="2"/>
  <c r="T31" i="2" s="1"/>
  <c r="Y18" i="2"/>
  <c r="Z18" i="2" s="1"/>
  <c r="Y31" i="2"/>
  <c r="Z31" i="2" s="1"/>
  <c r="L28" i="2"/>
  <c r="S21" i="2"/>
  <c r="T21" i="2" s="1"/>
  <c r="M9" i="10"/>
  <c r="N9" i="10"/>
  <c r="S20" i="2"/>
  <c r="T20" i="2" s="1"/>
  <c r="S39" i="2"/>
  <c r="T39" i="2" s="1"/>
  <c r="S35" i="2"/>
  <c r="T35" i="2" s="1"/>
  <c r="S49" i="2"/>
  <c r="T49" i="2" s="1"/>
  <c r="S54" i="2"/>
  <c r="S59" i="2"/>
  <c r="T59" i="2" s="1"/>
  <c r="S36" i="2"/>
  <c r="T36" i="2" s="1"/>
  <c r="S53" i="2"/>
  <c r="S30" i="2"/>
  <c r="T30" i="2" s="1"/>
  <c r="S48" i="2"/>
  <c r="T48" i="2" s="1"/>
  <c r="S17" i="2"/>
  <c r="T17" i="2" s="1"/>
  <c r="U15" i="1"/>
  <c r="S9" i="2"/>
  <c r="T9" i="2" s="1"/>
  <c r="S52" i="2"/>
  <c r="T52" i="2" s="1"/>
  <c r="S7" i="2"/>
  <c r="T7" i="2" s="1"/>
  <c r="S8" i="2"/>
  <c r="S18" i="2"/>
  <c r="T18" i="2" s="1"/>
  <c r="S50" i="2"/>
  <c r="T50" i="2" s="1"/>
  <c r="S24" i="2"/>
  <c r="T24" i="2" s="1"/>
  <c r="S11" i="2"/>
  <c r="T11" i="2" s="1"/>
  <c r="S47" i="2"/>
  <c r="T47" i="2" s="1"/>
  <c r="S56" i="2"/>
  <c r="S34" i="2"/>
  <c r="T34" i="2" s="1"/>
  <c r="S15" i="2"/>
  <c r="T15" i="2" s="1"/>
  <c r="S23" i="2"/>
  <c r="T23" i="2" s="1"/>
  <c r="S40" i="2"/>
  <c r="T40" i="2" s="1"/>
  <c r="S41" i="2"/>
  <c r="T41" i="2" s="1"/>
  <c r="S55" i="2"/>
  <c r="S12" i="2"/>
  <c r="T12" i="2" s="1"/>
  <c r="S38" i="2"/>
  <c r="T38" i="2" s="1"/>
  <c r="S6" i="2"/>
  <c r="T6" i="2" s="1"/>
  <c r="S37" i="2"/>
  <c r="T37" i="2" s="1"/>
  <c r="S43" i="2"/>
  <c r="T43" i="2" s="1"/>
  <c r="M19" i="2"/>
  <c r="L19" i="2"/>
  <c r="M25" i="2"/>
  <c r="N25" i="2" s="1"/>
  <c r="N11" i="10"/>
  <c r="N15" i="10"/>
  <c r="N6" i="10"/>
  <c r="L25" i="2"/>
  <c r="U18" i="1"/>
  <c r="N10" i="10"/>
  <c r="U22" i="1"/>
  <c r="U21" i="1"/>
  <c r="N18" i="10"/>
  <c r="M18" i="10"/>
  <c r="M14" i="10"/>
  <c r="N14" i="10"/>
  <c r="M15" i="10"/>
  <c r="M10" i="10"/>
  <c r="M6" i="10"/>
  <c r="R15" i="1" s="1"/>
  <c r="S15" i="1" s="1"/>
  <c r="N17" i="10"/>
  <c r="M17" i="10"/>
  <c r="M13" i="10"/>
  <c r="N13" i="10"/>
  <c r="U20" i="1"/>
  <c r="M28" i="2"/>
  <c r="N28" i="2" s="1"/>
  <c r="M7" i="10"/>
  <c r="N7" i="10"/>
  <c r="AP3" i="10"/>
  <c r="AS3" i="10"/>
  <c r="AV3" i="10"/>
  <c r="AY3" i="10"/>
  <c r="DE6" i="2" l="1"/>
  <c r="CM15" i="2"/>
  <c r="CV6" i="2"/>
  <c r="T29" i="2"/>
  <c r="M29" i="2"/>
  <c r="L29" i="2"/>
  <c r="N71" i="2"/>
  <c r="U16" i="1"/>
  <c r="T54" i="2"/>
  <c r="M54" i="2"/>
  <c r="L54" i="2"/>
  <c r="T55" i="2"/>
  <c r="M55" i="2"/>
  <c r="N55" i="2" s="1"/>
  <c r="L55" i="2"/>
  <c r="T8" i="2"/>
  <c r="M8" i="2"/>
  <c r="M8" i="10"/>
  <c r="R16" i="1" s="1"/>
  <c r="S16" i="1" s="1"/>
  <c r="T57" i="2"/>
  <c r="M57" i="2"/>
  <c r="L57" i="2"/>
  <c r="N8" i="10"/>
  <c r="T56" i="2"/>
  <c r="M56" i="2"/>
  <c r="L56" i="2"/>
  <c r="T53" i="2"/>
  <c r="M53" i="2"/>
  <c r="L53" i="2"/>
  <c r="N19" i="2"/>
  <c r="W19" i="1"/>
  <c r="Y19" i="1" s="1"/>
  <c r="U17" i="1"/>
  <c r="U6" i="1"/>
  <c r="M11" i="10"/>
  <c r="R17" i="1" s="1"/>
  <c r="S17" i="1" s="1"/>
  <c r="W18" i="1"/>
  <c r="X18" i="1" s="1"/>
  <c r="W16" i="1"/>
  <c r="Y16" i="1" s="1"/>
  <c r="Y22" i="1"/>
  <c r="X22" i="1"/>
  <c r="M65" i="2"/>
  <c r="N65" i="2" s="1"/>
  <c r="L34" i="2"/>
  <c r="L10" i="2"/>
  <c r="L66" i="2"/>
  <c r="L14" i="2"/>
  <c r="L64" i="2"/>
  <c r="M6" i="2"/>
  <c r="M50" i="2"/>
  <c r="L23" i="2"/>
  <c r="M51" i="2"/>
  <c r="L76" i="2"/>
  <c r="M11" i="2"/>
  <c r="M37" i="2"/>
  <c r="L41" i="2"/>
  <c r="L27" i="2"/>
  <c r="M76" i="2"/>
  <c r="M27" i="2"/>
  <c r="N27" i="2" s="1"/>
  <c r="M64" i="2"/>
  <c r="L62" i="2"/>
  <c r="L65" i="2"/>
  <c r="M62" i="2"/>
  <c r="M66" i="2"/>
  <c r="L61" i="2"/>
  <c r="M61" i="2"/>
  <c r="M68" i="2"/>
  <c r="L68" i="2"/>
  <c r="L16" i="2"/>
  <c r="M16" i="2"/>
  <c r="N16" i="2" s="1"/>
  <c r="M60" i="2"/>
  <c r="L60" i="2"/>
  <c r="L63" i="2"/>
  <c r="M63" i="2"/>
  <c r="S2" i="2"/>
  <c r="N16" i="10"/>
  <c r="M16" i="10"/>
  <c r="R20" i="1" s="1"/>
  <c r="S20" i="1" s="1"/>
  <c r="N19" i="10"/>
  <c r="M19" i="10"/>
  <c r="R22" i="1" s="1"/>
  <c r="CC52" i="2"/>
  <c r="CD52" i="2" s="1"/>
  <c r="CD54" i="2"/>
  <c r="CD56" i="2"/>
  <c r="CD53" i="2"/>
  <c r="BF54" i="2"/>
  <c r="BF53" i="2"/>
  <c r="BF55" i="2"/>
  <c r="BF57" i="2"/>
  <c r="AI54" i="2"/>
  <c r="AI53" i="2"/>
  <c r="AI55" i="2"/>
  <c r="AI57" i="2"/>
  <c r="AI56" i="2"/>
  <c r="AT13" i="10"/>
  <c r="AU13" i="10"/>
  <c r="L26" i="2"/>
  <c r="L45" i="2"/>
  <c r="M45" i="2"/>
  <c r="U7" i="1"/>
  <c r="M26" i="2"/>
  <c r="Q3" i="10"/>
  <c r="L44" i="2"/>
  <c r="M30" i="2"/>
  <c r="N30" i="2" s="1"/>
  <c r="L22" i="2"/>
  <c r="CL42" i="2"/>
  <c r="CM42" i="2" s="1"/>
  <c r="J9" i="10"/>
  <c r="M13" i="2"/>
  <c r="CL41" i="2"/>
  <c r="CL43" i="2"/>
  <c r="CM43" i="2" s="1"/>
  <c r="CL44" i="2"/>
  <c r="CM44" i="2" s="1"/>
  <c r="AF2" i="2"/>
  <c r="W17" i="1"/>
  <c r="X17" i="1" s="1"/>
  <c r="M32" i="2"/>
  <c r="K9" i="10"/>
  <c r="H9" i="10" s="1"/>
  <c r="CL46" i="2"/>
  <c r="CM46" i="2" s="1"/>
  <c r="M14" i="2"/>
  <c r="M12" i="10"/>
  <c r="R19" i="1" s="1"/>
  <c r="L40" i="2"/>
  <c r="M10" i="2"/>
  <c r="W20" i="1"/>
  <c r="X20" i="1" s="1"/>
  <c r="L32" i="2"/>
  <c r="M49" i="2"/>
  <c r="CL51" i="2"/>
  <c r="CM51" i="2" s="1"/>
  <c r="CL47" i="2"/>
  <c r="CM47" i="2" s="1"/>
  <c r="CL50" i="2"/>
  <c r="CM50" i="2" s="1"/>
  <c r="W21" i="1"/>
  <c r="X21" i="1" s="1"/>
  <c r="P3" i="10"/>
  <c r="Y15" i="1"/>
  <c r="N12" i="10"/>
  <c r="L58" i="2"/>
  <c r="M44" i="2"/>
  <c r="M24" i="2"/>
  <c r="N24" i="2" s="1"/>
  <c r="L12" i="2"/>
  <c r="M17" i="2"/>
  <c r="N17" i="2" s="1"/>
  <c r="K15" i="10"/>
  <c r="H15" i="10" s="1"/>
  <c r="L51" i="2"/>
  <c r="L48" i="2"/>
  <c r="M52" i="2"/>
  <c r="M22" i="2"/>
  <c r="L42" i="2"/>
  <c r="M42" i="2"/>
  <c r="M41" i="2"/>
  <c r="L52" i="2"/>
  <c r="M33" i="2"/>
  <c r="K19" i="10"/>
  <c r="M46" i="2"/>
  <c r="M58" i="2"/>
  <c r="N58" i="2" s="1"/>
  <c r="L46" i="2"/>
  <c r="L33" i="2"/>
  <c r="L49" i="2"/>
  <c r="L13" i="2"/>
  <c r="L17" i="2"/>
  <c r="M7" i="2"/>
  <c r="L24" i="2"/>
  <c r="M35" i="2"/>
  <c r="P19" i="1"/>
  <c r="M34" i="2"/>
  <c r="L7" i="2"/>
  <c r="L35" i="2"/>
  <c r="M18" i="2"/>
  <c r="N18" i="2" s="1"/>
  <c r="M20" i="2"/>
  <c r="L37" i="2"/>
  <c r="M48" i="2"/>
  <c r="Y2" i="2"/>
  <c r="U8" i="1" s="1"/>
  <c r="U23" i="1" s="1"/>
  <c r="M31" i="2"/>
  <c r="L31" i="2"/>
  <c r="U19" i="1"/>
  <c r="L20" i="2"/>
  <c r="J13" i="10"/>
  <c r="P21" i="1"/>
  <c r="K13" i="10"/>
  <c r="H13" i="10" s="1"/>
  <c r="K6" i="10"/>
  <c r="H6" i="10" s="1"/>
  <c r="J6" i="10"/>
  <c r="P15" i="1"/>
  <c r="L59" i="2"/>
  <c r="M59" i="2"/>
  <c r="L21" i="2"/>
  <c r="M21" i="2"/>
  <c r="L9" i="2"/>
  <c r="P20" i="1"/>
  <c r="M47" i="2"/>
  <c r="L47" i="2"/>
  <c r="M40" i="2"/>
  <c r="L50" i="2"/>
  <c r="J15" i="10"/>
  <c r="P22" i="1"/>
  <c r="M15" i="2"/>
  <c r="M36" i="2"/>
  <c r="N36" i="2" s="1"/>
  <c r="P17" i="1"/>
  <c r="P6" i="1"/>
  <c r="J7" i="10"/>
  <c r="K7" i="10"/>
  <c r="H7" i="10" s="1"/>
  <c r="P16" i="1"/>
  <c r="J18" i="10"/>
  <c r="K18" i="10"/>
  <c r="H18" i="10" s="1"/>
  <c r="L8" i="2"/>
  <c r="M9" i="2"/>
  <c r="L6" i="2"/>
  <c r="L36" i="2"/>
  <c r="L43" i="2"/>
  <c r="M43" i="2"/>
  <c r="M23" i="2"/>
  <c r="N23" i="2" s="1"/>
  <c r="L15" i="2"/>
  <c r="K14" i="10"/>
  <c r="H14" i="10" s="1"/>
  <c r="J14" i="10"/>
  <c r="K10" i="10"/>
  <c r="H10" i="10" s="1"/>
  <c r="J10" i="10"/>
  <c r="K8" i="10"/>
  <c r="L18" i="2"/>
  <c r="L38" i="2"/>
  <c r="M39" i="2"/>
  <c r="J11" i="10"/>
  <c r="P18" i="1"/>
  <c r="K11" i="10"/>
  <c r="H11" i="10" s="1"/>
  <c r="J8" i="10"/>
  <c r="K12" i="10"/>
  <c r="J12" i="10"/>
  <c r="P7" i="1"/>
  <c r="L11" i="2"/>
  <c r="K16" i="10"/>
  <c r="J16" i="10"/>
  <c r="K17" i="10"/>
  <c r="H17" i="10" s="1"/>
  <c r="J17" i="10"/>
  <c r="L30" i="2"/>
  <c r="M12" i="2"/>
  <c r="M38" i="2"/>
  <c r="L39" i="2"/>
  <c r="J19" i="10"/>
  <c r="M22" i="1" s="1"/>
  <c r="N22" i="1" s="1"/>
  <c r="R21" i="1"/>
  <c r="S21" i="1" s="1"/>
  <c r="Z2" i="2"/>
  <c r="T15" i="1"/>
  <c r="CB36" i="2"/>
  <c r="CC36" i="2"/>
  <c r="CB8" i="2"/>
  <c r="CB26" i="2"/>
  <c r="CC15" i="2"/>
  <c r="CB15" i="2"/>
  <c r="CB25" i="2"/>
  <c r="CB24" i="2"/>
  <c r="AW9" i="10"/>
  <c r="CC18" i="2"/>
  <c r="CB35" i="2"/>
  <c r="CC35" i="2"/>
  <c r="CB28" i="2"/>
  <c r="AX15" i="10"/>
  <c r="CC18" i="1"/>
  <c r="CC45" i="2"/>
  <c r="CC21" i="1"/>
  <c r="CC24" i="2"/>
  <c r="AW14" i="10"/>
  <c r="CB59" i="2"/>
  <c r="CC20" i="1"/>
  <c r="AW15" i="10"/>
  <c r="AX14" i="10"/>
  <c r="CC22" i="1"/>
  <c r="CB33" i="2"/>
  <c r="CB17" i="2"/>
  <c r="AW18" i="10"/>
  <c r="AX9" i="10"/>
  <c r="AX18" i="10"/>
  <c r="BA18" i="10"/>
  <c r="CC9" i="2"/>
  <c r="CB6" i="2"/>
  <c r="CC27" i="2"/>
  <c r="CC10" i="2"/>
  <c r="CC39" i="2"/>
  <c r="CC33" i="2"/>
  <c r="CB48" i="2"/>
  <c r="CB10" i="2"/>
  <c r="CC8" i="2"/>
  <c r="CC48" i="2"/>
  <c r="CC38" i="2"/>
  <c r="CB38" i="2"/>
  <c r="CB22" i="2"/>
  <c r="BA19" i="10"/>
  <c r="CC17" i="2"/>
  <c r="CB9" i="2"/>
  <c r="CC25" i="2"/>
  <c r="CB27" i="2"/>
  <c r="CC59" i="2"/>
  <c r="CC49" i="2"/>
  <c r="CB37" i="2"/>
  <c r="CB18" i="2"/>
  <c r="CC20" i="2"/>
  <c r="CC30" i="2"/>
  <c r="CB14" i="2"/>
  <c r="CB31" i="2"/>
  <c r="CC26" i="2"/>
  <c r="CC31" i="2"/>
  <c r="CC37" i="2"/>
  <c r="CC19" i="2"/>
  <c r="CB39" i="2"/>
  <c r="CC6" i="2"/>
  <c r="CB49" i="2"/>
  <c r="AZ18" i="10"/>
  <c r="CB13" i="2"/>
  <c r="BA9" i="10"/>
  <c r="CH22" i="1"/>
  <c r="CH18" i="1"/>
  <c r="AZ9" i="10"/>
  <c r="AZ11" i="10"/>
  <c r="CC21" i="2"/>
  <c r="AZ19" i="10"/>
  <c r="CE22" i="1" s="1"/>
  <c r="CG22" i="1" s="1"/>
  <c r="CH21" i="1"/>
  <c r="CB32" i="2"/>
  <c r="CB40" i="2"/>
  <c r="CB20" i="2"/>
  <c r="CB19" i="2"/>
  <c r="CB34" i="2"/>
  <c r="CC32" i="2"/>
  <c r="CC13" i="2"/>
  <c r="CC40" i="2"/>
  <c r="BA11" i="10"/>
  <c r="CC22" i="2"/>
  <c r="CB21" i="2"/>
  <c r="CB52" i="2"/>
  <c r="CB30" i="2"/>
  <c r="CC14" i="2"/>
  <c r="CC28" i="2"/>
  <c r="CC34" i="2"/>
  <c r="CB45" i="2"/>
  <c r="CC41" i="2" l="1"/>
  <c r="CM41" i="2"/>
  <c r="N29" i="2"/>
  <c r="N34" i="2"/>
  <c r="H8" i="10"/>
  <c r="N12" i="2"/>
  <c r="N43" i="2"/>
  <c r="N40" i="2"/>
  <c r="N32" i="2"/>
  <c r="N57" i="2"/>
  <c r="N53" i="2"/>
  <c r="L2" i="2"/>
  <c r="K8" i="1" s="1"/>
  <c r="K23" i="1" s="1"/>
  <c r="N14" i="2"/>
  <c r="N13" i="2"/>
  <c r="N41" i="2"/>
  <c r="N44" i="2"/>
  <c r="N8" i="2"/>
  <c r="N35" i="2"/>
  <c r="N33" i="2"/>
  <c r="N26" i="2"/>
  <c r="N68" i="2"/>
  <c r="N45" i="2"/>
  <c r="N56" i="2"/>
  <c r="N46" i="2"/>
  <c r="N10" i="2"/>
  <c r="N37" i="2"/>
  <c r="N42" i="2"/>
  <c r="N61" i="2"/>
  <c r="N11" i="2"/>
  <c r="N66" i="2"/>
  <c r="N39" i="2"/>
  <c r="N54" i="2"/>
  <c r="N38" i="2"/>
  <c r="N59" i="2"/>
  <c r="X19" i="1"/>
  <c r="N60" i="2"/>
  <c r="N48" i="2"/>
  <c r="N49" i="2"/>
  <c r="N21" i="2"/>
  <c r="N64" i="2"/>
  <c r="N9" i="2"/>
  <c r="N22" i="2"/>
  <c r="N20" i="2"/>
  <c r="N15" i="2"/>
  <c r="Y18" i="1"/>
  <c r="N62" i="2"/>
  <c r="N63" i="2"/>
  <c r="N52" i="2"/>
  <c r="N31" i="2"/>
  <c r="N51" i="2"/>
  <c r="N50" i="2"/>
  <c r="N47" i="2"/>
  <c r="N76" i="2"/>
  <c r="N6" i="2"/>
  <c r="N7" i="2"/>
  <c r="K18" i="1"/>
  <c r="AU14" i="10"/>
  <c r="X16" i="1"/>
  <c r="BX15" i="1"/>
  <c r="AT14" i="10"/>
  <c r="T16" i="1"/>
  <c r="W6" i="1"/>
  <c r="Y6" i="1" s="1"/>
  <c r="M18" i="1"/>
  <c r="N18" i="1" s="1"/>
  <c r="R18" i="1"/>
  <c r="R23" i="1" s="1"/>
  <c r="T23" i="1" s="1"/>
  <c r="M16" i="1"/>
  <c r="N16" i="1" s="1"/>
  <c r="M19" i="1"/>
  <c r="N19" i="1" s="1"/>
  <c r="T22" i="1"/>
  <c r="S22" i="1"/>
  <c r="T19" i="1"/>
  <c r="S19" i="1"/>
  <c r="H16" i="10"/>
  <c r="H19" i="10"/>
  <c r="AU8" i="10"/>
  <c r="M2" i="2"/>
  <c r="T2" i="2"/>
  <c r="AT8" i="10"/>
  <c r="G18" i="10"/>
  <c r="AT6" i="10"/>
  <c r="BU15" i="1" s="1"/>
  <c r="BV15" i="1" s="1"/>
  <c r="G9" i="10"/>
  <c r="AU9" i="10"/>
  <c r="AR9" i="10" s="1"/>
  <c r="AU10" i="10"/>
  <c r="AT9" i="10"/>
  <c r="AU6" i="10"/>
  <c r="CC51" i="2"/>
  <c r="CD49" i="2"/>
  <c r="CB50" i="2"/>
  <c r="CC50" i="2"/>
  <c r="CD50" i="2" s="1"/>
  <c r="CC44" i="2"/>
  <c r="CB41" i="2"/>
  <c r="CB12" i="2"/>
  <c r="AT10" i="10"/>
  <c r="CC12" i="2"/>
  <c r="CB44" i="2"/>
  <c r="CB46" i="2"/>
  <c r="CB43" i="2"/>
  <c r="CC43" i="2"/>
  <c r="CB47" i="2"/>
  <c r="AT15" i="10"/>
  <c r="AT7" i="10"/>
  <c r="AT16" i="10"/>
  <c r="CC46" i="2"/>
  <c r="M3" i="10"/>
  <c r="AU7" i="10"/>
  <c r="CC47" i="2"/>
  <c r="AQ9" i="10" s="1"/>
  <c r="BS18" i="1"/>
  <c r="K6" i="1"/>
  <c r="K7" i="1"/>
  <c r="W7" i="1"/>
  <c r="X7" i="1" s="1"/>
  <c r="BX16" i="1"/>
  <c r="Y17" i="1"/>
  <c r="AU15" i="10"/>
  <c r="CB51" i="2"/>
  <c r="Y20" i="1"/>
  <c r="CL58" i="2"/>
  <c r="CL2" i="2" s="1"/>
  <c r="R7" i="1"/>
  <c r="S7" i="1" s="1"/>
  <c r="AT17" i="10"/>
  <c r="AU17" i="10"/>
  <c r="AU11" i="10"/>
  <c r="AT11" i="10"/>
  <c r="BX18" i="1"/>
  <c r="BX20" i="1"/>
  <c r="BX17" i="1"/>
  <c r="AU16" i="10"/>
  <c r="Y21" i="1"/>
  <c r="W23" i="1"/>
  <c r="G15" i="10"/>
  <c r="H12" i="10"/>
  <c r="G17" i="10"/>
  <c r="G11" i="10"/>
  <c r="K22" i="1"/>
  <c r="M17" i="1"/>
  <c r="N3" i="10"/>
  <c r="K15" i="1"/>
  <c r="K20" i="1"/>
  <c r="K16" i="1"/>
  <c r="G6" i="10"/>
  <c r="H15" i="1" s="1"/>
  <c r="J15" i="1" s="1"/>
  <c r="G12" i="10"/>
  <c r="G8" i="10"/>
  <c r="K21" i="1"/>
  <c r="K17" i="1"/>
  <c r="K19" i="1"/>
  <c r="G7" i="10"/>
  <c r="O22" i="1"/>
  <c r="M15" i="1"/>
  <c r="N15" i="1" s="1"/>
  <c r="J3" i="10"/>
  <c r="K3" i="10"/>
  <c r="P8" i="1"/>
  <c r="P23" i="1" s="1"/>
  <c r="G14" i="10"/>
  <c r="M20" i="1"/>
  <c r="N20" i="1" s="1"/>
  <c r="G13" i="10"/>
  <c r="M21" i="1"/>
  <c r="N21" i="1" s="1"/>
  <c r="G10" i="10"/>
  <c r="G16" i="10"/>
  <c r="G19" i="10"/>
  <c r="H22" i="1" s="1"/>
  <c r="T21" i="1"/>
  <c r="T17" i="1"/>
  <c r="T20" i="1"/>
  <c r="CD37" i="2"/>
  <c r="CU7" i="2"/>
  <c r="CD59" i="2"/>
  <c r="CD26" i="2"/>
  <c r="CD33" i="2"/>
  <c r="CD18" i="2"/>
  <c r="CD36" i="2"/>
  <c r="CD8" i="2"/>
  <c r="CD17" i="2"/>
  <c r="CD15" i="2"/>
  <c r="CD6" i="2"/>
  <c r="CD38" i="2"/>
  <c r="CD31" i="2"/>
  <c r="CD39" i="2"/>
  <c r="CD28" i="2"/>
  <c r="CD48" i="2"/>
  <c r="CD10" i="2"/>
  <c r="CD27" i="2"/>
  <c r="CD25" i="2"/>
  <c r="CD14" i="2"/>
  <c r="CD13" i="2"/>
  <c r="CD24" i="2"/>
  <c r="CD35" i="2"/>
  <c r="CD22" i="2"/>
  <c r="CD34" i="2"/>
  <c r="CD40" i="2"/>
  <c r="CD32" i="2"/>
  <c r="CD21" i="2"/>
  <c r="CD30" i="2"/>
  <c r="CD20" i="2"/>
  <c r="CD45" i="2"/>
  <c r="CD19" i="2"/>
  <c r="CD9" i="2"/>
  <c r="DD42" i="2"/>
  <c r="CF22" i="1"/>
  <c r="CU29" i="2"/>
  <c r="CU11" i="2"/>
  <c r="CD41" i="2" l="1"/>
  <c r="CU2" i="2"/>
  <c r="CC15" i="1"/>
  <c r="BX7" i="1"/>
  <c r="CM58" i="2"/>
  <c r="CM2" i="2" s="1"/>
  <c r="R6" i="1"/>
  <c r="S6" i="1" s="1"/>
  <c r="O18" i="1"/>
  <c r="H19" i="1"/>
  <c r="J19" i="1" s="1"/>
  <c r="AZ14" i="10"/>
  <c r="BA14" i="10"/>
  <c r="AR14" i="10" s="1"/>
  <c r="AT18" i="10"/>
  <c r="BU21" i="1" s="1"/>
  <c r="BW21" i="1" s="1"/>
  <c r="AU18" i="10"/>
  <c r="AR18" i="10" s="1"/>
  <c r="BX21" i="1"/>
  <c r="X6" i="1"/>
  <c r="O16" i="1"/>
  <c r="O19" i="1"/>
  <c r="H18" i="1"/>
  <c r="I18" i="1" s="1"/>
  <c r="BU16" i="1"/>
  <c r="T18" i="1"/>
  <c r="S18" i="1"/>
  <c r="M6" i="1"/>
  <c r="N6" i="1" s="1"/>
  <c r="H16" i="1"/>
  <c r="J16" i="1" s="1"/>
  <c r="O17" i="1"/>
  <c r="N17" i="1"/>
  <c r="Y23" i="1"/>
  <c r="X23" i="1"/>
  <c r="BU17" i="1"/>
  <c r="BV17" i="1" s="1"/>
  <c r="AU12" i="10"/>
  <c r="N2" i="2"/>
  <c r="BX6" i="1"/>
  <c r="BX19" i="1"/>
  <c r="AT12" i="10"/>
  <c r="BU19" i="1" s="1"/>
  <c r="BW19" i="1" s="1"/>
  <c r="CD51" i="2"/>
  <c r="AX16" i="10"/>
  <c r="AW16" i="10"/>
  <c r="AW19" i="10"/>
  <c r="BZ22" i="1" s="1"/>
  <c r="AX19" i="10"/>
  <c r="AW6" i="10"/>
  <c r="AX6" i="10"/>
  <c r="AX17" i="10"/>
  <c r="AW17" i="10"/>
  <c r="BW15" i="1"/>
  <c r="CD12" i="2"/>
  <c r="CD47" i="2"/>
  <c r="CD46" i="2"/>
  <c r="CD43" i="2"/>
  <c r="CD44" i="2"/>
  <c r="BU20" i="1"/>
  <c r="BV20" i="1" s="1"/>
  <c r="BB13" i="2"/>
  <c r="BC13" i="2" s="1"/>
  <c r="BB21" i="2"/>
  <c r="BC21" i="2" s="1"/>
  <c r="BB23" i="2"/>
  <c r="BC23" i="2" s="1"/>
  <c r="BB27" i="2"/>
  <c r="BC27" i="2" s="1"/>
  <c r="BB30" i="2"/>
  <c r="BC30" i="2" s="1"/>
  <c r="BB32" i="2"/>
  <c r="BC32" i="2" s="1"/>
  <c r="BB36" i="2"/>
  <c r="BC36" i="2" s="1"/>
  <c r="T7" i="1"/>
  <c r="AU13" i="2"/>
  <c r="AV13" i="2" s="1"/>
  <c r="AU15" i="2"/>
  <c r="AV15" i="2" s="1"/>
  <c r="AU19" i="2"/>
  <c r="AV19" i="2" s="1"/>
  <c r="W8" i="1"/>
  <c r="X8" i="1" s="1"/>
  <c r="Y7" i="1"/>
  <c r="AN11" i="2"/>
  <c r="AO11" i="2" s="1"/>
  <c r="BL13" i="2"/>
  <c r="BL34" i="2"/>
  <c r="BL36" i="2"/>
  <c r="BL45" i="2"/>
  <c r="BL52" i="2"/>
  <c r="AU12" i="2"/>
  <c r="AV12" i="2" s="1"/>
  <c r="M7" i="1"/>
  <c r="AU9" i="2"/>
  <c r="AV9" i="2" s="1"/>
  <c r="AU14" i="2"/>
  <c r="AV14" i="2" s="1"/>
  <c r="AU17" i="2"/>
  <c r="AV17" i="2" s="1"/>
  <c r="AU22" i="2"/>
  <c r="AV22" i="2" s="1"/>
  <c r="BB14" i="2"/>
  <c r="BC14" i="2" s="1"/>
  <c r="BB16" i="2"/>
  <c r="BC16" i="2" s="1"/>
  <c r="BB22" i="2"/>
  <c r="BC22" i="2" s="1"/>
  <c r="BB24" i="2"/>
  <c r="BC24" i="2" s="1"/>
  <c r="BB26" i="2"/>
  <c r="BC26" i="2" s="1"/>
  <c r="BB29" i="2"/>
  <c r="BC29" i="2" s="1"/>
  <c r="BB31" i="2"/>
  <c r="BC31" i="2" s="1"/>
  <c r="BB33" i="2"/>
  <c r="BC33" i="2" s="1"/>
  <c r="BB35" i="2"/>
  <c r="BC35" i="2" s="1"/>
  <c r="BB37" i="2"/>
  <c r="BC37" i="2" s="1"/>
  <c r="BB39" i="2"/>
  <c r="BB44" i="2"/>
  <c r="BB50" i="2"/>
  <c r="BB51" i="2"/>
  <c r="BS44" i="2"/>
  <c r="BS50" i="2"/>
  <c r="BS51" i="2"/>
  <c r="DD16" i="2"/>
  <c r="BA17" i="10" s="1"/>
  <c r="DD7" i="2"/>
  <c r="AU32" i="2"/>
  <c r="AV32" i="2" s="1"/>
  <c r="AU35" i="2"/>
  <c r="AV35" i="2" s="1"/>
  <c r="AU37" i="2"/>
  <c r="AV37" i="2" s="1"/>
  <c r="AU39" i="2"/>
  <c r="AU44" i="2"/>
  <c r="AU50" i="2"/>
  <c r="AU51" i="2"/>
  <c r="BZ40" i="2"/>
  <c r="BZ50" i="2"/>
  <c r="BZ51" i="2"/>
  <c r="AN9" i="2"/>
  <c r="AO9" i="2" s="1"/>
  <c r="BL9" i="2"/>
  <c r="AN51" i="2"/>
  <c r="AO51" i="2" s="1"/>
  <c r="AN50" i="2"/>
  <c r="AO50" i="2" s="1"/>
  <c r="AN45" i="2"/>
  <c r="AO45" i="2" s="1"/>
  <c r="AN43" i="2"/>
  <c r="AO43" i="2" s="1"/>
  <c r="AN38" i="2"/>
  <c r="AO38" i="2" s="1"/>
  <c r="AN36" i="2"/>
  <c r="AO36" i="2" s="1"/>
  <c r="AN34" i="2"/>
  <c r="AO34" i="2" s="1"/>
  <c r="AN22" i="2"/>
  <c r="AO22" i="2" s="1"/>
  <c r="AN14" i="2"/>
  <c r="AO14" i="2" s="1"/>
  <c r="BB10" i="2"/>
  <c r="BC10" i="2" s="1"/>
  <c r="BL12" i="2"/>
  <c r="DD23" i="2"/>
  <c r="CB23" i="2" s="1"/>
  <c r="AX7" i="10"/>
  <c r="BL14" i="2"/>
  <c r="BL16" i="2"/>
  <c r="BL35" i="2"/>
  <c r="BL44" i="2"/>
  <c r="BL50" i="2"/>
  <c r="BL51" i="2"/>
  <c r="BB34" i="2"/>
  <c r="BC34" i="2" s="1"/>
  <c r="BB38" i="2"/>
  <c r="BC38" i="2" s="1"/>
  <c r="AU30" i="2"/>
  <c r="AV30" i="2" s="1"/>
  <c r="AU34" i="2"/>
  <c r="AV34" i="2" s="1"/>
  <c r="AU36" i="2"/>
  <c r="AV36" i="2" s="1"/>
  <c r="AU38" i="2"/>
  <c r="AV38" i="2" s="1"/>
  <c r="AU40" i="2"/>
  <c r="AU45" i="2"/>
  <c r="AU52" i="2"/>
  <c r="BZ52" i="2"/>
  <c r="BD52" i="2" s="1"/>
  <c r="BL10" i="2"/>
  <c r="BB40" i="2"/>
  <c r="BB45" i="2"/>
  <c r="BB52" i="2"/>
  <c r="BS45" i="2"/>
  <c r="BS52" i="2"/>
  <c r="AN52" i="2"/>
  <c r="AO52" i="2" s="1"/>
  <c r="AN48" i="2"/>
  <c r="AO48" i="2" s="1"/>
  <c r="AN44" i="2"/>
  <c r="AO44" i="2" s="1"/>
  <c r="AN40" i="2"/>
  <c r="AO40" i="2" s="1"/>
  <c r="AN37" i="2"/>
  <c r="AO37" i="2" s="1"/>
  <c r="AN35" i="2"/>
  <c r="AO35" i="2" s="1"/>
  <c r="AN15" i="2"/>
  <c r="AO15" i="2" s="1"/>
  <c r="AN13" i="2"/>
  <c r="AO13" i="2" s="1"/>
  <c r="AN59" i="2"/>
  <c r="AO59" i="2" s="1"/>
  <c r="BB9" i="2"/>
  <c r="BC9" i="2" s="1"/>
  <c r="BX22" i="1"/>
  <c r="AT19" i="10"/>
  <c r="BU22" i="1" s="1"/>
  <c r="AU19" i="10"/>
  <c r="CB58" i="2"/>
  <c r="CC58" i="2"/>
  <c r="AQ18" i="10" s="1"/>
  <c r="H20" i="1"/>
  <c r="I20" i="1" s="1"/>
  <c r="H21" i="1"/>
  <c r="J21" i="1" s="1"/>
  <c r="I15" i="1"/>
  <c r="H17" i="1"/>
  <c r="H3" i="10"/>
  <c r="G3" i="10"/>
  <c r="O20" i="1"/>
  <c r="O21" i="1"/>
  <c r="O15" i="1"/>
  <c r="M23" i="1"/>
  <c r="I22" i="1"/>
  <c r="J22" i="1"/>
  <c r="S23" i="1"/>
  <c r="BA8" i="10"/>
  <c r="AZ8" i="10"/>
  <c r="CV7" i="2"/>
  <c r="AW11" i="10"/>
  <c r="AX11" i="10"/>
  <c r="AR11" i="10" s="1"/>
  <c r="AZ16" i="10"/>
  <c r="BA16" i="10"/>
  <c r="BA13" i="10"/>
  <c r="AZ13" i="10"/>
  <c r="CV11" i="2"/>
  <c r="AW10" i="10"/>
  <c r="CB11" i="2"/>
  <c r="CC7" i="1"/>
  <c r="CC17" i="1"/>
  <c r="CC11" i="2"/>
  <c r="AX10" i="10"/>
  <c r="CV29" i="2"/>
  <c r="CC19" i="1"/>
  <c r="CB29" i="2"/>
  <c r="AX13" i="10"/>
  <c r="CC29" i="2"/>
  <c r="AW13" i="10"/>
  <c r="AX12" i="10"/>
  <c r="AW12" i="10"/>
  <c r="AX8" i="10"/>
  <c r="AW8" i="10"/>
  <c r="CH17" i="1"/>
  <c r="DE42" i="2"/>
  <c r="CC42" i="2"/>
  <c r="CB42" i="2"/>
  <c r="CH20" i="1"/>
  <c r="BA15" i="10"/>
  <c r="AR15" i="10" s="1"/>
  <c r="AD13" i="10"/>
  <c r="AA6" i="1"/>
  <c r="AF6" i="1"/>
  <c r="AK6" i="1"/>
  <c r="AP6" i="1"/>
  <c r="AU6" i="1"/>
  <c r="AZ6" i="1"/>
  <c r="BE6" i="1"/>
  <c r="BJ6" i="1"/>
  <c r="CB7" i="2" l="1"/>
  <c r="DD2" i="2"/>
  <c r="CB2" i="2" s="1"/>
  <c r="CV2" i="2"/>
  <c r="BD50" i="2"/>
  <c r="BM34" i="2"/>
  <c r="BD34" i="2"/>
  <c r="BM13" i="2"/>
  <c r="BD13" i="2"/>
  <c r="BF13" i="2" s="1"/>
  <c r="BM10" i="2"/>
  <c r="BD10" i="2"/>
  <c r="BF10" i="2" s="1"/>
  <c r="BM35" i="2"/>
  <c r="BD35" i="2"/>
  <c r="BF35" i="2" s="1"/>
  <c r="BM16" i="2"/>
  <c r="BD16" i="2"/>
  <c r="BF16" i="2" s="1"/>
  <c r="BM14" i="2"/>
  <c r="BD14" i="2"/>
  <c r="BF14" i="2" s="1"/>
  <c r="BD51" i="2"/>
  <c r="BM9" i="2"/>
  <c r="BD9" i="2"/>
  <c r="BF9" i="2" s="1"/>
  <c r="BM12" i="2"/>
  <c r="BD12" i="2"/>
  <c r="BF12" i="2" s="1"/>
  <c r="BM36" i="2"/>
  <c r="BD36" i="2"/>
  <c r="BF36" i="2" s="1"/>
  <c r="AU3" i="10"/>
  <c r="BX8" i="1"/>
  <c r="BX23" i="1"/>
  <c r="BW16" i="1"/>
  <c r="BV16" i="1"/>
  <c r="AR19" i="10"/>
  <c r="R8" i="1"/>
  <c r="S8" i="1" s="1"/>
  <c r="AZ10" i="10"/>
  <c r="T6" i="1"/>
  <c r="I19" i="1"/>
  <c r="AQ11" i="10"/>
  <c r="H7" i="1"/>
  <c r="J7" i="1" s="1"/>
  <c r="BV21" i="1"/>
  <c r="CH15" i="1"/>
  <c r="J18" i="1"/>
  <c r="BS22" i="1"/>
  <c r="BS21" i="1"/>
  <c r="BA10" i="10"/>
  <c r="AR10" i="10" s="1"/>
  <c r="AQ16" i="10"/>
  <c r="AQ14" i="10"/>
  <c r="O6" i="1"/>
  <c r="I16" i="1"/>
  <c r="AR16" i="10"/>
  <c r="H6" i="1"/>
  <c r="J6" i="1" s="1"/>
  <c r="BZ18" i="1"/>
  <c r="CA18" i="1" s="1"/>
  <c r="BU18" i="1"/>
  <c r="BU6" i="1" s="1"/>
  <c r="BW17" i="1"/>
  <c r="O7" i="1"/>
  <c r="N7" i="1"/>
  <c r="AZ15" i="10"/>
  <c r="AZ6" i="10"/>
  <c r="CE15" i="1" s="1"/>
  <c r="CG15" i="1" s="1"/>
  <c r="BU7" i="1"/>
  <c r="BW7" i="1" s="1"/>
  <c r="BV19" i="1"/>
  <c r="AR17" i="10"/>
  <c r="BA6" i="10"/>
  <c r="AR6" i="10" s="1"/>
  <c r="AZ17" i="10"/>
  <c r="CB22" i="1"/>
  <c r="CA22" i="1"/>
  <c r="BZ20" i="1"/>
  <c r="CC16" i="1"/>
  <c r="CH6" i="1"/>
  <c r="AC13" i="10"/>
  <c r="BW20" i="1"/>
  <c r="AX3" i="10"/>
  <c r="BA12" i="10"/>
  <c r="AR12" i="10" s="1"/>
  <c r="Y8" i="1"/>
  <c r="BS39" i="2"/>
  <c r="BZ49" i="2"/>
  <c r="BL25" i="2"/>
  <c r="BL20" i="2"/>
  <c r="BL49" i="2"/>
  <c r="BL46" i="2"/>
  <c r="CB16" i="2"/>
  <c r="BS7" i="1" s="1"/>
  <c r="CC23" i="2"/>
  <c r="CD23" i="2" s="1"/>
  <c r="BL58" i="2"/>
  <c r="BM58" i="2" s="1"/>
  <c r="BL33" i="2"/>
  <c r="BL26" i="2"/>
  <c r="BL30" i="2"/>
  <c r="BL21" i="2"/>
  <c r="BL22" i="2"/>
  <c r="BL42" i="2"/>
  <c r="BL15" i="2"/>
  <c r="BZ41" i="2"/>
  <c r="BD41" i="2" s="1"/>
  <c r="CH7" i="1"/>
  <c r="BS59" i="2"/>
  <c r="BS49" i="2"/>
  <c r="BS48" i="2"/>
  <c r="BS43" i="2"/>
  <c r="BZ46" i="2"/>
  <c r="BZ58" i="2"/>
  <c r="CC16" i="2"/>
  <c r="AQ17" i="10" s="1"/>
  <c r="DE23" i="2"/>
  <c r="DE16" i="2"/>
  <c r="BL17" i="2"/>
  <c r="BL6" i="2"/>
  <c r="BL43" i="2"/>
  <c r="BL47" i="2"/>
  <c r="CC6" i="1"/>
  <c r="CH19" i="1"/>
  <c r="CH16" i="1"/>
  <c r="BZ42" i="2"/>
  <c r="BS41" i="2"/>
  <c r="BS42" i="2"/>
  <c r="BL37" i="2"/>
  <c r="BL8" i="2"/>
  <c r="BL23" i="2"/>
  <c r="BZ59" i="2"/>
  <c r="CC7" i="2"/>
  <c r="CD58" i="2"/>
  <c r="AQ19" i="10"/>
  <c r="BP22" i="1" s="1"/>
  <c r="BS58" i="2"/>
  <c r="BS47" i="2"/>
  <c r="BS40" i="2"/>
  <c r="BL39" i="2"/>
  <c r="BL7" i="2"/>
  <c r="BW22" i="1"/>
  <c r="BV22" i="1"/>
  <c r="BL41" i="2"/>
  <c r="BZ48" i="2"/>
  <c r="BL11" i="2"/>
  <c r="AZ12" i="10"/>
  <c r="BL48" i="2"/>
  <c r="BL24" i="2"/>
  <c r="BL27" i="2"/>
  <c r="BL28" i="2"/>
  <c r="BL31" i="2"/>
  <c r="BL19" i="2"/>
  <c r="BL29" i="2"/>
  <c r="BL32" i="2"/>
  <c r="BL59" i="2"/>
  <c r="BZ39" i="2"/>
  <c r="BZ45" i="2"/>
  <c r="BD45" i="2" s="1"/>
  <c r="BZ44" i="2"/>
  <c r="BD44" i="2" s="1"/>
  <c r="AZ7" i="10"/>
  <c r="BA7" i="10"/>
  <c r="AR7" i="10" s="1"/>
  <c r="DE7" i="2"/>
  <c r="AW7" i="10"/>
  <c r="BZ15" i="1" s="1"/>
  <c r="J20" i="1"/>
  <c r="I21" i="1"/>
  <c r="I17" i="1"/>
  <c r="H23" i="1"/>
  <c r="J23" i="1" s="1"/>
  <c r="J17" i="1"/>
  <c r="M8" i="1"/>
  <c r="O23" i="1"/>
  <c r="N23" i="1"/>
  <c r="BZ19" i="1"/>
  <c r="CB19" i="1" s="1"/>
  <c r="BZ21" i="1"/>
  <c r="CE21" i="1"/>
  <c r="BZ17" i="1"/>
  <c r="CA17" i="1" s="1"/>
  <c r="BZ47" i="2"/>
  <c r="AR8" i="10"/>
  <c r="CE17" i="1"/>
  <c r="CG17" i="1" s="1"/>
  <c r="AR13" i="10"/>
  <c r="CD42" i="2"/>
  <c r="CD11" i="2"/>
  <c r="AQ13" i="10"/>
  <c r="CD29" i="2"/>
  <c r="AQ8" i="10"/>
  <c r="BS17" i="1"/>
  <c r="BS20" i="1"/>
  <c r="BS15" i="1"/>
  <c r="AT3" i="10"/>
  <c r="DE2" i="2" l="1"/>
  <c r="CD7" i="2"/>
  <c r="CC2" i="2"/>
  <c r="BD47" i="2"/>
  <c r="BD59" i="2"/>
  <c r="BM32" i="2"/>
  <c r="BD32" i="2"/>
  <c r="BF32" i="2" s="1"/>
  <c r="BM23" i="2"/>
  <c r="BD23" i="2"/>
  <c r="BF23" i="2" s="1"/>
  <c r="BM17" i="2"/>
  <c r="BD17" i="2"/>
  <c r="BF17" i="2" s="1"/>
  <c r="BM15" i="2"/>
  <c r="BD15" i="2"/>
  <c r="BF15" i="2" s="1"/>
  <c r="BM20" i="2"/>
  <c r="BD20" i="2"/>
  <c r="BF20" i="2" s="1"/>
  <c r="BD48" i="2"/>
  <c r="BM6" i="2"/>
  <c r="BD6" i="2"/>
  <c r="BM29" i="2"/>
  <c r="BD29" i="2"/>
  <c r="BF29" i="2" s="1"/>
  <c r="BM8" i="2"/>
  <c r="BD8" i="2"/>
  <c r="BM25" i="2"/>
  <c r="BD25" i="2"/>
  <c r="BM19" i="2"/>
  <c r="BD19" i="2"/>
  <c r="BF19" i="2" s="1"/>
  <c r="BM37" i="2"/>
  <c r="BD37" i="2"/>
  <c r="BM22" i="2"/>
  <c r="BD22" i="2"/>
  <c r="BD49" i="2"/>
  <c r="BM28" i="2"/>
  <c r="BD28" i="2"/>
  <c r="BD58" i="2"/>
  <c r="BM30" i="2"/>
  <c r="BD30" i="2"/>
  <c r="BF30" i="2" s="1"/>
  <c r="BM21" i="2"/>
  <c r="BD21" i="2"/>
  <c r="BF21" i="2" s="1"/>
  <c r="BM27" i="2"/>
  <c r="BD27" i="2"/>
  <c r="BF27" i="2" s="1"/>
  <c r="BD42" i="2"/>
  <c r="BM26" i="2"/>
  <c r="BD26" i="2"/>
  <c r="BM31" i="2"/>
  <c r="BD31" i="2"/>
  <c r="BF31" i="2" s="1"/>
  <c r="BM7" i="2"/>
  <c r="BD7" i="2"/>
  <c r="BF7" i="2" s="1"/>
  <c r="BM24" i="2"/>
  <c r="BD24" i="2"/>
  <c r="BF24" i="2" s="1"/>
  <c r="BM33" i="2"/>
  <c r="BD33" i="2"/>
  <c r="BM11" i="2"/>
  <c r="BD11" i="2"/>
  <c r="BD39" i="2"/>
  <c r="T8" i="1"/>
  <c r="AO18" i="10"/>
  <c r="CB18" i="1"/>
  <c r="BS6" i="1"/>
  <c r="CE16" i="1"/>
  <c r="CG16" i="1" s="1"/>
  <c r="BU23" i="1"/>
  <c r="BV23" i="1" s="1"/>
  <c r="AI9" i="10"/>
  <c r="I7" i="1"/>
  <c r="AL13" i="10"/>
  <c r="AQ10" i="10"/>
  <c r="I6" i="1"/>
  <c r="AO13" i="10"/>
  <c r="BV18" i="1"/>
  <c r="BW18" i="1"/>
  <c r="CE19" i="1"/>
  <c r="CG19" i="1" s="1"/>
  <c r="CE18" i="1"/>
  <c r="BW6" i="1"/>
  <c r="BV6" i="1"/>
  <c r="BU8" i="1"/>
  <c r="BV8" i="1" s="1"/>
  <c r="CE20" i="1"/>
  <c r="CF20" i="1" s="1"/>
  <c r="AL18" i="10"/>
  <c r="AQ15" i="10"/>
  <c r="BP20" i="1" s="1"/>
  <c r="BR20" i="1" s="1"/>
  <c r="AL9" i="10"/>
  <c r="CF15" i="1"/>
  <c r="AH17" i="10"/>
  <c r="AK17" i="10"/>
  <c r="BV7" i="1"/>
  <c r="AI17" i="10"/>
  <c r="CB20" i="1"/>
  <c r="CA20" i="1"/>
  <c r="AL17" i="10"/>
  <c r="AQ6" i="10"/>
  <c r="BP15" i="1" s="1"/>
  <c r="BR15" i="1" s="1"/>
  <c r="AI10" i="10"/>
  <c r="AI18" i="10"/>
  <c r="CD16" i="2"/>
  <c r="AR3" i="10"/>
  <c r="CC8" i="1"/>
  <c r="BS19" i="1"/>
  <c r="BS16" i="1"/>
  <c r="CC23" i="1"/>
  <c r="AO9" i="10"/>
  <c r="AQ12" i="10"/>
  <c r="BA3" i="10"/>
  <c r="AL7" i="10"/>
  <c r="BI21" i="1"/>
  <c r="CH8" i="1"/>
  <c r="CH23" i="1"/>
  <c r="BL40" i="2"/>
  <c r="BD40" i="2" s="1"/>
  <c r="AI19" i="10"/>
  <c r="AQ7" i="10"/>
  <c r="BD22" i="1"/>
  <c r="AL14" i="10"/>
  <c r="AO10" i="10"/>
  <c r="AO15" i="10"/>
  <c r="BL38" i="2"/>
  <c r="AL6" i="10"/>
  <c r="BI15" i="1"/>
  <c r="AI15" i="10"/>
  <c r="BD17" i="1"/>
  <c r="AL12" i="10"/>
  <c r="AI6" i="10"/>
  <c r="BD15" i="1"/>
  <c r="BZ16" i="1"/>
  <c r="AW3" i="10"/>
  <c r="BT58" i="2"/>
  <c r="BI22" i="1"/>
  <c r="AL19" i="10"/>
  <c r="AZ3" i="10"/>
  <c r="BQ22" i="1"/>
  <c r="BR22" i="1"/>
  <c r="BE58" i="2"/>
  <c r="BN15" i="1"/>
  <c r="AY15" i="1" s="1"/>
  <c r="CA58" i="2"/>
  <c r="BN22" i="1"/>
  <c r="BI17" i="1"/>
  <c r="AL11" i="10"/>
  <c r="BI18" i="1"/>
  <c r="AO6" i="10"/>
  <c r="CA15" i="1"/>
  <c r="CB15" i="1"/>
  <c r="BN21" i="1"/>
  <c r="BL18" i="2"/>
  <c r="BD18" i="2" s="1"/>
  <c r="BF18" i="2" s="1"/>
  <c r="BN18" i="1"/>
  <c r="AI11" i="10"/>
  <c r="H8" i="1"/>
  <c r="I8" i="1" s="1"/>
  <c r="I23" i="1"/>
  <c r="O8" i="1"/>
  <c r="N8" i="1"/>
  <c r="CA19" i="1"/>
  <c r="BP21" i="1"/>
  <c r="CG21" i="1"/>
  <c r="CF21" i="1"/>
  <c r="CB21" i="1"/>
  <c r="CA21" i="1"/>
  <c r="CB17" i="1"/>
  <c r="BZ7" i="1"/>
  <c r="CF17" i="1"/>
  <c r="BP17" i="1"/>
  <c r="BR17" i="1" s="1"/>
  <c r="BJ22" i="1"/>
  <c r="BE22" i="1"/>
  <c r="AZ22" i="1"/>
  <c r="AU22" i="1"/>
  <c r="BJ21" i="1"/>
  <c r="BE21" i="1"/>
  <c r="AZ21" i="1"/>
  <c r="AU21" i="1"/>
  <c r="BJ20" i="1"/>
  <c r="BE20" i="1"/>
  <c r="AZ20" i="1"/>
  <c r="AU20" i="1"/>
  <c r="BJ19" i="1"/>
  <c r="BE19" i="1"/>
  <c r="AZ19" i="1"/>
  <c r="AU19" i="1"/>
  <c r="BJ18" i="1"/>
  <c r="BE18" i="1"/>
  <c r="AZ18" i="1"/>
  <c r="AU18" i="1"/>
  <c r="BJ17" i="1"/>
  <c r="BE17" i="1"/>
  <c r="AZ17" i="1"/>
  <c r="AU17" i="1"/>
  <c r="BJ16" i="1"/>
  <c r="BE16" i="1"/>
  <c r="AZ16" i="1"/>
  <c r="AU16" i="1"/>
  <c r="BJ15" i="1"/>
  <c r="BE15" i="1"/>
  <c r="AZ15" i="1"/>
  <c r="AU15" i="1"/>
  <c r="BJ7" i="1"/>
  <c r="BE7" i="1"/>
  <c r="AZ7" i="1"/>
  <c r="AU7" i="1"/>
  <c r="AD6" i="10"/>
  <c r="AM19" i="10"/>
  <c r="AJ19" i="10"/>
  <c r="AG19" i="10"/>
  <c r="AD19" i="10"/>
  <c r="AM18" i="10"/>
  <c r="AJ18" i="10"/>
  <c r="AG18" i="10"/>
  <c r="AD18" i="10"/>
  <c r="AM16" i="10"/>
  <c r="AJ16" i="10"/>
  <c r="AG16" i="10"/>
  <c r="AD16" i="10"/>
  <c r="AM15" i="10"/>
  <c r="AJ15" i="10"/>
  <c r="AG15" i="10"/>
  <c r="AD15" i="10"/>
  <c r="AM14" i="10"/>
  <c r="AJ14" i="10"/>
  <c r="AG14" i="10"/>
  <c r="AD14" i="10"/>
  <c r="AM13" i="10"/>
  <c r="AJ13" i="10"/>
  <c r="AG13" i="10"/>
  <c r="AM12" i="10"/>
  <c r="AJ12" i="10"/>
  <c r="AG12" i="10"/>
  <c r="AD12" i="10"/>
  <c r="AM11" i="10"/>
  <c r="AJ11" i="10"/>
  <c r="AG11" i="10"/>
  <c r="AD11" i="10"/>
  <c r="AM10" i="10"/>
  <c r="AJ10" i="10"/>
  <c r="AG10" i="10"/>
  <c r="AD10" i="10"/>
  <c r="AM9" i="10"/>
  <c r="AJ9" i="10"/>
  <c r="AG9" i="10"/>
  <c r="AD9" i="10"/>
  <c r="AM8" i="10"/>
  <c r="AJ8" i="10"/>
  <c r="AG8" i="10"/>
  <c r="AD8" i="10"/>
  <c r="AM7" i="10"/>
  <c r="AJ7" i="10"/>
  <c r="AG7" i="10"/>
  <c r="AD7" i="10"/>
  <c r="AM6" i="10"/>
  <c r="AJ6" i="10"/>
  <c r="AG6" i="10"/>
  <c r="CA59" i="2"/>
  <c r="CA52" i="2"/>
  <c r="CA51" i="2"/>
  <c r="CA50" i="2"/>
  <c r="CA49" i="2"/>
  <c r="CA48" i="2"/>
  <c r="CA47" i="2"/>
  <c r="CA46" i="2"/>
  <c r="CA45" i="2"/>
  <c r="CA44" i="2"/>
  <c r="CA42" i="2"/>
  <c r="CA41" i="2"/>
  <c r="CA40" i="2"/>
  <c r="CA39" i="2"/>
  <c r="BT59" i="2"/>
  <c r="BT52" i="2"/>
  <c r="BT50" i="2"/>
  <c r="BT49" i="2"/>
  <c r="BT47" i="2"/>
  <c r="BT45" i="2"/>
  <c r="BT44" i="2"/>
  <c r="BT43" i="2"/>
  <c r="BT42" i="2"/>
  <c r="BT41" i="2"/>
  <c r="BT40" i="2"/>
  <c r="BT39" i="2"/>
  <c r="BM52" i="2"/>
  <c r="BM49" i="2"/>
  <c r="BM48" i="2"/>
  <c r="BM46" i="2"/>
  <c r="BM44" i="2"/>
  <c r="BM43" i="2"/>
  <c r="BM42" i="2"/>
  <c r="BM41" i="2"/>
  <c r="BM39" i="2"/>
  <c r="BC39" i="2"/>
  <c r="BC40" i="2"/>
  <c r="BC44" i="2"/>
  <c r="BC45" i="2"/>
  <c r="BC50" i="2"/>
  <c r="BC51" i="2"/>
  <c r="BC52" i="2"/>
  <c r="BF58" i="2" l="1"/>
  <c r="CD2" i="2"/>
  <c r="AY22" i="1"/>
  <c r="BM38" i="2"/>
  <c r="BD38" i="2"/>
  <c r="BL2" i="2"/>
  <c r="CG20" i="1"/>
  <c r="AI12" i="10"/>
  <c r="BM18" i="2"/>
  <c r="CF16" i="1"/>
  <c r="BW23" i="1"/>
  <c r="AI14" i="10"/>
  <c r="CE6" i="1"/>
  <c r="CG6" i="1" s="1"/>
  <c r="BP16" i="1"/>
  <c r="BQ16" i="1" s="1"/>
  <c r="AL8" i="10"/>
  <c r="BI16" i="1"/>
  <c r="AI8" i="10"/>
  <c r="AO11" i="10"/>
  <c r="AF11" i="10" s="1"/>
  <c r="BD18" i="1"/>
  <c r="AY18" i="1" s="1"/>
  <c r="AI13" i="10"/>
  <c r="AF13" i="10" s="1"/>
  <c r="CF19" i="1"/>
  <c r="BP19" i="1"/>
  <c r="BR19" i="1" s="1"/>
  <c r="BP18" i="1"/>
  <c r="CF18" i="1"/>
  <c r="CG18" i="1"/>
  <c r="CE7" i="1"/>
  <c r="CF7" i="1" s="1"/>
  <c r="BQ15" i="1"/>
  <c r="CE23" i="1"/>
  <c r="CF23" i="1" s="1"/>
  <c r="BQ20" i="1"/>
  <c r="BW8" i="1"/>
  <c r="AF18" i="10"/>
  <c r="AO19" i="10"/>
  <c r="AF19" i="10" s="1"/>
  <c r="AF9" i="10"/>
  <c r="AN17" i="10"/>
  <c r="AO17" i="10"/>
  <c r="AF17" i="10" s="1"/>
  <c r="BS8" i="1"/>
  <c r="BS23" i="1"/>
  <c r="BS46" i="2"/>
  <c r="AO12" i="10"/>
  <c r="BD21" i="1"/>
  <c r="AY21" i="1" s="1"/>
  <c r="AF6" i="10"/>
  <c r="BB47" i="2"/>
  <c r="BB19" i="2"/>
  <c r="BC19" i="2" s="1"/>
  <c r="AO8" i="10"/>
  <c r="BN17" i="1"/>
  <c r="AY17" i="1" s="1"/>
  <c r="BB48" i="2"/>
  <c r="BD19" i="1"/>
  <c r="BD7" i="1"/>
  <c r="BI19" i="1"/>
  <c r="BB18" i="2"/>
  <c r="BC18" i="2" s="1"/>
  <c r="BB49" i="2"/>
  <c r="BC49" i="2" s="1"/>
  <c r="CB16" i="1"/>
  <c r="BZ6" i="1"/>
  <c r="BZ8" i="1" s="1"/>
  <c r="CA8" i="1" s="1"/>
  <c r="CA16" i="1"/>
  <c r="AH7" i="10"/>
  <c r="BZ23" i="1"/>
  <c r="CA23" i="1" s="1"/>
  <c r="J8" i="1"/>
  <c r="BQ21" i="1"/>
  <c r="BR21" i="1"/>
  <c r="CB7" i="1"/>
  <c r="CA7" i="1"/>
  <c r="BZ43" i="2"/>
  <c r="BQ17" i="1"/>
  <c r="BJ8" i="1"/>
  <c r="BJ23" i="1"/>
  <c r="BE51" i="2"/>
  <c r="AG3" i="10"/>
  <c r="AU8" i="1"/>
  <c r="BE47" i="2"/>
  <c r="AZ8" i="1"/>
  <c r="AZ23" i="1"/>
  <c r="AD3" i="10"/>
  <c r="BT51" i="2"/>
  <c r="BM47" i="2"/>
  <c r="AK8" i="10"/>
  <c r="AK13" i="10"/>
  <c r="AK14" i="10"/>
  <c r="BE49" i="2"/>
  <c r="AN10" i="10"/>
  <c r="AM3" i="10"/>
  <c r="BE8" i="1"/>
  <c r="BE23" i="1"/>
  <c r="BE52" i="2"/>
  <c r="AK7" i="10"/>
  <c r="AN18" i="10"/>
  <c r="AN19" i="10"/>
  <c r="AK6" i="10"/>
  <c r="AK19" i="10"/>
  <c r="AN6" i="10"/>
  <c r="AN12" i="10"/>
  <c r="AH6" i="10"/>
  <c r="AH19" i="10"/>
  <c r="AH15" i="10"/>
  <c r="AK12" i="10"/>
  <c r="AN8" i="10"/>
  <c r="AK18" i="10"/>
  <c r="AK15" i="10"/>
  <c r="AN13" i="10"/>
  <c r="AJ3" i="10"/>
  <c r="AH9" i="10"/>
  <c r="AH12" i="10"/>
  <c r="AH13" i="10"/>
  <c r="AH14" i="10"/>
  <c r="AH18" i="10"/>
  <c r="AH10" i="10"/>
  <c r="AH8" i="10"/>
  <c r="AH11" i="10"/>
  <c r="BE44" i="2"/>
  <c r="AK9" i="10"/>
  <c r="AK11" i="10"/>
  <c r="AN15" i="10"/>
  <c r="AN11" i="10"/>
  <c r="BE42" i="2"/>
  <c r="AN7" i="10"/>
  <c r="AN9" i="10"/>
  <c r="AU23" i="1"/>
  <c r="BE39" i="2"/>
  <c r="BE41" i="2"/>
  <c r="BT48" i="2"/>
  <c r="BE48" i="2"/>
  <c r="BM50" i="2"/>
  <c r="BM59" i="2"/>
  <c r="BE59" i="2"/>
  <c r="BE40" i="2"/>
  <c r="BE50" i="2"/>
  <c r="BM51" i="2"/>
  <c r="BE45" i="2"/>
  <c r="BM40" i="2"/>
  <c r="BM45" i="2"/>
  <c r="AB13" i="10"/>
  <c r="AB9" i="10"/>
  <c r="AK21" i="1"/>
  <c r="BM2" i="2" l="1"/>
  <c r="BI7" i="1"/>
  <c r="BD46" i="2"/>
  <c r="BS2" i="2"/>
  <c r="AL3" i="10" s="1"/>
  <c r="AN14" i="10"/>
  <c r="BK19" i="1" s="1"/>
  <c r="BM19" i="1" s="1"/>
  <c r="BD43" i="2"/>
  <c r="BZ2" i="2"/>
  <c r="BF39" i="2"/>
  <c r="AF12" i="10"/>
  <c r="BR16" i="1"/>
  <c r="CF6" i="1"/>
  <c r="BE46" i="2"/>
  <c r="AE15" i="10" s="1"/>
  <c r="BP7" i="1"/>
  <c r="BQ7" i="1" s="1"/>
  <c r="AF8" i="10"/>
  <c r="BP23" i="1"/>
  <c r="BR23" i="1" s="1"/>
  <c r="CG7" i="1"/>
  <c r="CG23" i="1"/>
  <c r="CA43" i="2"/>
  <c r="CA2" i="2" s="1"/>
  <c r="AO14" i="10"/>
  <c r="AF14" i="10" s="1"/>
  <c r="BN19" i="1"/>
  <c r="AY19" i="1" s="1"/>
  <c r="AK10" i="10"/>
  <c r="BF16" i="1" s="1"/>
  <c r="BG16" i="1" s="1"/>
  <c r="AL15" i="10"/>
  <c r="AF15" i="10" s="1"/>
  <c r="BN7" i="1"/>
  <c r="AY7" i="1" s="1"/>
  <c r="BQ19" i="1"/>
  <c r="CE8" i="1"/>
  <c r="CF8" i="1" s="1"/>
  <c r="BQ18" i="1"/>
  <c r="BR18" i="1"/>
  <c r="BP6" i="1"/>
  <c r="BN6" i="1"/>
  <c r="AO7" i="10"/>
  <c r="BN16" i="1"/>
  <c r="BF52" i="2"/>
  <c r="BI6" i="1"/>
  <c r="AL10" i="10"/>
  <c r="AF10" i="10" s="1"/>
  <c r="BF49" i="2"/>
  <c r="BF59" i="2"/>
  <c r="BC47" i="2"/>
  <c r="AC9" i="10"/>
  <c r="BC48" i="2"/>
  <c r="BD16" i="1"/>
  <c r="BD6" i="1"/>
  <c r="AI7" i="10"/>
  <c r="BF48" i="2"/>
  <c r="BF41" i="2"/>
  <c r="BF42" i="2"/>
  <c r="BF45" i="2"/>
  <c r="BF44" i="2"/>
  <c r="BF51" i="2"/>
  <c r="BF40" i="2"/>
  <c r="BF47" i="2"/>
  <c r="BE43" i="2"/>
  <c r="AE14" i="10" s="1"/>
  <c r="AH16" i="10"/>
  <c r="AH3" i="10" s="1"/>
  <c r="AN16" i="10"/>
  <c r="BK20" i="1" s="1"/>
  <c r="BM20" i="1" s="1"/>
  <c r="BI20" i="1"/>
  <c r="AE7" i="10"/>
  <c r="BT46" i="2"/>
  <c r="BT2" i="2" s="1"/>
  <c r="AK16" i="10"/>
  <c r="AL16" i="10"/>
  <c r="BB15" i="2"/>
  <c r="BC15" i="2" s="1"/>
  <c r="BB25" i="2"/>
  <c r="BC25" i="2" s="1"/>
  <c r="BB6" i="2"/>
  <c r="BC6" i="2" s="1"/>
  <c r="BB59" i="2"/>
  <c r="BC59" i="2" s="1"/>
  <c r="BB7" i="2"/>
  <c r="BC7" i="2" s="1"/>
  <c r="BB12" i="2"/>
  <c r="BC12" i="2" s="1"/>
  <c r="BB58" i="2"/>
  <c r="BB43" i="2"/>
  <c r="BC43" i="2" s="1"/>
  <c r="BB41" i="2"/>
  <c r="AO16" i="10"/>
  <c r="BN20" i="1"/>
  <c r="AO3" i="10"/>
  <c r="BB17" i="2"/>
  <c r="BC17" i="2" s="1"/>
  <c r="BB20" i="2"/>
  <c r="BC20" i="2" s="1"/>
  <c r="BB8" i="2"/>
  <c r="BC8" i="2" s="1"/>
  <c r="BB46" i="2"/>
  <c r="BC46" i="2" s="1"/>
  <c r="AI16" i="10"/>
  <c r="BD20" i="1"/>
  <c r="BB42" i="2"/>
  <c r="BC42" i="2" s="1"/>
  <c r="BB28" i="2"/>
  <c r="BC28" i="2" s="1"/>
  <c r="CB23" i="1"/>
  <c r="BB11" i="2"/>
  <c r="BC11" i="2" s="1"/>
  <c r="CA6" i="1"/>
  <c r="CB6" i="1"/>
  <c r="BF50" i="2"/>
  <c r="AE17" i="10"/>
  <c r="CB8" i="1"/>
  <c r="BK22" i="1"/>
  <c r="BL22" i="1" s="1"/>
  <c r="BF19" i="1"/>
  <c r="BH19" i="1" s="1"/>
  <c r="BA19" i="1"/>
  <c r="BC19" i="1" s="1"/>
  <c r="BF18" i="1"/>
  <c r="BG18" i="1" s="1"/>
  <c r="BF22" i="1"/>
  <c r="BG22" i="1" s="1"/>
  <c r="BF21" i="1"/>
  <c r="BG21" i="1" s="1"/>
  <c r="AE8" i="10"/>
  <c r="AE11" i="10"/>
  <c r="BK18" i="1"/>
  <c r="BL18" i="1" s="1"/>
  <c r="BA22" i="1"/>
  <c r="AE10" i="10"/>
  <c r="BA18" i="1"/>
  <c r="BC18" i="1" s="1"/>
  <c r="BF15" i="1"/>
  <c r="BG15" i="1" s="1"/>
  <c r="BA21" i="1"/>
  <c r="BK16" i="1"/>
  <c r="BK17" i="1"/>
  <c r="BA15" i="1"/>
  <c r="BA17" i="1"/>
  <c r="BC17" i="1" s="1"/>
  <c r="BK15" i="1"/>
  <c r="BK21" i="1"/>
  <c r="BF17" i="1"/>
  <c r="AE13" i="10"/>
  <c r="BA16" i="1"/>
  <c r="AE18" i="10"/>
  <c r="AE19" i="10"/>
  <c r="AV22" i="1" s="1"/>
  <c r="AE9" i="10"/>
  <c r="AE6" i="10"/>
  <c r="AE12" i="10"/>
  <c r="AY6" i="1" l="1"/>
  <c r="AY20" i="1"/>
  <c r="BD2" i="2"/>
  <c r="AY16" i="1"/>
  <c r="BE2" i="2"/>
  <c r="BQ23" i="1"/>
  <c r="BR7" i="1"/>
  <c r="BF46" i="2"/>
  <c r="BP8" i="1"/>
  <c r="BR8" i="1" s="1"/>
  <c r="AK3" i="10"/>
  <c r="AB8" i="10"/>
  <c r="AC8" i="10"/>
  <c r="BC41" i="2"/>
  <c r="AC14" i="10"/>
  <c r="AB14" i="10"/>
  <c r="AT21" i="1"/>
  <c r="AB18" i="10"/>
  <c r="AQ21" i="1" s="1"/>
  <c r="AC18" i="10"/>
  <c r="CG8" i="1"/>
  <c r="BQ6" i="1"/>
  <c r="BR6" i="1"/>
  <c r="BA6" i="1"/>
  <c r="BB6" i="1" s="1"/>
  <c r="AF7" i="10"/>
  <c r="AC17" i="10"/>
  <c r="AB17" i="10"/>
  <c r="BF43" i="2"/>
  <c r="BA20" i="1"/>
  <c r="BA23" i="1" s="1"/>
  <c r="AN3" i="10"/>
  <c r="AE16" i="10"/>
  <c r="AV20" i="1" s="1"/>
  <c r="AW20" i="1" s="1"/>
  <c r="BB2" i="2"/>
  <c r="BI23" i="1"/>
  <c r="BI8" i="1"/>
  <c r="BF20" i="1"/>
  <c r="BF23" i="1" s="1"/>
  <c r="BG23" i="1" s="1"/>
  <c r="AC12" i="10"/>
  <c r="AT19" i="1"/>
  <c r="AB12" i="10"/>
  <c r="AC11" i="10"/>
  <c r="AT18" i="1"/>
  <c r="AB11" i="10"/>
  <c r="AF16" i="10"/>
  <c r="AC10" i="10"/>
  <c r="AB10" i="10"/>
  <c r="AC6" i="10"/>
  <c r="AT15" i="1"/>
  <c r="AB6" i="10"/>
  <c r="AQ15" i="1" s="1"/>
  <c r="AC16" i="10"/>
  <c r="AB16" i="10"/>
  <c r="AT7" i="1"/>
  <c r="AT20" i="1"/>
  <c r="AC15" i="10"/>
  <c r="AB15" i="10"/>
  <c r="BN8" i="1"/>
  <c r="BN23" i="1"/>
  <c r="BC58" i="2"/>
  <c r="AT22" i="1"/>
  <c r="AC19" i="10"/>
  <c r="AB19" i="10"/>
  <c r="AQ22" i="1" s="1"/>
  <c r="BD8" i="1"/>
  <c r="AI3" i="10"/>
  <c r="BD23" i="1"/>
  <c r="AT17" i="1"/>
  <c r="AC7" i="10"/>
  <c r="AT6" i="1"/>
  <c r="AT16" i="1"/>
  <c r="AB7" i="10"/>
  <c r="AQ3" i="10"/>
  <c r="BG19" i="1"/>
  <c r="BB19" i="1"/>
  <c r="BM18" i="1"/>
  <c r="BM22" i="1"/>
  <c r="BH18" i="1"/>
  <c r="BB18" i="1"/>
  <c r="BH21" i="1"/>
  <c r="BL19" i="1"/>
  <c r="BH22" i="1"/>
  <c r="BL20" i="1"/>
  <c r="BK7" i="1"/>
  <c r="BL7" i="1" s="1"/>
  <c r="BH15" i="1"/>
  <c r="BC22" i="1"/>
  <c r="BB22" i="1"/>
  <c r="BB21" i="1"/>
  <c r="BF6" i="1"/>
  <c r="BH16" i="1"/>
  <c r="BC21" i="1"/>
  <c r="BB17" i="1"/>
  <c r="AV19" i="1"/>
  <c r="AW19" i="1" s="1"/>
  <c r="BK23" i="1"/>
  <c r="BL23" i="1" s="1"/>
  <c r="BM16" i="1"/>
  <c r="BK6" i="1"/>
  <c r="BL16" i="1"/>
  <c r="AW22" i="1"/>
  <c r="AX22" i="1"/>
  <c r="BL21" i="1"/>
  <c r="BM21" i="1"/>
  <c r="BL15" i="1"/>
  <c r="BM15" i="1"/>
  <c r="BC15" i="1"/>
  <c r="BB15" i="1"/>
  <c r="BH17" i="1"/>
  <c r="BG17" i="1"/>
  <c r="AV17" i="1"/>
  <c r="BM17" i="1"/>
  <c r="BL17" i="1"/>
  <c r="AV18" i="1"/>
  <c r="AV21" i="1"/>
  <c r="AX21" i="1" s="1"/>
  <c r="BC16" i="1"/>
  <c r="BB16" i="1"/>
  <c r="AV16" i="1"/>
  <c r="AV15" i="1"/>
  <c r="AV39" i="2"/>
  <c r="AV40" i="2"/>
  <c r="AV44" i="2"/>
  <c r="AV45" i="2"/>
  <c r="AV50" i="2"/>
  <c r="AV51" i="2"/>
  <c r="AV52" i="2"/>
  <c r="BF2" i="2" l="1"/>
  <c r="AY23" i="1"/>
  <c r="AY8" i="1"/>
  <c r="BQ8" i="1"/>
  <c r="BF7" i="1"/>
  <c r="BH7" i="1" s="1"/>
  <c r="BA7" i="1"/>
  <c r="BC7" i="1" s="1"/>
  <c r="AQ19" i="1"/>
  <c r="BC6" i="1"/>
  <c r="AQ18" i="1"/>
  <c r="AQ16" i="1"/>
  <c r="AV6" i="1"/>
  <c r="BC20" i="1"/>
  <c r="AF3" i="10"/>
  <c r="BB20" i="1"/>
  <c r="BG20" i="1"/>
  <c r="BH20" i="1"/>
  <c r="AE3" i="10"/>
  <c r="AU48" i="2"/>
  <c r="AU21" i="2"/>
  <c r="AV21" i="2" s="1"/>
  <c r="AN23" i="2"/>
  <c r="AQ17" i="1"/>
  <c r="AU31" i="2"/>
  <c r="AV31" i="2" s="1"/>
  <c r="AN47" i="2"/>
  <c r="AO47" i="2" s="1"/>
  <c r="AU25" i="2"/>
  <c r="AV25" i="2" s="1"/>
  <c r="AU16" i="2"/>
  <c r="AV16" i="2" s="1"/>
  <c r="AU41" i="2"/>
  <c r="AV41" i="2" s="1"/>
  <c r="AU59" i="2"/>
  <c r="AV59" i="2" s="1"/>
  <c r="AN12" i="2"/>
  <c r="AO12" i="2" s="1"/>
  <c r="AN31" i="2"/>
  <c r="AO31" i="2" s="1"/>
  <c r="AU29" i="2"/>
  <c r="AV29" i="2" s="1"/>
  <c r="AN6" i="2"/>
  <c r="AU11" i="2"/>
  <c r="AV11" i="2" s="1"/>
  <c r="AN29" i="2"/>
  <c r="AO29" i="2" s="1"/>
  <c r="AQ20" i="1"/>
  <c r="AU18" i="2"/>
  <c r="AV18" i="2" s="1"/>
  <c r="AN39" i="2"/>
  <c r="AO39" i="2" s="1"/>
  <c r="AU47" i="2"/>
  <c r="AV47" i="2" s="1"/>
  <c r="AU7" i="2"/>
  <c r="AV7" i="2" s="1"/>
  <c r="AN10" i="2"/>
  <c r="AO10" i="2" s="1"/>
  <c r="AN33" i="2"/>
  <c r="AO33" i="2" s="1"/>
  <c r="AU49" i="2"/>
  <c r="AV49" i="2" s="1"/>
  <c r="AU26" i="2"/>
  <c r="AV26" i="2" s="1"/>
  <c r="AN21" i="2"/>
  <c r="AO21" i="2" s="1"/>
  <c r="AN17" i="2"/>
  <c r="AO17" i="2" s="1"/>
  <c r="AN19" i="2"/>
  <c r="AO19" i="2" s="1"/>
  <c r="AU43" i="2"/>
  <c r="AV43" i="2" s="1"/>
  <c r="AU42" i="2"/>
  <c r="AV42" i="2" s="1"/>
  <c r="AN28" i="2"/>
  <c r="AO28" i="2" s="1"/>
  <c r="AN42" i="2"/>
  <c r="AO42" i="2" s="1"/>
  <c r="AN7" i="2"/>
  <c r="AO7" i="2" s="1"/>
  <c r="AN18" i="2"/>
  <c r="AO18" i="2" s="1"/>
  <c r="AN20" i="2"/>
  <c r="AO20" i="2" s="1"/>
  <c r="AN41" i="2"/>
  <c r="AO41" i="2" s="1"/>
  <c r="AN46" i="2"/>
  <c r="AO46" i="2" s="1"/>
  <c r="AN25" i="2"/>
  <c r="AO25" i="2" s="1"/>
  <c r="AU33" i="2"/>
  <c r="AN26" i="2"/>
  <c r="AO26" i="2" s="1"/>
  <c r="AN58" i="2"/>
  <c r="AO58" i="2" s="1"/>
  <c r="AT8" i="1"/>
  <c r="AT23" i="1" s="1"/>
  <c r="AC3" i="10"/>
  <c r="AB3" i="10"/>
  <c r="AU58" i="2"/>
  <c r="AN49" i="2"/>
  <c r="AO49" i="2" s="1"/>
  <c r="AN8" i="2"/>
  <c r="AO8" i="2" s="1"/>
  <c r="AU23" i="2"/>
  <c r="AV23" i="2" s="1"/>
  <c r="AU8" i="2"/>
  <c r="AV8" i="2" s="1"/>
  <c r="AU28" i="2"/>
  <c r="AV28" i="2" s="1"/>
  <c r="AU10" i="2"/>
  <c r="AV10" i="2" s="1"/>
  <c r="AU27" i="2"/>
  <c r="AV27" i="2" s="1"/>
  <c r="AU6" i="2"/>
  <c r="AV6" i="2" s="1"/>
  <c r="AN24" i="2"/>
  <c r="AO24" i="2" s="1"/>
  <c r="AU24" i="2"/>
  <c r="AV24" i="2" s="1"/>
  <c r="AU46" i="2"/>
  <c r="AV46" i="2" s="1"/>
  <c r="AU20" i="2"/>
  <c r="AV20" i="2" s="1"/>
  <c r="AN27" i="2"/>
  <c r="AO27" i="2" s="1"/>
  <c r="AN32" i="2"/>
  <c r="AO32" i="2" s="1"/>
  <c r="BM23" i="1"/>
  <c r="AX19" i="1"/>
  <c r="BM7" i="1"/>
  <c r="AW21" i="1"/>
  <c r="BH23" i="1"/>
  <c r="BK8" i="1"/>
  <c r="BM8" i="1" s="1"/>
  <c r="AX20" i="1"/>
  <c r="BG6" i="1"/>
  <c r="BH6" i="1"/>
  <c r="BL6" i="1"/>
  <c r="BM6" i="1"/>
  <c r="AW16" i="1"/>
  <c r="AW17" i="1"/>
  <c r="AX17" i="1"/>
  <c r="AW18" i="1"/>
  <c r="AX18" i="1"/>
  <c r="AX16" i="1"/>
  <c r="AV7" i="1"/>
  <c r="AX7" i="1" s="1"/>
  <c r="BC23" i="1"/>
  <c r="BB23" i="1"/>
  <c r="AV23" i="1"/>
  <c r="AW15" i="1"/>
  <c r="AX15" i="1"/>
  <c r="AP16" i="1"/>
  <c r="AP17" i="1"/>
  <c r="AP18" i="1"/>
  <c r="AP19" i="1"/>
  <c r="AP20" i="1"/>
  <c r="AP21" i="1"/>
  <c r="AP22" i="1"/>
  <c r="AP7" i="1"/>
  <c r="AK16" i="1"/>
  <c r="AK17" i="1"/>
  <c r="AK18" i="1"/>
  <c r="AK19" i="1"/>
  <c r="AK20" i="1"/>
  <c r="AK22" i="1"/>
  <c r="AK7" i="1"/>
  <c r="AP15" i="1"/>
  <c r="AK15" i="1"/>
  <c r="AF16" i="1"/>
  <c r="AF17" i="1"/>
  <c r="AF18" i="1"/>
  <c r="AF19" i="1"/>
  <c r="AF20" i="1"/>
  <c r="AF21" i="1"/>
  <c r="AF22" i="1"/>
  <c r="AF7" i="1"/>
  <c r="AF15" i="1"/>
  <c r="AA16" i="1"/>
  <c r="AA17" i="1"/>
  <c r="AA18" i="1"/>
  <c r="AA19" i="1"/>
  <c r="AA20" i="1"/>
  <c r="AA21" i="1"/>
  <c r="AA22" i="1"/>
  <c r="AA15" i="1"/>
  <c r="AA7" i="1"/>
  <c r="AA7" i="10"/>
  <c r="AA8" i="10"/>
  <c r="AA9" i="10"/>
  <c r="AA10" i="10"/>
  <c r="AA11" i="10"/>
  <c r="AA12" i="10"/>
  <c r="AA13" i="10"/>
  <c r="AA14" i="10"/>
  <c r="AA15" i="10"/>
  <c r="AA16" i="10"/>
  <c r="AA18" i="10"/>
  <c r="AA19" i="10"/>
  <c r="X7" i="10"/>
  <c r="X8" i="10"/>
  <c r="X9" i="10"/>
  <c r="X10" i="10"/>
  <c r="X11" i="10"/>
  <c r="X12" i="10"/>
  <c r="X13" i="10"/>
  <c r="X14" i="10"/>
  <c r="X15" i="10"/>
  <c r="X16" i="10"/>
  <c r="X18" i="10"/>
  <c r="X19" i="10"/>
  <c r="AA6" i="10"/>
  <c r="X6" i="10"/>
  <c r="U7" i="10"/>
  <c r="U8" i="10"/>
  <c r="U9" i="10"/>
  <c r="U10" i="10"/>
  <c r="U11" i="10"/>
  <c r="U12" i="10"/>
  <c r="U13" i="10"/>
  <c r="U14" i="10"/>
  <c r="U15" i="10"/>
  <c r="U16" i="10"/>
  <c r="U18" i="10"/>
  <c r="U19" i="10"/>
  <c r="U6" i="10"/>
  <c r="R7" i="10"/>
  <c r="R8" i="10"/>
  <c r="R9" i="10"/>
  <c r="R10" i="10"/>
  <c r="R11" i="10"/>
  <c r="R12" i="10"/>
  <c r="R13" i="10"/>
  <c r="R14" i="10"/>
  <c r="R15" i="10"/>
  <c r="R16" i="10"/>
  <c r="R18" i="10"/>
  <c r="R19" i="10"/>
  <c r="BG7" i="1" l="1"/>
  <c r="BA8" i="1"/>
  <c r="BC8" i="1" s="1"/>
  <c r="BB7" i="1"/>
  <c r="Z13" i="10"/>
  <c r="AV33" i="2"/>
  <c r="Y13" i="10"/>
  <c r="Y18" i="10"/>
  <c r="AL21" i="1" s="1"/>
  <c r="AM21" i="1" s="1"/>
  <c r="W18" i="10"/>
  <c r="AO6" i="2"/>
  <c r="AN2" i="2"/>
  <c r="AG23" i="2"/>
  <c r="AO23" i="2"/>
  <c r="Y14" i="10"/>
  <c r="Y8" i="10"/>
  <c r="AO21" i="1"/>
  <c r="W8" i="10"/>
  <c r="W13" i="10"/>
  <c r="AQ7" i="1"/>
  <c r="AR7" i="1" s="1"/>
  <c r="AQ6" i="1"/>
  <c r="Z17" i="10"/>
  <c r="Y17" i="10"/>
  <c r="Y10" i="10"/>
  <c r="V17" i="10"/>
  <c r="W17" i="10"/>
  <c r="AG48" i="2"/>
  <c r="Z8" i="10"/>
  <c r="Z14" i="10"/>
  <c r="Z18" i="10"/>
  <c r="W10" i="10"/>
  <c r="BF8" i="1"/>
  <c r="BG8" i="1" s="1"/>
  <c r="AH48" i="2"/>
  <c r="AI48" i="2" s="1"/>
  <c r="AV48" i="2"/>
  <c r="Y6" i="10"/>
  <c r="AL15" i="1" s="1"/>
  <c r="AM15" i="1" s="1"/>
  <c r="Z6" i="10"/>
  <c r="AO15" i="1"/>
  <c r="Y19" i="10"/>
  <c r="AL22" i="1" s="1"/>
  <c r="AM22" i="1" s="1"/>
  <c r="Y16" i="10"/>
  <c r="W6" i="10"/>
  <c r="Y7" i="10"/>
  <c r="AJ15" i="1"/>
  <c r="AO22" i="1"/>
  <c r="AV58" i="2"/>
  <c r="Z19" i="10"/>
  <c r="Z12" i="10"/>
  <c r="AO19" i="1"/>
  <c r="AJ17" i="1"/>
  <c r="W9" i="10"/>
  <c r="AJ7" i="1"/>
  <c r="Z11" i="10"/>
  <c r="AO18" i="1"/>
  <c r="AJ19" i="1"/>
  <c r="W12" i="10"/>
  <c r="Z9" i="10"/>
  <c r="AO7" i="1"/>
  <c r="AO17" i="1"/>
  <c r="W15" i="10"/>
  <c r="AJ20" i="1"/>
  <c r="Z10" i="10"/>
  <c r="Y11" i="10"/>
  <c r="AU2" i="2"/>
  <c r="W16" i="10"/>
  <c r="Y9" i="10"/>
  <c r="Y15" i="10"/>
  <c r="AO16" i="1"/>
  <c r="AO6" i="1"/>
  <c r="Z7" i="10"/>
  <c r="W14" i="10"/>
  <c r="AJ21" i="1"/>
  <c r="AG58" i="2"/>
  <c r="W19" i="10"/>
  <c r="AJ22" i="1"/>
  <c r="AH58" i="2"/>
  <c r="AQ23" i="1"/>
  <c r="AJ6" i="1"/>
  <c r="W7" i="10"/>
  <c r="AJ16" i="1"/>
  <c r="Y12" i="10"/>
  <c r="W11" i="10"/>
  <c r="AJ18" i="1"/>
  <c r="Z15" i="10"/>
  <c r="AO20" i="1"/>
  <c r="Z16" i="10"/>
  <c r="R3" i="10"/>
  <c r="BL8" i="1"/>
  <c r="AW6" i="1"/>
  <c r="AX6" i="1"/>
  <c r="AW7" i="1"/>
  <c r="AW23" i="1"/>
  <c r="AX23" i="1"/>
  <c r="AV8" i="1"/>
  <c r="AR16" i="1"/>
  <c r="AS16" i="1"/>
  <c r="AP23" i="1"/>
  <c r="AS15" i="1"/>
  <c r="AR15" i="1"/>
  <c r="AR22" i="1"/>
  <c r="AS22" i="1"/>
  <c r="AS19" i="1"/>
  <c r="AR19" i="1"/>
  <c r="AR21" i="1"/>
  <c r="AS21" i="1"/>
  <c r="AR18" i="1"/>
  <c r="AS18" i="1"/>
  <c r="AP8" i="1"/>
  <c r="AR20" i="1"/>
  <c r="AS20" i="1"/>
  <c r="AS17" i="1"/>
  <c r="AR17" i="1"/>
  <c r="AF23" i="1"/>
  <c r="AA23" i="1"/>
  <c r="AA3" i="10"/>
  <c r="X3" i="10"/>
  <c r="U3" i="10"/>
  <c r="BC2" i="2"/>
  <c r="T13" i="10" l="1"/>
  <c r="BB8" i="1"/>
  <c r="T18" i="10"/>
  <c r="AQ8" i="1"/>
  <c r="AR8" i="1" s="1"/>
  <c r="AJ23" i="1"/>
  <c r="AS7" i="1"/>
  <c r="AL19" i="1"/>
  <c r="AN19" i="1" s="1"/>
  <c r="T8" i="10"/>
  <c r="AL16" i="1"/>
  <c r="AN16" i="1" s="1"/>
  <c r="AL18" i="1"/>
  <c r="AN18" i="1" s="1"/>
  <c r="AR6" i="1"/>
  <c r="AS6" i="1"/>
  <c r="T14" i="10"/>
  <c r="T17" i="10"/>
  <c r="T10" i="10"/>
  <c r="AI58" i="2"/>
  <c r="BH8" i="1"/>
  <c r="T19" i="10"/>
  <c r="AL17" i="1"/>
  <c r="AM17" i="1" s="1"/>
  <c r="T6" i="10"/>
  <c r="AL20" i="1"/>
  <c r="AN20" i="1" s="1"/>
  <c r="W3" i="10"/>
  <c r="T9" i="10"/>
  <c r="T15" i="10"/>
  <c r="T11" i="10"/>
  <c r="T7" i="10"/>
  <c r="AV2" i="2"/>
  <c r="T12" i="10"/>
  <c r="T16" i="10"/>
  <c r="AO23" i="1"/>
  <c r="Z3" i="10"/>
  <c r="Y3" i="10"/>
  <c r="AN22" i="1"/>
  <c r="AN15" i="1"/>
  <c r="AX8" i="1"/>
  <c r="AW8" i="1"/>
  <c r="AS23" i="1"/>
  <c r="AR23" i="1"/>
  <c r="AG59" i="2"/>
  <c r="AH59" i="2"/>
  <c r="AN21" i="1"/>
  <c r="AS8" i="1" l="1"/>
  <c r="AM19" i="1"/>
  <c r="AM16" i="1"/>
  <c r="AM18" i="1"/>
  <c r="AL6" i="1"/>
  <c r="AI59" i="2"/>
  <c r="AL7" i="1"/>
  <c r="AM7" i="1" s="1"/>
  <c r="AN17" i="1"/>
  <c r="AL23" i="1"/>
  <c r="AM20" i="1"/>
  <c r="AM6" i="1" l="1"/>
  <c r="AN6" i="1"/>
  <c r="AN7" i="1"/>
  <c r="AL8" i="1"/>
  <c r="F21" i="1"/>
  <c r="AG32" i="2" l="1"/>
  <c r="AH32" i="2"/>
  <c r="AG28" i="2"/>
  <c r="AH28" i="2"/>
  <c r="AG22" i="2"/>
  <c r="AH22" i="2"/>
  <c r="AG17" i="2"/>
  <c r="AH17" i="2"/>
  <c r="AG13" i="2"/>
  <c r="AH13" i="2"/>
  <c r="AG11" i="2"/>
  <c r="AH11" i="2"/>
  <c r="AI11" i="2" s="1"/>
  <c r="AG6" i="2"/>
  <c r="AH6" i="2"/>
  <c r="AI6" i="2" s="1"/>
  <c r="AG47" i="2"/>
  <c r="AH47" i="2"/>
  <c r="AG38" i="2"/>
  <c r="AH38" i="2"/>
  <c r="AG46" i="2"/>
  <c r="AH46" i="2"/>
  <c r="AG42" i="2"/>
  <c r="AH42" i="2"/>
  <c r="AG37" i="2"/>
  <c r="AH37" i="2"/>
  <c r="AG52" i="2"/>
  <c r="AE22" i="1" s="1"/>
  <c r="AH52" i="2"/>
  <c r="AG50" i="2"/>
  <c r="AH50" i="2"/>
  <c r="AG45" i="2"/>
  <c r="AH45" i="2"/>
  <c r="AG40" i="2"/>
  <c r="AH40" i="2"/>
  <c r="AG36" i="2"/>
  <c r="AH36" i="2"/>
  <c r="AG51" i="2"/>
  <c r="AH51" i="2"/>
  <c r="AG49" i="2"/>
  <c r="AH49" i="2"/>
  <c r="AG44" i="2"/>
  <c r="AH44" i="2"/>
  <c r="AG43" i="2"/>
  <c r="AH43" i="2"/>
  <c r="AG41" i="2"/>
  <c r="AH41" i="2"/>
  <c r="AG39" i="2"/>
  <c r="AH39" i="2"/>
  <c r="AG35" i="2"/>
  <c r="AH35" i="2"/>
  <c r="AG31" i="2"/>
  <c r="AH31" i="2"/>
  <c r="AG27" i="2"/>
  <c r="AH27" i="2"/>
  <c r="AG24" i="2"/>
  <c r="AH24" i="2"/>
  <c r="AG19" i="2"/>
  <c r="AH19" i="2"/>
  <c r="AG16" i="2"/>
  <c r="AH16" i="2"/>
  <c r="AG34" i="2"/>
  <c r="AH34" i="2"/>
  <c r="AG30" i="2"/>
  <c r="AH30" i="2"/>
  <c r="AG26" i="2"/>
  <c r="AH26" i="2"/>
  <c r="AI26" i="2" s="1"/>
  <c r="AH23" i="2"/>
  <c r="AG21" i="2"/>
  <c r="AH21" i="2"/>
  <c r="AG18" i="2"/>
  <c r="AH18" i="2"/>
  <c r="AG15" i="2"/>
  <c r="AH15" i="2"/>
  <c r="AI15" i="2" s="1"/>
  <c r="AG10" i="2"/>
  <c r="AH10" i="2"/>
  <c r="AG8" i="2"/>
  <c r="AH8" i="2"/>
  <c r="AG7" i="2"/>
  <c r="AH7" i="2"/>
  <c r="AI7" i="2" s="1"/>
  <c r="AG33" i="2"/>
  <c r="AH33" i="2"/>
  <c r="AG29" i="2"/>
  <c r="AH29" i="2"/>
  <c r="AG25" i="2"/>
  <c r="AH25" i="2"/>
  <c r="AG20" i="2"/>
  <c r="AH20" i="2"/>
  <c r="AG14" i="2"/>
  <c r="AH14" i="2"/>
  <c r="AG12" i="2"/>
  <c r="AH12" i="2"/>
  <c r="AG9" i="2"/>
  <c r="AH9" i="2"/>
  <c r="V18" i="10"/>
  <c r="V15" i="10"/>
  <c r="V19" i="10"/>
  <c r="V11" i="10"/>
  <c r="V9" i="10"/>
  <c r="V16" i="10"/>
  <c r="V14" i="10"/>
  <c r="V13" i="10"/>
  <c r="V10" i="10"/>
  <c r="V8" i="10"/>
  <c r="V7" i="10"/>
  <c r="V12" i="10"/>
  <c r="V6" i="10"/>
  <c r="F20" i="1"/>
  <c r="AI10" i="2" l="1"/>
  <c r="AI19" i="2"/>
  <c r="AI12" i="2"/>
  <c r="AI45" i="2"/>
  <c r="AI46" i="2"/>
  <c r="AI16" i="2"/>
  <c r="AI13" i="2"/>
  <c r="AI17" i="2"/>
  <c r="AI9" i="2"/>
  <c r="AI18" i="2"/>
  <c r="AI25" i="2"/>
  <c r="AI43" i="2"/>
  <c r="AI34" i="2"/>
  <c r="AI27" i="2"/>
  <c r="AI44" i="2"/>
  <c r="AI49" i="2"/>
  <c r="AI38" i="2"/>
  <c r="AI30" i="2"/>
  <c r="AI31" i="2"/>
  <c r="AI8" i="2"/>
  <c r="AI14" i="2"/>
  <c r="AI29" i="2"/>
  <c r="AI35" i="2"/>
  <c r="AI51" i="2"/>
  <c r="AI52" i="2"/>
  <c r="AI22" i="2"/>
  <c r="AI20" i="2"/>
  <c r="AI23" i="2"/>
  <c r="AI41" i="2"/>
  <c r="AI42" i="2"/>
  <c r="AI28" i="2"/>
  <c r="AI21" i="2"/>
  <c r="AI39" i="2"/>
  <c r="AI24" i="2"/>
  <c r="AI32" i="2"/>
  <c r="AI40" i="2"/>
  <c r="AI47" i="2"/>
  <c r="AI33" i="2"/>
  <c r="AI36" i="2"/>
  <c r="AI37" i="2"/>
  <c r="AI50" i="2"/>
  <c r="S17" i="10"/>
  <c r="AE18" i="1"/>
  <c r="AE15" i="1"/>
  <c r="AE7" i="1"/>
  <c r="AE17" i="1"/>
  <c r="AE21" i="1"/>
  <c r="AE6" i="1"/>
  <c r="AE16" i="1"/>
  <c r="AE19" i="1"/>
  <c r="AE20" i="1"/>
  <c r="AG2" i="2"/>
  <c r="AO2" i="2"/>
  <c r="AG17" i="1"/>
  <c r="AH17" i="1" s="1"/>
  <c r="S10" i="10"/>
  <c r="S8" i="10"/>
  <c r="S11" i="10"/>
  <c r="AG15" i="1"/>
  <c r="AH15" i="1" s="1"/>
  <c r="AG18" i="1"/>
  <c r="AG19" i="1"/>
  <c r="AG22" i="1"/>
  <c r="AH22" i="1" s="1"/>
  <c r="S12" i="10"/>
  <c r="S7" i="10"/>
  <c r="S19" i="10"/>
  <c r="S18" i="10"/>
  <c r="S16" i="10"/>
  <c r="AH2" i="2"/>
  <c r="S6" i="10"/>
  <c r="S13" i="10"/>
  <c r="S9" i="10"/>
  <c r="S15" i="10"/>
  <c r="S14" i="10"/>
  <c r="AG20" i="1"/>
  <c r="AH20" i="1" s="1"/>
  <c r="AG16" i="1"/>
  <c r="AH16" i="1" s="1"/>
  <c r="AG21" i="1"/>
  <c r="AH21" i="1" s="1"/>
  <c r="V3" i="10"/>
  <c r="F15" i="1"/>
  <c r="F16" i="1"/>
  <c r="F17" i="1"/>
  <c r="F18" i="1"/>
  <c r="F19" i="1"/>
  <c r="F22" i="1"/>
  <c r="F6" i="1" l="1"/>
  <c r="AB18" i="1"/>
  <c r="AC18" i="1" s="1"/>
  <c r="AE8" i="1"/>
  <c r="AE23" i="1" s="1"/>
  <c r="T3" i="10"/>
  <c r="AI19" i="1"/>
  <c r="AH19" i="1"/>
  <c r="AI18" i="1"/>
  <c r="AH18" i="1"/>
  <c r="AI17" i="1"/>
  <c r="AB15" i="1"/>
  <c r="AB19" i="1"/>
  <c r="AC19" i="1" s="1"/>
  <c r="AB22" i="1"/>
  <c r="AC22" i="1" s="1"/>
  <c r="AG6" i="1"/>
  <c r="AH6" i="1" s="1"/>
  <c r="AI15" i="1"/>
  <c r="AI22" i="1"/>
  <c r="AB17" i="1"/>
  <c r="AC17" i="1" s="1"/>
  <c r="AB21" i="1"/>
  <c r="AB20" i="1"/>
  <c r="AC20" i="1" s="1"/>
  <c r="S3" i="10"/>
  <c r="AB16" i="1"/>
  <c r="AC16" i="1" s="1"/>
  <c r="AI20" i="1"/>
  <c r="AG23" i="1"/>
  <c r="AH23" i="1" s="1"/>
  <c r="AG7" i="1"/>
  <c r="AH7" i="1" s="1"/>
  <c r="AI16" i="1"/>
  <c r="AI21" i="1"/>
  <c r="AI2" i="2"/>
  <c r="F7" i="1"/>
  <c r="F23" i="1"/>
  <c r="AD18" i="1" l="1"/>
  <c r="AD21" i="1"/>
  <c r="AC21" i="1"/>
  <c r="AD15" i="1"/>
  <c r="AC15" i="1"/>
  <c r="AD19" i="1"/>
  <c r="AD22" i="1"/>
  <c r="AI6" i="1"/>
  <c r="AB6" i="1"/>
  <c r="AC6" i="1" s="1"/>
  <c r="AD17" i="1"/>
  <c r="AD20" i="1"/>
  <c r="AD16" i="1"/>
  <c r="AB23" i="1"/>
  <c r="AC23" i="1" s="1"/>
  <c r="AB7" i="1"/>
  <c r="AC7" i="1" s="1"/>
  <c r="AI23" i="1"/>
  <c r="AG8" i="1"/>
  <c r="AI7" i="1"/>
  <c r="F8" i="1"/>
  <c r="AD6" i="1" l="1"/>
  <c r="AD7" i="1"/>
  <c r="AD23" i="1"/>
  <c r="AB8" i="1"/>
  <c r="AF8" i="1" l="1"/>
  <c r="AK8" i="1"/>
  <c r="AK23" i="1"/>
  <c r="AH8" i="1" l="1"/>
  <c r="AM23" i="1"/>
  <c r="AN23" i="1"/>
  <c r="AN8" i="1"/>
  <c r="AM8" i="1"/>
  <c r="AI8" i="1"/>
  <c r="AA8" i="1"/>
  <c r="AC8" i="1" s="1"/>
  <c r="AD8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<sst xmlns="http://schemas.openxmlformats.org/spreadsheetml/2006/main" count="24383" uniqueCount="1937">
  <si>
    <t>EQUIPE</t>
  </si>
  <si>
    <t>CÓD</t>
  </si>
  <si>
    <t>ÁREA</t>
  </si>
  <si>
    <t>KA-BRQ</t>
  </si>
  <si>
    <t>CÓD.</t>
  </si>
  <si>
    <t>CLIENTE</t>
  </si>
  <si>
    <t>COMERCIO DOIS IRMAOS SR LTDA</t>
  </si>
  <si>
    <t>SUPERMERCADO MESCHKE LTDA</t>
  </si>
  <si>
    <t>SUPERMERCADO SILVEIRA 02 LTDA</t>
  </si>
  <si>
    <t>SUPERMERCADO SILVEIRA 01 LTDA</t>
  </si>
  <si>
    <t>ABIMAR SUPERMERCADOS LTDA FILIAL 1</t>
  </si>
  <si>
    <t>ABIMAR SUPERMERCADOS LTDA</t>
  </si>
  <si>
    <t>HIPER SELECT SUPERMERCADOS LTDA</t>
  </si>
  <si>
    <t>REDE</t>
  </si>
  <si>
    <t xml:space="preserve">TT </t>
  </si>
  <si>
    <t>VENDEDOR/REPRESENTANTE</t>
  </si>
  <si>
    <t>ABIMAR SUPERMERCADOS LTDA FILIAL 2</t>
  </si>
  <si>
    <t>NILSON ARNALDO DA SILVA E CIA LTDA</t>
  </si>
  <si>
    <t>OUTUBRO</t>
  </si>
  <si>
    <t>NOVEMBRO</t>
  </si>
  <si>
    <t>DEZEMBRO</t>
  </si>
  <si>
    <t>VENCEDOR ATACADISTA LTDA</t>
  </si>
  <si>
    <t>SUPERMERCADOS MANENTI LTDA LOJA 01</t>
  </si>
  <si>
    <t>SUPERMERCADOS MANENTI LTDA LOJA 02</t>
  </si>
  <si>
    <t>SUPERMERCADOS MANENTI LTDA LOJA 03</t>
  </si>
  <si>
    <t>SUPERMERCADOS MANENTI LTDA LOJA 04</t>
  </si>
  <si>
    <t>SUPERMERCADOS MANENTI LTDA LOJA 05</t>
  </si>
  <si>
    <t>SUPERMERCADOS MANENTI LTDA LOJA 07</t>
  </si>
  <si>
    <t>SUPERMERCADOS MANENTI LTDA LOJA 08</t>
  </si>
  <si>
    <t>SUPERMERCADOS MANENTI LTDA LOJA 09</t>
  </si>
  <si>
    <t>SUPERMERCADOS MANENTI LTDA LOJA 06</t>
  </si>
  <si>
    <t>MC-ITPE M</t>
  </si>
  <si>
    <t>KA-BNU</t>
  </si>
  <si>
    <t>MC-JLLE M</t>
  </si>
  <si>
    <t>MC-TBCR M</t>
  </si>
  <si>
    <t>MC-FLP M</t>
  </si>
  <si>
    <t>DJOW ARLISON MOSER VIEIRA</t>
  </si>
  <si>
    <t>CNPJ</t>
  </si>
  <si>
    <t>SUPERMERCADO MEES LTDA</t>
  </si>
  <si>
    <t>SUL MC/KA M</t>
  </si>
  <si>
    <t>COOPERATIVA AGROINDUSTRIAL COOPERJA</t>
  </si>
  <si>
    <t>MC-ARA M</t>
  </si>
  <si>
    <t>NORTE MC/KA D</t>
  </si>
  <si>
    <t>NORTE MC/KA M</t>
  </si>
  <si>
    <t>MC-BNU M</t>
  </si>
  <si>
    <t>REDE ARCHER</t>
  </si>
  <si>
    <t>SUPERMERCADO SILVEIRA MATRIZ LTDA</t>
  </si>
  <si>
    <t>REDE SM SILVEIRA</t>
  </si>
  <si>
    <t>REDE ABIMAR</t>
  </si>
  <si>
    <t>REDE MESCHKE</t>
  </si>
  <si>
    <t>SUPERMERCADOS MANENTI LTDA</t>
  </si>
  <si>
    <t>REDE MANENTI</t>
  </si>
  <si>
    <t>REDE UBER</t>
  </si>
  <si>
    <t>REDE DOIS IRMAOS</t>
  </si>
  <si>
    <t>REDE VENCEDOR</t>
  </si>
  <si>
    <t>REDE MEES</t>
  </si>
  <si>
    <t>ATACADO NILO GOEDERT LTDA</t>
  </si>
  <si>
    <t>REDE NILO GOEDERT</t>
  </si>
  <si>
    <t>SUPERMERCADOS ARCHER S A LJ 04</t>
  </si>
  <si>
    <t>SUPERMERCADOS ARCHER S A LJ 01</t>
  </si>
  <si>
    <t>SUPERMERCADOS ARCHER S A LJ 08</t>
  </si>
  <si>
    <t>SUPERMERCADOS ARCHER S A LJ 09</t>
  </si>
  <si>
    <t>SUPERMERCADOS ARCHER S A LJ 05</t>
  </si>
  <si>
    <t>SUPERMERCADOS ARCHER S A LJ 03</t>
  </si>
  <si>
    <t>SUPERMERCADOS ARCHER S A LJ 06</t>
  </si>
  <si>
    <t>SUPERMERCADOS ARCHER S A LJ 02</t>
  </si>
  <si>
    <t>SUPERMERCADOS ARCHER S A LJ 07</t>
  </si>
  <si>
    <t>REDE TOP SUPERMERCADOS EIRELI</t>
  </si>
  <si>
    <t>MOCAM SUPERMERCADOS LTDA FILIAL 12</t>
  </si>
  <si>
    <t>MOCAM SUPERMERCADOS LTDA</t>
  </si>
  <si>
    <t>REDE TOP SUPERMERCADOS EIRELI FL 04</t>
  </si>
  <si>
    <t>REDE TOP SUPERMERCADOS EIRELI FL 01</t>
  </si>
  <si>
    <t>REDE TOP SUPERMERCADOS EIRELI FL 06</t>
  </si>
  <si>
    <t>SUPERMERCADO CENTRAL LTDA</t>
  </si>
  <si>
    <t>MOCAM SUPERMERCADOS LTDA FILIAL 10</t>
  </si>
  <si>
    <t>SUPERMERCADO NARDELAO LTDA</t>
  </si>
  <si>
    <t>MOCAM SUPERMERCADOS LTDA FILIAL 03</t>
  </si>
  <si>
    <t>MOCAM SUPERMERCADOS LTDA FILIAL 07</t>
  </si>
  <si>
    <t>MOCAM SUPERMERCADOS LTDA FILIAL 02</t>
  </si>
  <si>
    <t>MOCAM SUPERMERCADOS LTDA FILIAL 01</t>
  </si>
  <si>
    <t>MERCADO SCHMOLLER LTDA</t>
  </si>
  <si>
    <t>REDE TOP</t>
  </si>
  <si>
    <t>REDE FEGOAGRO</t>
  </si>
  <si>
    <t>REDE HIPER SELECT</t>
  </si>
  <si>
    <t>HIPER SELECT SUPERMERCADOS LTDA.</t>
  </si>
  <si>
    <t>MC-IMB M</t>
  </si>
  <si>
    <t>CONVENIENCIA</t>
  </si>
  <si>
    <t>CASH AND CARRY</t>
  </si>
  <si>
    <t>SM DE 10 A 19 CHECK-OUT</t>
  </si>
  <si>
    <t>SM DE 02 A 04 CHECK-OUT</t>
  </si>
  <si>
    <t>SM DE 05 A 09 CHECK-OUT</t>
  </si>
  <si>
    <t>REDE TOP 716</t>
  </si>
  <si>
    <t>MERCEARIA</t>
  </si>
  <si>
    <t>RAMO</t>
  </si>
  <si>
    <t>codigo</t>
  </si>
  <si>
    <t>nome_loja</t>
  </si>
  <si>
    <t>usuario</t>
  </si>
  <si>
    <t>distribuidor</t>
  </si>
  <si>
    <t>data_inicio</t>
  </si>
  <si>
    <t>data_fim</t>
  </si>
  <si>
    <t>ponto_realizados</t>
  </si>
  <si>
    <t>pontos_possiveis</t>
  </si>
  <si>
    <t>percentual</t>
  </si>
  <si>
    <t>DISTRIBUIDORA MULLER COM E REPRE LT</t>
  </si>
  <si>
    <t>DANIEL VIEIRA DOS SANTOS</t>
  </si>
  <si>
    <t>VÁLIDO</t>
  </si>
  <si>
    <t>TOTAL:</t>
  </si>
  <si>
    <t>PONTOS
MÉDIA</t>
  </si>
  <si>
    <t>LOJAS</t>
  </si>
  <si>
    <t>SOMA:</t>
  </si>
  <si>
    <t>JOHNSON - LOJA PERFEITA 360</t>
  </si>
  <si>
    <t>Cross Merchan SC Johnson</t>
  </si>
  <si>
    <t>kpi</t>
  </si>
  <si>
    <t>JANEIRO</t>
  </si>
  <si>
    <t>FEVEREIRO</t>
  </si>
  <si>
    <t>MARÇO</t>
  </si>
  <si>
    <t>FLORIPA MC/KA PC</t>
  </si>
  <si>
    <t>REDE TOP SUPERMERCADOS LTDA</t>
  </si>
  <si>
    <t>SUPERMERCADO FELIPE ROYER LTDA</t>
  </si>
  <si>
    <t>INATIVO</t>
  </si>
  <si>
    <t>%</t>
  </si>
  <si>
    <t>PONTOS MÉDIA</t>
  </si>
  <si>
    <t>MÉDIA P/ REDE</t>
  </si>
  <si>
    <t>AUDITADA</t>
  </si>
  <si>
    <t>AUDITADA TRIMESTRE</t>
  </si>
  <si>
    <t>MÉDIA</t>
  </si>
  <si>
    <t>GAP</t>
  </si>
  <si>
    <t>ABRIL</t>
  </si>
  <si>
    <t>MAIO</t>
  </si>
  <si>
    <t>JUNHO</t>
  </si>
  <si>
    <t>-</t>
  </si>
  <si>
    <t>CONSINCO</t>
  </si>
  <si>
    <t>LOJA 360 ATUAL</t>
  </si>
  <si>
    <t>ATIVO</t>
  </si>
  <si>
    <t>SIM</t>
  </si>
  <si>
    <t>SUPERMERCADOS ARCHER S A</t>
  </si>
  <si>
    <t>COMERCIAL NILO GOEDERT LTDA</t>
  </si>
  <si>
    <t>SUPER SUPERMERCADOS LTDA FL 03</t>
  </si>
  <si>
    <t>CENTRAL DE NEGOCIOS E ALIM REDE TOP LTDA</t>
  </si>
  <si>
    <t>SUPERMERCADO E L W JANGADA LTDA</t>
  </si>
  <si>
    <t>COMERCIAL A4 LTDA</t>
  </si>
  <si>
    <t>REDE TOP SUPERMERCADOS EIRELI FL 02</t>
  </si>
  <si>
    <t>SUPER SUPERMERCADOS LTDA CD</t>
  </si>
  <si>
    <t>SUPER SUPERMERCADOS LTDA FL 05</t>
  </si>
  <si>
    <t>SUPERMERCADO CAMPESTRINI LTDA</t>
  </si>
  <si>
    <t>ASSUVALI ASSOC DOS SUP DO VALE DO ITAJAI</t>
  </si>
  <si>
    <t>SUPERMERCADO SCHMOLLER LTDA</t>
  </si>
  <si>
    <t>COOPERATIVA AGROPECU DE JACINTO MACHADO</t>
  </si>
  <si>
    <t>COOP DE CONS DOS EMPRE NA COOPER CENTRAL</t>
  </si>
  <si>
    <t>COOP REG ITAIPU</t>
  </si>
  <si>
    <t>COOP AGRO PECUARIA VIDEIRENSE LTDA</t>
  </si>
  <si>
    <t>COOPERATIVA A1</t>
  </si>
  <si>
    <t>COOP DE PROD E CONS CONCORDIA FILIAL 1</t>
  </si>
  <si>
    <t>SUPERMERCADOS MANENTI LTDA CD</t>
  </si>
  <si>
    <t>TEREZINHA MOREIRA MATES E CIA LTDA</t>
  </si>
  <si>
    <t>M M ROSSO SUPERMERCADO LTDA FL 03</t>
  </si>
  <si>
    <t>REDE SM ROSSO</t>
  </si>
  <si>
    <t>M M ROSSO SUPERMERCADO LTDA FL 04</t>
  </si>
  <si>
    <t>M M ROSSO SUPERMERCADO LTDA</t>
  </si>
  <si>
    <t>M M ROSSO SUPERMERCADO LTDA FL 08</t>
  </si>
  <si>
    <t>M M ROSSO SUPERMERCADO LTDA FL 05</t>
  </si>
  <si>
    <t>NÃO</t>
  </si>
  <si>
    <t>ROSSO E OLIVEIRA SUPERMERCADO LTDA</t>
  </si>
  <si>
    <t>M M ROSSO SUPERMERCADO LTDA FL 02</t>
  </si>
  <si>
    <t>M M ROSSO SUPERMERCADO LTDA FL 06</t>
  </si>
  <si>
    <t>COOPERATIVA REG AGROPEC SUL CATARINENSE</t>
  </si>
  <si>
    <t>REDE COOPER AGRO</t>
  </si>
  <si>
    <t>CD CENTRO DE DISTRIBUICAO</t>
  </si>
  <si>
    <t>CONFEITARIA/PANIFICADORA</t>
  </si>
  <si>
    <t>PONTUAÇÃO MÁXIMA POR KPI_____</t>
  </si>
  <si>
    <t>JULHO</t>
  </si>
  <si>
    <t>AGOSTO</t>
  </si>
  <si>
    <t>SETEMBRO</t>
  </si>
  <si>
    <t>PALHOCA</t>
  </si>
  <si>
    <t>FLORIANOPOLIS</t>
  </si>
  <si>
    <t>CAMPECHE</t>
  </si>
  <si>
    <t>CENTRO</t>
  </si>
  <si>
    <t>SAO CRISTOVAO</t>
  </si>
  <si>
    <t>ICARA</t>
  </si>
  <si>
    <t>CRICIUMA</t>
  </si>
  <si>
    <t>ARARANGUA</t>
  </si>
  <si>
    <t>BARRA VELHA</t>
  </si>
  <si>
    <t>BLUMENAU</t>
  </si>
  <si>
    <t>VILA NOVA</t>
  </si>
  <si>
    <t>RUA JOSE REUTER 961</t>
  </si>
  <si>
    <t>VELHA CENTRAL</t>
  </si>
  <si>
    <t>ITOUPAVA CENTRAL</t>
  </si>
  <si>
    <t>RUA GUSTAVO ZIMMERMANN 1365</t>
  </si>
  <si>
    <t>RUA BENJAMIN CONSTANT 0939</t>
  </si>
  <si>
    <t>ESCOLA AGRICOLA</t>
  </si>
  <si>
    <t>GASPAR</t>
  </si>
  <si>
    <t>COLONINHA</t>
  </si>
  <si>
    <t>RUA FRANCISCO VAHLDIECK 1881</t>
  </si>
  <si>
    <t>FORTALEZA</t>
  </si>
  <si>
    <t>AV DAS COMUNIDADES 0995</t>
  </si>
  <si>
    <t>SANTA TEREZINHA</t>
  </si>
  <si>
    <t>AV FREI GODOFREDO 1500</t>
  </si>
  <si>
    <t>RUA BONIFACIO HAENDCHEN 1120</t>
  </si>
  <si>
    <t>BELCHIOR CENTRAL</t>
  </si>
  <si>
    <t>RUA LUIZ FRANZOI 250</t>
  </si>
  <si>
    <t>MARGEM ESQUERDA</t>
  </si>
  <si>
    <t>INDAIAL</t>
  </si>
  <si>
    <t>RODEIO</t>
  </si>
  <si>
    <t>RIO DOS CEDROS</t>
  </si>
  <si>
    <t>IBIRAMA</t>
  </si>
  <si>
    <t>RUA MARECHAL DEODORO DA FONSECA 1090</t>
  </si>
  <si>
    <t>TAPAJOS</t>
  </si>
  <si>
    <t>DAS NACOES</t>
  </si>
  <si>
    <t>POMERODE</t>
  </si>
  <si>
    <t>RUA HERMANN WEEGE 615</t>
  </si>
  <si>
    <t>CORUPA</t>
  </si>
  <si>
    <t>NAVEGANTES</t>
  </si>
  <si>
    <t>RUA JOSE FRANCISCO LAURINDO 1766</t>
  </si>
  <si>
    <t>SAO DOMINGOS</t>
  </si>
  <si>
    <t>BALNEARIO PICARRAS</t>
  </si>
  <si>
    <t>RUA DUQUE DE CAXIAS 662</t>
  </si>
  <si>
    <t>PENHA</t>
  </si>
  <si>
    <t>AV NEREU RAMOS 473</t>
  </si>
  <si>
    <t>SAO FRANCISCO DO SUL</t>
  </si>
  <si>
    <t>ROD BR 280 SN</t>
  </si>
  <si>
    <t>MORRO GRANDE</t>
  </si>
  <si>
    <t>CAMBORIU</t>
  </si>
  <si>
    <t>RUA GUARAREMA 270</t>
  </si>
  <si>
    <t>TABULEIRO</t>
  </si>
  <si>
    <t>ITAJAI</t>
  </si>
  <si>
    <t>LUIZ ALVES</t>
  </si>
  <si>
    <t>ROD SC 414 8310</t>
  </si>
  <si>
    <t>BALNEARIO CAMBORIU</t>
  </si>
  <si>
    <t>AV DO ESTADO 3103</t>
  </si>
  <si>
    <t>AV DO ESTADO DALMO VIEIRA 2848</t>
  </si>
  <si>
    <t>NACOES</t>
  </si>
  <si>
    <t>AV DO ESTADO DALMO VIEIRA 1751</t>
  </si>
  <si>
    <t>BIGUACU 555</t>
  </si>
  <si>
    <t>DOS MUNICIPIOS</t>
  </si>
  <si>
    <t>RUA NILSON EDSON DOS SANTOS 1275</t>
  </si>
  <si>
    <t>SAO VICENTE</t>
  </si>
  <si>
    <t>AV NILO BITTENCOURT 865</t>
  </si>
  <si>
    <t>BALNEARIO RINCAO</t>
  </si>
  <si>
    <t>PEDREIRAS</t>
  </si>
  <si>
    <t>IMARUI</t>
  </si>
  <si>
    <t>AV GOVERNADOR CELSO RAMOS 278</t>
  </si>
  <si>
    <t>ROD SC 445 PAULINO BURIGO 0272</t>
  </si>
  <si>
    <t>RUA 7 DE SETEMBRO 0502</t>
  </si>
  <si>
    <t>RUA GENERAL OSVALDO PINTO DA VEIGA 1575</t>
  </si>
  <si>
    <t>PROSPERA</t>
  </si>
  <si>
    <t>AV DOS IMIGRANTES 1715</t>
  </si>
  <si>
    <t>RIO MAINA</t>
  </si>
  <si>
    <t>AV COCAL 1715</t>
  </si>
  <si>
    <t>MINA UNIAO</t>
  </si>
  <si>
    <t>SAO LUIZ</t>
  </si>
  <si>
    <t>AV UNIVERSITARIA 1186</t>
  </si>
  <si>
    <t>SANTA LUZIA</t>
  </si>
  <si>
    <t>FORQUILHINHA</t>
  </si>
  <si>
    <t>ROD GABRIEL ARNS 4840</t>
  </si>
  <si>
    <t>SATURNO</t>
  </si>
  <si>
    <t>AV GETULIO VARGAS 0755</t>
  </si>
  <si>
    <t>BALNEARIO GAIVOTA</t>
  </si>
  <si>
    <t>25 DE JULHO 3020</t>
  </si>
  <si>
    <t>GAROPABA</t>
  </si>
  <si>
    <t>ROD SC 434 1500</t>
  </si>
  <si>
    <t>ROD SC 434 10864</t>
  </si>
  <si>
    <t>CAMPO DUNA</t>
  </si>
  <si>
    <t>RUA PREF JOAO ORESTES DE ARAUJO 0708</t>
  </si>
  <si>
    <t>IMBITUBA</t>
  </si>
  <si>
    <t>RUA CONEGO ITAMAR LUIZ DA COSTA 0498</t>
  </si>
  <si>
    <t>NOVA BRASILIA</t>
  </si>
  <si>
    <t>CAPIVARI DE BAIXO</t>
  </si>
  <si>
    <t>RUA JOAO RODRIGUES MARTINS 0664</t>
  </si>
  <si>
    <t>GRP 396 VEREADOR LAUDELINO ANTONIO  2876</t>
  </si>
  <si>
    <t>GRAMA</t>
  </si>
  <si>
    <t>BRACO DO NORTE</t>
  </si>
  <si>
    <t>RIO BONITO</t>
  </si>
  <si>
    <t>SOMBRIO</t>
  </si>
  <si>
    <t>BRUSQUE</t>
  </si>
  <si>
    <t>ESTREITO</t>
  </si>
  <si>
    <t>BARRA DO ARIRIU</t>
  </si>
  <si>
    <t>RIO TAVARES</t>
  </si>
  <si>
    <t>AV PEQUENO PRINCIPE 1770</t>
  </si>
  <si>
    <t>DOUTOR ANTONIO LUIZ MOURA GONZAGA 2797</t>
  </si>
  <si>
    <t>RUA ALCINO DOS NAVEGANTES MOREIRA 3010</t>
  </si>
  <si>
    <t>NOVA TRENTO</t>
  </si>
  <si>
    <t>CENTRO II</t>
  </si>
  <si>
    <t>AGUAS CLARAS</t>
  </si>
  <si>
    <t>PRAIA GRANDE</t>
  </si>
  <si>
    <t>AV GETULIO VARGAS 381</t>
  </si>
  <si>
    <t>RUA FELIPE SCHIMIDT 390</t>
  </si>
  <si>
    <t>RUA NICOLAU BADO 244</t>
  </si>
  <si>
    <t>RUA SANTOS DUMONT 1004</t>
  </si>
  <si>
    <t>RUA PREFEITO GERMANO SCHAEFER 41</t>
  </si>
  <si>
    <t>RUA AUGUSTO KLAPOTH 274</t>
  </si>
  <si>
    <t>RUA ROBERTO SEIDEL 0665</t>
  </si>
  <si>
    <t>RUA MARQUES DO HERVAL 0136</t>
  </si>
  <si>
    <t>PRESIDENTE GETULIO</t>
  </si>
  <si>
    <t>RUA MIRADOR 0035</t>
  </si>
  <si>
    <t>LONTRAS</t>
  </si>
  <si>
    <t>RUA WILLY SCHROEDER 570</t>
  </si>
  <si>
    <t>MELEIRO</t>
  </si>
  <si>
    <t>QUARTA LINHA</t>
  </si>
  <si>
    <t>LAURO MULLER</t>
  </si>
  <si>
    <t>JACINTO MACHADO</t>
  </si>
  <si>
    <t>FIGUEIRAS</t>
  </si>
  <si>
    <t>TURVO</t>
  </si>
  <si>
    <t>SANTA ROSA DO SUL</t>
  </si>
  <si>
    <t>SAO JOAO DO SUL</t>
  </si>
  <si>
    <t>PRAIA GAIVOTA</t>
  </si>
  <si>
    <t>SIDEROPOLIS</t>
  </si>
  <si>
    <t>SAO DEFENDE</t>
  </si>
  <si>
    <t>COMERCIARIO</t>
  </si>
  <si>
    <t>ROD LUIZ ROSSO 10870</t>
  </si>
  <si>
    <t>AV PAPA JOAO PAULO XXII 1004</t>
  </si>
  <si>
    <t>AV UNIVERSITARIA 3999</t>
  </si>
  <si>
    <t>PEDRO RODRIGUES LOPES 550</t>
  </si>
  <si>
    <t>SC 446 184</t>
  </si>
  <si>
    <t>ROD SC 370 595</t>
  </si>
  <si>
    <t>PREFEITO FLAVIO RIGHETTO 525</t>
  </si>
  <si>
    <t>RUA FREI GREGORIO DALMONTE 1190</t>
  </si>
  <si>
    <t>RUA 20 DE DEZEMBRO 319</t>
  </si>
  <si>
    <t>RUA AMANDIO LEONEL DE SOUZA 0320</t>
  </si>
  <si>
    <t>RUA PADRE HUMBERTO OENING 0471</t>
  </si>
  <si>
    <t>RUA DAMASIO PERES 0380</t>
  </si>
  <si>
    <t>AV PADRE HERVAL FONTANELA 1369</t>
  </si>
  <si>
    <t>SANTA CATARINA 910</t>
  </si>
  <si>
    <t>CIDADE</t>
  </si>
  <si>
    <t>ENDEREÇO</t>
  </si>
  <si>
    <t>BAIRRO</t>
  </si>
  <si>
    <t xml:space="preserve">RUA RIO AMAZONAS </t>
  </si>
  <si>
    <t>RIO PEQUENO</t>
  </si>
  <si>
    <t>MESCHKE 01 - MATRIZ - BALNEARIO</t>
  </si>
  <si>
    <t>REDE TOP 101 - CENTRAL - BLUMENAU</t>
  </si>
  <si>
    <t>REDE TOP 401 - MOCAM - RIO DOS CEDROS</t>
  </si>
  <si>
    <t>REDE TOP 301 - SCHMOLLER - MATRIZ - LONTRAS</t>
  </si>
  <si>
    <t>REDE TOP 201 - NARDELAO - IBIRAMA</t>
  </si>
  <si>
    <t>SUPERCOOPER - TURVO</t>
  </si>
  <si>
    <t>SUPERCOOPER - S. JOAO DO SUL</t>
  </si>
  <si>
    <t>MESCHKE 03 - NACOES - BALNEARIO</t>
  </si>
  <si>
    <t>MESCHKE 02 - PIONEIROS - BALNEARIO</t>
  </si>
  <si>
    <t>REDE TOP 403 - MOCAM - POMERODE</t>
  </si>
  <si>
    <t>UBER 1 - ITAJAI</t>
  </si>
  <si>
    <t>REDE TOP 102 - CENTRAL - BLUMENAU</t>
  </si>
  <si>
    <t>REDE TOP 202 - NARDELAO - P. GETULIO</t>
  </si>
  <si>
    <t>REDE TOP 103 - CENTRAL - BLUMENAU</t>
  </si>
  <si>
    <t>MANENTI - IMBITUBA</t>
  </si>
  <si>
    <t>REDE TOP 704 - GALEGAO - ESC. AGRICOLA - BLUMENAU</t>
  </si>
  <si>
    <t>REDE TOP 703 - GALEGAO - FORTALEZA - BLUMENAU</t>
  </si>
  <si>
    <t>REDE TOP 711 - PRECEIRO - NAVEGANTES</t>
  </si>
  <si>
    <t>REDE TOP 707 - GALEGAO - BELCHIOR - GASPAR</t>
  </si>
  <si>
    <t>MANENTI - IMARUÍ</t>
  </si>
  <si>
    <t>REDE TOP 104 - CENTRAL - BLUMENAU</t>
  </si>
  <si>
    <t>SUPERCOOPER - MELEIRO</t>
  </si>
  <si>
    <t>REDE TOP 714 - PRECEIRO - S. F. DO SUL</t>
  </si>
  <si>
    <t>REDE TOP 713 - PENHA</t>
  </si>
  <si>
    <t>REDE TOP 715 - PRECEIRO - CAMBORIU</t>
  </si>
  <si>
    <t>REDE TOP 717 - PRECEIRO - RODEIO</t>
  </si>
  <si>
    <t>MESCHKE 04 - ATACADAO - BALNEARIO CAMBORIU</t>
  </si>
  <si>
    <t>REDE TOP 716 - BARRA VELHA</t>
  </si>
  <si>
    <t>REDE TOP 718 - PRECEIRO - CAMBORIU</t>
  </si>
  <si>
    <t>PEDRO  PAULO ECCEL</t>
  </si>
  <si>
    <t>COOPERJA - JACINTO MACHADO</t>
  </si>
  <si>
    <t>MANENTI - PROSPERA - CRICIUMA</t>
  </si>
  <si>
    <t>COOPERJA - PRAIA GRANDE</t>
  </si>
  <si>
    <t>COOPERJA - SANTA ROSA DO SUL</t>
  </si>
  <si>
    <t>COOPERJA - BAL. GAIVOTA</t>
  </si>
  <si>
    <t>ARCHER 8 - GASPAR</t>
  </si>
  <si>
    <t>REDE TOP 406 - MOCAM - COLONINHA - GASPAR</t>
  </si>
  <si>
    <t>REDE TOP 407 - MOCAM - CENTRO - GASPAR</t>
  </si>
  <si>
    <t>REDE TOP 410 - MOCAM - S. TEREZINHA - GASPAR</t>
  </si>
  <si>
    <t>REDE TOP 411 - MOCAM - M. ESQUERDA - GASPAR</t>
  </si>
  <si>
    <t>HIPER SELECT - RIO TAVARES - FPOLIS</t>
  </si>
  <si>
    <t>HIPERBOM - F. ROYER - PALHOÇA</t>
  </si>
  <si>
    <t>ARCHER 1 - BRUSQUE</t>
  </si>
  <si>
    <t>VENCEDOR - SUPER - BRACO DO NORTE</t>
  </si>
  <si>
    <t>ARCHER 3 - BRUSQUE</t>
  </si>
  <si>
    <t>ARCHER 6 - NOVA TRENTO</t>
  </si>
  <si>
    <t>ARCHER 4 - BRUSQUE</t>
  </si>
  <si>
    <t>SILVEIRA 1 - MTZ HIPER - GAROPABA</t>
  </si>
  <si>
    <t>ABIMAR - MATRIZ - BALN. RINCAO</t>
  </si>
  <si>
    <t>ARCHER 7 - BRUSQUE</t>
  </si>
  <si>
    <t>SILVEIRA 2 - CAMPO DUNA - GAROPABA</t>
  </si>
  <si>
    <t>REDE TOP 402 - MOCAM - TAPAJOS - INDAIAL</t>
  </si>
  <si>
    <t>SILVEIRA 3 - CENTRO - GAROPABA</t>
  </si>
  <si>
    <t>UBER 2 - ITAJAI</t>
  </si>
  <si>
    <t>NILO GOEDERT - CENTRO - LUIZ ALVES</t>
  </si>
  <si>
    <t>ARCHER 2 - BRUSQUE</t>
  </si>
  <si>
    <t>ROSSO 1 - MATRIZ - CRICIUMA</t>
  </si>
  <si>
    <t>MANENTI - RIO MAINA - CRICIUMA</t>
  </si>
  <si>
    <t>MANENTI - MINA UNIAO - CRICIUMA</t>
  </si>
  <si>
    <t>MEES - CORUPA</t>
  </si>
  <si>
    <t>ABIMAR - CENTRO - ICARA</t>
  </si>
  <si>
    <t>MANENTI - S. LUZIA - CRICIUMA</t>
  </si>
  <si>
    <t>MANENTI - FORQUILHINHA</t>
  </si>
  <si>
    <t>ROSSO 3 - CRICIUMA</t>
  </si>
  <si>
    <t>HIPERBOM - F. ROYER - CAMPECHE - FPOLIS</t>
  </si>
  <si>
    <t>REDE TOP 405 - PRECEIRO - NACOES - INDAIAL</t>
  </si>
  <si>
    <t>ROSSO 4 - SOMBRIO</t>
  </si>
  <si>
    <t>ABIMAR - CENTRO - ARARANGUA</t>
  </si>
  <si>
    <t>MANENTI - CAPIVARI DE BAIXO</t>
  </si>
  <si>
    <t>REDE TOP 709 - GALEGAO - VELHA - BLUMENAU</t>
  </si>
  <si>
    <t>HIPERBOM - F. ROYER - CENTRO - FPOLIS</t>
  </si>
  <si>
    <t>ROSSO 8 - ROSSÃO - CRICIUMA</t>
  </si>
  <si>
    <t>REDE TOP 712 - PICARRAS</t>
  </si>
  <si>
    <t>ROSSO - P. RODRIGUES - CRICIUMA</t>
  </si>
  <si>
    <t>ROSSO - SIDERÓPOLIS</t>
  </si>
  <si>
    <t>MANENTI - AV. 25 DE JULHO - FORQUILHINHA</t>
  </si>
  <si>
    <t>ROSSO - LAURO MULLER</t>
  </si>
  <si>
    <t>MANENTI - ROSA - GAROPABA</t>
  </si>
  <si>
    <t>REDE TOP 710 - GRAVATA - NAVEGANTES</t>
  </si>
  <si>
    <t>Q1 - JULHO A SETEMBRO 2025</t>
  </si>
  <si>
    <t>Q2 - OUTUBRO A DEZEMBRO 2025</t>
  </si>
  <si>
    <t>Q4 - ABRIL A JUNHO 2025</t>
  </si>
  <si>
    <t>Q4 - ABRIL A JUNHO 2026</t>
  </si>
  <si>
    <t>Q3 - JANEIRO A MARÇO 2026</t>
  </si>
  <si>
    <t>Q1 - JUL A SET 25</t>
  </si>
  <si>
    <t>JULHO 2025</t>
  </si>
  <si>
    <t>AGOSTO 2025</t>
  </si>
  <si>
    <t>SETEMBRO 2025</t>
  </si>
  <si>
    <t>OUTUBRO 2025</t>
  </si>
  <si>
    <t>NOVEMBRO 2025</t>
  </si>
  <si>
    <t>DEZEMBRO 2025</t>
  </si>
  <si>
    <t>Q2 - OUT A DEZ 25</t>
  </si>
  <si>
    <t>Q3 - JAN A MAR 26</t>
  </si>
  <si>
    <t>JANEIRO 2026</t>
  </si>
  <si>
    <t>FEVEREIRO 2026</t>
  </si>
  <si>
    <t>MARÇO 2026</t>
  </si>
  <si>
    <t>Q4 - ABR A JUL 26</t>
  </si>
  <si>
    <t>ABRIL 2026</t>
  </si>
  <si>
    <t>MAIO 2026</t>
  </si>
  <si>
    <t>JUNHO 2026</t>
  </si>
  <si>
    <t>FLP-SUL MC/KA D</t>
  </si>
  <si>
    <t>MC-FLP D</t>
  </si>
  <si>
    <t>MC-TBCR D</t>
  </si>
  <si>
    <t>M M ROSSO SUPERMERCADO LTDA LOJA 10</t>
  </si>
  <si>
    <t>MC-IMB D</t>
  </si>
  <si>
    <t>MC-ARA D</t>
  </si>
  <si>
    <t>MC-ITPE D</t>
  </si>
  <si>
    <t>KA-BNU D</t>
  </si>
  <si>
    <t>AV TIRADENTES 0558</t>
  </si>
  <si>
    <t>ROD BR 470, KM 70 399</t>
  </si>
  <si>
    <t>R LUIGI SARDAGNA 120</t>
  </si>
  <si>
    <t>R WALDEMAR FRANCISCO 434</t>
  </si>
  <si>
    <t>RUA DR NEREU RAMOS 1007</t>
  </si>
  <si>
    <t>MC-BNU D</t>
  </si>
  <si>
    <t>Q4 - ABR A JUN 26</t>
  </si>
  <si>
    <t>BASE - JANEIRO 2026 - APÓS COLAR, CONVERTER COD EM NUMERO</t>
  </si>
  <si>
    <t>BASE - FEVEREIRO 2026 - APÓS COLAR, CONVERTER COD EM NUMERO</t>
  </si>
  <si>
    <t>BASE - MARÇO 2026 - APÓS COLAR, CONVERTER COD EM NUMERO</t>
  </si>
  <si>
    <t>BASE - ABRIL 2026 - APÓS COLAR, CONVERTER COD EM NUMERO</t>
  </si>
  <si>
    <t>BASE - MAIO 2026 - APÓS COLAR, CONVERTER COD EM NUMERO</t>
  </si>
  <si>
    <t>BASE - JUNHO 2026 - APÓS COLAR, CONVERTER COD EM NUMERO</t>
  </si>
  <si>
    <t>BASE - JULHO 2025 - APÓS COLAR, CONVERTER COD EM NUMERO</t>
  </si>
  <si>
    <t>BASE - AGOSTO 2025 - APÓS COLAR, CONVERTER COD EM NUMERO</t>
  </si>
  <si>
    <t>BASE - SETEMBRO 2025 - APÓS COLAR, CONVERTER COD EM NUMERO</t>
  </si>
  <si>
    <t>BASE - OUTUBRO 2025 - APÓS COLAR, CONVERTER COD EM NUMERO</t>
  </si>
  <si>
    <t>BASE - NOVEMBRO 2025 - APÓS COLAR, CONVERTER COD EM NUMERO</t>
  </si>
  <si>
    <t>BASE - DEZEMBRO 2025 - APÓS COLAR, CONVERTER COD EM NUMERO</t>
  </si>
  <si>
    <t>AIRTO CRISTOFOLI FILHO</t>
  </si>
  <si>
    <t>28/07/2025 13:49:36</t>
  </si>
  <si>
    <t>28/07/2025 14:08:49</t>
  </si>
  <si>
    <t>Share Sub Category SC Johnson</t>
  </si>
  <si>
    <t>Share Sub Loc Pao Quente SC Johnson</t>
  </si>
  <si>
    <t>Mix + Intocáveis SC Johnson</t>
  </si>
  <si>
    <t>ELTON NASCIMENTO TAMIAO</t>
  </si>
  <si>
    <t>24/07/2025 14:37:02</t>
  </si>
  <si>
    <t>24/07/2025 14:44:41</t>
  </si>
  <si>
    <t>10/07/2025 15:15:41</t>
  </si>
  <si>
    <t>10/07/2025 15:28:40</t>
  </si>
  <si>
    <t>29/07/2025 16:15:46</t>
  </si>
  <si>
    <t>29/07/2025 16:17:57</t>
  </si>
  <si>
    <t>09/07/2025 14:45:47</t>
  </si>
  <si>
    <t>09/07/2025 15:27:42</t>
  </si>
  <si>
    <t>09/07/2025 07:57:46</t>
  </si>
  <si>
    <t>09/07/2025 08:07:52</t>
  </si>
  <si>
    <t>21/07/2025 14:27:38</t>
  </si>
  <si>
    <t>21/07/2025 14:46:34</t>
  </si>
  <si>
    <t>28/07/2025 11:51:34</t>
  </si>
  <si>
    <t>28/07/2025 12:04:36</t>
  </si>
  <si>
    <t>21/07/2025 16:14:05</t>
  </si>
  <si>
    <t>21/07/2025 16:29:56</t>
  </si>
  <si>
    <t>RAFAEL IZIDIO DE FARIAS</t>
  </si>
  <si>
    <t>28/07/2025 12:35:32</t>
  </si>
  <si>
    <t>28/07/2025 12:42:38</t>
  </si>
  <si>
    <t>09/07/2025 09:51:20</t>
  </si>
  <si>
    <t>09/07/2025 09:57:43</t>
  </si>
  <si>
    <t>GISLAINE BORGES RODRIGUES</t>
  </si>
  <si>
    <t>30/07/2025 19:02:42</t>
  </si>
  <si>
    <t>30/07/2025 19:11:47</t>
  </si>
  <si>
    <t>30/07/2025 17:34:26</t>
  </si>
  <si>
    <t>30/07/2025 17:42:32</t>
  </si>
  <si>
    <t>16/07/2025 17:11:35</t>
  </si>
  <si>
    <t>16/07/2025 17:25:42</t>
  </si>
  <si>
    <t>RAFAEL BERNARDO VIEIRA</t>
  </si>
  <si>
    <t>21/07/2025 12:03:07</t>
  </si>
  <si>
    <t>21/07/2025 12:19:41</t>
  </si>
  <si>
    <t>28/07/2025 16:03:20</t>
  </si>
  <si>
    <t>28/07/2025 16:31:24</t>
  </si>
  <si>
    <t>28/07/2025 16:50:02</t>
  </si>
  <si>
    <t>28/07/2025 16:54:21</t>
  </si>
  <si>
    <t>25/07/2025 13:59:44</t>
  </si>
  <si>
    <t>25/07/2025 14:30:35</t>
  </si>
  <si>
    <t>21/07/2025 15:34:13</t>
  </si>
  <si>
    <t>21/07/2025 15:53:23</t>
  </si>
  <si>
    <t>VALMIR MARTINS</t>
  </si>
  <si>
    <t>25/07/2025 10:13:59</t>
  </si>
  <si>
    <t>25/07/2025 10:29:58</t>
  </si>
  <si>
    <t>03/07/2025 14:53:55</t>
  </si>
  <si>
    <t>03/07/2025 15:01:09</t>
  </si>
  <si>
    <t>21/07/2025 11:18:03</t>
  </si>
  <si>
    <t>21/07/2025 11:58:27</t>
  </si>
  <si>
    <t>25/07/2025 14:45:35</t>
  </si>
  <si>
    <t>25/07/2025 15:33:50</t>
  </si>
  <si>
    <t>30/07/2025 15:34:08</t>
  </si>
  <si>
    <t>30/07/2025 15:43:46</t>
  </si>
  <si>
    <t>24/07/2025 15:06:27</t>
  </si>
  <si>
    <t>24/07/2025 15:15:55</t>
  </si>
  <si>
    <t>16/07/2025 10:38:22</t>
  </si>
  <si>
    <t>16/07/2025 11:31:01</t>
  </si>
  <si>
    <t>28/07/2025 16:07:34</t>
  </si>
  <si>
    <t>28/07/2025 16:27:54</t>
  </si>
  <si>
    <t>25/07/2025 12:55:31</t>
  </si>
  <si>
    <t>25/07/2025 13:44:16</t>
  </si>
  <si>
    <t>09/07/2025 11:51:05</t>
  </si>
  <si>
    <t>09/07/2025 11:57:49</t>
  </si>
  <si>
    <t>25/07/2025 10:15:07</t>
  </si>
  <si>
    <t>25/07/2025 10:49:32</t>
  </si>
  <si>
    <t>09/07/2025 15:27:47</t>
  </si>
  <si>
    <t>09/07/2025 15:36:15</t>
  </si>
  <si>
    <t>30/07/2025 17:00:39</t>
  </si>
  <si>
    <t>30/07/2025 17:07:11</t>
  </si>
  <si>
    <t>03/07/2025 11:53:10</t>
  </si>
  <si>
    <t>03/07/2025 11:59:44</t>
  </si>
  <si>
    <t>29/07/2025 15:59:25</t>
  </si>
  <si>
    <t>29/07/2025 16:01:04</t>
  </si>
  <si>
    <t>28/07/2025 17:14:09</t>
  </si>
  <si>
    <t>28/07/2025 17:19:59</t>
  </si>
  <si>
    <t>09/07/2025 08:53:48</t>
  </si>
  <si>
    <t>09/07/2025 09:51:13</t>
  </si>
  <si>
    <t>21/07/2025 13:21:53</t>
  </si>
  <si>
    <t>21/07/2025 13:42:04</t>
  </si>
  <si>
    <t>10/07/2025 14:44:27</t>
  </si>
  <si>
    <t>10/07/2025 15:01:27</t>
  </si>
  <si>
    <t>JOAO JOSE NASCIMENTO</t>
  </si>
  <si>
    <t>30/07/2025 11:51:41</t>
  </si>
  <si>
    <t>30/07/2025 12:39:05</t>
  </si>
  <si>
    <t>09/07/2025 12:13:39</t>
  </si>
  <si>
    <t>09/07/2025 12:16:17</t>
  </si>
  <si>
    <t>07/07/2025 14:13:28</t>
  </si>
  <si>
    <t>07/07/2025 14:24:51</t>
  </si>
  <si>
    <t>10/07/2025 14:22:33</t>
  </si>
  <si>
    <t>10/07/2025 14:24:43</t>
  </si>
  <si>
    <t>10/07/2025 09:35:38</t>
  </si>
  <si>
    <t>10/07/2025 09:37:44</t>
  </si>
  <si>
    <t>10/07/2025 15:14:59</t>
  </si>
  <si>
    <t>10/07/2025 15:19:26</t>
  </si>
  <si>
    <t>10/07/2025 09:25:28</t>
  </si>
  <si>
    <t>10/07/2025 09:28:48</t>
  </si>
  <si>
    <t>10/07/2025 09:12:41</t>
  </si>
  <si>
    <t>10/07/2025 09:14:21</t>
  </si>
  <si>
    <t>29/07/2025 10:56:35</t>
  </si>
  <si>
    <t>29/07/2025 13:21:47</t>
  </si>
  <si>
    <t>28/07/2025 14:15:42</t>
  </si>
  <si>
    <t>28/07/2025 14:25:05</t>
  </si>
  <si>
    <t>10/07/2025 15:01:35</t>
  </si>
  <si>
    <t>10/07/2025 15:03:40</t>
  </si>
  <si>
    <t>28/07/2025 10:28:18</t>
  </si>
  <si>
    <t>28/07/2025 11:02:46</t>
  </si>
  <si>
    <t>21/07/2025 15:15:03</t>
  </si>
  <si>
    <t>21/07/2025 15:27:08</t>
  </si>
  <si>
    <t>10/07/2025 13:42:29</t>
  </si>
  <si>
    <t>10/07/2025 14:22:31</t>
  </si>
  <si>
    <t>10/07/2025 13:15:25</t>
  </si>
  <si>
    <t>10/07/2025 13:18:05</t>
  </si>
  <si>
    <t>30/07/2025 17:53:37</t>
  </si>
  <si>
    <t>30/07/2025 17:59:09</t>
  </si>
  <si>
    <t>23/07/2025 18:24:11</t>
  </si>
  <si>
    <t>23/07/2025 18:32:58</t>
  </si>
  <si>
    <t>28/07/2025 13:06:40</t>
  </si>
  <si>
    <t>28/07/2025 13:20:15</t>
  </si>
  <si>
    <t>24/07/2025 16:22:23</t>
  </si>
  <si>
    <t>24/07/2025 16:47:55</t>
  </si>
  <si>
    <t>28/07/2025 17:54:52</t>
  </si>
  <si>
    <t>28/07/2025 18:00:55</t>
  </si>
  <si>
    <t>25/07/2025 12:05:24</t>
  </si>
  <si>
    <t>25/07/2025 12:42:16</t>
  </si>
  <si>
    <t>29/07/2025 07:51:03</t>
  </si>
  <si>
    <t>29/07/2025 07:55:57</t>
  </si>
  <si>
    <t>10/07/2025 07:41:22</t>
  </si>
  <si>
    <t>10/07/2025 09:12:24</t>
  </si>
  <si>
    <t>08/07/2025 15:40:02</t>
  </si>
  <si>
    <t>08/07/2025 15:56:28</t>
  </si>
  <si>
    <t>29/07/2025 09:34:59</t>
  </si>
  <si>
    <t>29/07/2025 09:40:51</t>
  </si>
  <si>
    <t>29/07/2025 13:21:52</t>
  </si>
  <si>
    <t>29/07/2025 13:37:07</t>
  </si>
  <si>
    <t>09/07/2025 10:59:27</t>
  </si>
  <si>
    <t>09/07/2025 11:05:35</t>
  </si>
  <si>
    <t>30/07/2025 18:26:06</t>
  </si>
  <si>
    <t>30/07/2025 18:33:03</t>
  </si>
  <si>
    <t>24/07/2025 09:19:43</t>
  </si>
  <si>
    <t>24/07/2025 09:56:39</t>
  </si>
  <si>
    <t>25/07/2025 11:04:35</t>
  </si>
  <si>
    <t>25/07/2025 11:37:23</t>
  </si>
  <si>
    <t>23/07/2025 15:04:29</t>
  </si>
  <si>
    <t>23/07/2025 15:57:20</t>
  </si>
  <si>
    <t>28/07/2025 12:48:49</t>
  </si>
  <si>
    <t>28/07/2025 12:56:23</t>
  </si>
  <si>
    <t>25/07/2025 15:43:43</t>
  </si>
  <si>
    <t>25/07/2025 15:48:01</t>
  </si>
  <si>
    <t>29/07/2025 10:03:23</t>
  </si>
  <si>
    <t>29/07/2025 10:08:04</t>
  </si>
  <si>
    <t>15/07/2025 10:14:08</t>
  </si>
  <si>
    <t>15/07/2025 10:25:49</t>
  </si>
  <si>
    <t>30/07/2025 16:37:54</t>
  </si>
  <si>
    <t>30/07/2025 16:41:42</t>
  </si>
  <si>
    <t>08/07/2025 13:37:25</t>
  </si>
  <si>
    <t>08/07/2025 13:53:01</t>
  </si>
  <si>
    <t>29/07/2025 14:09:20</t>
  </si>
  <si>
    <t>29/07/2025 14:41:47</t>
  </si>
  <si>
    <t>28/08/2025 14:36:36</t>
  </si>
  <si>
    <t>28/08/2025 14:42:08</t>
  </si>
  <si>
    <t>26/08/2025 15:48:04</t>
  </si>
  <si>
    <t>26/08/2025 15:59:41</t>
  </si>
  <si>
    <t>28/08/2025 16:31:30</t>
  </si>
  <si>
    <t>28/08/2025 16:52:14</t>
  </si>
  <si>
    <t>21/08/2025 11:55:41</t>
  </si>
  <si>
    <t>22/08/2025 13:56:30</t>
  </si>
  <si>
    <t>27/08/2025 16:30:57</t>
  </si>
  <si>
    <t>27/08/2025 16:47:00</t>
  </si>
  <si>
    <t>13/08/2025 09:29:17</t>
  </si>
  <si>
    <t>13/08/2025 09:41:58</t>
  </si>
  <si>
    <t>28/08/2025 13:44:12</t>
  </si>
  <si>
    <t>28/08/2025 13:59:48</t>
  </si>
  <si>
    <t>28/08/2025 15:35:14</t>
  </si>
  <si>
    <t>28/08/2025 15:42:49</t>
  </si>
  <si>
    <t>28/08/2025 11:02:42</t>
  </si>
  <si>
    <t>28/08/2025 11:16:20</t>
  </si>
  <si>
    <t>25/08/2025 16:37:20</t>
  </si>
  <si>
    <t>25/08/2025 16:42:32</t>
  </si>
  <si>
    <t>13/08/2025 10:56:39</t>
  </si>
  <si>
    <t>13/08/2025 11:00:20</t>
  </si>
  <si>
    <t>25/08/2025 11:17:02</t>
  </si>
  <si>
    <t>25/08/2025 11:39:33</t>
  </si>
  <si>
    <t>13/08/2025 11:55:16</t>
  </si>
  <si>
    <t>13/08/2025 12:25:35</t>
  </si>
  <si>
    <t>14/08/2025 12:43:56</t>
  </si>
  <si>
    <t>14/08/2025 12:50:29</t>
  </si>
  <si>
    <t>25/08/2025 09:26:51</t>
  </si>
  <si>
    <t>25/08/2025 11:59:55</t>
  </si>
  <si>
    <t>14/08/2025 13:44:27</t>
  </si>
  <si>
    <t>14/08/2025 14:08:10</t>
  </si>
  <si>
    <t>18/08/2025 13:04:23</t>
  </si>
  <si>
    <t>18/08/2025 13:09:07</t>
  </si>
  <si>
    <t>21/08/2025 15:16:28</t>
  </si>
  <si>
    <t>21/08/2025 15:51:35</t>
  </si>
  <si>
    <t>28/08/2025 11:52:26</t>
  </si>
  <si>
    <t>28/08/2025 12:04:13</t>
  </si>
  <si>
    <t>22/08/2025 08:54:35</t>
  </si>
  <si>
    <t>22/08/2025 10:01:52</t>
  </si>
  <si>
    <t>27/08/2025 10:25:00</t>
  </si>
  <si>
    <t>27/08/2025 11:41:58</t>
  </si>
  <si>
    <t>18/08/2025 12:19:00</t>
  </si>
  <si>
    <t>18/08/2025 12:29:49</t>
  </si>
  <si>
    <t>27/08/2025 16:44:27</t>
  </si>
  <si>
    <t>27/08/2025 17:53:16</t>
  </si>
  <si>
    <t>28/08/2025 11:05:15</t>
  </si>
  <si>
    <t>28/08/2025 11:12:35</t>
  </si>
  <si>
    <t>26/08/2025 16:34:15</t>
  </si>
  <si>
    <t>26/08/2025 16:40:52</t>
  </si>
  <si>
    <t>25/08/2025 17:28:24</t>
  </si>
  <si>
    <t>25/08/2025 17:34:18</t>
  </si>
  <si>
    <t>12/08/2025 12:10:16</t>
  </si>
  <si>
    <t>12/08/2025 12:15:57</t>
  </si>
  <si>
    <t>21/08/2025 14:11:29</t>
  </si>
  <si>
    <t>21/08/2025 15:01:46</t>
  </si>
  <si>
    <t>13/08/2025 13:58:44</t>
  </si>
  <si>
    <t>13/08/2025 14:01:15</t>
  </si>
  <si>
    <t>21/08/2025 11:15:39</t>
  </si>
  <si>
    <t>21/08/2025 12:42:57</t>
  </si>
  <si>
    <t>27/08/2025 17:12:44</t>
  </si>
  <si>
    <t>27/08/2025 17:26:33</t>
  </si>
  <si>
    <t>27/08/2025 15:43:00</t>
  </si>
  <si>
    <t>27/08/2025 15:52:24</t>
  </si>
  <si>
    <t>28/08/2025 09:50:54</t>
  </si>
  <si>
    <t>28/08/2025 10:12:39</t>
  </si>
  <si>
    <t>29/08/2025 15:21:39</t>
  </si>
  <si>
    <t>29/08/2025 15:25:02</t>
  </si>
  <si>
    <t>18/08/2025 13:40:56</t>
  </si>
  <si>
    <t>18/08/2025 13:47:04</t>
  </si>
  <si>
    <t>13/08/2025 10:23:42</t>
  </si>
  <si>
    <t>13/08/2025 10:26:31</t>
  </si>
  <si>
    <t>29/08/2025 15:03:52</t>
  </si>
  <si>
    <t>29/08/2025 15:08:34</t>
  </si>
  <si>
    <t>28/08/2025 09:46:07</t>
  </si>
  <si>
    <t>28/08/2025 09:54:30</t>
  </si>
  <si>
    <t>25/08/2025 17:27:28</t>
  </si>
  <si>
    <t>25/08/2025 17:44:20</t>
  </si>
  <si>
    <t>29/08/2025 10:50:38</t>
  </si>
  <si>
    <t>29/08/2025 10:56:42</t>
  </si>
  <si>
    <t>29/08/2025 13:23:34</t>
  </si>
  <si>
    <t>29/08/2025 13:28:34</t>
  </si>
  <si>
    <t>07/08/2025 15:12:38</t>
  </si>
  <si>
    <t>07/08/2025 15:31:15</t>
  </si>
  <si>
    <t>29/08/2025 14:47:00</t>
  </si>
  <si>
    <t>29/08/2025 15:01:52</t>
  </si>
  <si>
    <t>29/08/2025 13:51:58</t>
  </si>
  <si>
    <t>29/08/2025 14:00:07</t>
  </si>
  <si>
    <t>29/08/2025 13:39:05</t>
  </si>
  <si>
    <t>29/08/2025 13:42:41</t>
  </si>
  <si>
    <t>07/08/2025 12:59:10</t>
  </si>
  <si>
    <t>07/08/2025 13:12:04</t>
  </si>
  <si>
    <t>25/08/2025 18:23:03</t>
  </si>
  <si>
    <t>25/08/2025 18:43:33</t>
  </si>
  <si>
    <t>29/08/2025 09:49:38</t>
  </si>
  <si>
    <t>29/08/2025 10:06:16</t>
  </si>
  <si>
    <t>25/08/2025 16:33:25</t>
  </si>
  <si>
    <t>25/08/2025 16:54:18</t>
  </si>
  <si>
    <t>14/08/2025 16:20:14</t>
  </si>
  <si>
    <t>14/08/2025 16:27:42</t>
  </si>
  <si>
    <t>29/08/2025 14:34:04</t>
  </si>
  <si>
    <t>29/08/2025 14:37:13</t>
  </si>
  <si>
    <t>05/08/2025 08:30:05</t>
  </si>
  <si>
    <t>05/08/2025 08:40:02</t>
  </si>
  <si>
    <t>28/08/2025 15:38:56</t>
  </si>
  <si>
    <t>28/08/2025 15:47:38</t>
  </si>
  <si>
    <t>14/08/2025 08:55:28</t>
  </si>
  <si>
    <t>14/08/2025 09:04:59</t>
  </si>
  <si>
    <t>28/08/2025 12:40:16</t>
  </si>
  <si>
    <t>28/08/2025 12:55:55</t>
  </si>
  <si>
    <t>14/08/2025 15:04:09</t>
  </si>
  <si>
    <t>14/08/2025 15:09:52</t>
  </si>
  <si>
    <t>18/08/2025 14:30:09</t>
  </si>
  <si>
    <t>18/08/2025 14:36:57</t>
  </si>
  <si>
    <t>08/08/2025 09:40:33</t>
  </si>
  <si>
    <t>08/08/2025 10:34:21</t>
  </si>
  <si>
    <t>28/08/2025 17:40:24</t>
  </si>
  <si>
    <t>28/08/2025 18:03:56</t>
  </si>
  <si>
    <t>29/08/2025 14:09:00</t>
  </si>
  <si>
    <t>29/08/2025 14:16:44</t>
  </si>
  <si>
    <t>26/08/2025 11:54:01</t>
  </si>
  <si>
    <t>26/08/2025 12:11:02</t>
  </si>
  <si>
    <t>13/08/2025 12:01:57</t>
  </si>
  <si>
    <t>13/08/2025 12:04:00</t>
  </si>
  <si>
    <t>27/08/2025 16:04:40</t>
  </si>
  <si>
    <t>27/08/2025 16:25:11</t>
  </si>
  <si>
    <t>27/08/2025 14:39:22</t>
  </si>
  <si>
    <t>27/08/2025 15:07:50</t>
  </si>
  <si>
    <t>21/08/2025 13:10:58</t>
  </si>
  <si>
    <t>21/08/2025 13:28:34</t>
  </si>
  <si>
    <t>25/08/2025 15:00:26</t>
  </si>
  <si>
    <t>25/08/2025 15:36:17</t>
  </si>
  <si>
    <t>27/08/2025 14:42:31</t>
  </si>
  <si>
    <t>27/08/2025 14:54:36</t>
  </si>
  <si>
    <t>26/08/2025 11:30:52</t>
  </si>
  <si>
    <t>26/08/2025 12:23:59</t>
  </si>
  <si>
    <t>28/08/2025 11:31:47</t>
  </si>
  <si>
    <t>28/08/2025 11:36:23</t>
  </si>
  <si>
    <t>29/08/2025 16:57:33</t>
  </si>
  <si>
    <t>29/08/2025 17:06:11</t>
  </si>
  <si>
    <t>26/08/2025 11:17:36</t>
  </si>
  <si>
    <t>26/08/2025 11:31:18</t>
  </si>
  <si>
    <t>KAUÃ TELES LOURENÇO</t>
  </si>
  <si>
    <t>04/09/2025 10:48:06</t>
  </si>
  <si>
    <t>04/09/2025 10:53:40</t>
  </si>
  <si>
    <t>04/09/2025 11:25:52</t>
  </si>
  <si>
    <t>04/09/2025 11:41:47</t>
  </si>
  <si>
    <t>03/09/2025 15:30:06</t>
  </si>
  <si>
    <t>03/09/2025 15:34:36</t>
  </si>
  <si>
    <t>02/09/2025 14:57:30</t>
  </si>
  <si>
    <t>03/09/2025 10:46:49</t>
  </si>
  <si>
    <t>02/09/2025 11:05:19</t>
  </si>
  <si>
    <t>02/09/2025 11:19:37</t>
  </si>
  <si>
    <t>02/09/2025 09:21:51</t>
  </si>
  <si>
    <t>02/09/2025 09:38:40</t>
  </si>
  <si>
    <t>02/09/2025 08:54:25</t>
  </si>
  <si>
    <t>02/09/2025 09:09:10</t>
  </si>
  <si>
    <t>02/09/2025 13:41:09</t>
  </si>
  <si>
    <t>02/09/2025 13:44:36</t>
  </si>
  <si>
    <t>02/09/2025 08:23:49</t>
  </si>
  <si>
    <t>02/09/2025 08:30:50</t>
  </si>
  <si>
    <t>02/09/2025 12:31:13</t>
  </si>
  <si>
    <t>02/09/2025 12:36:10</t>
  </si>
  <si>
    <t>05/09/2025 08:56:37</t>
  </si>
  <si>
    <t>05/09/2025 09:38:42</t>
  </si>
  <si>
    <t>12/09/2025 14:14:22</t>
  </si>
  <si>
    <t>12/09/2025 14:35:26</t>
  </si>
  <si>
    <t>11/09/2025 12:41:09</t>
  </si>
  <si>
    <t>11/09/2025 12:48:44</t>
  </si>
  <si>
    <t>15/09/2025 11:29:42</t>
  </si>
  <si>
    <t>15/09/2025 11:43:57</t>
  </si>
  <si>
    <t>16/09/2025 10:02:31</t>
  </si>
  <si>
    <t>16/09/2025 10:23:49</t>
  </si>
  <si>
    <t>15/09/2025 15:59:43</t>
  </si>
  <si>
    <t>15/09/2025 16:09:35</t>
  </si>
  <si>
    <t>15/09/2025 15:18:05</t>
  </si>
  <si>
    <t>15/09/2025 15:31:11</t>
  </si>
  <si>
    <t>19/09/2025 15:34:10</t>
  </si>
  <si>
    <t>19/09/2025 15:41:24</t>
  </si>
  <si>
    <t>10/09/2025 09:57:10</t>
  </si>
  <si>
    <t>10/09/2025 10:51:07</t>
  </si>
  <si>
    <t>10/09/2025 11:44:29</t>
  </si>
  <si>
    <t>10/09/2025 11:50:40</t>
  </si>
  <si>
    <t>18/09/2025 14:24:58</t>
  </si>
  <si>
    <t>18/09/2025 14:35:07</t>
  </si>
  <si>
    <t>17/09/2025 11:36:48</t>
  </si>
  <si>
    <t>17/09/2025 11:49:39</t>
  </si>
  <si>
    <t>10/09/2025 10:51:15</t>
  </si>
  <si>
    <t>10/09/2025 11:04:54</t>
  </si>
  <si>
    <t>19/09/2025 09:21:23</t>
  </si>
  <si>
    <t>19/09/2025 09:31:20</t>
  </si>
  <si>
    <t>17/09/2025 16:12:30</t>
  </si>
  <si>
    <t>17/09/2025 16:34:53</t>
  </si>
  <si>
    <t>18/09/2025 08:41:08</t>
  </si>
  <si>
    <t>18/09/2025 08:50:24</t>
  </si>
  <si>
    <t>23/09/2025 09:10:37</t>
  </si>
  <si>
    <t>23/09/2025 09:14:45</t>
  </si>
  <si>
    <t>23/09/2025 09:43:12</t>
  </si>
  <si>
    <t>23/09/2025 09:52:05</t>
  </si>
  <si>
    <t>23/09/2025 09:24:47</t>
  </si>
  <si>
    <t>23/09/2025 09:31:53</t>
  </si>
  <si>
    <t>23/09/2025 10:55:05</t>
  </si>
  <si>
    <t>23/09/2025 11:01:59</t>
  </si>
  <si>
    <t>23/09/2025 10:18:31</t>
  </si>
  <si>
    <t>23/09/2025 10:54:52</t>
  </si>
  <si>
    <t>26/09/2025 17:03:03</t>
  </si>
  <si>
    <t>26/09/2025 17:13:12</t>
  </si>
  <si>
    <t>24/09/2025 17:09:57</t>
  </si>
  <si>
    <t>24/09/2025 17:15:16</t>
  </si>
  <si>
    <t>25/09/2025 14:36:09</t>
  </si>
  <si>
    <t>25/09/2025 15:17:21</t>
  </si>
  <si>
    <t>26/09/2025 11:24:39</t>
  </si>
  <si>
    <t>26/09/2025 11:43:41</t>
  </si>
  <si>
    <t>25/09/2025 09:47:26</t>
  </si>
  <si>
    <t>25/09/2025 10:02:28</t>
  </si>
  <si>
    <t>23/09/2025 14:06:27</t>
  </si>
  <si>
    <t>23/09/2025 14:10:53</t>
  </si>
  <si>
    <t>26/09/2025 12:55:27</t>
  </si>
  <si>
    <t>26/09/2025 13:03:16</t>
  </si>
  <si>
    <t>25/09/2025 13:53:31</t>
  </si>
  <si>
    <t>25/09/2025 14:09:00</t>
  </si>
  <si>
    <t>24/09/2025 17:12:32</t>
  </si>
  <si>
    <t>24/09/2025 17:26:03</t>
  </si>
  <si>
    <t>26/09/2025 14:10:50</t>
  </si>
  <si>
    <t>26/09/2025 14:16:04</t>
  </si>
  <si>
    <t>24/09/2025 10:45:44</t>
  </si>
  <si>
    <t>24/09/2025 10:49:59</t>
  </si>
  <si>
    <t>26/09/2025 11:04:59</t>
  </si>
  <si>
    <t>26/09/2025 11:23:35</t>
  </si>
  <si>
    <t>26/09/2025 14:07:08</t>
  </si>
  <si>
    <t>26/09/2025 14:17:32</t>
  </si>
  <si>
    <t>29/09/2025 15:40:38</t>
  </si>
  <si>
    <t>29/09/2025 15:46:52</t>
  </si>
  <si>
    <t>29/09/2025 11:59:01</t>
  </si>
  <si>
    <t>29/09/2025 12:05:19</t>
  </si>
  <si>
    <t>29/09/2025 15:26:07</t>
  </si>
  <si>
    <t>29/09/2025 16:08:54</t>
  </si>
  <si>
    <t>29/09/2025 14:06:52</t>
  </si>
  <si>
    <t>29/09/2025 14:30:32</t>
  </si>
  <si>
    <t>29/09/2025 10:23:36</t>
  </si>
  <si>
    <t>29/09/2025 10:35:42</t>
  </si>
  <si>
    <t>29/09/2025 13:40:42</t>
  </si>
  <si>
    <t>29/09/2025 13:44:54</t>
  </si>
  <si>
    <t>29/09/2025 13:20:06</t>
  </si>
  <si>
    <t>29/09/2025 13:25:51</t>
  </si>
  <si>
    <t>29/09/2025 11:18:21</t>
  </si>
  <si>
    <t>29/09/2025 11:24:03</t>
  </si>
  <si>
    <t>29/09/2025 11:04:30</t>
  </si>
  <si>
    <t>29/09/2025 11:32:51</t>
  </si>
  <si>
    <t>29/09/2025 14:46:00</t>
  </si>
  <si>
    <t>29/09/2025 14:50:36</t>
  </si>
  <si>
    <t>29/09/2025 13:04:51</t>
  </si>
  <si>
    <t>29/09/2025 13:16:35</t>
  </si>
  <si>
    <t>29/09/2025 15:24:37</t>
  </si>
  <si>
    <t>29/09/2025 15:28:26</t>
  </si>
  <si>
    <t>25/09/2025 15:09:26</t>
  </si>
  <si>
    <t>25/09/2025 15:13:27</t>
  </si>
  <si>
    <t>29/09/2025 17:19:38</t>
  </si>
  <si>
    <t>29/09/2025 17:35:35</t>
  </si>
  <si>
    <t>29/09/2025 14:45:50</t>
  </si>
  <si>
    <t>29/09/2025 14:51:59</t>
  </si>
  <si>
    <t>29/09/2025 14:43:07</t>
  </si>
  <si>
    <t>29/09/2025 14:58:43</t>
  </si>
  <si>
    <t>29/09/2025 16:36:29</t>
  </si>
  <si>
    <t>29/09/2025 16:39:37</t>
  </si>
  <si>
    <t>30/09/2025 14:27:01</t>
  </si>
  <si>
    <t>30/09/2025 14:40:35</t>
  </si>
  <si>
    <t>30/09/2025 11:41:30</t>
  </si>
  <si>
    <t>30/09/2025 12:03:12</t>
  </si>
  <si>
    <t>30/09/2025 15:20:06</t>
  </si>
  <si>
    <t>30/09/2025 15:34:11</t>
  </si>
  <si>
    <t>30/09/2025 17:08:04</t>
  </si>
  <si>
    <t>30/09/2025 17:16:02</t>
  </si>
  <si>
    <t>30/09/2025 13:58:49</t>
  </si>
  <si>
    <t>30/09/2025 14:08:38</t>
  </si>
  <si>
    <t>30/09/2025 14:54:33</t>
  </si>
  <si>
    <t>30/09/2025 15:03:21</t>
  </si>
  <si>
    <t>30/09/2025 09:52:48</t>
  </si>
  <si>
    <t>30/09/2025 10:11:02</t>
  </si>
  <si>
    <t>30/09/2025 10:47:11</t>
  </si>
  <si>
    <t>30/09/2025 11:09:01</t>
  </si>
  <si>
    <t>30/09/2025 16:02:38</t>
  </si>
  <si>
    <t>30/09/2025 16:12:27</t>
  </si>
  <si>
    <t>30/09/2025 19:26:56</t>
  </si>
  <si>
    <t>30/09/2025 19:35:58</t>
  </si>
  <si>
    <t>30/09/2025 13:49:18</t>
  </si>
  <si>
    <t>30/09/2025 14:19:51</t>
  </si>
  <si>
    <t>30/09/2025 12:03:42</t>
  </si>
  <si>
    <t>30/09/2025 12:44:44</t>
  </si>
  <si>
    <t>30/09/2025 18:45:19</t>
  </si>
  <si>
    <t>30/09/2025 18:57:05</t>
  </si>
  <si>
    <t>01/10/2025 16:36:19</t>
  </si>
  <si>
    <t>01/10/2025 16:59:45</t>
  </si>
  <si>
    <t>02/10/2025 13:36:30</t>
  </si>
  <si>
    <t>02/10/2025 13:54:21</t>
  </si>
  <si>
    <t>02/10/2025 09:30:48</t>
  </si>
  <si>
    <t>02/10/2025 10:35:11</t>
  </si>
  <si>
    <t>02/10/2025 10:50:04</t>
  </si>
  <si>
    <t>02/10/2025 15:27:56</t>
  </si>
  <si>
    <t>01/10/2025 11:09:20</t>
  </si>
  <si>
    <t>01/10/2025 11:22:33</t>
  </si>
  <si>
    <t>02/10/2025 11:03:21</t>
  </si>
  <si>
    <t>02/10/2025 11:08:52</t>
  </si>
  <si>
    <t>08/10/2025 12:08:34</t>
  </si>
  <si>
    <t>08/10/2025 12:20:39</t>
  </si>
  <si>
    <t>03/10/2025 09:52:37</t>
  </si>
  <si>
    <t>03/10/2025 10:01:16</t>
  </si>
  <si>
    <t>02/10/2025 14:34:05</t>
  </si>
  <si>
    <t>02/10/2025 14:39:39</t>
  </si>
  <si>
    <t>03/10/2025 12:26:35</t>
  </si>
  <si>
    <t>03/10/2025 12:39:30</t>
  </si>
  <si>
    <t>02/10/2025 10:35:13</t>
  </si>
  <si>
    <t>02/10/2025 11:03:13</t>
  </si>
  <si>
    <t>06/10/2025 16:34:26</t>
  </si>
  <si>
    <t>06/10/2025 16:41:47</t>
  </si>
  <si>
    <t>06/10/2025 15:03:42</t>
  </si>
  <si>
    <t>06/10/2025 15:10:05</t>
  </si>
  <si>
    <t>03/10/2025 10:17:37</t>
  </si>
  <si>
    <t>03/10/2025 10:32:01</t>
  </si>
  <si>
    <t>03/10/2025 09:43:37</t>
  </si>
  <si>
    <t>03/10/2025 10:08:30</t>
  </si>
  <si>
    <t>08/10/2025 15:45:30</t>
  </si>
  <si>
    <t>08/10/2025 16:02:00</t>
  </si>
  <si>
    <t>07/10/2025 09:42:37</t>
  </si>
  <si>
    <t>07/10/2025 09:51:22</t>
  </si>
  <si>
    <t>06/10/2025 16:20:10</t>
  </si>
  <si>
    <t>06/10/2025 16:33:42</t>
  </si>
  <si>
    <t>06/10/2025 13:09:09</t>
  </si>
  <si>
    <t>06/10/2025 13:27:51</t>
  </si>
  <si>
    <t>07/10/2025 08:19:28</t>
  </si>
  <si>
    <t>07/10/2025 08:46:35</t>
  </si>
  <si>
    <t>06/10/2025 15:41:55</t>
  </si>
  <si>
    <t>06/10/2025 16:20:05</t>
  </si>
  <si>
    <t>02/10/2025 12:51:01</t>
  </si>
  <si>
    <t>02/10/2025 12:58:35</t>
  </si>
  <si>
    <t>06/10/2025 13:57:24</t>
  </si>
  <si>
    <t>06/10/2025 14:10:34</t>
  </si>
  <si>
    <t>Lancamentos</t>
  </si>
  <si>
    <t>10/10/2025 10:34:45</t>
  </si>
  <si>
    <t>10/10/2025 10:50:17</t>
  </si>
  <si>
    <t>15/10/2025 16:32:39</t>
  </si>
  <si>
    <t>15/10/2025 16:48:11</t>
  </si>
  <si>
    <t>14/10/2025 13:32:33</t>
  </si>
  <si>
    <t>14/10/2025 13:37:05</t>
  </si>
  <si>
    <t>15/10/2025 15:39:26</t>
  </si>
  <si>
    <t>15/10/2025 15:46:41</t>
  </si>
  <si>
    <t>14/10/2025 14:11:35</t>
  </si>
  <si>
    <t>14/10/2025 14:15:22</t>
  </si>
  <si>
    <t>14/10/2025 13:37:24</t>
  </si>
  <si>
    <t>14/10/2025 13:40:04</t>
  </si>
  <si>
    <t>09/10/2025 18:51:52</t>
  </si>
  <si>
    <t>09/10/2025 18:57:43</t>
  </si>
  <si>
    <t>16/10/2025 10:01:34</t>
  </si>
  <si>
    <t>16/10/2025 10:17:44</t>
  </si>
  <si>
    <t>17/10/2025 09:26:35</t>
  </si>
  <si>
    <t>17/10/2025 09:47:55</t>
  </si>
  <si>
    <t>16/10/2025 14:30:33</t>
  </si>
  <si>
    <t>16/10/2025 15:13:57</t>
  </si>
  <si>
    <t>17/10/2025 10:52:52</t>
  </si>
  <si>
    <t>17/10/2025 11:09:16</t>
  </si>
  <si>
    <t>17/10/2025 11:14:29</t>
  </si>
  <si>
    <t>17/10/2025 11:59:04</t>
  </si>
  <si>
    <t>17/10/2025 10:03:00</t>
  </si>
  <si>
    <t>17/10/2025 10:26:53</t>
  </si>
  <si>
    <t>20/10/2025 16:33:18</t>
  </si>
  <si>
    <t>20/10/2025 16:44:24</t>
  </si>
  <si>
    <t>20/10/2025 14:46:26</t>
  </si>
  <si>
    <t>20/10/2025 15:37:54</t>
  </si>
  <si>
    <t>21/10/2025 10:10:45</t>
  </si>
  <si>
    <t>21/10/2025 10:24:19</t>
  </si>
  <si>
    <t>22/10/2025 15:30:48</t>
  </si>
  <si>
    <t>22/10/2025 15:44:43</t>
  </si>
  <si>
    <t>22/10/2025 17:06:26</t>
  </si>
  <si>
    <t>22/10/2025 17:12:36</t>
  </si>
  <si>
    <t>22/10/2025 10:57:03</t>
  </si>
  <si>
    <t>22/10/2025 11:12:23</t>
  </si>
  <si>
    <t>22/10/2025 16:19:39</t>
  </si>
  <si>
    <t>22/10/2025 16:58:09</t>
  </si>
  <si>
    <t>23/10/2025 12:20:53</t>
  </si>
  <si>
    <t>23/10/2025 12:27:40</t>
  </si>
  <si>
    <t>24/10/2025 15:08:52</t>
  </si>
  <si>
    <t>24/10/2025 15:56:30</t>
  </si>
  <si>
    <t>23/10/2025 12:13:13</t>
  </si>
  <si>
    <t>23/10/2025 12:33:06</t>
  </si>
  <si>
    <t>24/10/2025 13:43:23</t>
  </si>
  <si>
    <t>24/10/2025 13:48:35</t>
  </si>
  <si>
    <t>23/10/2025 09:39:07</t>
  </si>
  <si>
    <t>23/10/2025 11:08:44</t>
  </si>
  <si>
    <t>PEDRO PAULO ECCEL REPRESENTACOES</t>
  </si>
  <si>
    <t>30/10/2025 08:36:11</t>
  </si>
  <si>
    <t>30/10/2025 08:57:04</t>
  </si>
  <si>
    <t>29/10/2025 11:45:49</t>
  </si>
  <si>
    <t>29/10/2025 14:24:08</t>
  </si>
  <si>
    <t>30/10/2025 14:03:53</t>
  </si>
  <si>
    <t>30/10/2025 14:28:33</t>
  </si>
  <si>
    <t>27/10/2025 14:18:52</t>
  </si>
  <si>
    <t>27/10/2025 14:26:10</t>
  </si>
  <si>
    <t>29/10/2025 15:33:10</t>
  </si>
  <si>
    <t>29/10/2025 16:16:56</t>
  </si>
  <si>
    <t>27/10/2025 16:03:21</t>
  </si>
  <si>
    <t>27/10/2025 16:07:13</t>
  </si>
  <si>
    <t>29/10/2025 10:24:11</t>
  </si>
  <si>
    <t>29/10/2025 10:34:22</t>
  </si>
  <si>
    <t>30/10/2025 10:25:09</t>
  </si>
  <si>
    <t>30/10/2025 10:50:30</t>
  </si>
  <si>
    <t>29/10/2025 10:18:43</t>
  </si>
  <si>
    <t>29/10/2025 11:08:47</t>
  </si>
  <si>
    <t>29/10/2025 18:50:06</t>
  </si>
  <si>
    <t>29/10/2025 18:54:39</t>
  </si>
  <si>
    <t>27/10/2025 16:37:39</t>
  </si>
  <si>
    <t>27/10/2025 16:49:55</t>
  </si>
  <si>
    <t>11/11/2025 16:05:11</t>
  </si>
  <si>
    <t>11/11/2025 16:49:56</t>
  </si>
  <si>
    <t>10/11/2025 15:12:46</t>
  </si>
  <si>
    <t>10/11/2025 15:35:20</t>
  </si>
  <si>
    <t>06/11/2025 11:38:28</t>
  </si>
  <si>
    <t>06/11/2025 12:00:04</t>
  </si>
  <si>
    <t>14/11/2025 11:18:04</t>
  </si>
  <si>
    <t>14/11/2025 11:50:18</t>
  </si>
  <si>
    <t>06/11/2025 10:40:39</t>
  </si>
  <si>
    <t>06/11/2025 11:16:51</t>
  </si>
  <si>
    <t>10/11/2025 09:06:55</t>
  </si>
  <si>
    <t>10/11/2025 09:58:58</t>
  </si>
  <si>
    <t>17/11/2025 16:03:43</t>
  </si>
  <si>
    <t>17/11/2025 16:09:14</t>
  </si>
  <si>
    <t>18/11/2025 14:24:26</t>
  </si>
  <si>
    <t>18/11/2025 15:13:47</t>
  </si>
  <si>
    <t>19/11/2025 13:27:26</t>
  </si>
  <si>
    <t>19/11/2025 13:47:58</t>
  </si>
  <si>
    <t>19/11/2025 10:23:00</t>
  </si>
  <si>
    <t>19/11/2025 10:42:47</t>
  </si>
  <si>
    <t>17/11/2025 15:02:46</t>
  </si>
  <si>
    <t>17/11/2025 15:11:04</t>
  </si>
  <si>
    <t>17/11/2025 16:11:06</t>
  </si>
  <si>
    <t>17/11/2025 16:46:29</t>
  </si>
  <si>
    <t>17/11/2025 14:22:24</t>
  </si>
  <si>
    <t>17/11/2025 14:36:45</t>
  </si>
  <si>
    <t>19/11/2025 09:18:23</t>
  </si>
  <si>
    <t>19/11/2025 09:37:58</t>
  </si>
  <si>
    <t>20/11/2025 10:57:49</t>
  </si>
  <si>
    <t>20/11/2025 11:07:04</t>
  </si>
  <si>
    <t>21/11/2025 17:25:09</t>
  </si>
  <si>
    <t>21/11/2025 17:33:22</t>
  </si>
  <si>
    <t>18/11/2025 13:39:34</t>
  </si>
  <si>
    <t>18/11/2025 14:01:05</t>
  </si>
  <si>
    <t>17/11/2025 15:33:03</t>
  </si>
  <si>
    <t>17/11/2025 15:57:00</t>
  </si>
  <si>
    <t>18/11/2025 15:32:52</t>
  </si>
  <si>
    <t>18/11/2025 16:10:33</t>
  </si>
  <si>
    <t>20/11/2025 13:57:22</t>
  </si>
  <si>
    <t>20/11/2025 14:13:24</t>
  </si>
  <si>
    <t>18/11/2025 12:32:33</t>
  </si>
  <si>
    <t>18/11/2025 13:03:09</t>
  </si>
  <si>
    <t>18/11/2025 15:03:46</t>
  </si>
  <si>
    <t>18/11/2025 15:48:28</t>
  </si>
  <si>
    <t>20/11/2025 11:50:25</t>
  </si>
  <si>
    <t>20/11/2025 12:08:32</t>
  </si>
  <si>
    <t>19/11/2025 14:46:33</t>
  </si>
  <si>
    <t>19/11/2025 15:16:20</t>
  </si>
  <si>
    <t>14/11/2025 14:48:18</t>
  </si>
  <si>
    <t>14/11/2025 15:18:32</t>
  </si>
  <si>
    <t>19/11/2025 08:00:00</t>
  </si>
  <si>
    <t>19/11/2025 08:26:31</t>
  </si>
  <si>
    <t>19/11/2025 15:41:00</t>
  </si>
  <si>
    <t>19/11/2025 15:50:40</t>
  </si>
  <si>
    <t>21/11/2025 13:05:31</t>
  </si>
  <si>
    <t>21/11/2025 13:50:49</t>
  </si>
  <si>
    <t>21/11/2025 16:37:14</t>
  </si>
  <si>
    <t>21/11/2025 16:58:13</t>
  </si>
  <si>
    <t>21/11/2025 11:46:36</t>
  </si>
  <si>
    <t>21/11/2025 12:02:14</t>
  </si>
  <si>
    <t>14/11/2025 15:58:40</t>
  </si>
  <si>
    <t>14/11/2025 16:26:04</t>
  </si>
  <si>
    <t>21/11/2025 18:43:57</t>
  </si>
  <si>
    <t>21/11/2025 19:03:47</t>
  </si>
  <si>
    <t>21/11/2025 18:06:47</t>
  </si>
  <si>
    <t>21/11/2025 18:29:41</t>
  </si>
  <si>
    <t>20/11/2025 10:17:18</t>
  </si>
  <si>
    <t>20/11/2025 10:53:21</t>
  </si>
  <si>
    <t>21/11/2025 08:27:00</t>
  </si>
  <si>
    <t>21/11/2025 08:42:37</t>
  </si>
  <si>
    <t>19/11/2025 16:51:09</t>
  </si>
  <si>
    <t>19/11/2025 16:59:27</t>
  </si>
  <si>
    <t>17/11/2025 12:17:42</t>
  </si>
  <si>
    <t>17/11/2025 14:05:08</t>
  </si>
  <si>
    <t>17/11/2025 10:57:04</t>
  </si>
  <si>
    <t>17/11/2025 11:27:17</t>
  </si>
  <si>
    <t>21/11/2025 14:45:47</t>
  </si>
  <si>
    <t>21/11/2025 14:55:50</t>
  </si>
  <si>
    <t>21/11/2025 11:58:12</t>
  </si>
  <si>
    <t>21/11/2025 12:21:43</t>
  </si>
  <si>
    <t>17/11/2025 16:51:35</t>
  </si>
  <si>
    <t>17/11/2025 16:58:54</t>
  </si>
  <si>
    <t>20/11/2025 12:16:24</t>
  </si>
  <si>
    <t>20/11/2025 12:47:23</t>
  </si>
  <si>
    <t>18/11/2025 10:29:51</t>
  </si>
  <si>
    <t>18/11/2025 10:55:46</t>
  </si>
  <si>
    <t>21/11/2025 17:18:43</t>
  </si>
  <si>
    <t>21/11/2025 17:42:10</t>
  </si>
  <si>
    <t>18/11/2025 13:40:29</t>
  </si>
  <si>
    <t>18/11/2025 14:21:39</t>
  </si>
  <si>
    <t>21/11/2025 10:51:55</t>
  </si>
  <si>
    <t>21/11/2025 11:36:58</t>
  </si>
  <si>
    <t>19/11/2025 12:20:11</t>
  </si>
  <si>
    <t>19/11/2025 12:39:42</t>
  </si>
  <si>
    <t>17/11/2025 11:14:44</t>
  </si>
  <si>
    <t>17/11/2025 12:00:02</t>
  </si>
  <si>
    <t>18/11/2025 15:14:08</t>
  </si>
  <si>
    <t>18/11/2025 15:35:44</t>
  </si>
  <si>
    <t>18/11/2025 10:16:54</t>
  </si>
  <si>
    <t>18/11/2025 10:55:27</t>
  </si>
  <si>
    <t>18/11/2025 12:38:09</t>
  </si>
  <si>
    <t>18/11/2025 12:59:40</t>
  </si>
  <si>
    <t>21/11/2025 10:04:31</t>
  </si>
  <si>
    <t>21/11/2025 10:27:36</t>
  </si>
  <si>
    <t>26/11/2025 13:24:00</t>
  </si>
  <si>
    <t>26/11/2025 13:51:48</t>
  </si>
  <si>
    <t>26/11/2025 14:38:21</t>
  </si>
  <si>
    <t>26/11/2025 15:00:23</t>
  </si>
  <si>
    <t>27/11/2025 13:19:05</t>
  </si>
  <si>
    <t>27/11/2025 13:36:45</t>
  </si>
  <si>
    <t>26/11/2025 15:40:52</t>
  </si>
  <si>
    <t>26/11/2025 16:04:36</t>
  </si>
  <si>
    <t>27/11/2025 16:43:53</t>
  </si>
  <si>
    <t>27/11/2025 17:05:24</t>
  </si>
  <si>
    <t>27/11/2025 15:51:31</t>
  </si>
  <si>
    <t>27/11/2025 16:16:11</t>
  </si>
  <si>
    <t>27/11/2025 14:28:46</t>
  </si>
  <si>
    <t>27/11/2025 15:04:24</t>
  </si>
  <si>
    <t>03/12/2025 14:48:47</t>
  </si>
  <si>
    <t>03/12/2025 15:27:34</t>
  </si>
  <si>
    <t>01/12/2025 13:38:22</t>
  </si>
  <si>
    <t>01/12/2025 14:12:21</t>
  </si>
  <si>
    <t>03/12/2025 16:14:44</t>
  </si>
  <si>
    <t>03/12/2025 16:45:18</t>
  </si>
  <si>
    <t>01/12/2025 14:38:10</t>
  </si>
  <si>
    <t>01/12/2025 15:36:15</t>
  </si>
  <si>
    <t>02/12/2025 09:57:17</t>
  </si>
  <si>
    <t>02/12/2025 10:45:30</t>
  </si>
  <si>
    <t>09/12/2025 17:17:54</t>
  </si>
  <si>
    <t>09/12/2025 17:48:49</t>
  </si>
  <si>
    <t>08/12/2025 10:43:09</t>
  </si>
  <si>
    <t>08/12/2025 11:10:01</t>
  </si>
  <si>
    <t>10/12/2025 11:50:00</t>
  </si>
  <si>
    <t>10/12/2025 12:09:19</t>
  </si>
  <si>
    <t>09/12/2025 13:22:54</t>
  </si>
  <si>
    <t>09/12/2025 15:41:14</t>
  </si>
  <si>
    <t>10/12/2025 12:48:56</t>
  </si>
  <si>
    <t>10/12/2025 14:15:35</t>
  </si>
  <si>
    <t>09/12/2025 11:27:37</t>
  </si>
  <si>
    <t>09/12/2025 12:35:41</t>
  </si>
  <si>
    <t>12/12/2025 13:40:45</t>
  </si>
  <si>
    <t>12/12/2025 14:05:32</t>
  </si>
  <si>
    <t>12/12/2025 14:40:43</t>
  </si>
  <si>
    <t>12/12/2025 15:55:43</t>
  </si>
  <si>
    <t>16/12/2025 16:46:26</t>
  </si>
  <si>
    <t>16/12/2025 17:39:01</t>
  </si>
  <si>
    <t>16/12/2025 08:51:11</t>
  </si>
  <si>
    <t>16/12/2025 09:24:08</t>
  </si>
  <si>
    <t>17/12/2025 16:29:35</t>
  </si>
  <si>
    <t>17/12/2025 16:49:55</t>
  </si>
  <si>
    <t>17/12/2025 12:49:11</t>
  </si>
  <si>
    <t>17/12/2025 13:03:19</t>
  </si>
  <si>
    <t>17/12/2025 15:49:00</t>
  </si>
  <si>
    <t>17/12/2025 16:09:08</t>
  </si>
  <si>
    <t>16/12/2025 12:04:36</t>
  </si>
  <si>
    <t>16/12/2025 12:40:31</t>
  </si>
  <si>
    <t>17/12/2025 10:02:54</t>
  </si>
  <si>
    <t>17/12/2025 10:45:54</t>
  </si>
  <si>
    <t>17/12/2025 12:02:15</t>
  </si>
  <si>
    <t>17/12/2025 12:22:06</t>
  </si>
  <si>
    <t>17/12/2025 16:17:06</t>
  </si>
  <si>
    <t>17/12/2025 16:59:44</t>
  </si>
  <si>
    <t>16/12/2025 11:55:07</t>
  </si>
  <si>
    <t>16/12/2025 12:50:18</t>
  </si>
  <si>
    <t>17/12/2025 10:21:19</t>
  </si>
  <si>
    <t>17/12/2025 11:52:09</t>
  </si>
  <si>
    <t>16/12/2025 09:16:08</t>
  </si>
  <si>
    <t>16/12/2025 10:12:59</t>
  </si>
  <si>
    <t>17/12/2025 13:16:44</t>
  </si>
  <si>
    <t>17/12/2025 18:23:03</t>
  </si>
  <si>
    <t>16/12/2025 10:30:41</t>
  </si>
  <si>
    <t>16/12/2025 11:15:32</t>
  </si>
  <si>
    <t>17/12/2025 12:47:23</t>
  </si>
  <si>
    <t>17/12/2025 13:16:31</t>
  </si>
  <si>
    <t>16/12/2025 14:28:54</t>
  </si>
  <si>
    <t>16/12/2025 15:09:56</t>
  </si>
  <si>
    <t>15/12/2025 14:38:24</t>
  </si>
  <si>
    <t>15/12/2025 16:00:04</t>
  </si>
  <si>
    <t>16/12/2025 15:55:46</t>
  </si>
  <si>
    <t>16/12/2025 16:18:16</t>
  </si>
  <si>
    <t>15/12/2025 16:27:22</t>
  </si>
  <si>
    <t>15/12/2025 17:05:36</t>
  </si>
  <si>
    <t>16/12/2025 13:26:21</t>
  </si>
  <si>
    <t>16/12/2025 13:40:24</t>
  </si>
  <si>
    <t>17/12/2025 11:16:52</t>
  </si>
  <si>
    <t>17/12/2025 11:25:35</t>
  </si>
  <si>
    <t>16/12/2025 14:17:31</t>
  </si>
  <si>
    <t>16/12/2025 15:13:36</t>
  </si>
  <si>
    <t>16/12/2025 11:24:24</t>
  </si>
  <si>
    <t>16/12/2025 11:54:17</t>
  </si>
  <si>
    <t>17/12/2025 17:47:14</t>
  </si>
  <si>
    <t>17/12/2025 18:11:07</t>
  </si>
  <si>
    <t>18/12/2025 11:53:04</t>
  </si>
  <si>
    <t>18/12/2025 12:32:52</t>
  </si>
  <si>
    <t>18/12/2025 14:24:14</t>
  </si>
  <si>
    <t>18/12/2025 14:42:40</t>
  </si>
  <si>
    <t>18/12/2025 14:52:09</t>
  </si>
  <si>
    <t>18/12/2025 16:01:31</t>
  </si>
  <si>
    <t>18/12/2025 10:57:51</t>
  </si>
  <si>
    <t>18/12/2025 11:36:22</t>
  </si>
  <si>
    <t>18/12/2025 10:35:12</t>
  </si>
  <si>
    <t>18/12/2025 10:58:28</t>
  </si>
  <si>
    <t>18/12/2025 11:15:10</t>
  </si>
  <si>
    <t>18/12/2025 11:48:52</t>
  </si>
  <si>
    <t>18/12/2025 14:32:25</t>
  </si>
  <si>
    <t>18/12/2025 14:43:54</t>
  </si>
  <si>
    <t>18/12/2025 16:20:40</t>
  </si>
  <si>
    <t>18/12/2025 16:47:31</t>
  </si>
  <si>
    <t>18/12/2025 10:12:28</t>
  </si>
  <si>
    <t>18/12/2025 11:21:22</t>
  </si>
  <si>
    <t>18/12/2025 16:55:20</t>
  </si>
  <si>
    <t>18/12/2025 17:10:19</t>
  </si>
  <si>
    <t>18/12/2025 15:32:04</t>
  </si>
  <si>
    <t>18/12/2025 15:48:02</t>
  </si>
  <si>
    <t>18/12/2025 11:58:06</t>
  </si>
  <si>
    <t>18/12/2025 12:38:28</t>
  </si>
  <si>
    <t>18/12/2025 13:05:17</t>
  </si>
  <si>
    <t>18/12/2025 13:36:01</t>
  </si>
  <si>
    <t>18/12/2025 17:55:05</t>
  </si>
  <si>
    <t>18/12/2025 18:16:04</t>
  </si>
  <si>
    <t>18/12/2025 09:27:13</t>
  </si>
  <si>
    <t>18/12/2025 09:40:17</t>
  </si>
  <si>
    <t>18/12/2025 16:13:32</t>
  </si>
  <si>
    <t>18/12/2025 16:35:04</t>
  </si>
  <si>
    <t>Plano Foco SC Johnson</t>
  </si>
  <si>
    <t>20/12/2025 10:18:12</t>
  </si>
  <si>
    <t>20/12/2025 10:50:27</t>
  </si>
  <si>
    <t>19/12/2025 16:58:51</t>
  </si>
  <si>
    <t>19/12/2025 17:44:20</t>
  </si>
  <si>
    <t>20/12/2025 11:46:45</t>
  </si>
  <si>
    <t>20/12/2025 12:18:22</t>
  </si>
  <si>
    <t>19/12/2025 14:37:39</t>
  </si>
  <si>
    <t>19/12/2025 15:03:04</t>
  </si>
  <si>
    <t>19/12/2025 08:30:59</t>
  </si>
  <si>
    <t>19/12/2025 09:04:06</t>
  </si>
  <si>
    <t>19/12/2025 12:25:55</t>
  </si>
  <si>
    <t>19/12/2025 13:44:18</t>
  </si>
  <si>
    <t>19/12/2025 15:08:27</t>
  </si>
  <si>
    <t>19/12/2025 16:17:07</t>
  </si>
  <si>
    <t>19/12/2025 10:37:04</t>
  </si>
  <si>
    <t>19/12/2025 11:22:22</t>
  </si>
  <si>
    <t>26/12/2025 14:29:22</t>
  </si>
  <si>
    <t>26/12/2025 14:40:19</t>
  </si>
  <si>
    <t>26/12/2025 11:24:36</t>
  </si>
  <si>
    <t>26/12/2025 11:40:30</t>
  </si>
  <si>
    <t>MURIEL DERCIO VOCKES</t>
  </si>
  <si>
    <t>09/01/2026 10:13:46</t>
  </si>
  <si>
    <t>09/01/2026 12:09:04</t>
  </si>
  <si>
    <t>06/01/2026 15:37:24</t>
  </si>
  <si>
    <t>06/01/2026 16:09:48</t>
  </si>
  <si>
    <t>09/01/2026 14:37:51</t>
  </si>
  <si>
    <t>09/01/2026 14:54:16</t>
  </si>
  <si>
    <t>08/01/2026 16:41:48</t>
  </si>
  <si>
    <t>08/01/2026 17:01:43</t>
  </si>
  <si>
    <t>08/01/2026 09:18:40</t>
  </si>
  <si>
    <t>08/01/2026 10:05:41</t>
  </si>
  <si>
    <t>08/01/2026 15:27:42</t>
  </si>
  <si>
    <t>08/01/2026 16:08:20</t>
  </si>
  <si>
    <t>05/01/2026 14:11:54</t>
  </si>
  <si>
    <t>05/01/2026 14:43:03</t>
  </si>
  <si>
    <t>08/01/2026 13:46:59</t>
  </si>
  <si>
    <t>08/01/2026 14:30:38</t>
  </si>
  <si>
    <t>13/01/2026 11:54:05</t>
  </si>
  <si>
    <t>13/01/2026 12:11:48</t>
  </si>
  <si>
    <t>Execucao Bonus</t>
  </si>
  <si>
    <t>13/01/2026 10:44:04</t>
  </si>
  <si>
    <t>13/01/2026 10:57:26</t>
  </si>
  <si>
    <t>13/01/2026 14:21:25</t>
  </si>
  <si>
    <t>13/01/2026 14:53:15</t>
  </si>
  <si>
    <t>13/01/2026 09:31:02</t>
  </si>
  <si>
    <t>13/01/2026 10:06:51</t>
  </si>
  <si>
    <t>14/01/2026 11:46:56</t>
  </si>
  <si>
    <t>14/01/2026 13:06:29</t>
  </si>
  <si>
    <t>13/01/2026 12:28:17</t>
  </si>
  <si>
    <t>13/01/2026 12:54:53</t>
  </si>
  <si>
    <t>13/01/2026 11:03:05</t>
  </si>
  <si>
    <t>13/01/2026 11:30:55</t>
  </si>
  <si>
    <t>13/01/2026 11:35:37</t>
  </si>
  <si>
    <t>13/01/2026 11:44:33</t>
  </si>
  <si>
    <t>NATHAN FREITAS FUZINATO</t>
  </si>
  <si>
    <t>14/01/2026 12:40:23</t>
  </si>
  <si>
    <t>14/01/2026 13:06:00</t>
  </si>
  <si>
    <t>14/01/2026 15:37:32</t>
  </si>
  <si>
    <t>14/01/2026 16:21:56</t>
  </si>
  <si>
    <t>14/01/2026 10:47:04</t>
  </si>
  <si>
    <t>14/01/2026 11:56:52</t>
  </si>
  <si>
    <t>14/01/2026 08:35:41</t>
  </si>
  <si>
    <t>14/01/2026 09:05:25</t>
  </si>
  <si>
    <t>14/01/2026 14:17:54</t>
  </si>
  <si>
    <t>14/01/2026 15:02:42</t>
  </si>
  <si>
    <t>13/01/2026 12:47:43</t>
  </si>
  <si>
    <t>13/01/2026 13:11:18</t>
  </si>
  <si>
    <t>14/01/2026 09:48:00</t>
  </si>
  <si>
    <t>14/01/2026 10:21:56</t>
  </si>
  <si>
    <t>16/01/2026 10:02:25</t>
  </si>
  <si>
    <t>16/01/2026 11:04:40</t>
  </si>
  <si>
    <t>15/01/2026 14:11:18</t>
  </si>
  <si>
    <t>15/01/2026 14:45:56</t>
  </si>
  <si>
    <t>15/01/2026 13:08:35</t>
  </si>
  <si>
    <t>15/01/2026 13:45:37</t>
  </si>
  <si>
    <t>15/01/2026 11:14:08</t>
  </si>
  <si>
    <t>15/01/2026 11:52:26</t>
  </si>
  <si>
    <t>15/01/2026 08:18:28</t>
  </si>
  <si>
    <t>15/01/2026 09:12:49</t>
  </si>
  <si>
    <t>15/01/2026 13:06:44</t>
  </si>
  <si>
    <t>15/01/2026 13:34:01</t>
  </si>
  <si>
    <t>16/01/2026 18:39:54</t>
  </si>
  <si>
    <t>16/01/2026 19:41:02</t>
  </si>
  <si>
    <t>15/01/2026 15:28:02</t>
  </si>
  <si>
    <t>15/01/2026 16:16:05</t>
  </si>
  <si>
    <t>15/01/2026 09:33:33</t>
  </si>
  <si>
    <t>15/01/2026 10:10:42</t>
  </si>
  <si>
    <t>16/01/2026 17:41:20</t>
  </si>
  <si>
    <t>16/01/2026 18:39:49</t>
  </si>
  <si>
    <t>15/01/2026 10:44:42</t>
  </si>
  <si>
    <t>15/01/2026 11:39:39</t>
  </si>
  <si>
    <t>15/01/2026 09:29:44</t>
  </si>
  <si>
    <t>15/01/2026 10:03:29</t>
  </si>
  <si>
    <t>MARCELO SCHEFFLER</t>
  </si>
  <si>
    <t>20/01/2026 15:37:36</t>
  </si>
  <si>
    <t>20/01/2026 16:14:25</t>
  </si>
  <si>
    <t>19/01/2026 19:22:36</t>
  </si>
  <si>
    <t>19/01/2026 20:58:10</t>
  </si>
  <si>
    <t>19/01/2026 12:12:08</t>
  </si>
  <si>
    <t>19/01/2026 12:42:43</t>
  </si>
  <si>
    <t>19/01/2026 15:53:13</t>
  </si>
  <si>
    <t>19/01/2026 16:35:49</t>
  </si>
  <si>
    <t>19/01/2026 16:43:22</t>
  </si>
  <si>
    <t>19/01/2026 17:20:16</t>
  </si>
  <si>
    <t>21/01/2026 11:50:32</t>
  </si>
  <si>
    <t>21/01/2026 12:24:44</t>
  </si>
  <si>
    <t>19/01/2026 13:51:53</t>
  </si>
  <si>
    <t>19/01/2026 15:15:07</t>
  </si>
  <si>
    <t>20/01/2026 11:28:22</t>
  </si>
  <si>
    <t>20/01/2026 12:17:55</t>
  </si>
  <si>
    <t>20/01/2026 15:32:36</t>
  </si>
  <si>
    <t>20/01/2026 17:26:29</t>
  </si>
  <si>
    <t>19/01/2026 17:50:46</t>
  </si>
  <si>
    <t>19/01/2026 18:52:12</t>
  </si>
  <si>
    <t>21/01/2026 10:02:24</t>
  </si>
  <si>
    <t>21/01/2026 11:38:50</t>
  </si>
  <si>
    <t>20/01/2026 13:43:24</t>
  </si>
  <si>
    <t>20/01/2026 15:32:33</t>
  </si>
  <si>
    <t>21/01/2026 14:45:47</t>
  </si>
  <si>
    <t>21/01/2026 16:10:22</t>
  </si>
  <si>
    <t>23/01/2026 09:27:10</t>
  </si>
  <si>
    <t>23/01/2026 09:59:27</t>
  </si>
  <si>
    <t>21/01/2026 10:11:48</t>
  </si>
  <si>
    <t>21/01/2026 11:01:46</t>
  </si>
  <si>
    <t>23/01/2026 11:46:44</t>
  </si>
  <si>
    <t>23/01/2026 13:09:05</t>
  </si>
  <si>
    <t>22/01/2026 09:42:56</t>
  </si>
  <si>
    <t>22/01/2026 10:18:58</t>
  </si>
  <si>
    <t>23/01/2026 11:29:17</t>
  </si>
  <si>
    <t>23/01/2026 11:59:17</t>
  </si>
  <si>
    <t>23/01/2026 14:22:20</t>
  </si>
  <si>
    <t>23/01/2026 14:53:18</t>
  </si>
  <si>
    <t>22/01/2026 16:27:32</t>
  </si>
  <si>
    <t>22/01/2026 17:00:21</t>
  </si>
  <si>
    <t>22/01/2026 15:16:23</t>
  </si>
  <si>
    <t>22/01/2026 15:48:34</t>
  </si>
  <si>
    <t>26/01/2026 13:19:05</t>
  </si>
  <si>
    <t>26/01/2026 14:17:26</t>
  </si>
  <si>
    <t>26/01/2026 11:49:10</t>
  </si>
  <si>
    <t>26/01/2026 12:37:01</t>
  </si>
  <si>
    <t>30/01/2026 16:15:47</t>
  </si>
  <si>
    <t>30/01/2026 17:17:54</t>
  </si>
  <si>
    <t>30/01/2026 08:51:31</t>
  </si>
  <si>
    <t>30/01/2026 09:21:36</t>
  </si>
  <si>
    <t>30/01/2026 11:05:12</t>
  </si>
  <si>
    <t>30/01/2026 12:14:37</t>
  </si>
  <si>
    <t>30/01/2026 15:47:52</t>
  </si>
  <si>
    <t>30/01/2026 15:58:40</t>
  </si>
  <si>
    <t>30/01/2026 11:16:41</t>
  </si>
  <si>
    <t>30/01/2026 11:32:27</t>
  </si>
  <si>
    <t>03/02/2026 16:20:23</t>
  </si>
  <si>
    <t>03/02/2026 16:43:51</t>
  </si>
  <si>
    <t>02/02/2026 12:14:11</t>
  </si>
  <si>
    <t>02/02/2026 13:08:01</t>
  </si>
  <si>
    <t>11/02/2026 12:30:04</t>
  </si>
  <si>
    <t>11/02/2026 12:58:30</t>
  </si>
  <si>
    <t>11/02/2026 10:01:37</t>
  </si>
  <si>
    <t>11/02/2026 10:22:20</t>
  </si>
  <si>
    <t>11/02/2026 11:06:09</t>
  </si>
  <si>
    <t>11/02/2026 11:33:46</t>
  </si>
  <si>
    <t>04/02/2026 11:52:53</t>
  </si>
  <si>
    <t>04/02/2026 12:33:54</t>
  </si>
  <si>
    <t>04/02/2026 14:02:07</t>
  </si>
  <si>
    <t>04/02/2026 15:09:09</t>
  </si>
  <si>
    <t>04/02/2026 10:14:25</t>
  </si>
  <si>
    <t>04/02/2026 11:25:14</t>
  </si>
  <si>
    <t>10/02/2026 13:50:06</t>
  </si>
  <si>
    <t>10/02/2026 15:41:49</t>
  </si>
  <si>
    <t>12/02/2026 15:53:58</t>
  </si>
  <si>
    <t>12/02/2026 16:14:35</t>
  </si>
  <si>
    <t>11/02/2026 14:00:02</t>
  </si>
  <si>
    <t>11/02/2026 14:50:28</t>
  </si>
  <si>
    <t>13/02/2026 15:05:39</t>
  </si>
  <si>
    <t>13/02/2026 15:47:40</t>
  </si>
  <si>
    <t>12/02/2026 14:24:14</t>
  </si>
  <si>
    <t>12/02/2026 14:51:25</t>
  </si>
  <si>
    <t>12/02/2026 13:15:36</t>
  </si>
  <si>
    <t>12/02/2026 13:38:07</t>
  </si>
  <si>
    <t>17/02/2026 19:42:51</t>
  </si>
  <si>
    <t>17/02/2026 20:19:47</t>
  </si>
  <si>
    <t>17/02/2026 10:55:39</t>
  </si>
  <si>
    <t>17/02/2026 12:03:37</t>
  </si>
  <si>
    <t>17/02/2026 15:18:09</t>
  </si>
  <si>
    <t>17/02/2026 16:16:33</t>
  </si>
  <si>
    <t>17/02/2026 11:57:33</t>
  </si>
  <si>
    <t>17/02/2026 12:12:17</t>
  </si>
  <si>
    <t>17/02/2026 10:26:36</t>
  </si>
  <si>
    <t>17/02/2026 11:03:20</t>
  </si>
  <si>
    <t>16/02/2026 13:51:06</t>
  </si>
  <si>
    <t>16/02/2026 14:22:07</t>
  </si>
  <si>
    <t>17/02/2026 09:16:43</t>
  </si>
  <si>
    <t>17/02/2026 09:43:37</t>
  </si>
  <si>
    <t>16/02/2026 13:14:12</t>
  </si>
  <si>
    <t>17/02/2026 13:23:26</t>
  </si>
  <si>
    <t>17/02/2026 14:19:55</t>
  </si>
  <si>
    <t>17/02/2026 17:21:15</t>
  </si>
  <si>
    <t>17/02/2026 18:20:02</t>
  </si>
  <si>
    <t>17/02/2026 14:18:43</t>
  </si>
  <si>
    <t>17/02/2026 14:46:14</t>
  </si>
  <si>
    <t>17/02/2026 10:09:12</t>
  </si>
  <si>
    <t>17/02/2026 10:57:24</t>
  </si>
  <si>
    <t>20/02/2026 11:13:21</t>
  </si>
  <si>
    <t>20/02/2026 12:01:48</t>
  </si>
  <si>
    <t>20/02/2026 15:51:44</t>
  </si>
  <si>
    <t>20/02/2026 16:35:48</t>
  </si>
  <si>
    <t>20/02/2026 16:49:22</t>
  </si>
  <si>
    <t>20/02/2026 17:08:44</t>
  </si>
  <si>
    <t>20/02/2026 09:54:48</t>
  </si>
  <si>
    <t>20/02/2026 11:49:25</t>
  </si>
  <si>
    <t>18/02/2026 14:49:54</t>
  </si>
  <si>
    <t>18/02/2026 15:32:31</t>
  </si>
  <si>
    <t>19/02/2026 15:25:00</t>
  </si>
  <si>
    <t>19/02/2026 15:48:45</t>
  </si>
  <si>
    <t>18/02/2026 13:44:48</t>
  </si>
  <si>
    <t>18/02/2026 14:30:27</t>
  </si>
  <si>
    <t>19/02/2026 17:35:11</t>
  </si>
  <si>
    <t>19/02/2026 18:46:11</t>
  </si>
  <si>
    <t>20/02/2026 10:33:33</t>
  </si>
  <si>
    <t>20/02/2026 11:04:44</t>
  </si>
  <si>
    <t>19/02/2026 14:09:41</t>
  </si>
  <si>
    <t>19/02/2026 15:20:15</t>
  </si>
  <si>
    <t>20/02/2026 12:14:55</t>
  </si>
  <si>
    <t>20/02/2026 13:00:47</t>
  </si>
  <si>
    <t>20/02/2026 13:40:56</t>
  </si>
  <si>
    <t>20/02/2026 14:19:43</t>
  </si>
  <si>
    <t>19/02/2026 16:49:46</t>
  </si>
  <si>
    <t>19/02/2026 17:46:31</t>
  </si>
  <si>
    <t>20/02/2026 15:23:03</t>
  </si>
  <si>
    <t>20/02/2026 15:40:21</t>
  </si>
  <si>
    <t>20/02/2026 13:33:31</t>
  </si>
  <si>
    <t>20/02/2026 14:20:28</t>
  </si>
  <si>
    <t>19/02/2026 13:44:11</t>
  </si>
  <si>
    <t>19/02/2026 14:09:09</t>
  </si>
  <si>
    <t>23/02/2026 13:40:38</t>
  </si>
  <si>
    <t>23/02/2026 13:50:31</t>
  </si>
  <si>
    <t>23/02/2026 10:59:57</t>
  </si>
  <si>
    <t>23/02/2026 11:19:19</t>
  </si>
  <si>
    <t>23/02/2026 14:35:24</t>
  </si>
  <si>
    <t>23/02/2026 15:25:43</t>
  </si>
  <si>
    <t>23/02/2026 09:39:21</t>
  </si>
  <si>
    <t>23/02/2026 10:04:32</t>
  </si>
  <si>
    <t>23/02/2026 12:17:39</t>
  </si>
  <si>
    <t>23/02/2026 13:30:54</t>
  </si>
  <si>
    <t>24/02/2026 16:35:35</t>
  </si>
  <si>
    <t>24/02/2026 17:03:06</t>
  </si>
  <si>
    <t>25/02/2026 10:45:54</t>
  </si>
  <si>
    <t>25/02/2026 11:15:00</t>
  </si>
  <si>
    <t>25/02/2026 08:30:16</t>
  </si>
  <si>
    <t>25/02/2026 09:27:15</t>
  </si>
  <si>
    <t>25/02/2026 13:41:42</t>
  </si>
  <si>
    <t>25/02/2026 14:14:49</t>
  </si>
  <si>
    <t>23/02/2026 14:17:30</t>
  </si>
  <si>
    <t>23/02/2026 14:31:34</t>
  </si>
  <si>
    <t>24/02/2026 15:37:52</t>
  </si>
  <si>
    <t>24/02/2026 15:56:04</t>
  </si>
  <si>
    <t>25/02/2026 14:31:52</t>
  </si>
  <si>
    <t>25/02/2026 15:16:51</t>
  </si>
  <si>
    <t>27/02/2026 16:01:07</t>
  </si>
  <si>
    <t>27/02/2026 16:26:04</t>
  </si>
  <si>
    <t>27/02/2026 14:25:57</t>
  </si>
  <si>
    <t>27/02/2026 14:53:02</t>
  </si>
  <si>
    <t>27/02/2026 12:15:38</t>
  </si>
  <si>
    <t>27/02/2026 12:40:02</t>
  </si>
  <si>
    <t>26/02/2026 12:12:19</t>
  </si>
  <si>
    <t>26/02/2026 12:45:05</t>
  </si>
  <si>
    <t>06/03/2026 14:51:36</t>
  </si>
  <si>
    <t>06/03/2026 15:31:25</t>
  </si>
  <si>
    <t>06/03/2026 15:50:19</t>
  </si>
  <si>
    <t>06/03/2026 16:15:59</t>
  </si>
  <si>
    <t>02/03/2026 13:27:19</t>
  </si>
  <si>
    <t>02/03/2026 13:54:57</t>
  </si>
  <si>
    <t>06/03/2026 14:13:08</t>
  </si>
  <si>
    <t>06/03/2026 14:43:02</t>
  </si>
  <si>
    <t>02/03/2026 14:20:20</t>
  </si>
  <si>
    <t>02/03/2026 14:39:52</t>
  </si>
  <si>
    <t>02/03/2026 10:32:17</t>
  </si>
  <si>
    <t>02/03/2026 10:59:55</t>
  </si>
  <si>
    <t>06/03/2026 13:32:56</t>
  </si>
  <si>
    <t>06/03/2026 14:23:38</t>
  </si>
  <si>
    <t>https://portal.loja360.app/auth</t>
  </si>
  <si>
    <t>consultorscj@dmuller.com.br</t>
  </si>
  <si>
    <t>Dis@1234</t>
  </si>
  <si>
    <t>10/03/2026 14:23:00</t>
  </si>
  <si>
    <t>10/03/2026 14:48:38</t>
  </si>
  <si>
    <t>10/03/2026 11:53:52</t>
  </si>
  <si>
    <t>10/03/2026 12:43:10</t>
  </si>
  <si>
    <t>11/03/2026 19:06:41</t>
  </si>
  <si>
    <t>11/03/2026 19:33:03</t>
  </si>
  <si>
    <t>13/03/2026 10:48:05</t>
  </si>
  <si>
    <t>13/03/2026 14:28:24</t>
  </si>
  <si>
    <t>16/03/2026 12:45:26</t>
  </si>
  <si>
    <t>16/03/2026 13:20:55</t>
  </si>
  <si>
    <t>16/03/2026 16:37:49</t>
  </si>
  <si>
    <t>16/03/2026 17:02:25</t>
  </si>
  <si>
    <t>16/03/2026 14:54:47</t>
  </si>
  <si>
    <t>16/03/2026 15:52:46</t>
  </si>
  <si>
    <t>18/03/2026 10:14:25</t>
  </si>
  <si>
    <t>18/03/2026 11:18:00</t>
  </si>
  <si>
    <t>16/03/2026 15:13:49</t>
  </si>
  <si>
    <t>16/03/2026 15:41:47</t>
  </si>
  <si>
    <t>18/03/2026 11:18:06</t>
  </si>
  <si>
    <t>18/03/2026 11:46:35</t>
  </si>
  <si>
    <t>17/03/2026 15:28:18</t>
  </si>
  <si>
    <t>17/03/2026 16:05:47</t>
  </si>
  <si>
    <t>18/03/2026 10:41:52</t>
  </si>
  <si>
    <t>18/03/2026 11:14:45</t>
  </si>
  <si>
    <t>18/03/2026 12:07:41</t>
  </si>
  <si>
    <t>18/03/2026 12:34:46</t>
  </si>
  <si>
    <t>17/03/2026 17:09:49</t>
  </si>
  <si>
    <t>17/03/2026 17:39:26</t>
  </si>
  <si>
    <t>17/03/2026 13:49:39</t>
  </si>
  <si>
    <t>17/03/2026 14:52:52</t>
  </si>
  <si>
    <t>17/03/2026 15:09:36</t>
  </si>
  <si>
    <t>17/03/2026 15:34:22</t>
  </si>
  <si>
    <t>18/03/2026 14:09:03</t>
  </si>
  <si>
    <t>18/03/2026 14:29:10</t>
  </si>
  <si>
    <t>17/03/2026 10:54:10</t>
  </si>
  <si>
    <t>17/03/2026 11:20:13</t>
  </si>
  <si>
    <t>18/03/2026 11:51:25</t>
  </si>
  <si>
    <t>18/03/2026 12:06:46</t>
  </si>
  <si>
    <t>20/03/2026 13:06:29</t>
  </si>
  <si>
    <t>20/03/2026 16:13:41</t>
  </si>
  <si>
    <t>20/03/2026 14:39:37</t>
  </si>
  <si>
    <t>20/03/2026 14:49:28</t>
  </si>
  <si>
    <t>18/03/2026 15:25:16</t>
  </si>
  <si>
    <t>18/03/2026 15:40:45</t>
  </si>
  <si>
    <t>19/03/2026 12:09:45</t>
  </si>
  <si>
    <t>19/03/2026 12:35:42</t>
  </si>
  <si>
    <t>20/03/2026 13:21:50</t>
  </si>
  <si>
    <t>20/03/2026 13:47:58</t>
  </si>
  <si>
    <t>19/03/2026 11:05:52</t>
  </si>
  <si>
    <t>19/03/2026 11:28:18</t>
  </si>
  <si>
    <t>20/03/2026 16:40:52</t>
  </si>
  <si>
    <t>20/03/2026 17:02:26</t>
  </si>
  <si>
    <t>20/03/2026 09:35:17</t>
  </si>
  <si>
    <t>20/03/2026 11:34:11</t>
  </si>
  <si>
    <t>19/03/2026 09:35:58</t>
  </si>
  <si>
    <t>19/03/2026 10:44:48</t>
  </si>
  <si>
    <t>18/03/2026 13:25:49</t>
  </si>
  <si>
    <t>18/03/2026 13:57:10</t>
  </si>
  <si>
    <t>20/03/2026 17:08:21</t>
  </si>
  <si>
    <t>20/03/2026 17:27:19</t>
  </si>
  <si>
    <t>20/03/2026 18:17:25</t>
  </si>
  <si>
    <t>20/03/2026 19:23:47</t>
  </si>
  <si>
    <t>19/03/2026 12:44:18</t>
  </si>
  <si>
    <t>19/03/2026 14:03:54</t>
  </si>
  <si>
    <t>19/03/2026 17:56:52</t>
  </si>
  <si>
    <t>19/03/2026 18:14:10</t>
  </si>
  <si>
    <t>19/03/2026 11:21:51</t>
  </si>
  <si>
    <t>19/03/2026 12:05:43</t>
  </si>
  <si>
    <t>19/03/2026 16:21:49</t>
  </si>
  <si>
    <t>19/03/2026 17:56:40</t>
  </si>
  <si>
    <t>20/03/2026 19:23:51</t>
  </si>
  <si>
    <t>20/03/2026 19:44:02</t>
  </si>
  <si>
    <t>19/03/2026 07:58:58</t>
  </si>
  <si>
    <t>19/03/2026 09:08:34</t>
  </si>
  <si>
    <t>20/03/2026 16:16:33</t>
  </si>
  <si>
    <t>20/03/2026 16:32:05</t>
  </si>
  <si>
    <t>20/03/2026 18:18:18</t>
  </si>
  <si>
    <t>20/03/2026 18:36:19</t>
  </si>
  <si>
    <t>20/03/2026 17:00:18</t>
  </si>
  <si>
    <t>20/03/2026 17:40:45</t>
  </si>
  <si>
    <t>20/03/2026 15:49:02</t>
  </si>
  <si>
    <t>20/03/2026 16:14:08</t>
  </si>
  <si>
    <t>25/03/2026 15:21:47</t>
  </si>
  <si>
    <t>25/03/2026 15:46:56</t>
  </si>
  <si>
    <t>24/03/2026 15:59:53</t>
  </si>
  <si>
    <t>24/03/2026 16:13:58</t>
  </si>
  <si>
    <t>25/03/2026 17:21:46</t>
  </si>
  <si>
    <t>25/03/2026 17:41:25</t>
  </si>
  <si>
    <t>24/03/2026 09:28:10</t>
  </si>
  <si>
    <t>24/03/2026 09:46:48</t>
  </si>
  <si>
    <t>20/03/2026 18:52:55</t>
  </si>
  <si>
    <t>23/03/2026 16:47:10</t>
  </si>
  <si>
    <t>26/03/2026 11:29:44</t>
  </si>
  <si>
    <t>26/03/2026 12:04:48</t>
  </si>
  <si>
    <t>26/03/2026 15:49:53</t>
  </si>
  <si>
    <t>26/03/2026 16:09:22</t>
  </si>
  <si>
    <t>20/03/2026 11:15:59</t>
  </si>
  <si>
    <t>20/03/2026 11:45:12</t>
  </si>
  <si>
    <t>23/03/2026 15:38:45</t>
  </si>
  <si>
    <t>30/03/2026 20:28:29</t>
  </si>
  <si>
    <t>30/03/2026 18:43:42</t>
  </si>
  <si>
    <t>30/03/2026 19:04:42</t>
  </si>
  <si>
    <t>01/04/2026 10:10:39</t>
  </si>
  <si>
    <t>01/04/2026 13:55:11</t>
  </si>
  <si>
    <t>01/04/2026 09:42:10</t>
  </si>
  <si>
    <t>01/04/2026 11:36:41</t>
  </si>
  <si>
    <t>07/04/2026 15:35:26</t>
  </si>
  <si>
    <t>07/04/2026 15:57:40</t>
  </si>
  <si>
    <t>01/04/2026 16:57:20</t>
  </si>
  <si>
    <t>01/04/2026 17:29:22</t>
  </si>
  <si>
    <t>02/04/2026 11:45:51</t>
  </si>
  <si>
    <t>02/04/2026 12:13:13</t>
  </si>
  <si>
    <t>08/04/2026 10:13:30</t>
  </si>
  <si>
    <t>08/04/2026 11:10:35</t>
  </si>
  <si>
    <t>13/04/2026 15:16:22</t>
  </si>
  <si>
    <t>13/04/2026 16:03:14</t>
  </si>
  <si>
    <t>08/04/2026 17:19:31</t>
  </si>
  <si>
    <t>08/04/2026 17:45:03</t>
  </si>
  <si>
    <t>09/04/2026 11:34:36</t>
  </si>
  <si>
    <t>09/04/2026 12:20:47</t>
  </si>
  <si>
    <t>13/04/2026 13:53:22</t>
  </si>
  <si>
    <t>13/04/2026 14:35:10</t>
  </si>
  <si>
    <t>15/04/2026 11:02:44</t>
  </si>
  <si>
    <t>15/04/2026 11:28:12</t>
  </si>
  <si>
    <t>14/04/2026 15:46:02</t>
  </si>
  <si>
    <t>14/04/2026 17:16:27</t>
  </si>
  <si>
    <t>14/04/2026 14:25:07</t>
  </si>
  <si>
    <t>14/04/2026 15:07:47</t>
  </si>
  <si>
    <t>14/04/2026 15:54:33</t>
  </si>
  <si>
    <t>14/04/2026 16:50:12</t>
  </si>
  <si>
    <t>15/04/2026 13:51:29</t>
  </si>
  <si>
    <t>15/04/2026 14:12:53</t>
  </si>
  <si>
    <t>15/04/2026 12:22:13</t>
  </si>
  <si>
    <t>15/04/2026 12:50:50</t>
  </si>
  <si>
    <t>15/04/2026 15:06:49</t>
  </si>
  <si>
    <t>15/04/2026 15:28:49</t>
  </si>
  <si>
    <t>16/04/2026 10:30:54</t>
  </si>
  <si>
    <t>16/04/2026 10:41:19</t>
  </si>
  <si>
    <t>16/04/2026 15:51:21</t>
  </si>
  <si>
    <t>16/04/2026 16:11:49</t>
  </si>
  <si>
    <t>16/04/2026 09:17:01</t>
  </si>
  <si>
    <t>16/04/2026 09:50:36</t>
  </si>
  <si>
    <t>16/04/2026 15:08:52</t>
  </si>
  <si>
    <t>16/04/2026 15:20:49</t>
  </si>
  <si>
    <t>16/04/2026 11:56:10</t>
  </si>
  <si>
    <t>16/04/2026 12:08:14</t>
  </si>
  <si>
    <t>16/04/2026 09:15:13</t>
  </si>
  <si>
    <t>16/04/2026 09:25:48</t>
  </si>
  <si>
    <t>16/04/2026 12:11:29</t>
  </si>
  <si>
    <t>16/04/2026 12:46:45</t>
  </si>
  <si>
    <t>17/04/2026 10:06:55</t>
  </si>
  <si>
    <t>17/04/2026 10:56:17</t>
  </si>
  <si>
    <t>16/04/2026 09:59:03</t>
  </si>
  <si>
    <t>16/04/2026 10:20:01</t>
  </si>
  <si>
    <t>23/04/2026 12:07:50</t>
  </si>
  <si>
    <t>23/04/2026 12:37:16</t>
  </si>
  <si>
    <t>22/04/2026 12:54:11</t>
  </si>
  <si>
    <t>22/04/2026 13:42:09</t>
  </si>
  <si>
    <t>24/04/2026 13:26:00</t>
  </si>
  <si>
    <t>24/04/2026 13:46:07</t>
  </si>
  <si>
    <t>17/04/2026 08:50:12</t>
  </si>
  <si>
    <t>17/04/2026 09:05:48</t>
  </si>
  <si>
    <t>21/04/2026 11:47:41</t>
  </si>
  <si>
    <t>21/04/2026 12:10:15</t>
  </si>
  <si>
    <t>16/04/2026 11:06:02</t>
  </si>
  <si>
    <t>16/04/2026 11:35:44</t>
  </si>
  <si>
    <t>24/04/2026 14:20:27</t>
  </si>
  <si>
    <t>24/04/2026 14:42:06</t>
  </si>
  <si>
    <t>16/04/2026 13:15:17</t>
  </si>
  <si>
    <t>16/04/2026 13:38:02</t>
  </si>
  <si>
    <t>21/04/2026 16:32:54</t>
  </si>
  <si>
    <t>21/04/2026 16:49:17</t>
  </si>
  <si>
    <t>20/04/2026 13:11:53</t>
  </si>
  <si>
    <t>20/04/2026 13:30:52</t>
  </si>
  <si>
    <t>21/04/2026 12:57:39</t>
  </si>
  <si>
    <t>21/04/2026 15:21:08</t>
  </si>
  <si>
    <t>20/04/2026 14:47:42</t>
  </si>
  <si>
    <t>20/04/2026 15:15:04</t>
  </si>
  <si>
    <t>20/04/2026 11:11:33</t>
  </si>
  <si>
    <t>20/04/2026 11:44:35</t>
  </si>
  <si>
    <t>17/04/2026 11:23:43</t>
  </si>
  <si>
    <t>17/04/2026 11:56:17</t>
  </si>
  <si>
    <t>16/04/2026 14:34:39</t>
  </si>
  <si>
    <t>16/04/2026 15:00:57</t>
  </si>
  <si>
    <t>20/04/2026 18:11:29</t>
  </si>
  <si>
    <t>20/04/2026 18:27:24</t>
  </si>
  <si>
    <t>16/04/2026 12:05:49</t>
  </si>
  <si>
    <t>16/04/2026 12:20:02</t>
  </si>
  <si>
    <t>21/04/2026 15:21:16</t>
  </si>
  <si>
    <t>21/04/2026 15:51:56</t>
  </si>
  <si>
    <t>16/04/2026 11:07:53</t>
  </si>
  <si>
    <t>16/04/2026 11:23:37</t>
  </si>
  <si>
    <t>24/04/2026 11:33:43</t>
  </si>
  <si>
    <t>24/04/2026 12:13:31</t>
  </si>
  <si>
    <t>17/04/2026 09:25:07</t>
  </si>
  <si>
    <t>17/04/2026 09:50:51</t>
  </si>
  <si>
    <t>20/04/2026 17:22:52</t>
  </si>
  <si>
    <t>20/04/2026 17:40:50</t>
  </si>
  <si>
    <t>17/04/2026 13:30:15</t>
  </si>
  <si>
    <t>17/04/2026 13:52:45</t>
  </si>
  <si>
    <t>17/04/2026 08:41:48</t>
  </si>
  <si>
    <t>17/04/2026 09:06:08</t>
  </si>
  <si>
    <t>16/04/2026 14:12:33</t>
  </si>
  <si>
    <t>16/04/2026 15:11:25</t>
  </si>
  <si>
    <t>17/04/2026 11:28:39</t>
  </si>
  <si>
    <t>17/04/2026 11:52:03</t>
  </si>
  <si>
    <t>16/04/2026 17:17:48</t>
  </si>
  <si>
    <t>16/04/2026 17:39:09</t>
  </si>
  <si>
    <t>23/04/2026 17:00:01</t>
  </si>
  <si>
    <t>23/04/2026 17:18:50</t>
  </si>
  <si>
    <t>17/04/2026 12:25:14</t>
  </si>
  <si>
    <t>17/04/2026 12:44:31</t>
  </si>
  <si>
    <t>17/04/2026 14:46:01</t>
  </si>
  <si>
    <t>17/04/2026 15:05:16</t>
  </si>
  <si>
    <t>17/04/2026 09:50:21</t>
  </si>
  <si>
    <t>17/04/2026 10:12:32</t>
  </si>
  <si>
    <t>20/04/2026 15:52:29</t>
  </si>
  <si>
    <t>20/04/2026 16:23:26</t>
  </si>
  <si>
    <t>06/05/2026 13:53:28</t>
  </si>
  <si>
    <t>06/05/2026 14:35:56</t>
  </si>
  <si>
    <t>06/05/2026 11:17:23</t>
  </si>
  <si>
    <t>06/05/2026 11:44:32</t>
  </si>
  <si>
    <t>06/05/2026 12:51:25</t>
  </si>
  <si>
    <t>06/05/2026 13:44:00</t>
  </si>
  <si>
    <t>08/05/2026 15:16:37</t>
  </si>
  <si>
    <t>08/05/2026 16:27:10</t>
  </si>
  <si>
    <t>08/05/2026 09:02:50</t>
  </si>
  <si>
    <t>08/05/2026 09:29:01</t>
  </si>
  <si>
    <t>08/05/2026 12:13:40</t>
  </si>
  <si>
    <t>08/05/2026 12:41:41</t>
  </si>
  <si>
    <t>08/05/2026 10:22:42</t>
  </si>
  <si>
    <t>08/05/2026 10:58:22</t>
  </si>
  <si>
    <t>08/05/2026 14:43:24</t>
  </si>
  <si>
    <t>08/05/2026 15:09:11</t>
  </si>
  <si>
    <t>13/05/2026 12:03:42</t>
  </si>
  <si>
    <t>13/05/2026 12:29:58</t>
  </si>
  <si>
    <t>12/05/2026 16:17:29</t>
  </si>
  <si>
    <t>12/05/2026 16:48:36</t>
  </si>
  <si>
    <t>12/05/2026 14:55:27</t>
  </si>
  <si>
    <t>12/05/2026 15:26:55</t>
  </si>
  <si>
    <t>13/05/2026 16:10:37</t>
  </si>
  <si>
    <t>13/05/2026 16:37:03</t>
  </si>
  <si>
    <t>12/05/2026 15:37:19</t>
  </si>
  <si>
    <t>12/05/2026 18:46:44</t>
  </si>
  <si>
    <t>12/05/2026 13:18:17</t>
  </si>
  <si>
    <t>12/05/2026 15:37:11</t>
  </si>
  <si>
    <t>11/05/2026 11:00:25</t>
  </si>
  <si>
    <t>11/05/2026 12:20:42</t>
  </si>
  <si>
    <t>12/05/2026 18:46:49</t>
  </si>
  <si>
    <t>12/05/2026 19:01:34</t>
  </si>
  <si>
    <t>11/05/2026 14:04:11</t>
  </si>
  <si>
    <t>11/05/2026 14:24:04</t>
  </si>
  <si>
    <t>11/05/2026 07:39:52</t>
  </si>
  <si>
    <t>11/05/2026 08:08:09</t>
  </si>
  <si>
    <t>11/05/2026 14:41:16</t>
  </si>
  <si>
    <t>11/05/2026 15:04:51</t>
  </si>
  <si>
    <t>13/05/2026 09:57:47</t>
  </si>
  <si>
    <t>13/05/2026 10:15:42</t>
  </si>
  <si>
    <t>13/05/2026 11:41:03</t>
  </si>
  <si>
    <t>13/05/2026 12:19:43</t>
  </si>
  <si>
    <t>11/05/2026 12:20:47</t>
  </si>
  <si>
    <t>11/05/2026 12:35:53</t>
  </si>
  <si>
    <t>11/05/2026 14:55:33</t>
  </si>
  <si>
    <t>11/05/2026 17:35:52</t>
  </si>
  <si>
    <t>11/05/2026 08:40:10</t>
  </si>
  <si>
    <t>11/05/2026 09:33:11</t>
  </si>
  <si>
    <t>13/05/2026 14:11:54</t>
  </si>
  <si>
    <t>13/05/2026 15:23:51</t>
  </si>
  <si>
    <t>15/05/2026 14:21:57</t>
  </si>
  <si>
    <t>15/05/2026 14:38:20</t>
  </si>
  <si>
    <t>15/05/2026 09:17:50</t>
  </si>
  <si>
    <t>15/05/2026 10:24:05</t>
  </si>
  <si>
    <t>18/05/2026 14:20:12</t>
  </si>
  <si>
    <t>18/05/2026 14:52:19</t>
  </si>
  <si>
    <t>06/05/2026 15:17:13</t>
  </si>
  <si>
    <t>06/05/2026 15:40:37</t>
  </si>
  <si>
    <t>14/05/2026 15:49:17</t>
  </si>
  <si>
    <t>14/05/2026 16:06:09</t>
  </si>
  <si>
    <t>15/05/2026 12:50:06</t>
  </si>
  <si>
    <t>15/05/2026 13:12:05</t>
  </si>
  <si>
    <t>15/05/2026 15:04:17</t>
  </si>
  <si>
    <t>15/05/2026 15:24:20</t>
  </si>
  <si>
    <t>15/05/2026 11:47:00</t>
  </si>
  <si>
    <t>15/05/2026 12:44:01</t>
  </si>
  <si>
    <t>14/05/2026 09:50:02</t>
  </si>
  <si>
    <t>14/05/2026 10:19:20</t>
  </si>
  <si>
    <t>14/05/2026 14:51:04</t>
  </si>
  <si>
    <t>14/05/2026 15:18:58</t>
  </si>
  <si>
    <t>15/05/2026 13:44:55</t>
  </si>
  <si>
    <t>15/05/2026 14:28:59</t>
  </si>
  <si>
    <t>15/05/2026 15:50:40</t>
  </si>
  <si>
    <t>15/05/2026 16:05:19</t>
  </si>
  <si>
    <t>14/05/2026 11:22:12</t>
  </si>
  <si>
    <t>14/05/2026 11:38:37</t>
  </si>
  <si>
    <t>20/05/2026 15:08:37</t>
  </si>
  <si>
    <t>20/05/2026 15:20:53</t>
  </si>
  <si>
    <t>20/05/2026 14:11:24</t>
  </si>
  <si>
    <t>20/05/2026 14:23:44</t>
  </si>
  <si>
    <t>20/05/2026 16:47:57</t>
  </si>
  <si>
    <t>20/05/2026 16:57:58</t>
  </si>
  <si>
    <t>20/05/2026 15:29:30</t>
  </si>
  <si>
    <t>20/05/2026 16:02:19</t>
  </si>
  <si>
    <t>19/05/2026 13:50:28</t>
  </si>
  <si>
    <t>19/05/2026 14:15:56</t>
  </si>
  <si>
    <t>19/05/2026 14:52:34</t>
  </si>
  <si>
    <t>19/05/2026 15:13:57</t>
  </si>
  <si>
    <t>20/05/2026 14:30:54</t>
  </si>
  <si>
    <t>20/05/2026 14:49:41</t>
  </si>
  <si>
    <t>20/05/2026 09:40:30</t>
  </si>
  <si>
    <t>20/05/2026 10:19:01</t>
  </si>
  <si>
    <t>19/05/2026 15:39:51</t>
  </si>
  <si>
    <t>19/05/2026 16:05:04</t>
  </si>
  <si>
    <t>20/05/2026 14:38:02</t>
  </si>
  <si>
    <t>20/05/2026 15:00:13</t>
  </si>
  <si>
    <t>20/05/2026 14:21:32</t>
  </si>
  <si>
    <t>20/05/2026 14:46:51</t>
  </si>
  <si>
    <t>20/05/2026 16:01:03</t>
  </si>
  <si>
    <t>20/05/2026 16:12:50</t>
  </si>
  <si>
    <t>19/05/2026 16:17:22</t>
  </si>
  <si>
    <t>19/05/2026 16:46:18</t>
  </si>
  <si>
    <t>22/05/2026 09:11:01</t>
  </si>
  <si>
    <t>22/05/2026 09:32:03</t>
  </si>
  <si>
    <t>27/05/2026 08:42:27</t>
  </si>
  <si>
    <t>27/05/2026 09:42:33</t>
  </si>
  <si>
    <t>25/05/2026 15:11:44</t>
  </si>
  <si>
    <t>25/05/2026 15:42:42</t>
  </si>
  <si>
    <t>28/05/2026 11:45:43</t>
  </si>
  <si>
    <t>28/05/2026 12:45:36</t>
  </si>
  <si>
    <t>28/05/2026 10:47:09</t>
  </si>
  <si>
    <t>28/05/2026 11:17:12</t>
  </si>
  <si>
    <t>29/05/2026 15:24:09</t>
  </si>
  <si>
    <t>29/05/2026 15:49:39</t>
  </si>
  <si>
    <t>01/06/2026 14:56:47</t>
  </si>
  <si>
    <t>01/06/2026 15:31:13</t>
  </si>
  <si>
    <t>01/06/2026 09:36:58</t>
  </si>
  <si>
    <t>01/06/2026 10:13:43</t>
  </si>
  <si>
    <t>05/06/2026 10:24:42</t>
  </si>
  <si>
    <t>05/06/2026 10:47:12</t>
  </si>
  <si>
    <t>03/06/2026 12:38:35</t>
  </si>
  <si>
    <t>03/06/2026 13:21:04</t>
  </si>
  <si>
    <t>03/06/2026 14:09:12</t>
  </si>
  <si>
    <t>03/06/2026 14:36:46</t>
  </si>
  <si>
    <t>03/06/2026 10:25:10</t>
  </si>
  <si>
    <t>03/06/2026 11:08:09</t>
  </si>
  <si>
    <t>03/06/2026 15:20:46</t>
  </si>
  <si>
    <t>03/06/2026 15:52:10</t>
  </si>
  <si>
    <t>05/06/2026 10:50:17</t>
  </si>
  <si>
    <t>05/06/2026 11:34:45</t>
  </si>
  <si>
    <t>03/06/2026 10:44:52</t>
  </si>
  <si>
    <t>03/06/2026 11:51:37</t>
  </si>
  <si>
    <t>08/06/2026 15:53:32</t>
  </si>
  <si>
    <t>08/06/2026 16:09:03</t>
  </si>
  <si>
    <t>10/06/2026 15:08:08</t>
  </si>
  <si>
    <t>10/06/2026 15:35:47</t>
  </si>
  <si>
    <t>08/06/2026 15:10:59</t>
  </si>
  <si>
    <t>08/06/2026 15:41:38</t>
  </si>
  <si>
    <t>08/06/2026 14:34:55</t>
  </si>
  <si>
    <t>08/06/2026 14:57:56</t>
  </si>
  <si>
    <t>08/06/2026 12:09:02</t>
  </si>
  <si>
    <t>08/06/2026 12:27:21</t>
  </si>
  <si>
    <t>09/06/2026 18:41:26</t>
  </si>
  <si>
    <t>09/06/2026 19:11:40</t>
  </si>
  <si>
    <t>08/06/2026 09:36:49</t>
  </si>
  <si>
    <t>08/06/2026 10:06:36</t>
  </si>
  <si>
    <t>09/06/2026 20:16:28</t>
  </si>
  <si>
    <t>09/06/2026 20:37:26</t>
  </si>
  <si>
    <t>09/06/2026 15:34:14</t>
  </si>
  <si>
    <t>09/06/2026 16:05:08</t>
  </si>
  <si>
    <t>09/06/2026 15:47:36</t>
  </si>
  <si>
    <t>09/06/2026 16:43:24</t>
  </si>
  <si>
    <t>08/06/2026 13:33:46</t>
  </si>
  <si>
    <t>08/06/2026 14:01:49</t>
  </si>
  <si>
    <t>08/06/2026 11:26:59</t>
  </si>
  <si>
    <t>08/06/2026 12:02:39</t>
  </si>
  <si>
    <t>ATUALIZADO:</t>
  </si>
  <si>
    <t>relatório -&gt; produtividade -&gt; filtro lateral direita -&gt; mês -&gt; dowload -&gt; resultado kpi</t>
  </si>
  <si>
    <t>11/06/2026 15:26:58</t>
  </si>
  <si>
    <t>11/06/2026 15:51:24</t>
  </si>
  <si>
    <t>11/06/2026 16:33:41</t>
  </si>
  <si>
    <t>11/06/2026 17:00:17</t>
  </si>
  <si>
    <t>11/06/2026 09:12:45</t>
  </si>
  <si>
    <t>11/06/2026 09:36:30</t>
  </si>
  <si>
    <t>11/06/2026 12:12:11</t>
  </si>
  <si>
    <t>11/06/2026 12:31:25</t>
  </si>
  <si>
    <t>12/06/2026 09:16:36</t>
  </si>
  <si>
    <t>12/06/2026 10:26:54</t>
  </si>
  <si>
    <t>11/06/2026 10:55:20</t>
  </si>
  <si>
    <t>11/06/2026 11:17:04</t>
  </si>
  <si>
    <t>11/06/2026 12:54:02</t>
  </si>
  <si>
    <t>11/06/2026 13:11:34</t>
  </si>
  <si>
    <t>11/06/2026 09:30:08</t>
  </si>
  <si>
    <t>11/06/2026 09:43:59</t>
  </si>
  <si>
    <t>11/06/2026 12:01:44</t>
  </si>
  <si>
    <t>11/06/2026 12:25:40</t>
  </si>
  <si>
    <t>11/06/2026 17:42:33</t>
  </si>
  <si>
    <t>11/06/2026 17:56:25</t>
  </si>
  <si>
    <t>11/06/2026 16:42:47</t>
  </si>
  <si>
    <t>11/06/2026 17:00:51</t>
  </si>
  <si>
    <t>11/06/2026 10:43:00</t>
  </si>
  <si>
    <t>11/06/2026 11:08:30</t>
  </si>
  <si>
    <t>12/06/2026 12:21:26</t>
  </si>
  <si>
    <t>12/06/2026 12:42:26</t>
  </si>
  <si>
    <t>remove da col 1: 1º 5"0", depois 4"0"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</si>
</sst>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&quot;.&quot;000&quot;.&quot;000&quot;.&quot;0000&quot;-&quot;00"/>
    <numFmt numFmtId="165" formatCode="_(* #,##0.00_);_(* \(#,##0.00\);_(* &quot;-&quot;??_);_(@_)"/>
    <numFmt numFmtId="166" formatCode="0.000"/>
    <numFmt numFmtId="167" formatCode="#,##0.000"/>
    <numFmt numFmtId="168" formatCode="0.00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FF0000"/>
      <name val="Calibri Light"/>
      <family val="2"/>
      <scheme val="maj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name val="Calibri Light"/>
      <family val="2"/>
      <scheme val="maj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5" fillId="0" borderId="0" applyNumberFormat="0" applyFill="0" applyBorder="0" applyAlignment="0" applyProtection="0"/>
  </cellStyleXfs>
  <cellXfs count="168">
    <xf numFmtId="0" fontId="0" fillId="0" borderId="0" xfId="0"/>
    <xf numFmtId="0" fontId="4" fillId="0" borderId="0" xfId="0" applyFont="1"/>
    <xf numFmtId="0" fontId="7" fillId="0" borderId="0" xfId="0" applyFont="1"/>
    <xf numFmtId="0" fontId="8" fillId="0" borderId="0" xfId="0" applyFont="1"/>
    <xf numFmtId="4" fontId="4" fillId="0" borderId="0" xfId="0" applyNumberFormat="1" applyFont="1"/>
    <xf numFmtId="0" fontId="6" fillId="0" borderId="0" xfId="0" applyFont="1"/>
    <xf numFmtId="0" fontId="9" fillId="0" borderId="0" xfId="0" applyFont="1"/>
    <xf numFmtId="14" fontId="9" fillId="0" borderId="0" xfId="0" applyNumberFormat="1" applyFont="1" applyAlignment="1">
      <alignment horizontal="left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5" borderId="0" xfId="0" applyFill="1"/>
    <xf numFmtId="3" fontId="4" fillId="0" borderId="5" xfId="1" applyNumberFormat="1" applyFont="1" applyBorder="1" applyAlignment="1">
      <alignment horizontal="center"/>
    </xf>
    <xf numFmtId="0" fontId="4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9" fontId="6" fillId="6" borderId="8" xfId="1" applyFont="1" applyFill="1" applyBorder="1" applyAlignment="1">
      <alignment horizontal="center"/>
    </xf>
    <xf numFmtId="0" fontId="5" fillId="6" borderId="1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9" fontId="11" fillId="2" borderId="1" xfId="1" applyFont="1" applyFill="1" applyBorder="1" applyAlignment="1">
      <alignment horizontal="center"/>
    </xf>
    <xf numFmtId="3" fontId="10" fillId="2" borderId="8" xfId="1" applyNumberFormat="1" applyFont="1" applyFill="1" applyBorder="1" applyAlignment="1">
      <alignment horizontal="center"/>
    </xf>
    <xf numFmtId="9" fontId="10" fillId="2" borderId="8" xfId="1" applyFont="1" applyFill="1" applyBorder="1" applyAlignment="1">
      <alignment horizontal="center"/>
    </xf>
    <xf numFmtId="3" fontId="9" fillId="2" borderId="8" xfId="0" applyNumberFormat="1" applyFont="1" applyFill="1" applyBorder="1" applyAlignment="1">
      <alignment horizont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horizontal="left" vertical="center"/>
    </xf>
    <xf numFmtId="0" fontId="10" fillId="4" borderId="5" xfId="0" applyFont="1" applyFill="1" applyBorder="1" applyAlignment="1">
      <alignment horizontal="center" vertical="top" wrapText="1"/>
    </xf>
    <xf numFmtId="0" fontId="5" fillId="6" borderId="6" xfId="0" applyFont="1" applyFill="1" applyBorder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0" fontId="10" fillId="4" borderId="6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9" fillId="0" borderId="0" xfId="0" applyFont="1" applyAlignment="1">
      <alignment horizontal="center" vertical="center"/>
    </xf>
    <xf numFmtId="0" fontId="12" fillId="5" borderId="0" xfId="0" applyFont="1" applyFill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4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5" fillId="6" borderId="18" xfId="0" quotePrefix="1" applyFont="1" applyFill="1" applyBorder="1" applyAlignment="1">
      <alignment horizontal="centerContinuous" vertical="center" wrapText="1"/>
    </xf>
    <xf numFmtId="0" fontId="5" fillId="6" borderId="19" xfId="0" applyFont="1" applyFill="1" applyBorder="1" applyAlignment="1">
      <alignment horizontal="centerContinuous" vertical="center" wrapText="1"/>
    </xf>
    <xf numFmtId="0" fontId="5" fillId="6" borderId="5" xfId="0" applyFont="1" applyFill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0" fillId="4" borderId="18" xfId="0" quotePrefix="1" applyFont="1" applyFill="1" applyBorder="1" applyAlignment="1">
      <alignment horizontal="centerContinuous" vertical="center" wrapText="1"/>
    </xf>
    <xf numFmtId="0" fontId="10" fillId="4" borderId="19" xfId="0" applyFont="1" applyFill="1" applyBorder="1" applyAlignment="1">
      <alignment horizontal="centerContinuous" vertical="center" wrapText="1"/>
    </xf>
    <xf numFmtId="3" fontId="5" fillId="6" borderId="7" xfId="0" applyNumberFormat="1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 wrapText="1"/>
    </xf>
    <xf numFmtId="3" fontId="5" fillId="6" borderId="11" xfId="0" applyNumberFormat="1" applyFont="1" applyFill="1" applyBorder="1" applyAlignment="1">
      <alignment horizontal="center"/>
    </xf>
    <xf numFmtId="166" fontId="4" fillId="0" borderId="5" xfId="0" applyNumberFormat="1" applyFont="1" applyBorder="1" applyAlignment="1">
      <alignment horizontal="center" vertical="center"/>
    </xf>
    <xf numFmtId="0" fontId="5" fillId="6" borderId="20" xfId="0" quotePrefix="1" applyFont="1" applyFill="1" applyBorder="1" applyAlignment="1">
      <alignment horizontal="centerContinuous" vertical="center" wrapText="1"/>
    </xf>
    <xf numFmtId="0" fontId="5" fillId="6" borderId="21" xfId="0" applyFont="1" applyFill="1" applyBorder="1" applyAlignment="1">
      <alignment horizontal="center" vertical="top" wrapText="1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10" fillId="4" borderId="20" xfId="0" quotePrefix="1" applyFont="1" applyFill="1" applyBorder="1" applyAlignment="1">
      <alignment horizontal="centerContinuous" vertical="center" wrapText="1"/>
    </xf>
    <xf numFmtId="0" fontId="10" fillId="4" borderId="21" xfId="0" applyFont="1" applyFill="1" applyBorder="1" applyAlignment="1">
      <alignment horizontal="center" vertical="top" wrapText="1"/>
    </xf>
    <xf numFmtId="0" fontId="10" fillId="2" borderId="17" xfId="0" applyFont="1" applyFill="1" applyBorder="1" applyAlignment="1">
      <alignment horizontal="center" vertical="center"/>
    </xf>
    <xf numFmtId="3" fontId="11" fillId="2" borderId="17" xfId="1" applyNumberFormat="1" applyFont="1" applyFill="1" applyBorder="1" applyAlignment="1">
      <alignment horizontal="center"/>
    </xf>
    <xf numFmtId="3" fontId="5" fillId="6" borderId="24" xfId="0" applyNumberFormat="1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 vertical="center"/>
    </xf>
    <xf numFmtId="9" fontId="11" fillId="2" borderId="13" xfId="1" applyFont="1" applyFill="1" applyBorder="1" applyAlignment="1">
      <alignment horizontal="center"/>
    </xf>
    <xf numFmtId="9" fontId="9" fillId="2" borderId="8" xfId="1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2" borderId="8" xfId="1" applyNumberFormat="1" applyFont="1" applyFill="1" applyBorder="1" applyAlignment="1">
      <alignment horizontal="center"/>
    </xf>
    <xf numFmtId="3" fontId="11" fillId="2" borderId="1" xfId="1" applyNumberFormat="1" applyFont="1" applyFill="1" applyBorder="1" applyAlignment="1">
      <alignment horizontal="center"/>
    </xf>
    <xf numFmtId="0" fontId="10" fillId="3" borderId="5" xfId="0" applyFont="1" applyFill="1" applyBorder="1" applyAlignment="1">
      <alignment horizontal="center" vertical="center"/>
    </xf>
    <xf numFmtId="3" fontId="11" fillId="3" borderId="5" xfId="1" applyNumberFormat="1" applyFont="1" applyFill="1" applyBorder="1" applyAlignment="1">
      <alignment horizontal="center"/>
    </xf>
    <xf numFmtId="3" fontId="9" fillId="3" borderId="7" xfId="0" applyNumberFormat="1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 vertical="center"/>
    </xf>
    <xf numFmtId="3" fontId="11" fillId="0" borderId="5" xfId="1" applyNumberFormat="1" applyFont="1" applyFill="1" applyBorder="1" applyAlignment="1">
      <alignment horizontal="center"/>
    </xf>
    <xf numFmtId="3" fontId="10" fillId="0" borderId="7" xfId="1" applyNumberFormat="1" applyFont="1" applyFill="1" applyBorder="1" applyAlignment="1">
      <alignment horizontal="center"/>
    </xf>
    <xf numFmtId="3" fontId="9" fillId="0" borderId="7" xfId="0" applyNumberFormat="1" applyFont="1" applyBorder="1" applyAlignment="1">
      <alignment horizontal="center"/>
    </xf>
    <xf numFmtId="3" fontId="4" fillId="0" borderId="10" xfId="1" applyNumberFormat="1" applyFont="1" applyFill="1" applyBorder="1" applyAlignment="1">
      <alignment horizontal="center"/>
    </xf>
    <xf numFmtId="0" fontId="4" fillId="0" borderId="6" xfId="0" applyFont="1" applyBorder="1" applyAlignment="1">
      <alignment horizontal="left" vertical="center"/>
    </xf>
    <xf numFmtId="0" fontId="5" fillId="6" borderId="20" xfId="0" applyFont="1" applyFill="1" applyBorder="1" applyAlignment="1">
      <alignment horizontal="centerContinuous" vertical="center" wrapText="1"/>
    </xf>
    <xf numFmtId="0" fontId="12" fillId="5" borderId="0" xfId="0" applyFont="1" applyFill="1"/>
    <xf numFmtId="0" fontId="5" fillId="6" borderId="13" xfId="0" applyFont="1" applyFill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center"/>
    </xf>
    <xf numFmtId="0" fontId="10" fillId="4" borderId="2" xfId="0" quotePrefix="1" applyFont="1" applyFill="1" applyBorder="1" applyAlignment="1">
      <alignment horizontal="centerContinuous" vertical="center" wrapText="1"/>
    </xf>
    <xf numFmtId="0" fontId="10" fillId="4" borderId="3" xfId="0" quotePrefix="1" applyFont="1" applyFill="1" applyBorder="1" applyAlignment="1">
      <alignment horizontal="centerContinuous" vertical="center" wrapText="1"/>
    </xf>
    <xf numFmtId="0" fontId="10" fillId="4" borderId="4" xfId="0" applyFont="1" applyFill="1" applyBorder="1" applyAlignment="1">
      <alignment horizontal="centerContinuous" vertical="center" wrapText="1"/>
    </xf>
    <xf numFmtId="166" fontId="4" fillId="0" borderId="1" xfId="0" applyNumberFormat="1" applyFont="1" applyBorder="1" applyAlignment="1">
      <alignment horizontal="center" vertical="center"/>
    </xf>
    <xf numFmtId="0" fontId="10" fillId="4" borderId="20" xfId="0" applyFont="1" applyFill="1" applyBorder="1" applyAlignment="1">
      <alignment horizontal="centerContinuous" vertical="center" wrapText="1"/>
    </xf>
    <xf numFmtId="166" fontId="4" fillId="8" borderId="1" xfId="0" applyNumberFormat="1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 wrapText="1"/>
    </xf>
    <xf numFmtId="1" fontId="4" fillId="0" borderId="21" xfId="0" applyNumberFormat="1" applyFont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5" fillId="6" borderId="24" xfId="0" applyFont="1" applyFill="1" applyBorder="1" applyAlignment="1">
      <alignment horizontal="center"/>
    </xf>
    <xf numFmtId="9" fontId="5" fillId="6" borderId="24" xfId="1" applyFont="1" applyFill="1" applyBorder="1" applyAlignment="1">
      <alignment horizont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6" xfId="0" applyFont="1" applyBorder="1" applyAlignment="1">
      <alignment horizontal="left" vertical="center"/>
    </xf>
    <xf numFmtId="166" fontId="10" fillId="0" borderId="0" xfId="0" applyNumberFormat="1" applyFont="1" applyAlignment="1">
      <alignment horizontal="center" vertical="center"/>
    </xf>
    <xf numFmtId="166" fontId="4" fillId="0" borderId="6" xfId="0" applyNumberFormat="1" applyFont="1" applyBorder="1" applyAlignment="1">
      <alignment horizontal="center" vertical="center"/>
    </xf>
    <xf numFmtId="166" fontId="4" fillId="0" borderId="9" xfId="0" applyNumberFormat="1" applyFont="1" applyBorder="1" applyAlignment="1">
      <alignment horizontal="center" vertical="center"/>
    </xf>
    <xf numFmtId="2" fontId="10" fillId="0" borderId="0" xfId="0" applyNumberFormat="1" applyFont="1" applyAlignment="1">
      <alignment horizontal="center" vertical="center"/>
    </xf>
    <xf numFmtId="0" fontId="4" fillId="0" borderId="27" xfId="0" applyFont="1" applyBorder="1" applyAlignment="1">
      <alignment horizontal="left" vertical="center"/>
    </xf>
    <xf numFmtId="166" fontId="4" fillId="0" borderId="0" xfId="1" applyNumberFormat="1" applyFont="1" applyAlignment="1">
      <alignment horizontal="center" vertical="center"/>
    </xf>
    <xf numFmtId="166" fontId="11" fillId="7" borderId="1" xfId="0" applyNumberFormat="1" applyFont="1" applyFill="1" applyBorder="1" applyAlignment="1">
      <alignment horizontal="center"/>
    </xf>
    <xf numFmtId="166" fontId="5" fillId="6" borderId="8" xfId="0" applyNumberFormat="1" applyFont="1" applyFill="1" applyBorder="1" applyAlignment="1">
      <alignment horizontal="center" vertical="center"/>
    </xf>
    <xf numFmtId="167" fontId="5" fillId="6" borderId="8" xfId="0" applyNumberFormat="1" applyFont="1" applyFill="1" applyBorder="1" applyAlignment="1">
      <alignment horizontal="center"/>
    </xf>
    <xf numFmtId="167" fontId="9" fillId="7" borderId="8" xfId="0" applyNumberFormat="1" applyFont="1" applyFill="1" applyBorder="1" applyAlignment="1">
      <alignment horizontal="center"/>
    </xf>
    <xf numFmtId="166" fontId="11" fillId="7" borderId="1" xfId="1" applyNumberFormat="1" applyFont="1" applyFill="1" applyBorder="1" applyAlignment="1">
      <alignment horizontal="center"/>
    </xf>
    <xf numFmtId="166" fontId="10" fillId="7" borderId="8" xfId="1" applyNumberFormat="1" applyFont="1" applyFill="1" applyBorder="1" applyAlignment="1">
      <alignment horizontal="center"/>
    </xf>
    <xf numFmtId="167" fontId="11" fillId="7" borderId="6" xfId="0" applyNumberFormat="1" applyFont="1" applyFill="1" applyBorder="1" applyAlignment="1">
      <alignment horizontal="center"/>
    </xf>
    <xf numFmtId="166" fontId="10" fillId="7" borderId="9" xfId="0" applyNumberFormat="1" applyFont="1" applyFill="1" applyBorder="1" applyAlignment="1">
      <alignment horizontal="center"/>
    </xf>
    <xf numFmtId="166" fontId="11" fillId="7" borderId="6" xfId="0" applyNumberFormat="1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 vertical="center"/>
    </xf>
    <xf numFmtId="166" fontId="0" fillId="0" borderId="0" xfId="0" applyNumberFormat="1"/>
    <xf numFmtId="0" fontId="5" fillId="6" borderId="28" xfId="0" quotePrefix="1" applyFont="1" applyFill="1" applyBorder="1" applyAlignment="1">
      <alignment horizontal="centerContinuous" vertical="center" wrapText="1"/>
    </xf>
    <xf numFmtId="0" fontId="10" fillId="4" borderId="29" xfId="0" quotePrefix="1" applyFont="1" applyFill="1" applyBorder="1" applyAlignment="1">
      <alignment horizontal="centerContinuous" vertical="center" wrapText="1"/>
    </xf>
    <xf numFmtId="0" fontId="10" fillId="4" borderId="30" xfId="0" applyFont="1" applyFill="1" applyBorder="1" applyAlignment="1">
      <alignment horizontal="centerContinuous" vertical="center" wrapText="1"/>
    </xf>
    <xf numFmtId="0" fontId="7" fillId="0" borderId="0" xfId="0" applyFont="1" applyAlignment="1">
      <alignment horizontal="right" vertical="center"/>
    </xf>
    <xf numFmtId="0" fontId="5" fillId="6" borderId="31" xfId="0" applyFont="1" applyFill="1" applyBorder="1" applyAlignment="1">
      <alignment horizontal="centerContinuous" vertical="center" wrapText="1"/>
    </xf>
    <xf numFmtId="0" fontId="5" fillId="6" borderId="5" xfId="0" applyFont="1" applyFill="1" applyBorder="1" applyAlignment="1">
      <alignment horizontal="centerContinuous" vertical="center" wrapText="1"/>
    </xf>
    <xf numFmtId="0" fontId="1" fillId="0" borderId="0" xfId="3" applyAlignment="1">
      <alignment horizontal="center" vertical="center"/>
    </xf>
    <xf numFmtId="0" fontId="5" fillId="6" borderId="1" xfId="3" applyFont="1" applyFill="1" applyBorder="1" applyAlignment="1">
      <alignment horizontal="center" vertical="center"/>
    </xf>
    <xf numFmtId="0" fontId="5" fillId="6" borderId="1" xfId="3" applyFont="1" applyFill="1" applyBorder="1" applyAlignment="1">
      <alignment horizontal="center" vertical="center" wrapText="1"/>
    </xf>
    <xf numFmtId="0" fontId="1" fillId="0" borderId="0" xfId="3"/>
    <xf numFmtId="0" fontId="4" fillId="0" borderId="1" xfId="3" applyFont="1" applyBorder="1" applyAlignment="1">
      <alignment horizontal="left" vertical="center"/>
    </xf>
    <xf numFmtId="0" fontId="4" fillId="0" borderId="1" xfId="3" applyFont="1" applyBorder="1" applyAlignment="1">
      <alignment horizontal="center" vertical="center"/>
    </xf>
    <xf numFmtId="164" fontId="4" fillId="0" borderId="1" xfId="3" applyNumberFormat="1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5" fillId="6" borderId="17" xfId="0" applyFont="1" applyFill="1" applyBorder="1" applyAlignment="1">
      <alignment horizontal="center" vertical="center" wrapText="1"/>
    </xf>
    <xf numFmtId="3" fontId="4" fillId="0" borderId="17" xfId="1" applyNumberFormat="1" applyFont="1" applyBorder="1" applyAlignment="1">
      <alignment horizontal="center"/>
    </xf>
    <xf numFmtId="168" fontId="12" fillId="5" borderId="0" xfId="0" applyNumberFormat="1" applyFont="1" applyFill="1" applyAlignment="1">
      <alignment horizontal="center" vertical="center"/>
    </xf>
    <xf numFmtId="0" fontId="12" fillId="0" borderId="0" xfId="0" applyFont="1"/>
    <xf numFmtId="0" fontId="0" fillId="0" borderId="0" xfId="0" applyAlignment="1">
      <alignment horizontal="center" vertical="center"/>
    </xf>
    <xf numFmtId="0" fontId="10" fillId="4" borderId="29" xfId="0" quotePrefix="1" applyFont="1" applyFill="1" applyBorder="1" applyAlignment="1">
      <alignment horizontal="center" vertical="center" wrapText="1"/>
    </xf>
    <xf numFmtId="9" fontId="10" fillId="4" borderId="1" xfId="1" applyFont="1" applyFill="1" applyBorder="1" applyAlignment="1">
      <alignment horizontal="center" vertical="top" wrapText="1"/>
    </xf>
    <xf numFmtId="2" fontId="4" fillId="0" borderId="6" xfId="0" applyNumberFormat="1" applyFont="1" applyBorder="1" applyAlignment="1">
      <alignment horizontal="center" vertical="center"/>
    </xf>
    <xf numFmtId="2" fontId="4" fillId="0" borderId="9" xfId="0" applyNumberFormat="1" applyFont="1" applyBorder="1" applyAlignment="1">
      <alignment horizontal="center" vertical="center"/>
    </xf>
    <xf numFmtId="3" fontId="4" fillId="0" borderId="32" xfId="1" applyNumberFormat="1" applyFont="1" applyFill="1" applyBorder="1" applyAlignment="1">
      <alignment horizontal="center"/>
    </xf>
    <xf numFmtId="0" fontId="4" fillId="0" borderId="1" xfId="0" applyFont="1" applyBorder="1"/>
    <xf numFmtId="2" fontId="11" fillId="7" borderId="1" xfId="0" applyNumberFormat="1" applyFont="1" applyFill="1" applyBorder="1" applyAlignment="1">
      <alignment horizontal="center"/>
    </xf>
    <xf numFmtId="2" fontId="9" fillId="7" borderId="8" xfId="0" applyNumberFormat="1" applyFont="1" applyFill="1" applyBorder="1" applyAlignment="1">
      <alignment horizontal="center"/>
    </xf>
    <xf numFmtId="2" fontId="11" fillId="7" borderId="1" xfId="1" applyNumberFormat="1" applyFont="1" applyFill="1" applyBorder="1" applyAlignment="1">
      <alignment horizontal="center"/>
    </xf>
    <xf numFmtId="2" fontId="10" fillId="7" borderId="8" xfId="1" applyNumberFormat="1" applyFont="1" applyFill="1" applyBorder="1" applyAlignment="1">
      <alignment horizontal="center"/>
    </xf>
    <xf numFmtId="2" fontId="5" fillId="6" borderId="8" xfId="0" applyNumberFormat="1" applyFont="1" applyFill="1" applyBorder="1" applyAlignment="1">
      <alignment horizontal="center" vertical="center"/>
    </xf>
    <xf numFmtId="2" fontId="5" fillId="6" borderId="8" xfId="0" applyNumberFormat="1" applyFont="1" applyFill="1" applyBorder="1" applyAlignment="1">
      <alignment horizontal="center"/>
    </xf>
    <xf numFmtId="0" fontId="15" fillId="0" borderId="0" xfId="4"/>
    <xf numFmtId="0" fontId="3" fillId="6" borderId="2" xfId="0" applyFont="1" applyFill="1" applyBorder="1" applyAlignment="1">
      <alignment horizontal="center" vertical="center"/>
    </xf>
    <xf numFmtId="0" fontId="3" fillId="6" borderId="23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3" fontId="5" fillId="6" borderId="2" xfId="0" applyNumberFormat="1" applyFont="1" applyFill="1" applyBorder="1" applyAlignment="1">
      <alignment horizontal="center" vertical="center"/>
    </xf>
    <xf numFmtId="3" fontId="5" fillId="6" borderId="3" xfId="0" applyNumberFormat="1" applyFont="1" applyFill="1" applyBorder="1" applyAlignment="1">
      <alignment horizontal="center" vertical="center"/>
    </xf>
    <xf numFmtId="3" fontId="5" fillId="6" borderId="4" xfId="0" applyNumberFormat="1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5" xfId="0" applyFont="1" applyFill="1" applyBorder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</cellXfs>
  <cellStyles count="5">
    <cellStyle name="Hiperlink" xfId="4" builtinId="8"/>
    <cellStyle name="Normal" xfId="0" builtinId="0"/>
    <cellStyle name="Normal 2" xfId="3" xr:uid="{230503CD-7615-4DA9-9B6A-B587779F0240}"/>
    <cellStyle name="Porcentagem" xfId="1" builtinId="5"/>
    <cellStyle name="Vírgula 2" xfId="2" xr:uid="{710BC258-7287-4DC2-B58C-3B0CD22B177B}"/>
  </cellStyles>
  <dxfs count="6">
    <dxf>
      <fill>
        <patternFill>
          <bgColor rgb="FFFF0000"/>
        </patternFill>
      </fill>
    </dxf>
    <dxf>
      <fill>
        <patternFill>
          <bgColor rgb="FFFF9B9B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0.39994506668294322"/>
        </patternFill>
      </fill>
    </dxf>
  </dxfs>
  <tableStyles count="0" defaultTableStyle="TableStyleMedium2" defaultPivotStyle="PivotStyleLight16"/>
  <colors>
    <mruColors>
      <color rgb="FFFF9B9B"/>
      <color rgb="FFFF9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677068</xdr:colOff>
      <xdr:row>3</xdr:row>
      <xdr:rowOff>213451</xdr:rowOff>
    </xdr:from>
    <xdr:to>
      <xdr:col>3</xdr:col>
      <xdr:colOff>66671</xdr:colOff>
      <xdr:row>6</xdr:row>
      <xdr:rowOff>141243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9FDD53BD-68DE-462A-9B93-93DF8E1236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301" r="4309"/>
        <a:stretch/>
      </xdr:blipFill>
      <xdr:spPr bwMode="auto">
        <a:xfrm>
          <a:off x="748506" y="808764"/>
          <a:ext cx="812796" cy="648517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181558</xdr:colOff>
      <xdr:row>0</xdr:row>
      <xdr:rowOff>119854</xdr:rowOff>
    </xdr:from>
    <xdr:to>
      <xdr:col>3</xdr:col>
      <xdr:colOff>568532</xdr:colOff>
      <xdr:row>3</xdr:row>
      <xdr:rowOff>169227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01F5305F-4575-407B-A6DF-C65435153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2996" y="119854"/>
          <a:ext cx="1803817" cy="644686"/>
        </a:xfrm>
        <a:prstGeom prst="rect">
          <a:avLst/>
        </a:prstGeom>
      </xdr:spPr>
    </xdr:pic>
    <xdr:clientData/>
  </xdr:twoCellAnchor>
  <xdr:twoCellAnchor editAs="absolute">
    <xdr:from>
      <xdr:col>3</xdr:col>
      <xdr:colOff>696914</xdr:colOff>
      <xdr:row>0</xdr:row>
      <xdr:rowOff>93985</xdr:rowOff>
    </xdr:from>
    <xdr:to>
      <xdr:col>75</xdr:col>
      <xdr:colOff>97631</xdr:colOff>
      <xdr:row>2</xdr:row>
      <xdr:rowOff>130972</xdr:rowOff>
    </xdr:to>
    <xdr:sp macro="" textlink="">
      <xdr:nvSpPr>
        <xdr:cNvPr id="2" name="CaixaDeTexto 4">
          <a:extLst>
            <a:ext uri="{FF2B5EF4-FFF2-40B4-BE49-F238E27FC236}">
              <a16:creationId xmlns:a16="http://schemas.microsoft.com/office/drawing/2014/main" id="{AACD6165-4188-42A3-BCB4-C1E3728DEF33}"/>
            </a:ext>
          </a:extLst>
        </xdr:cNvPr>
        <xdr:cNvSpPr txBox="1"/>
      </xdr:nvSpPr>
      <xdr:spPr>
        <a:xfrm>
          <a:off x="2176464" y="93985"/>
          <a:ext cx="7462836" cy="465612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800">
              <a:solidFill>
                <a:sysClr val="windowText" lastClr="000000"/>
              </a:solidFill>
              <a:latin typeface="Arial Black" panose="020B0A04020102020204" pitchFamily="34" charset="0"/>
            </a:rPr>
            <a:t>LOJA PERFEITA 360</a:t>
          </a:r>
        </a:p>
      </xdr:txBody>
    </xdr:sp>
    <xdr:clientData/>
  </xdr:twoCellAnchor>
  <xdr:twoCellAnchor editAs="oneCell">
    <xdr:from>
      <xdr:col>1</xdr:col>
      <xdr:colOff>127792</xdr:colOff>
      <xdr:row>6</xdr:row>
      <xdr:rowOff>166686</xdr:rowOff>
    </xdr:from>
    <xdr:to>
      <xdr:col>3</xdr:col>
      <xdr:colOff>622298</xdr:colOff>
      <xdr:row>11</xdr:row>
      <xdr:rowOff>59744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56921D2-A22B-4B3A-84AD-94DA8C7DC6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031" t="20438" r="2867" b="22201"/>
        <a:stretch/>
      </xdr:blipFill>
      <xdr:spPr>
        <a:xfrm>
          <a:off x="199230" y="1476374"/>
          <a:ext cx="1911349" cy="7455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351632</xdr:colOff>
      <xdr:row>1</xdr:row>
      <xdr:rowOff>15079</xdr:rowOff>
    </xdr:from>
    <xdr:ext cx="893555" cy="607363"/>
    <xdr:pic>
      <xdr:nvPicPr>
        <xdr:cNvPr id="8" name="Picture 3">
          <a:extLst>
            <a:ext uri="{FF2B5EF4-FFF2-40B4-BE49-F238E27FC236}">
              <a16:creationId xmlns:a16="http://schemas.microsoft.com/office/drawing/2014/main" id="{B8392D07-9622-45C3-A785-4BF9B6048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6632" y="193673"/>
          <a:ext cx="893555" cy="607363"/>
        </a:xfrm>
        <a:prstGeom prst="rect">
          <a:avLst/>
        </a:prstGeom>
        <a:ln>
          <a:noFill/>
        </a:ln>
        <a:effectLst>
          <a:outerShdw blurRad="292100" dist="139700" dir="2700000" algn="tl" rotWithShape="0">
            <a:srgbClr val="333333">
              <a:alpha val="65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8731</xdr:colOff>
      <xdr:row>0</xdr:row>
      <xdr:rowOff>96837</xdr:rowOff>
    </xdr:from>
    <xdr:to>
      <xdr:col>3</xdr:col>
      <xdr:colOff>236855</xdr:colOff>
      <xdr:row>3</xdr:row>
      <xdr:rowOff>169348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97C419CC-9946-4213-866B-444CA74C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075" y="96837"/>
          <a:ext cx="2054225" cy="70735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62703</xdr:colOff>
      <xdr:row>0</xdr:row>
      <xdr:rowOff>75051</xdr:rowOff>
    </xdr:from>
    <xdr:to>
      <xdr:col>2</xdr:col>
      <xdr:colOff>586581</xdr:colOff>
      <xdr:row>3</xdr:row>
      <xdr:rowOff>112710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67D6BDA6-8169-4723-B614-E7F57DE2E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703" y="75051"/>
          <a:ext cx="2017716" cy="680597"/>
        </a:xfrm>
        <a:prstGeom prst="rect">
          <a:avLst/>
        </a:prstGeom>
      </xdr:spPr>
    </xdr:pic>
    <xdr:clientData/>
  </xdr:twoCellAnchor>
  <xdr:twoCellAnchor>
    <xdr:from>
      <xdr:col>13</xdr:col>
      <xdr:colOff>446881</xdr:colOff>
      <xdr:row>3</xdr:row>
      <xdr:rowOff>23812</xdr:rowOff>
    </xdr:from>
    <xdr:to>
      <xdr:col>13</xdr:col>
      <xdr:colOff>711200</xdr:colOff>
      <xdr:row>3</xdr:row>
      <xdr:rowOff>181769</xdr:rowOff>
    </xdr:to>
    <xdr:sp macro="" textlink="">
      <xdr:nvSpPr>
        <xdr:cNvPr id="3" name="Seta: para a Direita 2">
          <a:extLst>
            <a:ext uri="{FF2B5EF4-FFF2-40B4-BE49-F238E27FC236}">
              <a16:creationId xmlns:a16="http://schemas.microsoft.com/office/drawing/2014/main" id="{EBEA6A3C-FBCC-4509-991C-1D489BEB756C}"/>
            </a:ext>
          </a:extLst>
        </xdr:cNvPr>
        <xdr:cNvSpPr/>
      </xdr:nvSpPr>
      <xdr:spPr>
        <a:xfrm>
          <a:off x="14365287" y="845343"/>
          <a:ext cx="267494" cy="154782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34</xdr:col>
      <xdr:colOff>446881</xdr:colOff>
      <xdr:row>3</xdr:row>
      <xdr:rowOff>23812</xdr:rowOff>
    </xdr:from>
    <xdr:to>
      <xdr:col>34</xdr:col>
      <xdr:colOff>711200</xdr:colOff>
      <xdr:row>3</xdr:row>
      <xdr:rowOff>181769</xdr:rowOff>
    </xdr:to>
    <xdr:sp macro="" textlink="">
      <xdr:nvSpPr>
        <xdr:cNvPr id="7" name="Seta: para a Direita 6">
          <a:extLst>
            <a:ext uri="{FF2B5EF4-FFF2-40B4-BE49-F238E27FC236}">
              <a16:creationId xmlns:a16="http://schemas.microsoft.com/office/drawing/2014/main" id="{6B86E63C-17C9-4311-86F2-B6BABCFDC5EF}"/>
            </a:ext>
          </a:extLst>
        </xdr:cNvPr>
        <xdr:cNvSpPr/>
      </xdr:nvSpPr>
      <xdr:spPr>
        <a:xfrm>
          <a:off x="14368462" y="848518"/>
          <a:ext cx="261144" cy="154782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57</xdr:col>
      <xdr:colOff>446881</xdr:colOff>
      <xdr:row>3</xdr:row>
      <xdr:rowOff>23812</xdr:rowOff>
    </xdr:from>
    <xdr:to>
      <xdr:col>57</xdr:col>
      <xdr:colOff>714375</xdr:colOff>
      <xdr:row>3</xdr:row>
      <xdr:rowOff>178594</xdr:rowOff>
    </xdr:to>
    <xdr:sp macro="" textlink="">
      <xdr:nvSpPr>
        <xdr:cNvPr id="9" name="Seta: para a Direita 8">
          <a:extLst>
            <a:ext uri="{FF2B5EF4-FFF2-40B4-BE49-F238E27FC236}">
              <a16:creationId xmlns:a16="http://schemas.microsoft.com/office/drawing/2014/main" id="{B5EA74CC-1F7C-4032-A7EC-8340A02B9AA2}"/>
            </a:ext>
          </a:extLst>
        </xdr:cNvPr>
        <xdr:cNvSpPr/>
      </xdr:nvSpPr>
      <xdr:spPr>
        <a:xfrm>
          <a:off x="14368462" y="848518"/>
          <a:ext cx="264319" cy="151607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81</xdr:col>
      <xdr:colOff>354806</xdr:colOff>
      <xdr:row>3</xdr:row>
      <xdr:rowOff>15081</xdr:rowOff>
    </xdr:from>
    <xdr:to>
      <xdr:col>81</xdr:col>
      <xdr:colOff>612775</xdr:colOff>
      <xdr:row>3</xdr:row>
      <xdr:rowOff>166688</xdr:rowOff>
    </xdr:to>
    <xdr:sp macro="" textlink="">
      <xdr:nvSpPr>
        <xdr:cNvPr id="10" name="Seta: para a Direita 9">
          <a:extLst>
            <a:ext uri="{FF2B5EF4-FFF2-40B4-BE49-F238E27FC236}">
              <a16:creationId xmlns:a16="http://schemas.microsoft.com/office/drawing/2014/main" id="{BF52D99A-9D8B-4374-863B-5C42F1597748}"/>
            </a:ext>
          </a:extLst>
        </xdr:cNvPr>
        <xdr:cNvSpPr/>
      </xdr:nvSpPr>
      <xdr:spPr>
        <a:xfrm>
          <a:off x="84020025" y="836612"/>
          <a:ext cx="261144" cy="154782"/>
        </a:xfrm>
        <a:prstGeom prst="rightArrow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absolute">
    <xdr:from>
      <xdr:col>5</xdr:col>
      <xdr:colOff>285752</xdr:colOff>
      <xdr:row>1</xdr:row>
      <xdr:rowOff>20638</xdr:rowOff>
    </xdr:from>
    <xdr:to>
      <xdr:col>10</xdr:col>
      <xdr:colOff>796926</xdr:colOff>
      <xdr:row>3</xdr:row>
      <xdr:rowOff>30161</xdr:rowOff>
    </xdr:to>
    <xdr:sp macro="" textlink="">
      <xdr:nvSpPr>
        <xdr:cNvPr id="11" name="CaixaDeTexto 4">
          <a:extLst>
            <a:ext uri="{FF2B5EF4-FFF2-40B4-BE49-F238E27FC236}">
              <a16:creationId xmlns:a16="http://schemas.microsoft.com/office/drawing/2014/main" id="{D4D543CB-A6E8-4556-B3DC-61DC7D79B0C6}"/>
            </a:ext>
          </a:extLst>
        </xdr:cNvPr>
        <xdr:cNvSpPr txBox="1"/>
      </xdr:nvSpPr>
      <xdr:spPr>
        <a:xfrm>
          <a:off x="4036221" y="187326"/>
          <a:ext cx="3118642" cy="485773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txBody>
        <a:bodyPr wrap="square" rtlCol="0" anchor="ctr">
          <a:noAutofit/>
        </a:bodyPr>
        <a:lstStyle>
          <a:defPPr>
            <a:defRPr lang="pt-BR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pt-BR" sz="1800">
              <a:solidFill>
                <a:sysClr val="windowText" lastClr="000000"/>
              </a:solidFill>
              <a:latin typeface="Arial Black" panose="020B0A04020102020204" pitchFamily="34" charset="0"/>
            </a:rPr>
            <a:t>LOJA PERFEITA 360</a:t>
          </a:r>
        </a:p>
      </xdr:txBody>
    </xdr:sp>
    <xdr:clientData/>
  </xdr:twoCellAnchor>
  <xdr:twoCellAnchor editAs="oneCell">
    <xdr:from>
      <xdr:col>2</xdr:col>
      <xdr:colOff>654844</xdr:colOff>
      <xdr:row>1</xdr:row>
      <xdr:rowOff>20638</xdr:rowOff>
    </xdr:from>
    <xdr:to>
      <xdr:col>5</xdr:col>
      <xdr:colOff>244475</xdr:colOff>
      <xdr:row>3</xdr:row>
      <xdr:rowOff>74420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5191303-ACAF-4A81-8F13-19155A57D3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32" t="40333" r="10237" b="20014"/>
        <a:stretch/>
      </xdr:blipFill>
      <xdr:spPr>
        <a:xfrm>
          <a:off x="2071688" y="187326"/>
          <a:ext cx="1768475" cy="5300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portal.loja360.app/aut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FC9A7-9DD2-438E-BF81-3B2FB9B55893}">
  <sheetPr>
    <pageSetUpPr fitToPage="1"/>
  </sheetPr>
  <dimension ref="B1:CP23947"/>
  <sheetViews>
    <sheetView showGridLines="0" tabSelected="1" zoomScaleNormal="100" workbookViewId="0">
      <selection activeCell="E4" sqref="E4:E5"/>
    </sheetView>
  </sheetViews>
  <sheetFormatPr defaultColWidth="9.26953125" defaultRowHeight="13" zeroHeight="1" outlineLevelCol="1" x14ac:dyDescent="0.3"/>
  <cols>
    <col min="1" max="1" width="1" style="1" customWidth="1"/>
    <col min="2" max="2" width="15.7265625" style="1" bestFit="1" customWidth="1"/>
    <col min="3" max="3" width="5.54296875" style="1" bestFit="1" customWidth="1"/>
    <col min="4" max="4" width="10.54296875" style="1" customWidth="1"/>
    <col min="5" max="5" width="31.7265625" style="1" bestFit="1" customWidth="1"/>
    <col min="6" max="6" width="6.54296875" style="1" customWidth="1"/>
    <col min="7" max="7" width="8.7265625" style="1" hidden="1" customWidth="1"/>
    <col min="8" max="8" width="9.7265625" style="1" hidden="1" customWidth="1" outlineLevel="1"/>
    <col min="9" max="9" width="8" style="1" hidden="1" customWidth="1" outlineLevel="1"/>
    <col min="10" max="10" width="7.1796875" style="1" hidden="1" customWidth="1" outlineLevel="1"/>
    <col min="11" max="11" width="9" style="1" hidden="1" customWidth="1" outlineLevel="1"/>
    <col min="12" max="12" width="7.54296875" style="1" hidden="1" customWidth="1" outlineLevel="1"/>
    <col min="13" max="13" width="9" style="1" hidden="1" customWidth="1" outlineLevel="1"/>
    <col min="14" max="14" width="6.81640625" style="1" hidden="1" customWidth="1" outlineLevel="1"/>
    <col min="15" max="15" width="7.26953125" style="1" hidden="1" customWidth="1" outlineLevel="1"/>
    <col min="16" max="16" width="7.7265625" style="1" hidden="1" customWidth="1" outlineLevel="1"/>
    <col min="17" max="17" width="7.54296875" style="1" hidden="1" customWidth="1" outlineLevel="1"/>
    <col min="18" max="18" width="9.26953125" style="1" hidden="1" customWidth="1" outlineLevel="1"/>
    <col min="19" max="19" width="8" style="1" hidden="1" customWidth="1" outlineLevel="1"/>
    <col min="20" max="20" width="6.81640625" style="1" hidden="1" customWidth="1" outlineLevel="1"/>
    <col min="21" max="21" width="8.26953125" style="1" hidden="1" customWidth="1" outlineLevel="1"/>
    <col min="22" max="22" width="7.54296875" style="1" hidden="1" customWidth="1" outlineLevel="1"/>
    <col min="23" max="23" width="9.7265625" style="1" hidden="1" customWidth="1" outlineLevel="1"/>
    <col min="24" max="24" width="7" style="1" hidden="1" customWidth="1" outlineLevel="1"/>
    <col min="25" max="25" width="8" style="1" hidden="1" customWidth="1" outlineLevel="1"/>
    <col min="26" max="26" width="8.26953125" style="1" hidden="1" customWidth="1" outlineLevel="1"/>
    <col min="27" max="27" width="8" style="1" hidden="1" customWidth="1" outlineLevel="1" collapsed="1"/>
    <col min="28" max="28" width="9.7265625" style="1" hidden="1" customWidth="1" outlineLevel="1"/>
    <col min="29" max="29" width="8" style="1" hidden="1" customWidth="1" outlineLevel="1"/>
    <col min="30" max="30" width="7.1796875" style="1" hidden="1" customWidth="1" outlineLevel="1"/>
    <col min="31" max="31" width="9" style="1" hidden="1" customWidth="1" outlineLevel="1"/>
    <col min="32" max="32" width="7.54296875" style="1" hidden="1" customWidth="1" outlineLevel="1"/>
    <col min="33" max="33" width="9" style="1" hidden="1" customWidth="1" outlineLevel="1"/>
    <col min="34" max="34" width="6.26953125" style="1" hidden="1" customWidth="1" outlineLevel="1"/>
    <col min="35" max="35" width="7.26953125" style="1" hidden="1" customWidth="1" outlineLevel="1"/>
    <col min="36" max="36" width="7.7265625" style="1" hidden="1" customWidth="1" outlineLevel="1"/>
    <col min="37" max="37" width="7.54296875" style="1" hidden="1" customWidth="1" outlineLevel="1"/>
    <col min="38" max="38" width="9.26953125" style="1" hidden="1" customWidth="1" outlineLevel="1"/>
    <col min="39" max="39" width="8" style="1" hidden="1" customWidth="1" outlineLevel="1"/>
    <col min="40" max="40" width="6.81640625" style="1" hidden="1" customWidth="1" outlineLevel="1"/>
    <col min="41" max="41" width="8.26953125" style="1" hidden="1" customWidth="1" outlineLevel="1"/>
    <col min="42" max="42" width="7.54296875" style="1" hidden="1" customWidth="1" outlineLevel="1"/>
    <col min="43" max="43" width="9.7265625" style="1" hidden="1" customWidth="1" outlineLevel="1"/>
    <col min="44" max="44" width="7" style="1" hidden="1" customWidth="1" outlineLevel="1"/>
    <col min="45" max="45" width="3.26953125" style="1" hidden="1" customWidth="1" outlineLevel="1"/>
    <col min="46" max="46" width="7.1796875" style="1" hidden="1" customWidth="1" outlineLevel="1"/>
    <col min="47" max="47" width="8" style="1" hidden="1" customWidth="1" outlineLevel="1" collapsed="1"/>
    <col min="48" max="48" width="10.1796875" style="1" hidden="1" customWidth="1" outlineLevel="1"/>
    <col min="49" max="50" width="8.54296875" style="1" hidden="1" customWidth="1" outlineLevel="1"/>
    <col min="51" max="51" width="9" style="1" hidden="1" customWidth="1" outlineLevel="1"/>
    <col min="52" max="52" width="7.54296875" style="1" hidden="1" customWidth="1" outlineLevel="1"/>
    <col min="53" max="53" width="9.26953125" style="1" hidden="1" customWidth="1" outlineLevel="1"/>
    <col min="54" max="55" width="7.7265625" style="1" hidden="1" customWidth="1" outlineLevel="1"/>
    <col min="56" max="56" width="8.26953125" style="1" hidden="1" customWidth="1" outlineLevel="1"/>
    <col min="57" max="57" width="7.54296875" style="1" hidden="1" customWidth="1" outlineLevel="1"/>
    <col min="58" max="58" width="9.7265625" style="1" hidden="1" customWidth="1" outlineLevel="1"/>
    <col min="59" max="60" width="7.7265625" style="1" hidden="1" customWidth="1" outlineLevel="1"/>
    <col min="61" max="61" width="8.26953125" style="1" hidden="1" customWidth="1" outlineLevel="1"/>
    <col min="62" max="62" width="7.54296875" style="1" hidden="1" customWidth="1" outlineLevel="1"/>
    <col min="63" max="63" width="9.7265625" style="1" hidden="1" customWidth="1" outlineLevel="1"/>
    <col min="64" max="65" width="7.7265625" style="1" hidden="1" customWidth="1" outlineLevel="1"/>
    <col min="66" max="66" width="8.26953125" style="1" hidden="1" customWidth="1" outlineLevel="1"/>
    <col min="67" max="67" width="8" style="1" customWidth="1" collapsed="1"/>
    <col min="68" max="68" width="9.7265625" style="1" customWidth="1"/>
    <col min="69" max="70" width="7" style="1" customWidth="1"/>
    <col min="71" max="71" width="9" style="1" customWidth="1"/>
    <col min="72" max="72" width="7.54296875" style="1" customWidth="1"/>
    <col min="73" max="73" width="9.26953125" style="1" customWidth="1"/>
    <col min="74" max="75" width="7.1796875" style="1" customWidth="1"/>
    <col min="76" max="76" width="8.26953125" style="1" customWidth="1"/>
    <col min="77" max="77" width="7.54296875" style="1" customWidth="1" collapsed="1"/>
    <col min="78" max="78" width="9.7265625" style="1" customWidth="1"/>
    <col min="79" max="80" width="7.1796875" style="1" customWidth="1"/>
    <col min="81" max="81" width="8.26953125" style="1" customWidth="1"/>
    <col min="82" max="82" width="7.54296875" style="1" customWidth="1"/>
    <col min="83" max="83" width="9.7265625" style="1" customWidth="1"/>
    <col min="84" max="85" width="7.1796875" style="1" customWidth="1"/>
    <col min="86" max="86" width="8.26953125" style="1" customWidth="1"/>
    <col min="87" max="92" width="9.26953125" style="1"/>
    <col min="93" max="93" width="9.26953125" style="1" customWidth="1"/>
    <col min="94" max="94" width="9.26953125" style="1"/>
    <col min="95" max="95" width="9.26953125" style="1" customWidth="1"/>
    <col min="96" max="16384" width="9.26953125" style="1"/>
  </cols>
  <sheetData>
    <row r="1" spans="2:94" ht="19.149999999999999" customHeight="1" x14ac:dyDescent="0.3"/>
    <row r="2" spans="2:94" ht="15.4" customHeight="1" x14ac:dyDescent="0.3"/>
    <row r="3" spans="2:94" ht="13.5" thickBot="1" x14ac:dyDescent="0.35"/>
    <row r="4" spans="2:94" ht="18.75" customHeight="1" x14ac:dyDescent="0.3">
      <c r="E4" s="165" t="s">
        <v>0</v>
      </c>
      <c r="F4" s="165" t="s">
        <v>13</v>
      </c>
      <c r="G4" s="154" t="s">
        <v>406</v>
      </c>
      <c r="H4" s="154"/>
      <c r="I4" s="154"/>
      <c r="J4" s="154"/>
      <c r="K4" s="155"/>
      <c r="L4" s="153" t="s">
        <v>170</v>
      </c>
      <c r="M4" s="154"/>
      <c r="N4" s="155"/>
      <c r="O4" s="155"/>
      <c r="P4" s="155"/>
      <c r="Q4" s="153" t="s">
        <v>171</v>
      </c>
      <c r="R4" s="154"/>
      <c r="S4" s="155"/>
      <c r="T4" s="155"/>
      <c r="U4" s="155"/>
      <c r="V4" s="153" t="s">
        <v>172</v>
      </c>
      <c r="W4" s="154"/>
      <c r="X4" s="155"/>
      <c r="Y4" s="155"/>
      <c r="Z4" s="155"/>
      <c r="AA4" s="153" t="s">
        <v>407</v>
      </c>
      <c r="AB4" s="154"/>
      <c r="AC4" s="154"/>
      <c r="AD4" s="154"/>
      <c r="AE4" s="155"/>
      <c r="AF4" s="153" t="s">
        <v>18</v>
      </c>
      <c r="AG4" s="154"/>
      <c r="AH4" s="155"/>
      <c r="AI4" s="155"/>
      <c r="AJ4" s="155"/>
      <c r="AK4" s="153" t="s">
        <v>19</v>
      </c>
      <c r="AL4" s="154"/>
      <c r="AM4" s="155"/>
      <c r="AN4" s="155"/>
      <c r="AO4" s="155"/>
      <c r="AP4" s="153" t="s">
        <v>20</v>
      </c>
      <c r="AQ4" s="154"/>
      <c r="AR4" s="155"/>
      <c r="AS4" s="155"/>
      <c r="AT4" s="155"/>
      <c r="AU4" s="153" t="s">
        <v>410</v>
      </c>
      <c r="AV4" s="154"/>
      <c r="AW4" s="154"/>
      <c r="AX4" s="154"/>
      <c r="AY4" s="155"/>
      <c r="AZ4" s="153" t="s">
        <v>113</v>
      </c>
      <c r="BA4" s="154"/>
      <c r="BB4" s="155"/>
      <c r="BC4" s="155"/>
      <c r="BD4" s="155"/>
      <c r="BE4" s="153" t="s">
        <v>114</v>
      </c>
      <c r="BF4" s="154"/>
      <c r="BG4" s="155"/>
      <c r="BH4" s="155"/>
      <c r="BI4" s="155"/>
      <c r="BJ4" s="153" t="s">
        <v>115</v>
      </c>
      <c r="BK4" s="154"/>
      <c r="BL4" s="155"/>
      <c r="BM4" s="155"/>
      <c r="BN4" s="164"/>
      <c r="BO4" s="153" t="s">
        <v>409</v>
      </c>
      <c r="BP4" s="154"/>
      <c r="BQ4" s="154"/>
      <c r="BR4" s="154"/>
      <c r="BS4" s="155"/>
      <c r="BT4" s="153" t="s">
        <v>127</v>
      </c>
      <c r="BU4" s="154"/>
      <c r="BV4" s="155"/>
      <c r="BW4" s="155"/>
      <c r="BX4" s="155"/>
      <c r="BY4" s="153" t="s">
        <v>128</v>
      </c>
      <c r="BZ4" s="154"/>
      <c r="CA4" s="155"/>
      <c r="CB4" s="155"/>
      <c r="CC4" s="155"/>
      <c r="CD4" s="153" t="s">
        <v>129</v>
      </c>
      <c r="CE4" s="154"/>
      <c r="CF4" s="155"/>
      <c r="CG4" s="155"/>
      <c r="CH4" s="164"/>
    </row>
    <row r="5" spans="2:94" ht="21.75" customHeight="1" x14ac:dyDescent="0.3">
      <c r="E5" s="166"/>
      <c r="F5" s="166"/>
      <c r="G5" s="135" t="s">
        <v>108</v>
      </c>
      <c r="H5" s="17" t="s">
        <v>123</v>
      </c>
      <c r="I5" s="17" t="s">
        <v>120</v>
      </c>
      <c r="J5" s="96" t="s">
        <v>126</v>
      </c>
      <c r="K5" s="17" t="s">
        <v>125</v>
      </c>
      <c r="L5" s="76" t="s">
        <v>108</v>
      </c>
      <c r="M5" s="67" t="s">
        <v>123</v>
      </c>
      <c r="N5" s="24" t="s">
        <v>120</v>
      </c>
      <c r="O5" s="70" t="s">
        <v>126</v>
      </c>
      <c r="P5" s="79" t="s">
        <v>125</v>
      </c>
      <c r="Q5" s="76" t="s">
        <v>108</v>
      </c>
      <c r="R5" s="67" t="s">
        <v>123</v>
      </c>
      <c r="S5" s="24" t="s">
        <v>120</v>
      </c>
      <c r="T5" s="70" t="s">
        <v>126</v>
      </c>
      <c r="U5" s="79" t="s">
        <v>125</v>
      </c>
      <c r="V5" s="76" t="s">
        <v>108</v>
      </c>
      <c r="W5" s="67" t="s">
        <v>123</v>
      </c>
      <c r="X5" s="24" t="s">
        <v>120</v>
      </c>
      <c r="Y5" s="70" t="s">
        <v>126</v>
      </c>
      <c r="Z5" s="79" t="s">
        <v>125</v>
      </c>
      <c r="AA5" s="22" t="s">
        <v>108</v>
      </c>
      <c r="AB5" s="17" t="s">
        <v>123</v>
      </c>
      <c r="AC5" s="17" t="s">
        <v>120</v>
      </c>
      <c r="AD5" s="96" t="s">
        <v>126</v>
      </c>
      <c r="AE5" s="17" t="s">
        <v>125</v>
      </c>
      <c r="AF5" s="76" t="s">
        <v>108</v>
      </c>
      <c r="AG5" s="67" t="s">
        <v>123</v>
      </c>
      <c r="AH5" s="24" t="s">
        <v>120</v>
      </c>
      <c r="AI5" s="70" t="s">
        <v>126</v>
      </c>
      <c r="AJ5" s="79" t="s">
        <v>125</v>
      </c>
      <c r="AK5" s="76" t="s">
        <v>108</v>
      </c>
      <c r="AL5" s="67" t="s">
        <v>123</v>
      </c>
      <c r="AM5" s="24" t="s">
        <v>120</v>
      </c>
      <c r="AN5" s="70" t="s">
        <v>126</v>
      </c>
      <c r="AO5" s="79" t="s">
        <v>125</v>
      </c>
      <c r="AP5" s="76" t="s">
        <v>108</v>
      </c>
      <c r="AQ5" s="67" t="s">
        <v>123</v>
      </c>
      <c r="AR5" s="24" t="s">
        <v>120</v>
      </c>
      <c r="AS5" s="70" t="s">
        <v>126</v>
      </c>
      <c r="AT5" s="79" t="s">
        <v>125</v>
      </c>
      <c r="AU5" s="22" t="s">
        <v>108</v>
      </c>
      <c r="AV5" s="17" t="s">
        <v>123</v>
      </c>
      <c r="AW5" s="17" t="s">
        <v>120</v>
      </c>
      <c r="AX5" s="96" t="s">
        <v>126</v>
      </c>
      <c r="AY5" s="17" t="s">
        <v>125</v>
      </c>
      <c r="AZ5" s="76" t="s">
        <v>108</v>
      </c>
      <c r="BA5" s="67" t="s">
        <v>123</v>
      </c>
      <c r="BB5" s="24" t="s">
        <v>120</v>
      </c>
      <c r="BC5" s="70" t="s">
        <v>126</v>
      </c>
      <c r="BD5" s="79" t="s">
        <v>125</v>
      </c>
      <c r="BE5" s="76" t="s">
        <v>108</v>
      </c>
      <c r="BF5" s="67" t="s">
        <v>123</v>
      </c>
      <c r="BG5" s="24" t="s">
        <v>120</v>
      </c>
      <c r="BH5" s="70" t="s">
        <v>126</v>
      </c>
      <c r="BI5" s="79" t="s">
        <v>125</v>
      </c>
      <c r="BJ5" s="76" t="s">
        <v>108</v>
      </c>
      <c r="BK5" s="67" t="s">
        <v>123</v>
      </c>
      <c r="BL5" s="24" t="s">
        <v>120</v>
      </c>
      <c r="BM5" s="70" t="s">
        <v>126</v>
      </c>
      <c r="BN5" s="79" t="s">
        <v>125</v>
      </c>
      <c r="BO5" s="22" t="s">
        <v>108</v>
      </c>
      <c r="BP5" s="17" t="s">
        <v>123</v>
      </c>
      <c r="BQ5" s="17" t="s">
        <v>120</v>
      </c>
      <c r="BR5" s="96" t="s">
        <v>126</v>
      </c>
      <c r="BS5" s="17" t="s">
        <v>125</v>
      </c>
      <c r="BT5" s="76" t="s">
        <v>108</v>
      </c>
      <c r="BU5" s="67" t="s">
        <v>123</v>
      </c>
      <c r="BV5" s="24" t="s">
        <v>120</v>
      </c>
      <c r="BW5" s="70" t="s">
        <v>126</v>
      </c>
      <c r="BX5" s="79" t="s">
        <v>125</v>
      </c>
      <c r="BY5" s="76" t="s">
        <v>108</v>
      </c>
      <c r="BZ5" s="67" t="s">
        <v>123</v>
      </c>
      <c r="CA5" s="24" t="s">
        <v>120</v>
      </c>
      <c r="CB5" s="70" t="s">
        <v>126</v>
      </c>
      <c r="CC5" s="79" t="s">
        <v>125</v>
      </c>
      <c r="CD5" s="76" t="s">
        <v>108</v>
      </c>
      <c r="CE5" s="67" t="s">
        <v>123</v>
      </c>
      <c r="CF5" s="24" t="s">
        <v>120</v>
      </c>
      <c r="CG5" s="70" t="s">
        <v>126</v>
      </c>
      <c r="CH5" s="119" t="s">
        <v>125</v>
      </c>
    </row>
    <row r="6" spans="2:94" ht="15.75" customHeight="1" x14ac:dyDescent="0.3">
      <c r="C6" s="5"/>
      <c r="E6" s="145" t="s">
        <v>427</v>
      </c>
      <c r="F6" s="144">
        <f>SUMIF($B:$B,$E6,$F:$F)</f>
        <v>8</v>
      </c>
      <c r="G6" s="136">
        <f>COUNTIF(Cliente!$B:$B,Geral!$E6)</f>
        <v>33</v>
      </c>
      <c r="H6" s="68">
        <f>SUMIF($B:$B,$E6,H:H)</f>
        <v>24</v>
      </c>
      <c r="I6" s="71">
        <f>IFERROR(H6/G6,0)</f>
        <v>0.72727272727272729</v>
      </c>
      <c r="J6" s="75">
        <f>H6-G6</f>
        <v>-9</v>
      </c>
      <c r="K6" s="146">
        <f>IFERROR(AVERAGEIFS(Cliente!$L:$L,Cliente!$B:$B,Geral!$E6,Cliente!$L:$L,"&gt;0"),0)</f>
        <v>58.243131313131308</v>
      </c>
      <c r="L6" s="80">
        <f>COUNTIF(Cliente!$B:$B,Geral!$E6)</f>
        <v>33</v>
      </c>
      <c r="M6" s="68">
        <f>SUMIF($B:$B,$E6,M:M)</f>
        <v>29</v>
      </c>
      <c r="N6" s="71">
        <f>IFERROR(M6/L6,0)</f>
        <v>0.87878787878787878</v>
      </c>
      <c r="O6" s="75">
        <f>M6-L6</f>
        <v>-4</v>
      </c>
      <c r="P6" s="146">
        <f>IFERROR(AVERAGEIFS(Cliente!$S:$S,Cliente!$B:$B,Geral!$E6,Cliente!$S:$S,"&gt;0"),0)</f>
        <v>55.799827586206881</v>
      </c>
      <c r="Q6" s="80">
        <f>COUNTIF(Cliente!$B:$B,Geral!$E6)</f>
        <v>33</v>
      </c>
      <c r="R6" s="68">
        <f>SUMIF($B:$B,$E6,R:R)</f>
        <v>31</v>
      </c>
      <c r="S6" s="71">
        <f>IFERROR(R6/Q6,0)</f>
        <v>0.93939393939393945</v>
      </c>
      <c r="T6" s="75">
        <f>R6-Q6</f>
        <v>-2</v>
      </c>
      <c r="U6" s="148">
        <f>IFERROR(AVERAGEIFS(Cliente!$Y:$Y,Cliente!$B:$B,Geral!$E6,Cliente!$Y:$Y,"&gt;0"),0)</f>
        <v>62.550967741935509</v>
      </c>
      <c r="V6" s="80">
        <f>COUNTIF(Cliente!$B:$B,Geral!$E6)</f>
        <v>33</v>
      </c>
      <c r="W6" s="68">
        <f>SUMIF($B:$B,$E6,W:W)</f>
        <v>30</v>
      </c>
      <c r="X6" s="71">
        <f>IFERROR(W6/V6,0)</f>
        <v>0.90909090909090906</v>
      </c>
      <c r="Y6" s="75">
        <f>W6-V6</f>
        <v>-3</v>
      </c>
      <c r="Z6" s="148">
        <f>IFERROR(AVERAGEIFS(Cliente!$AE:$AE,Cliente!$B:$B,Geral!$E6,Cliente!$AE:$AE,"&gt;0"),0)</f>
        <v>73.626500000000036</v>
      </c>
      <c r="AA6" s="15">
        <f>COUNTIF(Cliente!$B:$B,Geral!$E6)</f>
        <v>33</v>
      </c>
      <c r="AB6" s="68">
        <f>SUMIF($B:$B,$E6,AB:AB)</f>
        <v>15</v>
      </c>
      <c r="AC6" s="71">
        <f>IFERROR(AB6/AA6,0)</f>
        <v>0.45454545454545453</v>
      </c>
      <c r="AD6" s="75">
        <f>AB6-AA6</f>
        <v>-18</v>
      </c>
      <c r="AE6" s="110">
        <f>IFERROR(AVERAGEIFS(Cliente!$AG:$AG,Cliente!$B:$B,Geral!$E6,Cliente!$AG:$AG,"&gt;0"),0)</f>
        <v>48.031250000000007</v>
      </c>
      <c r="AF6" s="80">
        <f>COUNTIF(Cliente!$B:$B,Geral!$E6)</f>
        <v>33</v>
      </c>
      <c r="AG6" s="68">
        <f>SUMIF($B:$B,$E6,AG:AG)</f>
        <v>26</v>
      </c>
      <c r="AH6" s="71">
        <f>AG6/AF6</f>
        <v>0.78787878787878785</v>
      </c>
      <c r="AI6" s="75">
        <f>AG6-AF6</f>
        <v>-7</v>
      </c>
      <c r="AJ6" s="110">
        <f>IFERROR(AVERAGEIFS(Cliente!$AN:$AN,Cliente!$B:$B,Geral!$E6,Cliente!$AN:$AN,"&gt;0"),0)</f>
        <v>62.235192307692309</v>
      </c>
      <c r="AK6" s="80">
        <f>COUNTIF(Cliente!$B:$B,Geral!$E6)</f>
        <v>33</v>
      </c>
      <c r="AL6" s="68">
        <f>SUMIF($B:$B,$E6,AL:AL)</f>
        <v>21</v>
      </c>
      <c r="AM6" s="71">
        <f>AL6/AK6</f>
        <v>0.63636363636363635</v>
      </c>
      <c r="AN6" s="75">
        <f>AL6-AK6</f>
        <v>-12</v>
      </c>
      <c r="AO6" s="114">
        <f>IFERROR(AVERAGEIFS(Cliente!$AU:$AU,Cliente!$B:$B,Geral!$E6,Cliente!$AU:$AU,"&gt;0"),0)</f>
        <v>63.683809523809522</v>
      </c>
      <c r="AP6" s="80">
        <f>COUNTIF(Cliente!$B:$B,Geral!$E6)</f>
        <v>33</v>
      </c>
      <c r="AQ6" s="68">
        <f>SUMIF($B:$B,$E6,AQ:AQ)</f>
        <v>25</v>
      </c>
      <c r="AR6" s="71">
        <f>AQ6/AP6</f>
        <v>0.75757575757575757</v>
      </c>
      <c r="AS6" s="75">
        <f>AQ6-AP6</f>
        <v>-8</v>
      </c>
      <c r="AT6" s="114">
        <f>IFERROR(AVERAGEIFS(Cliente!$BB:$BB,Cliente!$B:$B,Geral!$E6,Cliente!$BB:$BB,"&gt;0"),0)</f>
        <v>66.221000000000004</v>
      </c>
      <c r="AU6" s="15">
        <f>COUNTIF(Cliente!$B:$B,Geral!$E6)</f>
        <v>33</v>
      </c>
      <c r="AV6" s="68">
        <f>SUMIF($B:$B,$E6,AV:AV)</f>
        <v>22</v>
      </c>
      <c r="AW6" s="71">
        <f>IFERROR(AV6/AU6,0)</f>
        <v>0.66666666666666663</v>
      </c>
      <c r="AX6" s="75">
        <f>AV6-AU6</f>
        <v>-11</v>
      </c>
      <c r="AY6" s="110">
        <f>AVERAGE(BD6,BI6,BN6)</f>
        <v>80.644477074649487</v>
      </c>
      <c r="AZ6" s="80">
        <f>COUNTIF(Cliente!$B:$B,Geral!$E6)</f>
        <v>33</v>
      </c>
      <c r="BA6" s="68">
        <f>SUMIF($B:$B,$E6,BA:BA)</f>
        <v>29</v>
      </c>
      <c r="BB6" s="71">
        <f>BA6/AZ6</f>
        <v>0.87878787878787878</v>
      </c>
      <c r="BC6" s="75">
        <f>BA6-AZ6</f>
        <v>-4</v>
      </c>
      <c r="BD6" s="110">
        <f>IFERROR(AVERAGEIFS(Cliente!$BL:$BL,Cliente!$B:$B,Geral!$E6,Cliente!$BL:$BL,"&gt;0"),0)</f>
        <v>72.164310344827584</v>
      </c>
      <c r="BE6" s="80">
        <f>COUNTIF(Cliente!$B:$B,Geral!$E6)</f>
        <v>33</v>
      </c>
      <c r="BF6" s="68">
        <f>SUMIF($B:$B,$E6,BF:BF)</f>
        <v>28</v>
      </c>
      <c r="BG6" s="71">
        <f>BF6/BE6</f>
        <v>0.84848484848484851</v>
      </c>
      <c r="BH6" s="75">
        <f>BF6-BE6</f>
        <v>-5</v>
      </c>
      <c r="BI6" s="114">
        <f>IFERROR(AVERAGEIFS(Cliente!$BS:$BS,Cliente!$B:$B,Geral!$E6,Cliente!$BS:$BS,"&gt;0"),0)</f>
        <v>85.796428571428564</v>
      </c>
      <c r="BJ6" s="80">
        <f>COUNTIF(Cliente!$B:$B,Geral!$E6)</f>
        <v>33</v>
      </c>
      <c r="BK6" s="68">
        <f>SUMIF($B:$B,$E6,BK:BK)</f>
        <v>26</v>
      </c>
      <c r="BL6" s="71">
        <f>BK6/BJ6</f>
        <v>0.78787878787878785</v>
      </c>
      <c r="BM6" s="75">
        <f>BK6-BJ6</f>
        <v>-7</v>
      </c>
      <c r="BN6" s="116">
        <f>IFERROR(AVERAGEIFS(Cliente!$BZ:$BZ,Cliente!$B:$B,Geral!$E6,Cliente!$BZ:$BZ,"&gt;0"),0)</f>
        <v>83.972692307692284</v>
      </c>
      <c r="BO6" s="15">
        <f>COUNTIF(Cliente!$B:$B,Geral!$E6)</f>
        <v>33</v>
      </c>
      <c r="BP6" s="68">
        <f>SUMIF($B:$B,$E6,BP:BP)</f>
        <v>19</v>
      </c>
      <c r="BQ6" s="71">
        <f>IFERROR(BP6/BO6,0)</f>
        <v>0.5757575757575758</v>
      </c>
      <c r="BR6" s="75">
        <f>BP6-BO6</f>
        <v>-14</v>
      </c>
      <c r="BS6" s="110">
        <f>IFERROR(AVERAGEIFS(Cliente!$CB:$CB,Cliente!$B:$B,Geral!$E6,Cliente!$CB:$CB,"&gt;0"),0)</f>
        <v>79.387499999999989</v>
      </c>
      <c r="BT6" s="80">
        <f>COUNTIF(Cliente!$B:$B,Geral!$E6)</f>
        <v>33</v>
      </c>
      <c r="BU6" s="68">
        <f>SUMIF($B:$B,$E6,BU:BU)</f>
        <v>25</v>
      </c>
      <c r="BV6" s="71">
        <f>BU6/BT6</f>
        <v>0.75757575757575757</v>
      </c>
      <c r="BW6" s="75">
        <f>BU6-BT6</f>
        <v>-8</v>
      </c>
      <c r="BX6" s="110">
        <f>IFERROR(AVERAGEIFS(Cliente!$CL:$CL,Cliente!$B:$B,Geral!$E6,Cliente!$CL:$CL,"&gt;0"),0)</f>
        <v>86.99799999999999</v>
      </c>
      <c r="BY6" s="80">
        <f>COUNTIF(Cliente!$B:$B,Geral!$E6)</f>
        <v>33</v>
      </c>
      <c r="BZ6" s="68">
        <f>SUMIF($B:$B,$E6,BZ:BZ)</f>
        <v>25</v>
      </c>
      <c r="CA6" s="71">
        <f>BZ6/BY6</f>
        <v>0.75757575757575757</v>
      </c>
      <c r="CB6" s="75">
        <f>BZ6-BY6</f>
        <v>-8</v>
      </c>
      <c r="CC6" s="114">
        <f>IFERROR(AVERAGEIFS(Cliente!$CU:$CU,Cliente!$B:$B,Geral!$E6,Cliente!$CU:$CU,"&gt;0"),0)</f>
        <v>90.86399999999999</v>
      </c>
      <c r="CD6" s="80">
        <f>COUNTIF(Cliente!$B:$B,Geral!$E6)</f>
        <v>33</v>
      </c>
      <c r="CE6" s="68">
        <f>SUMIF($B:$B,$E6,CE:CE)</f>
        <v>20</v>
      </c>
      <c r="CF6" s="71">
        <f>CE6/CD6</f>
        <v>0.60606060606060608</v>
      </c>
      <c r="CG6" s="75">
        <f>CE6-CD6</f>
        <v>-13</v>
      </c>
      <c r="CH6" s="116">
        <f>IFERROR(AVERAGEIFS(Cliente!$DD:$DD,Cliente!$B:$B,Geral!$E6,Cliente!$DD:$DD,"&gt;0"),0)</f>
        <v>87.283749999999998</v>
      </c>
    </row>
    <row r="7" spans="2:94" ht="15.75" customHeight="1" x14ac:dyDescent="0.3">
      <c r="C7" s="5"/>
      <c r="E7" s="145" t="s">
        <v>42</v>
      </c>
      <c r="F7" s="144">
        <f>SUMIF($B:$B,$E7,$F:$F)</f>
        <v>6</v>
      </c>
      <c r="G7" s="136">
        <f>COUNTIF(Cliente!$B:$B,Geral!$E7)</f>
        <v>38</v>
      </c>
      <c r="H7" s="68">
        <f>SUMIF($B:$B,$E7,H:H)</f>
        <v>34</v>
      </c>
      <c r="I7" s="71">
        <f t="shared" ref="I7" si="0">IFERROR(H7/G7,0)</f>
        <v>0.89473684210526316</v>
      </c>
      <c r="J7" s="75">
        <f>H7-G7</f>
        <v>-4</v>
      </c>
      <c r="K7" s="146">
        <f>IFERROR(AVERAGEIFS(Cliente!$L:$L,Cliente!$B:$B,Geral!$E7,Cliente!$L:$L,"&gt;0"),0)</f>
        <v>68.652609649122823</v>
      </c>
      <c r="L7" s="80">
        <f>COUNTIF(Cliente!$B:$B,Geral!$E7)</f>
        <v>38</v>
      </c>
      <c r="M7" s="68">
        <f>SUMIF($B:$B,$E7,M:M)</f>
        <v>38</v>
      </c>
      <c r="N7" s="71">
        <f t="shared" ref="N7" si="1">IFERROR(M7/L7,0)</f>
        <v>1</v>
      </c>
      <c r="O7" s="73">
        <f>M7-L7</f>
        <v>0</v>
      </c>
      <c r="P7" s="146">
        <f>IFERROR(AVERAGEIFS(Cliente!$S:$S,Cliente!$B:$B,Geral!$E7,Cliente!$S:$S,"&gt;0"),0)</f>
        <v>66.20546052631579</v>
      </c>
      <c r="Q7" s="80">
        <f>COUNTIF(Cliente!$B:$B,Geral!$E7)</f>
        <v>38</v>
      </c>
      <c r="R7" s="68">
        <f>SUMIF($B:$B,$E7,R:R)</f>
        <v>34</v>
      </c>
      <c r="S7" s="71">
        <f>IFERROR(R7/Q7,0)</f>
        <v>0.89473684210526316</v>
      </c>
      <c r="T7" s="75">
        <f t="shared" ref="T7" si="2">R7-Q7</f>
        <v>-4</v>
      </c>
      <c r="U7" s="148">
        <f>IFERROR(AVERAGEIFS(Cliente!$Y:$Y,Cliente!$B:$B,Geral!$E7,Cliente!$Y:$Y,"&gt;0"),0)</f>
        <v>69.305588235294124</v>
      </c>
      <c r="V7" s="80">
        <f>COUNTIF(Cliente!$B:$B,Geral!$E7)</f>
        <v>38</v>
      </c>
      <c r="W7" s="68">
        <f>SUMIF($B:$B,$E7,W:W)</f>
        <v>38</v>
      </c>
      <c r="X7" s="71">
        <f>IFERROR(W7/V7,0)</f>
        <v>1</v>
      </c>
      <c r="Y7" s="75">
        <f t="shared" ref="Y7" si="3">W7-V7</f>
        <v>0</v>
      </c>
      <c r="Z7" s="148">
        <f>IFERROR(AVERAGEIFS(Cliente!$AE:$AE,Cliente!$B:$B,Geral!$E7,Cliente!$AE:$AE,"&gt;0"),0)</f>
        <v>77.742105263157924</v>
      </c>
      <c r="AA7" s="15">
        <f>COUNTIF(Cliente!$B:$B,Geral!$E7)</f>
        <v>38</v>
      </c>
      <c r="AB7" s="68">
        <f>SUMIF($B:$B,$E7,AB:AB)</f>
        <v>32</v>
      </c>
      <c r="AC7" s="71">
        <f t="shared" ref="AC7" si="4">IFERROR(AB7/AA7,0)</f>
        <v>0.84210526315789469</v>
      </c>
      <c r="AD7" s="75">
        <f>AB7-AA7</f>
        <v>-6</v>
      </c>
      <c r="AE7" s="110">
        <f>IFERROR(AVERAGEIFS(Cliente!$AG:$AG,Cliente!$B:$B,Geral!$E7,Cliente!$AG:$AG,"&gt;0"),0)</f>
        <v>62.276403508771921</v>
      </c>
      <c r="AF7" s="80">
        <f>COUNTIF(Cliente!$B:$B,Geral!$E7)</f>
        <v>38</v>
      </c>
      <c r="AG7" s="68">
        <f>SUMIF($B:$B,$E7,AG:AG)</f>
        <v>32</v>
      </c>
      <c r="AH7" s="25">
        <f t="shared" ref="AH7:AH8" si="5">AG7/AF7</f>
        <v>0.84210526315789469</v>
      </c>
      <c r="AI7" s="73">
        <f>AG7-AF7</f>
        <v>-6</v>
      </c>
      <c r="AJ7" s="110">
        <f>IFERROR(AVERAGEIFS(Cliente!$AN:$AN,Cliente!$B:$B,Geral!$E7,Cliente!$AN:$AN,"&gt;0"),0)</f>
        <v>62.924218749999987</v>
      </c>
      <c r="AK7" s="80">
        <f>COUNTIF(Cliente!$B:$B,Geral!$E7)</f>
        <v>38</v>
      </c>
      <c r="AL7" s="68">
        <f>SUMIF($B:$B,$E7,AL:AL)</f>
        <v>38</v>
      </c>
      <c r="AM7" s="71">
        <f t="shared" ref="AM7" si="6">AL7/AK7</f>
        <v>1</v>
      </c>
      <c r="AN7" s="75">
        <f t="shared" ref="AN7" si="7">AL7-AK7</f>
        <v>0</v>
      </c>
      <c r="AO7" s="114">
        <f>IFERROR(AVERAGEIFS(Cliente!$AU:$AU,Cliente!$B:$B,Geral!$E7,Cliente!$AU:$AU,"&gt;0"),0)</f>
        <v>59.748026315789467</v>
      </c>
      <c r="AP7" s="80">
        <f>COUNTIF(Cliente!$B:$B,Geral!$E7)</f>
        <v>38</v>
      </c>
      <c r="AQ7" s="68">
        <f>SUMIF($B:$B,$E7,AQ:AQ)</f>
        <v>38</v>
      </c>
      <c r="AR7" s="71">
        <f t="shared" ref="AR7" si="8">AQ7/AP7</f>
        <v>1</v>
      </c>
      <c r="AS7" s="75">
        <f t="shared" ref="AS7" si="9">AQ7-AP7</f>
        <v>0</v>
      </c>
      <c r="AT7" s="114">
        <f>IFERROR(AVERAGEIFS(Cliente!$BB:$BB,Cliente!$B:$B,Geral!$E7,Cliente!$BB:$BB,"&gt;0"),0)</f>
        <v>74.092368421052612</v>
      </c>
      <c r="AU7" s="15">
        <f>COUNTIF(Cliente!$B:$B,Geral!$E7)</f>
        <v>38</v>
      </c>
      <c r="AV7" s="68">
        <f>SUMIF($B:$B,$E7,AV:AV)</f>
        <v>28</v>
      </c>
      <c r="AW7" s="71">
        <f t="shared" ref="AW7" si="10">IFERROR(AV7/AU7,0)</f>
        <v>0.73684210526315785</v>
      </c>
      <c r="AX7" s="75">
        <f t="shared" ref="AX7:AX8" si="11">AV7-AU7</f>
        <v>-10</v>
      </c>
      <c r="AY7" s="110">
        <f>AVERAGE(BD7,BI7,BN7)</f>
        <v>81.455104370915024</v>
      </c>
      <c r="AZ7" s="80">
        <f>COUNTIF(Cliente!$B:$B,Geral!$E7)</f>
        <v>38</v>
      </c>
      <c r="BA7" s="68">
        <f>SUMIF($B:$B,$E7,BA:BA)</f>
        <v>34</v>
      </c>
      <c r="BB7" s="71">
        <f t="shared" ref="BB7:BB8" si="12">BA7/AZ7</f>
        <v>0.89473684210526316</v>
      </c>
      <c r="BC7" s="73">
        <f t="shared" ref="BC7:BC8" si="13">BA7-AZ7</f>
        <v>-4</v>
      </c>
      <c r="BD7" s="110">
        <f>IFERROR(AVERAGEIFS(Cliente!$BL:$BL,Cliente!$B:$B,Geral!$E7,Cliente!$BL:$BL,"&gt;0"),0)</f>
        <v>72.031323529411779</v>
      </c>
      <c r="BE7" s="80">
        <f>COUNTIF(Cliente!$B:$B,Geral!$E7)</f>
        <v>38</v>
      </c>
      <c r="BF7" s="68">
        <f>SUMIF($B:$B,$E7,BF:BF)</f>
        <v>30</v>
      </c>
      <c r="BG7" s="71">
        <f t="shared" ref="BG7" si="14">BF7/BE7</f>
        <v>0.78947368421052633</v>
      </c>
      <c r="BH7" s="75">
        <f t="shared" ref="BH7" si="15">BF7-BE7</f>
        <v>-8</v>
      </c>
      <c r="BI7" s="114">
        <f>IFERROR(AVERAGEIFS(Cliente!$BS:$BS,Cliente!$B:$B,Geral!$E7,Cliente!$BS:$BS,"&gt;0"),0)</f>
        <v>82.706333333333333</v>
      </c>
      <c r="BJ7" s="80">
        <f>COUNTIF(Cliente!$B:$B,Geral!$E7)</f>
        <v>38</v>
      </c>
      <c r="BK7" s="68">
        <f>SUMIF($B:$B,$E7,BK:BK)</f>
        <v>32</v>
      </c>
      <c r="BL7" s="71">
        <f t="shared" ref="BL7" si="16">BK7/BJ7</f>
        <v>0.84210526315789469</v>
      </c>
      <c r="BM7" s="75">
        <f t="shared" ref="BM7" si="17">BK7-BJ7</f>
        <v>-6</v>
      </c>
      <c r="BN7" s="116">
        <f>IFERROR(AVERAGEIFS(Cliente!$BZ:$BZ,Cliente!$B:$B,Geral!$E7,Cliente!$BZ:$BZ,"&gt;0"),0)</f>
        <v>89.627656249999987</v>
      </c>
      <c r="BO7" s="15">
        <f>COUNTIF(Cliente!$B:$B,Geral!$E7)</f>
        <v>38</v>
      </c>
      <c r="BP7" s="68">
        <f>SUMIF($B:$B,$E7,BP:BP)</f>
        <v>11</v>
      </c>
      <c r="BQ7" s="71">
        <f t="shared" ref="BQ7" si="18">IFERROR(BP7/BO7,0)</f>
        <v>0.28947368421052633</v>
      </c>
      <c r="BR7" s="75">
        <f t="shared" ref="BR7:BR8" si="19">BP7-BO7</f>
        <v>-27</v>
      </c>
      <c r="BS7" s="110">
        <f>IFERROR(AVERAGEIFS(Cliente!$CB:$CB,Cliente!$B:$B,Geral!$E7,Cliente!$CB:$CB,"&gt;0"),0)</f>
        <v>66.031481481481492</v>
      </c>
      <c r="BT7" s="80">
        <f>COUNTIF(Cliente!$B:$B,Geral!$E7)</f>
        <v>38</v>
      </c>
      <c r="BU7" s="68">
        <f>SUMIF($B:$B,$E7,BU:BU)</f>
        <v>33</v>
      </c>
      <c r="BV7" s="71">
        <f t="shared" ref="BV7:BV8" si="20">BU7/BT7</f>
        <v>0.86842105263157898</v>
      </c>
      <c r="BW7" s="73">
        <f t="shared" ref="BW7:BW8" si="21">BU7-BT7</f>
        <v>-5</v>
      </c>
      <c r="BX7" s="110">
        <f>IFERROR(AVERAGEIFS(Cliente!$CL:$CL,Cliente!$B:$B,Geral!$E7,Cliente!$CL:$CL,"&gt;0"),0)</f>
        <v>89.071515151515143</v>
      </c>
      <c r="BY7" s="80">
        <f>COUNTIF(Cliente!$B:$B,Geral!$E7)</f>
        <v>38</v>
      </c>
      <c r="BZ7" s="68">
        <f>SUMIF($B:$B,$E7,BZ:BZ)</f>
        <v>32</v>
      </c>
      <c r="CA7" s="71">
        <f t="shared" ref="CA7" si="22">BZ7/BY7</f>
        <v>0.84210526315789469</v>
      </c>
      <c r="CB7" s="75">
        <f t="shared" ref="CB7" si="23">BZ7-BY7</f>
        <v>-6</v>
      </c>
      <c r="CC7" s="114">
        <f>IFERROR(AVERAGEIFS(Cliente!$CU:$CU,Cliente!$B:$B,Geral!$E7,Cliente!$CU:$CU,"&gt;0"),0)</f>
        <v>89.534062500000005</v>
      </c>
      <c r="CD7" s="80">
        <f>COUNTIF(Cliente!$B:$B,Geral!$E7)</f>
        <v>38</v>
      </c>
      <c r="CE7" s="68">
        <f>SUMIF($B:$B,$E7,CE:CE)</f>
        <v>14</v>
      </c>
      <c r="CF7" s="71">
        <f t="shared" ref="CF7" si="24">CE7/CD7</f>
        <v>0.36842105263157893</v>
      </c>
      <c r="CG7" s="75">
        <f t="shared" ref="CG7" si="25">CE7-CD7</f>
        <v>-24</v>
      </c>
      <c r="CH7" s="116">
        <f>IFERROR(AVERAGEIFS(Cliente!$DD:$DD,Cliente!$B:$B,Geral!$E7,Cliente!$DD:$DD,"&gt;0"),0)</f>
        <v>94.782142857142858</v>
      </c>
    </row>
    <row r="8" spans="2:94" ht="15.75" customHeight="1" thickBot="1" x14ac:dyDescent="0.35">
      <c r="B8" s="2"/>
      <c r="C8" s="2"/>
      <c r="E8" s="20" t="s">
        <v>14</v>
      </c>
      <c r="F8" s="20">
        <f>SUM(F6:F7)</f>
        <v>14</v>
      </c>
      <c r="G8" s="69">
        <f>SUM(G6:G7)</f>
        <v>71</v>
      </c>
      <c r="H8" s="99">
        <f>SUM(H6:H7)</f>
        <v>58</v>
      </c>
      <c r="I8" s="19">
        <f>IFERROR(H8/G8,0)</f>
        <v>0.81690140845070425</v>
      </c>
      <c r="J8" s="99">
        <f>H8-G8</f>
        <v>-13</v>
      </c>
      <c r="K8" s="150">
        <f>Cliente!$L$2</f>
        <v>63.814401408450657</v>
      </c>
      <c r="L8" s="81">
        <f>SUM(L6:L7)</f>
        <v>71</v>
      </c>
      <c r="M8" s="26">
        <f>SUM(M6:M7)</f>
        <v>67</v>
      </c>
      <c r="N8" s="27">
        <f t="shared" ref="N8" si="26">M8/L8</f>
        <v>0.94366197183098588</v>
      </c>
      <c r="O8" s="74">
        <f>M8-L8</f>
        <v>-4</v>
      </c>
      <c r="P8" s="147">
        <f>Cliente!$S$2</f>
        <v>61.701529850746233</v>
      </c>
      <c r="Q8" s="81">
        <f>SUM(Q6:Q7)</f>
        <v>71</v>
      </c>
      <c r="R8" s="26">
        <f>SUM(R6:R7)</f>
        <v>65</v>
      </c>
      <c r="S8" s="27">
        <f>R8/Q8</f>
        <v>0.91549295774647887</v>
      </c>
      <c r="T8" s="26">
        <f>R8-Q8</f>
        <v>-6</v>
      </c>
      <c r="U8" s="149">
        <f>Cliente!$Y$2</f>
        <v>65.592300000000037</v>
      </c>
      <c r="V8" s="81">
        <f>SUM(V6:V7)</f>
        <v>71</v>
      </c>
      <c r="W8" s="26">
        <f>SUM(W6:W7)</f>
        <v>68</v>
      </c>
      <c r="X8" s="27">
        <f>W8/V8</f>
        <v>0.95774647887323938</v>
      </c>
      <c r="Y8" s="26">
        <f>W8-V8</f>
        <v>-3</v>
      </c>
      <c r="Z8" s="149">
        <f>Cliente!$AE$2</f>
        <v>75.672450980392199</v>
      </c>
      <c r="AA8" s="56">
        <f>SUM(AA6:AA7)</f>
        <v>71</v>
      </c>
      <c r="AB8" s="99">
        <f>SUM(AB6:AB7)</f>
        <v>47</v>
      </c>
      <c r="AC8" s="19">
        <f>IFERROR(AB8/AA8,0)</f>
        <v>0.6619718309859155</v>
      </c>
      <c r="AD8" s="99">
        <f>AB8-AA8</f>
        <v>-24</v>
      </c>
      <c r="AE8" s="111">
        <f>Cliente!AG2</f>
        <v>52.335566037735852</v>
      </c>
      <c r="AF8" s="81">
        <f>SUM(AF6:AF7)</f>
        <v>71</v>
      </c>
      <c r="AG8" s="26">
        <f>SUM(AG6:AG7)</f>
        <v>58</v>
      </c>
      <c r="AH8" s="27">
        <f t="shared" si="5"/>
        <v>0.81690140845070425</v>
      </c>
      <c r="AI8" s="74">
        <f>AG8-AF8</f>
        <v>-13</v>
      </c>
      <c r="AJ8" s="113">
        <v>80.400000000000006</v>
      </c>
      <c r="AK8" s="81">
        <f>SUM(AK6:AK7)</f>
        <v>71</v>
      </c>
      <c r="AL8" s="26">
        <f>SUM(AL6:AL7)</f>
        <v>59</v>
      </c>
      <c r="AM8" s="27">
        <f>AL8/AK8</f>
        <v>0.83098591549295775</v>
      </c>
      <c r="AN8" s="26">
        <f>AL8-AK8</f>
        <v>-12</v>
      </c>
      <c r="AO8" s="113">
        <v>80.400000000000006</v>
      </c>
      <c r="AP8" s="81">
        <f>SUM(AP6:AP7)</f>
        <v>71</v>
      </c>
      <c r="AQ8" s="26">
        <f>SUM(AQ6:AQ7)</f>
        <v>63</v>
      </c>
      <c r="AR8" s="27">
        <f>AQ8/AP8</f>
        <v>0.88732394366197187</v>
      </c>
      <c r="AS8" s="26">
        <f>AQ8-AP8</f>
        <v>-8</v>
      </c>
      <c r="AT8" s="115">
        <f>Cliente!$BB$2</f>
        <v>69.654891304347842</v>
      </c>
      <c r="AU8" s="56">
        <f>SUM(AU6:AU7)</f>
        <v>71</v>
      </c>
      <c r="AV8" s="99">
        <f>SUM(AV6:AV7)</f>
        <v>50</v>
      </c>
      <c r="AW8" s="19">
        <f>IFERROR(AV8/AU8,0)</f>
        <v>0.70422535211267601</v>
      </c>
      <c r="AX8" s="99">
        <f t="shared" si="11"/>
        <v>-21</v>
      </c>
      <c r="AY8" s="111">
        <f>AVERAGE(BD8,BI8,BN8)</f>
        <v>81.127771848202869</v>
      </c>
      <c r="AZ8" s="81">
        <f>SUM(AZ6:AZ7)</f>
        <v>71</v>
      </c>
      <c r="BA8" s="26">
        <f>SUM(BA6:BA7)</f>
        <v>63</v>
      </c>
      <c r="BB8" s="27">
        <f t="shared" si="12"/>
        <v>0.88732394366197187</v>
      </c>
      <c r="BC8" s="74">
        <f t="shared" si="13"/>
        <v>-8</v>
      </c>
      <c r="BD8" s="115">
        <f>Cliente!$BL$2</f>
        <v>72.09253968253968</v>
      </c>
      <c r="BE8" s="81">
        <f>SUM(BE6:BE7)</f>
        <v>71</v>
      </c>
      <c r="BF8" s="26">
        <f>SUM(BF6:BF7)</f>
        <v>58</v>
      </c>
      <c r="BG8" s="27">
        <f>BF8/BE8</f>
        <v>0.81690140845070425</v>
      </c>
      <c r="BH8" s="26">
        <f>BF8-BE8</f>
        <v>-13</v>
      </c>
      <c r="BI8" s="115">
        <f>Cliente!$BS$2</f>
        <v>84.198103448275845</v>
      </c>
      <c r="BJ8" s="81">
        <f>SUM(BJ6:BJ7)</f>
        <v>71</v>
      </c>
      <c r="BK8" s="26">
        <f>SUM(BK6:BK7)</f>
        <v>58</v>
      </c>
      <c r="BL8" s="27">
        <f>BK8/BJ8</f>
        <v>0.81690140845070425</v>
      </c>
      <c r="BM8" s="26">
        <f>BK8-BJ8</f>
        <v>-13</v>
      </c>
      <c r="BN8" s="117">
        <f>Cliente!$BZ$2</f>
        <v>87.092672413793068</v>
      </c>
      <c r="BO8" s="56">
        <f>SUM(BO6:BO7)</f>
        <v>71</v>
      </c>
      <c r="BP8" s="99">
        <f>SUM(BP6:BP7)</f>
        <v>30</v>
      </c>
      <c r="BQ8" s="19">
        <f>IFERROR(BP8/BO8,0)</f>
        <v>0.42253521126760563</v>
      </c>
      <c r="BR8" s="99">
        <f t="shared" si="19"/>
        <v>-41</v>
      </c>
      <c r="BS8" s="111">
        <f>Cliente!$CB$2</f>
        <v>89.55548352371801</v>
      </c>
      <c r="BT8" s="81">
        <f>SUM(BT6:BT7)</f>
        <v>71</v>
      </c>
      <c r="BU8" s="26">
        <f>SUM(BU6:BU7)</f>
        <v>58</v>
      </c>
      <c r="BV8" s="27">
        <f t="shared" si="20"/>
        <v>0.81690140845070425</v>
      </c>
      <c r="BW8" s="74">
        <f t="shared" si="21"/>
        <v>-13</v>
      </c>
      <c r="BX8" s="115">
        <f>Cliente!$CL$2</f>
        <v>88.177758620689644</v>
      </c>
      <c r="BY8" s="81">
        <f>SUM(BY6:BY7)</f>
        <v>71</v>
      </c>
      <c r="BZ8" s="26">
        <f>SUM(BZ6:BZ7)</f>
        <v>57</v>
      </c>
      <c r="CA8" s="27">
        <f>BZ8/BY8</f>
        <v>0.80281690140845074</v>
      </c>
      <c r="CB8" s="26">
        <f>BZ8-BY8</f>
        <v>-14</v>
      </c>
      <c r="CC8" s="115">
        <f>Cliente!$CU$2</f>
        <v>90.117368421052603</v>
      </c>
      <c r="CD8" s="81">
        <f>SUM(CD6:CD7)</f>
        <v>71</v>
      </c>
      <c r="CE8" s="26">
        <f>SUM(CE6:CE7)</f>
        <v>34</v>
      </c>
      <c r="CF8" s="27">
        <f>CE8/CD8</f>
        <v>0.47887323943661969</v>
      </c>
      <c r="CG8" s="26">
        <f>CE8-CD8</f>
        <v>-37</v>
      </c>
      <c r="CH8" s="117">
        <f>Cliente!$DD$2</f>
        <v>90.371323529411768</v>
      </c>
    </row>
    <row r="9" spans="2:94" ht="14.25" customHeight="1" x14ac:dyDescent="0.3">
      <c r="B9" s="3"/>
      <c r="C9" s="2"/>
      <c r="E9" s="41" t="s">
        <v>1908</v>
      </c>
    </row>
    <row r="10" spans="2:94" ht="10.5" customHeight="1" x14ac:dyDescent="0.3">
      <c r="B10" s="3"/>
      <c r="C10" s="2"/>
      <c r="E10" s="167">
        <v>46191</v>
      </c>
    </row>
    <row r="11" spans="2:94" ht="10.5" customHeight="1" x14ac:dyDescent="0.3">
      <c r="B11" s="3"/>
      <c r="C11" s="2"/>
    </row>
    <row r="12" spans="2:94" ht="10.5" customHeight="1" thickBot="1" x14ac:dyDescent="0.35">
      <c r="B12" s="3"/>
      <c r="C12" s="2"/>
    </row>
    <row r="13" spans="2:94" ht="18" customHeight="1" x14ac:dyDescent="0.35">
      <c r="B13" s="159" t="s">
        <v>110</v>
      </c>
      <c r="C13" s="160"/>
      <c r="D13" s="160"/>
      <c r="E13" s="161"/>
      <c r="F13" s="162" t="s">
        <v>13</v>
      </c>
      <c r="G13" s="153" t="s">
        <v>406</v>
      </c>
      <c r="H13" s="154"/>
      <c r="I13" s="154"/>
      <c r="J13" s="154"/>
      <c r="K13" s="155"/>
      <c r="L13" s="153" t="s">
        <v>170</v>
      </c>
      <c r="M13" s="154"/>
      <c r="N13" s="155"/>
      <c r="O13" s="155"/>
      <c r="P13" s="155"/>
      <c r="Q13" s="153" t="s">
        <v>171</v>
      </c>
      <c r="R13" s="154"/>
      <c r="S13" s="155"/>
      <c r="T13" s="155"/>
      <c r="U13" s="155"/>
      <c r="V13" s="153" t="s">
        <v>172</v>
      </c>
      <c r="W13" s="154"/>
      <c r="X13" s="155"/>
      <c r="Y13" s="155"/>
      <c r="Z13" s="155"/>
      <c r="AA13" s="153" t="s">
        <v>407</v>
      </c>
      <c r="AB13" s="154"/>
      <c r="AC13" s="154"/>
      <c r="AD13" s="154"/>
      <c r="AE13" s="155"/>
      <c r="AF13" s="153" t="s">
        <v>18</v>
      </c>
      <c r="AG13" s="154"/>
      <c r="AH13" s="155"/>
      <c r="AI13" s="155"/>
      <c r="AJ13" s="155"/>
      <c r="AK13" s="153" t="s">
        <v>19</v>
      </c>
      <c r="AL13" s="154"/>
      <c r="AM13" s="155"/>
      <c r="AN13" s="155"/>
      <c r="AO13" s="155"/>
      <c r="AP13" s="153" t="s">
        <v>20</v>
      </c>
      <c r="AQ13" s="154"/>
      <c r="AR13" s="155"/>
      <c r="AS13" s="155"/>
      <c r="AT13" s="155"/>
      <c r="AU13" s="153" t="s">
        <v>410</v>
      </c>
      <c r="AV13" s="154"/>
      <c r="AW13" s="154"/>
      <c r="AX13" s="154"/>
      <c r="AY13" s="155"/>
      <c r="AZ13" s="153" t="s">
        <v>113</v>
      </c>
      <c r="BA13" s="154"/>
      <c r="BB13" s="155"/>
      <c r="BC13" s="155"/>
      <c r="BD13" s="155"/>
      <c r="BE13" s="153" t="s">
        <v>114</v>
      </c>
      <c r="BF13" s="154"/>
      <c r="BG13" s="155"/>
      <c r="BH13" s="155"/>
      <c r="BI13" s="155"/>
      <c r="BJ13" s="153" t="s">
        <v>115</v>
      </c>
      <c r="BK13" s="154"/>
      <c r="BL13" s="155"/>
      <c r="BM13" s="155"/>
      <c r="BN13" s="164"/>
      <c r="BO13" s="153" t="s">
        <v>408</v>
      </c>
      <c r="BP13" s="154"/>
      <c r="BQ13" s="154"/>
      <c r="BR13" s="154"/>
      <c r="BS13" s="155"/>
      <c r="BT13" s="153" t="s">
        <v>127</v>
      </c>
      <c r="BU13" s="154"/>
      <c r="BV13" s="155"/>
      <c r="BW13" s="155"/>
      <c r="BX13" s="155"/>
      <c r="BY13" s="153" t="s">
        <v>128</v>
      </c>
      <c r="BZ13" s="154"/>
      <c r="CA13" s="155"/>
      <c r="CB13" s="155"/>
      <c r="CC13" s="155"/>
      <c r="CD13" s="153" t="s">
        <v>129</v>
      </c>
      <c r="CE13" s="154"/>
      <c r="CF13" s="155"/>
      <c r="CG13" s="155"/>
      <c r="CH13" s="164"/>
      <c r="CO13"/>
      <c r="CP13"/>
    </row>
    <row r="14" spans="2:94" ht="23.25" customHeight="1" x14ac:dyDescent="0.35">
      <c r="B14" s="22" t="s">
        <v>0</v>
      </c>
      <c r="C14" s="17" t="s">
        <v>1</v>
      </c>
      <c r="D14" s="17" t="s">
        <v>2</v>
      </c>
      <c r="E14" s="18" t="s">
        <v>15</v>
      </c>
      <c r="F14" s="163"/>
      <c r="G14" s="22" t="s">
        <v>108</v>
      </c>
      <c r="H14" s="17" t="s">
        <v>123</v>
      </c>
      <c r="I14" s="17" t="s">
        <v>120</v>
      </c>
      <c r="J14" s="96" t="s">
        <v>126</v>
      </c>
      <c r="K14" s="17" t="s">
        <v>125</v>
      </c>
      <c r="L14" s="76" t="s">
        <v>108</v>
      </c>
      <c r="M14" s="67" t="s">
        <v>123</v>
      </c>
      <c r="N14" s="24" t="s">
        <v>120</v>
      </c>
      <c r="O14" s="70" t="s">
        <v>126</v>
      </c>
      <c r="P14" s="79" t="s">
        <v>125</v>
      </c>
      <c r="Q14" s="76" t="s">
        <v>108</v>
      </c>
      <c r="R14" s="67" t="s">
        <v>123</v>
      </c>
      <c r="S14" s="24" t="s">
        <v>120</v>
      </c>
      <c r="T14" s="70" t="s">
        <v>126</v>
      </c>
      <c r="U14" s="79" t="s">
        <v>125</v>
      </c>
      <c r="V14" s="76" t="s">
        <v>108</v>
      </c>
      <c r="W14" s="67" t="s">
        <v>123</v>
      </c>
      <c r="X14" s="24" t="s">
        <v>120</v>
      </c>
      <c r="Y14" s="70" t="s">
        <v>126</v>
      </c>
      <c r="Z14" s="79" t="s">
        <v>125</v>
      </c>
      <c r="AA14" s="22" t="s">
        <v>108</v>
      </c>
      <c r="AB14" s="17" t="s">
        <v>123</v>
      </c>
      <c r="AC14" s="17" t="s">
        <v>120</v>
      </c>
      <c r="AD14" s="96" t="s">
        <v>126</v>
      </c>
      <c r="AE14" s="17" t="s">
        <v>125</v>
      </c>
      <c r="AF14" s="76" t="s">
        <v>108</v>
      </c>
      <c r="AG14" s="67" t="s">
        <v>123</v>
      </c>
      <c r="AH14" s="24" t="s">
        <v>120</v>
      </c>
      <c r="AI14" s="70" t="s">
        <v>126</v>
      </c>
      <c r="AJ14" s="79" t="s">
        <v>125</v>
      </c>
      <c r="AK14" s="76" t="s">
        <v>108</v>
      </c>
      <c r="AL14" s="67" t="s">
        <v>123</v>
      </c>
      <c r="AM14" s="24" t="s">
        <v>120</v>
      </c>
      <c r="AN14" s="70" t="s">
        <v>126</v>
      </c>
      <c r="AO14" s="79" t="s">
        <v>125</v>
      </c>
      <c r="AP14" s="76" t="s">
        <v>108</v>
      </c>
      <c r="AQ14" s="67" t="s">
        <v>123</v>
      </c>
      <c r="AR14" s="24" t="s">
        <v>120</v>
      </c>
      <c r="AS14" s="70" t="s">
        <v>126</v>
      </c>
      <c r="AT14" s="79" t="s">
        <v>125</v>
      </c>
      <c r="AU14" s="22" t="s">
        <v>108</v>
      </c>
      <c r="AV14" s="17" t="s">
        <v>123</v>
      </c>
      <c r="AW14" s="17" t="s">
        <v>120</v>
      </c>
      <c r="AX14" s="96" t="s">
        <v>126</v>
      </c>
      <c r="AY14" s="17" t="s">
        <v>125</v>
      </c>
      <c r="AZ14" s="76" t="s">
        <v>108</v>
      </c>
      <c r="BA14" s="67" t="s">
        <v>123</v>
      </c>
      <c r="BB14" s="24" t="s">
        <v>120</v>
      </c>
      <c r="BC14" s="70" t="s">
        <v>126</v>
      </c>
      <c r="BD14" s="79" t="s">
        <v>125</v>
      </c>
      <c r="BE14" s="76" t="s">
        <v>108</v>
      </c>
      <c r="BF14" s="67" t="s">
        <v>123</v>
      </c>
      <c r="BG14" s="24" t="s">
        <v>120</v>
      </c>
      <c r="BH14" s="70" t="s">
        <v>126</v>
      </c>
      <c r="BI14" s="79" t="s">
        <v>125</v>
      </c>
      <c r="BJ14" s="76" t="s">
        <v>108</v>
      </c>
      <c r="BK14" s="67" t="s">
        <v>123</v>
      </c>
      <c r="BL14" s="24" t="s">
        <v>120</v>
      </c>
      <c r="BM14" s="70" t="s">
        <v>126</v>
      </c>
      <c r="BN14" s="79" t="s">
        <v>125</v>
      </c>
      <c r="BO14" s="22" t="s">
        <v>108</v>
      </c>
      <c r="BP14" s="17" t="s">
        <v>123</v>
      </c>
      <c r="BQ14" s="17" t="s">
        <v>120</v>
      </c>
      <c r="BR14" s="96" t="s">
        <v>126</v>
      </c>
      <c r="BS14" s="17" t="s">
        <v>125</v>
      </c>
      <c r="BT14" s="76" t="s">
        <v>108</v>
      </c>
      <c r="BU14" s="67" t="s">
        <v>123</v>
      </c>
      <c r="BV14" s="24" t="s">
        <v>120</v>
      </c>
      <c r="BW14" s="70" t="s">
        <v>126</v>
      </c>
      <c r="BX14" s="79" t="s">
        <v>125</v>
      </c>
      <c r="BY14" s="76" t="s">
        <v>108</v>
      </c>
      <c r="BZ14" s="67" t="s">
        <v>123</v>
      </c>
      <c r="CA14" s="24" t="s">
        <v>120</v>
      </c>
      <c r="CB14" s="70" t="s">
        <v>126</v>
      </c>
      <c r="CC14" s="79" t="s">
        <v>125</v>
      </c>
      <c r="CD14" s="76" t="s">
        <v>108</v>
      </c>
      <c r="CE14" s="67" t="s">
        <v>123</v>
      </c>
      <c r="CF14" s="24" t="s">
        <v>120</v>
      </c>
      <c r="CG14" s="70" t="s">
        <v>126</v>
      </c>
      <c r="CH14" s="119" t="s">
        <v>125</v>
      </c>
      <c r="CO14"/>
      <c r="CP14"/>
    </row>
    <row r="15" spans="2:94" ht="15" customHeight="1" x14ac:dyDescent="0.35">
      <c r="B15" s="52" t="s">
        <v>427</v>
      </c>
      <c r="C15" s="21">
        <v>771</v>
      </c>
      <c r="D15" s="21" t="s">
        <v>428</v>
      </c>
      <c r="E15" s="84" t="s">
        <v>539</v>
      </c>
      <c r="F15" s="83">
        <f>COUNTIF(Rede!$C:$C,Geral!$C15)</f>
        <v>1</v>
      </c>
      <c r="G15" s="15">
        <f>COUNTIF(Cliente!$C:$C,Geral!$C15)</f>
        <v>3</v>
      </c>
      <c r="H15" s="68">
        <f>SUMIF(Rede!$C:$C,Geral!$C15,Rede!$G:$G)</f>
        <v>3</v>
      </c>
      <c r="I15" s="71">
        <f>IFERROR(H15/G15,0)</f>
        <v>1</v>
      </c>
      <c r="J15" s="75">
        <f t="shared" ref="J15:J23" si="27">H15-G15</f>
        <v>0</v>
      </c>
      <c r="K15" s="146">
        <f>IFERROR(AVERAGEIFS(Cliente!$L:$L,Cliente!$C:$C,Geral!$C15,Cliente!$L:$L,"&gt;0"),0)</f>
        <v>50.060277777777777</v>
      </c>
      <c r="L15" s="77">
        <f>COUNTIF(Cliente!$C:$C,Geral!$C15)</f>
        <v>3</v>
      </c>
      <c r="M15" s="68">
        <f>SUMIF(Rede!$C:$C,Geral!$C15,Rede!$J:$J)</f>
        <v>3</v>
      </c>
      <c r="N15" s="71">
        <f t="shared" ref="N15:N22" si="28">IFERROR(M15/L15,0)</f>
        <v>1</v>
      </c>
      <c r="O15" s="75">
        <f t="shared" ref="O15:O23" si="29">M15-L15</f>
        <v>0</v>
      </c>
      <c r="P15" s="146">
        <f>IFERROR(AVERAGEIFS(Cliente!$S:$S,Cliente!$C:$C,Geral!$C15,Cliente!$S:$S,"&gt;0"),0)</f>
        <v>32.814166666666665</v>
      </c>
      <c r="Q15" s="80">
        <f>COUNTIF(Cliente!$C:$C,Geral!$C15)</f>
        <v>3</v>
      </c>
      <c r="R15" s="68">
        <f>SUMIF(Rede!$C:$C,Geral!$C15,Rede!$M:$M)</f>
        <v>3</v>
      </c>
      <c r="S15" s="71">
        <f t="shared" ref="S15:S22" si="30">IFERROR(R15/Q15,0)</f>
        <v>1</v>
      </c>
      <c r="T15" s="73">
        <f>R15-Q15</f>
        <v>0</v>
      </c>
      <c r="U15" s="148">
        <f>IFERROR(AVERAGEIFS(Cliente!$Y:$Y,Cliente!$C:$C,Geral!$C15,Cliente!$Y:$Y,"&gt;0"),0)</f>
        <v>46.044999999999995</v>
      </c>
      <c r="V15" s="80">
        <f>COUNTIF(Cliente!$C:$C,Geral!$C15)</f>
        <v>3</v>
      </c>
      <c r="W15" s="68">
        <f>SUMIF(Rede!$C:$C,Geral!$C15,Rede!$P:$P)</f>
        <v>3</v>
      </c>
      <c r="X15" s="71">
        <f t="shared" ref="X15:X23" si="31">IFERROR(W15/V15,0)</f>
        <v>1</v>
      </c>
      <c r="Y15" s="75">
        <f t="shared" ref="Y15:Y22" si="32">W15-V15</f>
        <v>0</v>
      </c>
      <c r="Z15" s="148">
        <f>IFERROR(AVERAGEIFS(Cliente!$AE:$AE,Cliente!$C:$C,Geral!$C15,Cliente!$AE:$AE,"&gt;0"),0)</f>
        <v>71.321666666666673</v>
      </c>
      <c r="AA15" s="15">
        <f>COUNTIF(Cliente!$C:$C,Geral!$C15)</f>
        <v>3</v>
      </c>
      <c r="AB15" s="68">
        <f>SUMIF(Rede!$C:$C,Geral!$C15,Rede!$S:$S)</f>
        <v>0</v>
      </c>
      <c r="AC15" s="71">
        <f>IFERROR(AB15/AA15,0)</f>
        <v>0</v>
      </c>
      <c r="AD15" s="75">
        <f t="shared" ref="AD15:AD23" si="33">AB15-AA15</f>
        <v>-3</v>
      </c>
      <c r="AE15" s="110">
        <f>IFERROR(AVERAGEIFS(Cliente!$AG:$AG,Cliente!$C:$C,Geral!$C15,Cliente!$AG:$AG,"&gt;0"),0)</f>
        <v>19.734166666666667</v>
      </c>
      <c r="AF15" s="77">
        <f>COUNTIF(Cliente!$C:$C,Geral!$C15)</f>
        <v>3</v>
      </c>
      <c r="AG15" s="68">
        <f>SUMIF(Rede!$C:$C,Geral!$C15,Rede!$V:$V)</f>
        <v>2</v>
      </c>
      <c r="AH15" s="25">
        <f>AG15/AF15</f>
        <v>0.66666666666666663</v>
      </c>
      <c r="AI15" s="75">
        <f t="shared" ref="AI15:AI23" si="34">AG15-AF15</f>
        <v>-1</v>
      </c>
      <c r="AJ15" s="110">
        <f>IFERROR(AVERAGEIFS(Cliente!$AN:$AN,Cliente!$C:$C,Geral!$C15,Cliente!$AN:$AN,"&gt;0"),0)</f>
        <v>59.202500000000001</v>
      </c>
      <c r="AK15" s="80">
        <f>COUNTIF(Cliente!$C:$C,Geral!$C15)</f>
        <v>3</v>
      </c>
      <c r="AL15" s="68">
        <f>SUMIF(Rede!$C:$C,Geral!$C15,Rede!$Y:$Y)</f>
        <v>0</v>
      </c>
      <c r="AM15" s="71">
        <f>AL15/AK15</f>
        <v>0</v>
      </c>
      <c r="AN15" s="73">
        <f>AL15-AK15</f>
        <v>-3</v>
      </c>
      <c r="AO15" s="114">
        <f>IFERROR(AVERAGEIFS(Cliente!$AU:$AU,Cliente!$C:$C,Geral!$C15,Cliente!$AU:$AU,"&gt;0"),0)</f>
        <v>0</v>
      </c>
      <c r="AP15" s="80">
        <f>COUNTIF(Cliente!$C:$C,Geral!$C15)</f>
        <v>3</v>
      </c>
      <c r="AQ15" s="68">
        <f>SUMIF(Rede!$C:$C,Geral!$C15,Rede!$AB:$AB)</f>
        <v>0</v>
      </c>
      <c r="AR15" s="71">
        <f t="shared" ref="AR15:AR22" si="35">AQ15/AP15</f>
        <v>0</v>
      </c>
      <c r="AS15" s="75">
        <f t="shared" ref="AS15:AS22" si="36">AQ15-AP15</f>
        <v>-3</v>
      </c>
      <c r="AT15" s="114">
        <f>IFERROR(AVERAGEIFS(Cliente!$BB:$BB,Cliente!$C:$C,Geral!$C15,Cliente!$BB:$BB,"&gt;0"),0)</f>
        <v>0</v>
      </c>
      <c r="AU15" s="15">
        <f>COUNTIF(Cliente!$C:$C,Geral!$C15)</f>
        <v>3</v>
      </c>
      <c r="AV15" s="68">
        <f>SUMIF(Rede!$C:$C,Geral!$C15,Rede!$AE:$AE)</f>
        <v>1</v>
      </c>
      <c r="AW15" s="71">
        <f>IFERROR(AV15/AU15,0)</f>
        <v>0.33333333333333331</v>
      </c>
      <c r="AX15" s="75">
        <f>AV15-AU15</f>
        <v>-2</v>
      </c>
      <c r="AY15" s="110">
        <f>AVERAGE(BD15,BI15,BN15)</f>
        <v>78.904166666666669</v>
      </c>
      <c r="AZ15" s="77">
        <f>COUNTIF(Cliente!$C:$C,Geral!$C15)</f>
        <v>3</v>
      </c>
      <c r="BA15" s="68">
        <f>SUMIF(Rede!$C:$C,Geral!$C15,Rede!$AH:$AH)</f>
        <v>2</v>
      </c>
      <c r="BB15" s="71">
        <f>BA15/AZ15</f>
        <v>0.66666666666666663</v>
      </c>
      <c r="BC15" s="75">
        <f>BA15-AZ15</f>
        <v>-1</v>
      </c>
      <c r="BD15" s="110">
        <f>IFERROR(AVERAGEIFS(Cliente!$BL:$BL,Cliente!$C:$C,Geral!$C15,Cliente!$BL:$BL,"&gt;0"),0)</f>
        <v>71.712500000000006</v>
      </c>
      <c r="BE15" s="80">
        <f>COUNTIF(Cliente!$C:$C,Geral!$C15)</f>
        <v>3</v>
      </c>
      <c r="BF15" s="68">
        <f>SUMIF(Rede!$C:$C,Geral!$C15,Rede!$AK:$AK)</f>
        <v>2</v>
      </c>
      <c r="BG15" s="71">
        <f>BF15/BE15</f>
        <v>0.66666666666666663</v>
      </c>
      <c r="BH15" s="73">
        <f>BF15-BE15</f>
        <v>-1</v>
      </c>
      <c r="BI15" s="114">
        <f>IFERROR(AVERAGEIFS(Cliente!$BS:$BS,Cliente!$C:$C,Geral!$C15,Cliente!$BS:$BS,"&gt;0"),0)</f>
        <v>79.400000000000006</v>
      </c>
      <c r="BJ15" s="80">
        <f>COUNTIF(Cliente!$C:$C,Geral!$C15)</f>
        <v>3</v>
      </c>
      <c r="BK15" s="68">
        <f>SUMIF(Rede!$C:$C,Geral!$C15,Rede!$AN:$AN)</f>
        <v>1</v>
      </c>
      <c r="BL15" s="71">
        <f t="shared" ref="BL15:BL22" si="37">BK15/BJ15</f>
        <v>0.33333333333333331</v>
      </c>
      <c r="BM15" s="75">
        <f t="shared" ref="BM15:BM22" si="38">BK15-BJ15</f>
        <v>-2</v>
      </c>
      <c r="BN15" s="118">
        <f>IFERROR(AVERAGEIFS(Cliente!$BZ:$BZ,Cliente!$C:$C,Geral!$C15,Cliente!$BZ:$BZ,"&gt;0"),0)</f>
        <v>85.6</v>
      </c>
      <c r="BO15" s="15">
        <f>COUNTIF(Cliente!$C:$C,Geral!$C15)</f>
        <v>3</v>
      </c>
      <c r="BP15" s="68">
        <f>SUMIF(Rede!$C:$C,Geral!$C15,Rede!$AQ:$AQ)</f>
        <v>0</v>
      </c>
      <c r="BQ15" s="71">
        <f>IFERROR(BP15/BO15,0)</f>
        <v>0</v>
      </c>
      <c r="BR15" s="75">
        <f>BP15-BO15</f>
        <v>-3</v>
      </c>
      <c r="BS15" s="110">
        <f>IFERROR(AVERAGEIFS(Cliente!$CB:$CB,Cliente!$C:$C,Geral!$C15,Cliente!$CB:$CB,"&gt;0"),0)</f>
        <v>25.95</v>
      </c>
      <c r="BT15" s="77">
        <f>COUNTIF(Cliente!$C:$C,Geral!$C15)</f>
        <v>3</v>
      </c>
      <c r="BU15" s="68">
        <f>SUMIF(Rede!$C:$C,Geral!$C15,Rede!$AT:$AT)</f>
        <v>0</v>
      </c>
      <c r="BV15" s="71">
        <f>BU15/BT15</f>
        <v>0</v>
      </c>
      <c r="BW15" s="75">
        <f>BU15-BT15</f>
        <v>-3</v>
      </c>
      <c r="BX15" s="110">
        <f>IFERROR(AVERAGEIFS(Cliente!$CL:$CL,Cliente!$C:$C,Geral!$C15,Cliente!$CL:$CL,"&gt;0"),0)</f>
        <v>0</v>
      </c>
      <c r="BY15" s="80">
        <f>COUNTIF(Cliente!$C:$C,Geral!$C15)</f>
        <v>3</v>
      </c>
      <c r="BZ15" s="68">
        <f>SUMIF(Rede!$C:$C,Geral!$C15,Rede!$AW:$AW)</f>
        <v>0</v>
      </c>
      <c r="CA15" s="71">
        <f>BZ15/BY15</f>
        <v>0</v>
      </c>
      <c r="CB15" s="73">
        <f>BZ15-BY15</f>
        <v>-3</v>
      </c>
      <c r="CC15" s="114">
        <f>IFERROR(AVERAGEIFS(Cliente!$CU:$CU,Cliente!$C:$C,Geral!$C15,Cliente!$CU:$CU,"&gt;0"),0)</f>
        <v>0</v>
      </c>
      <c r="CD15" s="80">
        <f>COUNTIF(Cliente!$C:$C,Geral!$C15)</f>
        <v>3</v>
      </c>
      <c r="CE15" s="68">
        <f>SUMIF(Rede!$C:$C,Geral!$C15,Rede!$AZ:$AZ)</f>
        <v>1</v>
      </c>
      <c r="CF15" s="71">
        <f t="shared" ref="CF15:CF22" si="39">CE15/CD15</f>
        <v>0.33333333333333331</v>
      </c>
      <c r="CG15" s="75">
        <f t="shared" ref="CG15:CG22" si="40">CE15-CD15</f>
        <v>-2</v>
      </c>
      <c r="CH15" s="118">
        <f>IFERROR(AVERAGEIFS(Cliente!$DD:$DD,Cliente!$C:$C,Geral!$C15,Cliente!$DD:$DD,"&gt;0"),0)</f>
        <v>77.849999999999994</v>
      </c>
      <c r="CO15"/>
      <c r="CP15"/>
    </row>
    <row r="16" spans="2:94" ht="15" customHeight="1" x14ac:dyDescent="0.35">
      <c r="B16" s="52" t="s">
        <v>427</v>
      </c>
      <c r="C16" s="21">
        <v>3919</v>
      </c>
      <c r="D16" s="21" t="s">
        <v>429</v>
      </c>
      <c r="E16" s="84" t="s">
        <v>482</v>
      </c>
      <c r="F16" s="83">
        <f>COUNTIF(Rede!$C:$C,Geral!$C16)</f>
        <v>4</v>
      </c>
      <c r="G16" s="15">
        <f>COUNTIF(Cliente!$C:$C,Geral!$C16)</f>
        <v>20</v>
      </c>
      <c r="H16" s="68">
        <f>SUMIF(Rede!$C:$C,Geral!$C16,Rede!$G:$G)</f>
        <v>13</v>
      </c>
      <c r="I16" s="71">
        <f t="shared" ref="I16:I22" si="41">IFERROR(H16/G16,0)</f>
        <v>0.65</v>
      </c>
      <c r="J16" s="75">
        <f t="shared" si="27"/>
        <v>-7</v>
      </c>
      <c r="K16" s="146">
        <f>IFERROR(AVERAGEIFS(Cliente!$L:$L,Cliente!$C:$C,Geral!$C16,Cliente!$L:$L,"&gt;0"),0)</f>
        <v>57.598875000000007</v>
      </c>
      <c r="L16" s="77">
        <f>COUNTIF(Cliente!$C:$C,Geral!$C16)</f>
        <v>20</v>
      </c>
      <c r="M16" s="68">
        <f>SUMIF(Rede!$C:$C,Geral!$C16,Rede!$J:$J)</f>
        <v>17</v>
      </c>
      <c r="N16" s="71">
        <f t="shared" si="28"/>
        <v>0.85</v>
      </c>
      <c r="O16" s="73">
        <f t="shared" si="29"/>
        <v>-3</v>
      </c>
      <c r="P16" s="146">
        <f>IFERROR(AVERAGEIFS(Cliente!$S:$S,Cliente!$C:$C,Geral!$C16,Cliente!$S:$S,"&gt;0"),0)</f>
        <v>54.314558823529403</v>
      </c>
      <c r="Q16" s="80">
        <f>COUNTIF(Cliente!$C:$C,Geral!$C16)</f>
        <v>20</v>
      </c>
      <c r="R16" s="68">
        <f>SUMIF(Rede!$C:$C,Geral!$C16,Rede!$M:$M)</f>
        <v>19</v>
      </c>
      <c r="S16" s="71">
        <f t="shared" si="30"/>
        <v>0.95</v>
      </c>
      <c r="T16" s="73">
        <f t="shared" ref="T16:T17" si="42">R16-Q16</f>
        <v>-1</v>
      </c>
      <c r="U16" s="148">
        <f>IFERROR(AVERAGEIFS(Cliente!$Y:$Y,Cliente!$C:$C,Geral!$C16,Cliente!$Y:$Y,"&gt;0"),0)</f>
        <v>63.862631578947386</v>
      </c>
      <c r="V16" s="80">
        <f>COUNTIF(Cliente!$C:$C,Geral!$C16)</f>
        <v>20</v>
      </c>
      <c r="W16" s="68">
        <f>SUMIF(Rede!$C:$C,Geral!$C16,Rede!$P:$P)</f>
        <v>17</v>
      </c>
      <c r="X16" s="71">
        <f t="shared" si="31"/>
        <v>0.85</v>
      </c>
      <c r="Y16" s="75">
        <f t="shared" si="32"/>
        <v>-3</v>
      </c>
      <c r="Z16" s="148">
        <f>IFERROR(AVERAGEIFS(Cliente!$AE:$AE,Cliente!$C:$C,Geral!$C16,Cliente!$AE:$AE,"&gt;0"),0)</f>
        <v>77.59970588235295</v>
      </c>
      <c r="AA16" s="15">
        <f>COUNTIF(Cliente!$C:$C,Geral!$C16)</f>
        <v>20</v>
      </c>
      <c r="AB16" s="68">
        <f>SUMIF(Rede!$C:$C,Geral!$C16,Rede!$S:$S)</f>
        <v>10</v>
      </c>
      <c r="AC16" s="71">
        <f t="shared" ref="AC16:AC22" si="43">IFERROR(AB16/AA16,0)</f>
        <v>0.5</v>
      </c>
      <c r="AD16" s="75">
        <f t="shared" si="33"/>
        <v>-10</v>
      </c>
      <c r="AE16" s="110">
        <f>IFERROR(AVERAGEIFS(Cliente!$AG:$AG,Cliente!$C:$C,Geral!$C16,Cliente!$AG:$AG,"&gt;0"),0)</f>
        <v>49.455416666666665</v>
      </c>
      <c r="AF16" s="77">
        <f>COUNTIF(Cliente!$C:$C,Geral!$C16)</f>
        <v>20</v>
      </c>
      <c r="AG16" s="68">
        <f>SUMIF(Rede!$C:$C,Geral!$C16,Rede!$V:$V)</f>
        <v>14</v>
      </c>
      <c r="AH16" s="25">
        <f t="shared" ref="AH16:AH22" si="44">AG16/AF16</f>
        <v>0.7</v>
      </c>
      <c r="AI16" s="73">
        <f t="shared" si="34"/>
        <v>-6</v>
      </c>
      <c r="AJ16" s="110">
        <f>IFERROR(AVERAGEIFS(Cliente!$AN:$AN,Cliente!$C:$C,Geral!$C16,Cliente!$AN:$AN,"&gt;0"),0)</f>
        <v>62.919642857142854</v>
      </c>
      <c r="AK16" s="80">
        <f>COUNTIF(Cliente!$C:$C,Geral!$C16)</f>
        <v>20</v>
      </c>
      <c r="AL16" s="68">
        <f>SUMIF(Rede!$C:$C,Geral!$C16,Rede!$Y:$Y)</f>
        <v>14</v>
      </c>
      <c r="AM16" s="71">
        <f t="shared" ref="AM16:AM22" si="45">AL16/AK16</f>
        <v>0.7</v>
      </c>
      <c r="AN16" s="73">
        <f t="shared" ref="AN16:AN22" si="46">AL16-AK16</f>
        <v>-6</v>
      </c>
      <c r="AO16" s="114">
        <f>IFERROR(AVERAGEIFS(Cliente!$AU:$AU,Cliente!$C:$C,Geral!$C16,Cliente!$AU:$AU,"&gt;0"),0)</f>
        <v>63.159285714285723</v>
      </c>
      <c r="AP16" s="80">
        <f>COUNTIF(Cliente!$C:$C,Geral!$C16)</f>
        <v>20</v>
      </c>
      <c r="AQ16" s="68">
        <f>SUMIF(Rede!$C:$C,Geral!$C16,Rede!$AB:$AB)</f>
        <v>19</v>
      </c>
      <c r="AR16" s="71">
        <f t="shared" si="35"/>
        <v>0.95</v>
      </c>
      <c r="AS16" s="75">
        <f t="shared" si="36"/>
        <v>-1</v>
      </c>
      <c r="AT16" s="114">
        <f>IFERROR(AVERAGEIFS(Cliente!$BB:$BB,Cliente!$C:$C,Geral!$C16,Cliente!$BB:$BB,"&gt;0"),0)</f>
        <v>63.274736842105277</v>
      </c>
      <c r="AU16" s="15">
        <f>COUNTIF(Cliente!$C:$C,Geral!$C16)</f>
        <v>20</v>
      </c>
      <c r="AV16" s="68">
        <f>SUMIF(Rede!$C:$C,Geral!$C16,Rede!$AE:$AE)</f>
        <v>15</v>
      </c>
      <c r="AW16" s="71">
        <f t="shared" ref="AW16:AW23" si="47">IFERROR(AV16/AU16,0)</f>
        <v>0.75</v>
      </c>
      <c r="AX16" s="75">
        <f t="shared" ref="AX16:AX23" si="48">AV16-AU16</f>
        <v>-5</v>
      </c>
      <c r="AY16" s="110">
        <f t="shared" ref="AY16:AY22" si="49">AVERAGE(BD16,BI16,BN16)</f>
        <v>79.834421052631583</v>
      </c>
      <c r="AZ16" s="77">
        <f>COUNTIF(Cliente!$C:$C,Geral!$C16)</f>
        <v>20</v>
      </c>
      <c r="BA16" s="68">
        <f>SUMIF(Rede!$C:$C,Geral!$C16,Rede!$AH:$AH)</f>
        <v>20</v>
      </c>
      <c r="BB16" s="71">
        <f t="shared" ref="BB16:BB22" si="50">BA16/AZ16</f>
        <v>1</v>
      </c>
      <c r="BC16" s="73">
        <f t="shared" ref="BC16:BC22" si="51">BA16-AZ16</f>
        <v>0</v>
      </c>
      <c r="BD16" s="110">
        <f>IFERROR(AVERAGEIFS(Cliente!$BL:$BL,Cliente!$C:$C,Geral!$C16,Cliente!$BL:$BL,"&gt;0"),0)</f>
        <v>73.764250000000004</v>
      </c>
      <c r="BE16" s="80">
        <f>COUNTIF(Cliente!$C:$C,Geral!$C16)</f>
        <v>20</v>
      </c>
      <c r="BF16" s="68">
        <f>SUMIF(Rede!$C:$C,Geral!$C16,Rede!$AK:$AK)</f>
        <v>20</v>
      </c>
      <c r="BG16" s="71">
        <f t="shared" ref="BG16:BG19" si="52">BF16/BE16</f>
        <v>1</v>
      </c>
      <c r="BH16" s="73">
        <f t="shared" ref="BH16:BH17" si="53">BF16-BE16</f>
        <v>0</v>
      </c>
      <c r="BI16" s="114">
        <f>IFERROR(AVERAGEIFS(Cliente!$BS:$BS,Cliente!$C:$C,Geral!$C16,Cliente!$BS:$BS,"&gt;0"),0)</f>
        <v>84.273749999999993</v>
      </c>
      <c r="BJ16" s="80">
        <f>COUNTIF(Cliente!$C:$C,Geral!$C16)</f>
        <v>20</v>
      </c>
      <c r="BK16" s="68">
        <f>SUMIF(Rede!$C:$C,Geral!$C16,Rede!$AN:$AN)</f>
        <v>19</v>
      </c>
      <c r="BL16" s="71">
        <f t="shared" si="37"/>
        <v>0.95</v>
      </c>
      <c r="BM16" s="75">
        <f t="shared" si="38"/>
        <v>-1</v>
      </c>
      <c r="BN16" s="118">
        <f>IFERROR(AVERAGEIFS(Cliente!$BZ:$BZ,Cliente!$C:$C,Geral!$C16,Cliente!$BZ:$BZ,"&gt;0"),0)</f>
        <v>81.465263157894739</v>
      </c>
      <c r="BO16" s="15">
        <f>COUNTIF(Cliente!$C:$C,Geral!$C16)</f>
        <v>20</v>
      </c>
      <c r="BP16" s="68">
        <f>SUMIF(Rede!$C:$C,Geral!$C16,Rede!$AQ:$AQ)</f>
        <v>15</v>
      </c>
      <c r="BQ16" s="71">
        <f t="shared" ref="BQ16:BQ23" si="54">IFERROR(BP16/BO16,0)</f>
        <v>0.75</v>
      </c>
      <c r="BR16" s="75">
        <f t="shared" ref="BR16:BR23" si="55">BP16-BO16</f>
        <v>-5</v>
      </c>
      <c r="BS16" s="110">
        <f>IFERROR(AVERAGEIFS(Cliente!$CB:$CB,Cliente!$C:$C,Geral!$C16,Cliente!$CB:$CB,"&gt;0"),0)</f>
        <v>79.99958333333332</v>
      </c>
      <c r="BT16" s="77">
        <f>COUNTIF(Cliente!$C:$C,Geral!$C16)</f>
        <v>20</v>
      </c>
      <c r="BU16" s="68">
        <f>SUMIF(Rede!$C:$C,Geral!$C16,Rede!$AT:$AT)</f>
        <v>20</v>
      </c>
      <c r="BV16" s="71">
        <f t="shared" ref="BV16:BV22" si="56">BU16/BT16</f>
        <v>1</v>
      </c>
      <c r="BW16" s="73">
        <f t="shared" ref="BW16:BW22" si="57">BU16-BT16</f>
        <v>0</v>
      </c>
      <c r="BX16" s="110">
        <f>IFERROR(AVERAGEIFS(Cliente!$CL:$CL,Cliente!$C:$C,Geral!$C16,Cliente!$CL:$CL,"&gt;0"),0)</f>
        <v>86.267499999999998</v>
      </c>
      <c r="BY16" s="80">
        <f>COUNTIF(Cliente!$C:$C,Geral!$C16)</f>
        <v>20</v>
      </c>
      <c r="BZ16" s="68">
        <f>SUMIF(Rede!$C:$C,Geral!$C16,Rede!$AW:$AW)</f>
        <v>20</v>
      </c>
      <c r="CA16" s="71">
        <f t="shared" ref="CA16:CA19" si="58">BZ16/BY16</f>
        <v>1</v>
      </c>
      <c r="CB16" s="73">
        <f t="shared" ref="CB16:CB17" si="59">BZ16-BY16</f>
        <v>0</v>
      </c>
      <c r="CC16" s="114">
        <f>IFERROR(AVERAGEIFS(Cliente!$CU:$CU,Cliente!$C:$C,Geral!$C16,Cliente!$CU:$CU,"&gt;0"),0)</f>
        <v>89.710000000000008</v>
      </c>
      <c r="CD16" s="80">
        <f>COUNTIF(Cliente!$C:$C,Geral!$C16)</f>
        <v>20</v>
      </c>
      <c r="CE16" s="68">
        <f>SUMIF(Rede!$C:$C,Geral!$C16,Rede!$AZ:$AZ)</f>
        <v>15</v>
      </c>
      <c r="CF16" s="71">
        <f t="shared" si="39"/>
        <v>0.75</v>
      </c>
      <c r="CG16" s="75">
        <f t="shared" si="40"/>
        <v>-5</v>
      </c>
      <c r="CH16" s="118">
        <f>IFERROR(AVERAGEIFS(Cliente!$DD:$DD,Cliente!$C:$C,Geral!$C16,Cliente!$DD:$DD,"&gt;0"),0)</f>
        <v>85.36166666666665</v>
      </c>
      <c r="CO16"/>
      <c r="CP16"/>
    </row>
    <row r="17" spans="2:94" ht="15" customHeight="1" x14ac:dyDescent="0.35">
      <c r="B17" s="52" t="s">
        <v>427</v>
      </c>
      <c r="C17" s="21">
        <v>3956</v>
      </c>
      <c r="D17" s="21" t="s">
        <v>431</v>
      </c>
      <c r="E17" s="84" t="s">
        <v>489</v>
      </c>
      <c r="F17" s="83">
        <f>COUNTIF(Rede!$C:$C,Geral!$C17)</f>
        <v>1</v>
      </c>
      <c r="G17" s="15">
        <f>COUNTIF(Cliente!$C:$C,Geral!$C17)</f>
        <v>3</v>
      </c>
      <c r="H17" s="68">
        <f>SUMIF(Rede!$C:$C,Geral!$C17,Rede!$G:$G)</f>
        <v>2</v>
      </c>
      <c r="I17" s="71">
        <f t="shared" si="41"/>
        <v>0.66666666666666663</v>
      </c>
      <c r="J17" s="75">
        <f t="shared" si="27"/>
        <v>-1</v>
      </c>
      <c r="K17" s="146">
        <f>IFERROR(AVERAGEIFS(Cliente!$L:$L,Cliente!$C:$C,Geral!$C17,Cliente!$L:$L,"&gt;0"),0)</f>
        <v>72.658888888888896</v>
      </c>
      <c r="L17" s="77">
        <f>COUNTIF(Cliente!$C:$C,Geral!$C17)</f>
        <v>3</v>
      </c>
      <c r="M17" s="68">
        <f>SUMIF(Rede!$C:$C,Geral!$C17,Rede!$J:$J)</f>
        <v>3</v>
      </c>
      <c r="N17" s="71">
        <f t="shared" si="28"/>
        <v>1</v>
      </c>
      <c r="O17" s="73">
        <f t="shared" si="29"/>
        <v>0</v>
      </c>
      <c r="P17" s="146">
        <f>IFERROR(AVERAGEIFS(Cliente!$S:$S,Cliente!$C:$C,Geral!$C17,Cliente!$S:$S,"&gt;0"),0)</f>
        <v>70.48833333333333</v>
      </c>
      <c r="Q17" s="80">
        <f>COUNTIF(Cliente!$C:$C,Geral!$C17)</f>
        <v>3</v>
      </c>
      <c r="R17" s="68">
        <f>SUMIF(Rede!$C:$C,Geral!$C17,Rede!$M:$M)</f>
        <v>2</v>
      </c>
      <c r="S17" s="71">
        <f t="shared" si="30"/>
        <v>0.66666666666666663</v>
      </c>
      <c r="T17" s="73">
        <f t="shared" si="42"/>
        <v>-1</v>
      </c>
      <c r="U17" s="148">
        <f>IFERROR(AVERAGEIFS(Cliente!$Y:$Y,Cliente!$C:$C,Geral!$C17,Cliente!$Y:$Y,"&gt;0"),0)</f>
        <v>89.210000000000008</v>
      </c>
      <c r="V17" s="80">
        <f>COUNTIF(Cliente!$C:$C,Geral!$C17)</f>
        <v>3</v>
      </c>
      <c r="W17" s="68">
        <f>SUMIF(Rede!$C:$C,Geral!$C17,Rede!$P:$P)</f>
        <v>3</v>
      </c>
      <c r="X17" s="71">
        <f t="shared" si="31"/>
        <v>1</v>
      </c>
      <c r="Y17" s="75">
        <f t="shared" si="32"/>
        <v>0</v>
      </c>
      <c r="Z17" s="148">
        <f>IFERROR(AVERAGEIFS(Cliente!$AE:$AE,Cliente!$C:$C,Geral!$C17,Cliente!$AE:$AE,"&gt;0"),0)</f>
        <v>88.015000000000001</v>
      </c>
      <c r="AA17" s="15">
        <f>COUNTIF(Cliente!$C:$C,Geral!$C17)</f>
        <v>3</v>
      </c>
      <c r="AB17" s="68">
        <f>SUMIF(Rede!$C:$C,Geral!$C17,Rede!$S:$S)</f>
        <v>3</v>
      </c>
      <c r="AC17" s="71">
        <f t="shared" si="43"/>
        <v>1</v>
      </c>
      <c r="AD17" s="75">
        <f t="shared" si="33"/>
        <v>0</v>
      </c>
      <c r="AE17" s="110">
        <f>IFERROR(AVERAGEIFS(Cliente!$AG:$AG,Cliente!$C:$C,Geral!$C17,Cliente!$AG:$AG,"&gt;0"),0)</f>
        <v>78.671111111111131</v>
      </c>
      <c r="AF17" s="77">
        <f>COUNTIF(Cliente!$C:$C,Geral!$C17)</f>
        <v>3</v>
      </c>
      <c r="AG17" s="68">
        <f>SUMIF(Rede!$C:$C,Geral!$C17,Rede!$V:$V)</f>
        <v>3</v>
      </c>
      <c r="AH17" s="25">
        <f t="shared" si="44"/>
        <v>1</v>
      </c>
      <c r="AI17" s="73">
        <f t="shared" si="34"/>
        <v>0</v>
      </c>
      <c r="AJ17" s="110">
        <f>IFERROR(AVERAGEIFS(Cliente!$AN:$AN,Cliente!$C:$C,Geral!$C17,Cliente!$AN:$AN,"&gt;0"),0)</f>
        <v>71.993333333333339</v>
      </c>
      <c r="AK17" s="80">
        <f>COUNTIF(Cliente!$C:$C,Geral!$C17)</f>
        <v>3</v>
      </c>
      <c r="AL17" s="68">
        <f>SUMIF(Rede!$C:$C,Geral!$C17,Rede!$Y:$Y)</f>
        <v>3</v>
      </c>
      <c r="AM17" s="71">
        <f t="shared" si="45"/>
        <v>1</v>
      </c>
      <c r="AN17" s="73">
        <f t="shared" si="46"/>
        <v>0</v>
      </c>
      <c r="AO17" s="114">
        <f>IFERROR(AVERAGEIFS(Cliente!$AU:$AU,Cliente!$C:$C,Geral!$C17,Cliente!$AU:$AU,"&gt;0"),0)</f>
        <v>73.50333333333333</v>
      </c>
      <c r="AP17" s="80">
        <f>COUNTIF(Cliente!$C:$C,Geral!$C17)</f>
        <v>3</v>
      </c>
      <c r="AQ17" s="68">
        <f>SUMIF(Rede!$C:$C,Geral!$C17,Rede!$AB:$AB)</f>
        <v>3</v>
      </c>
      <c r="AR17" s="71">
        <f t="shared" si="35"/>
        <v>1</v>
      </c>
      <c r="AS17" s="75">
        <f t="shared" si="36"/>
        <v>0</v>
      </c>
      <c r="AT17" s="114">
        <f>IFERROR(AVERAGEIFS(Cliente!$BB:$BB,Cliente!$C:$C,Geral!$C17,Cliente!$BB:$BB,"&gt;0"),0)</f>
        <v>90.516666666666666</v>
      </c>
      <c r="AU17" s="15">
        <f>COUNTIF(Cliente!$C:$C,Geral!$C17)</f>
        <v>3</v>
      </c>
      <c r="AV17" s="68">
        <f>SUMIF(Rede!$C:$C,Geral!$C17,Rede!$AE:$AE)</f>
        <v>3</v>
      </c>
      <c r="AW17" s="71">
        <f t="shared" si="47"/>
        <v>1</v>
      </c>
      <c r="AX17" s="75">
        <f t="shared" si="48"/>
        <v>0</v>
      </c>
      <c r="AY17" s="110">
        <f t="shared" si="49"/>
        <v>87.269444444444446</v>
      </c>
      <c r="AZ17" s="77">
        <f>COUNTIF(Cliente!$C:$C,Geral!$C17)</f>
        <v>3</v>
      </c>
      <c r="BA17" s="68">
        <f>SUMIF(Rede!$C:$C,Geral!$C17,Rede!$AH:$AH)</f>
        <v>3</v>
      </c>
      <c r="BB17" s="71">
        <f t="shared" si="50"/>
        <v>1</v>
      </c>
      <c r="BC17" s="73">
        <f t="shared" si="51"/>
        <v>0</v>
      </c>
      <c r="BD17" s="110">
        <f>IFERROR(AVERAGEIFS(Cliente!$BL:$BL,Cliente!$C:$C,Geral!$C17,Cliente!$BL:$BL,"&gt;0"),0)</f>
        <v>78.608333333333334</v>
      </c>
      <c r="BE17" s="80">
        <f>COUNTIF(Cliente!$C:$C,Geral!$C17)</f>
        <v>3</v>
      </c>
      <c r="BF17" s="68">
        <f>SUMIF(Rede!$C:$C,Geral!$C17,Rede!$AK:$AK)</f>
        <v>3</v>
      </c>
      <c r="BG17" s="71">
        <f t="shared" si="52"/>
        <v>1</v>
      </c>
      <c r="BH17" s="73">
        <f t="shared" si="53"/>
        <v>0</v>
      </c>
      <c r="BI17" s="114">
        <f>IFERROR(AVERAGEIFS(Cliente!$BS:$BS,Cliente!$C:$C,Geral!$C17,Cliente!$BS:$BS,"&gt;0"),0)</f>
        <v>93</v>
      </c>
      <c r="BJ17" s="80">
        <f>COUNTIF(Cliente!$C:$C,Geral!$C17)</f>
        <v>3</v>
      </c>
      <c r="BK17" s="68">
        <f>SUMIF(Rede!$C:$C,Geral!$C17,Rede!$AN:$AN)</f>
        <v>3</v>
      </c>
      <c r="BL17" s="71">
        <f t="shared" si="37"/>
        <v>1</v>
      </c>
      <c r="BM17" s="75">
        <f t="shared" si="38"/>
        <v>0</v>
      </c>
      <c r="BN17" s="118">
        <f>IFERROR(AVERAGEIFS(Cliente!$BZ:$BZ,Cliente!$C:$C,Geral!$C17,Cliente!$BZ:$BZ,"&gt;0"),0)</f>
        <v>90.2</v>
      </c>
      <c r="BO17" s="15">
        <f>COUNTIF(Cliente!$C:$C,Geral!$C17)</f>
        <v>3</v>
      </c>
      <c r="BP17" s="68">
        <f>SUMIF(Rede!$C:$C,Geral!$C17,Rede!$AQ:$AQ)</f>
        <v>3</v>
      </c>
      <c r="BQ17" s="71">
        <f t="shared" si="54"/>
        <v>1</v>
      </c>
      <c r="BR17" s="75">
        <f t="shared" si="55"/>
        <v>0</v>
      </c>
      <c r="BS17" s="110">
        <f>IFERROR(AVERAGEIFS(Cliente!$CB:$CB,Cliente!$C:$C,Geral!$C17,Cliente!$CB:$CB,"&gt;0"),0)</f>
        <v>95.511111111111106</v>
      </c>
      <c r="BT17" s="77">
        <f>COUNTIF(Cliente!$C:$C,Geral!$C17)</f>
        <v>3</v>
      </c>
      <c r="BU17" s="68">
        <f>SUMIF(Rede!$C:$C,Geral!$C17,Rede!$AT:$AT)</f>
        <v>3</v>
      </c>
      <c r="BV17" s="71">
        <f t="shared" si="56"/>
        <v>1</v>
      </c>
      <c r="BW17" s="73">
        <f t="shared" si="57"/>
        <v>0</v>
      </c>
      <c r="BX17" s="110">
        <f>IFERROR(AVERAGEIFS(Cliente!$CL:$CL,Cliente!$C:$C,Geral!$C17,Cliente!$CL:$CL,"&gt;0"),0)</f>
        <v>89.59999999999998</v>
      </c>
      <c r="BY17" s="80">
        <f>COUNTIF(Cliente!$C:$C,Geral!$C17)</f>
        <v>3</v>
      </c>
      <c r="BZ17" s="68">
        <f>SUMIF(Rede!$C:$C,Geral!$C17,Rede!$AW:$AW)</f>
        <v>3</v>
      </c>
      <c r="CA17" s="71">
        <f t="shared" si="58"/>
        <v>1</v>
      </c>
      <c r="CB17" s="73">
        <f t="shared" si="59"/>
        <v>0</v>
      </c>
      <c r="CC17" s="114">
        <f>IFERROR(AVERAGEIFS(Cliente!$CU:$CU,Cliente!$C:$C,Geral!$C17,Cliente!$CU:$CU,"&gt;0"),0)</f>
        <v>98.600000000000009</v>
      </c>
      <c r="CD17" s="80">
        <f>COUNTIF(Cliente!$C:$C,Geral!$C17)</f>
        <v>3</v>
      </c>
      <c r="CE17" s="68">
        <f>SUMIF(Rede!$C:$C,Geral!$C17,Rede!$AZ:$AZ)</f>
        <v>3</v>
      </c>
      <c r="CF17" s="71">
        <f t="shared" si="39"/>
        <v>1</v>
      </c>
      <c r="CG17" s="75">
        <f t="shared" si="40"/>
        <v>0</v>
      </c>
      <c r="CH17" s="118">
        <f>IFERROR(AVERAGEIFS(Cliente!$DD:$DD,Cliente!$C:$C,Geral!$C17,Cliente!$DD:$DD,"&gt;0"),0)</f>
        <v>98.333333333333329</v>
      </c>
      <c r="CO17"/>
      <c r="CP17"/>
    </row>
    <row r="18" spans="2:94" ht="15" customHeight="1" x14ac:dyDescent="0.35">
      <c r="B18" s="52" t="s">
        <v>427</v>
      </c>
      <c r="C18" s="21">
        <v>4054</v>
      </c>
      <c r="D18" s="21" t="s">
        <v>432</v>
      </c>
      <c r="E18" s="84" t="s">
        <v>477</v>
      </c>
      <c r="F18" s="83">
        <f>COUNTIF(Rede!$C:$C,Geral!$C18)</f>
        <v>2</v>
      </c>
      <c r="G18" s="15">
        <f>COUNTIF(Cliente!$C:$C,Geral!$C18)</f>
        <v>7</v>
      </c>
      <c r="H18" s="68">
        <f>SUMIF(Rede!$C:$C,Geral!$C18,Rede!$G:$G)</f>
        <v>6</v>
      </c>
      <c r="I18" s="71">
        <f t="shared" si="41"/>
        <v>0.8571428571428571</v>
      </c>
      <c r="J18" s="75">
        <f t="shared" si="27"/>
        <v>-1</v>
      </c>
      <c r="K18" s="146">
        <f>IFERROR(AVERAGEIFS(Cliente!$L:$L,Cliente!$C:$C,Geral!$C18,Cliente!$L:$L,"&gt;0"),0)</f>
        <v>57.412619047619046</v>
      </c>
      <c r="L18" s="77">
        <f>COUNTIF(Cliente!$C:$C,Geral!$C18)</f>
        <v>7</v>
      </c>
      <c r="M18" s="68">
        <f>SUMIF(Rede!$C:$C,Geral!$C18,Rede!$J:$J)</f>
        <v>6</v>
      </c>
      <c r="N18" s="71">
        <f t="shared" si="28"/>
        <v>0.8571428571428571</v>
      </c>
      <c r="O18" s="73">
        <f t="shared" si="29"/>
        <v>-1</v>
      </c>
      <c r="P18" s="146">
        <f>IFERROR(AVERAGEIFS(Cliente!$S:$S,Cliente!$C:$C,Geral!$C18,Cliente!$S:$S,"&gt;0"),0)</f>
        <v>64.156666666666666</v>
      </c>
      <c r="Q18" s="80">
        <f>COUNTIF(Cliente!$C:$C,Geral!$C18)</f>
        <v>7</v>
      </c>
      <c r="R18" s="68">
        <f>SUMIF(Rede!$C:$C,Geral!$C18,Rede!$M:$M)</f>
        <v>7</v>
      </c>
      <c r="S18" s="71">
        <f t="shared" si="30"/>
        <v>1</v>
      </c>
      <c r="T18" s="75">
        <f>R18-Q18</f>
        <v>0</v>
      </c>
      <c r="U18" s="148">
        <f>IFERROR(AVERAGEIFS(Cliente!$Y:$Y,Cliente!$C:$C,Geral!$C18,Cliente!$Y:$Y,"&gt;0"),0)</f>
        <v>58.447857142857153</v>
      </c>
      <c r="V18" s="80">
        <f>COUNTIF(Cliente!$C:$C,Geral!$C18)</f>
        <v>7</v>
      </c>
      <c r="W18" s="68">
        <f>SUMIF(Rede!$C:$C,Geral!$C18,Rede!$P:$P)</f>
        <v>7</v>
      </c>
      <c r="X18" s="71">
        <f t="shared" si="31"/>
        <v>1</v>
      </c>
      <c r="Y18" s="75">
        <f t="shared" si="32"/>
        <v>0</v>
      </c>
      <c r="Z18" s="148">
        <f>IFERROR(AVERAGEIFS(Cliente!$AE:$AE,Cliente!$C:$C,Geral!$C18,Cliente!$AE:$AE,"&gt;0"),0)</f>
        <v>58.798571428571435</v>
      </c>
      <c r="AA18" s="15">
        <f>COUNTIF(Cliente!$C:$C,Geral!$C18)</f>
        <v>7</v>
      </c>
      <c r="AB18" s="68">
        <f>SUMIF(Rede!$C:$C,Geral!$C18,Rede!$S:$S)</f>
        <v>2</v>
      </c>
      <c r="AC18" s="71">
        <f t="shared" si="43"/>
        <v>0.2857142857142857</v>
      </c>
      <c r="AD18" s="75">
        <f t="shared" si="33"/>
        <v>-5</v>
      </c>
      <c r="AE18" s="110">
        <f>IFERROR(AVERAGEIFS(Cliente!$AG:$AG,Cliente!$C:$C,Geral!$C18,Cliente!$AG:$AG,"&gt;0"),0)</f>
        <v>38.91571428571428</v>
      </c>
      <c r="AF18" s="77">
        <f>COUNTIF(Cliente!$C:$C,Geral!$C18)</f>
        <v>7</v>
      </c>
      <c r="AG18" s="68">
        <f>SUMIF(Rede!$C:$C,Geral!$C18,Rede!$V:$V)</f>
        <v>7</v>
      </c>
      <c r="AH18" s="25">
        <f t="shared" si="44"/>
        <v>1</v>
      </c>
      <c r="AI18" s="73">
        <f t="shared" si="34"/>
        <v>0</v>
      </c>
      <c r="AJ18" s="110">
        <f>IFERROR(AVERAGEIFS(Cliente!$AN:$AN,Cliente!$C:$C,Geral!$C18,Cliente!$AN:$AN,"&gt;0"),0)</f>
        <v>57.550714285714285</v>
      </c>
      <c r="AK18" s="80">
        <f>COUNTIF(Cliente!$C:$C,Geral!$C18)</f>
        <v>7</v>
      </c>
      <c r="AL18" s="68">
        <f>SUMIF(Rede!$C:$C,Geral!$C18,Rede!$Y:$Y)</f>
        <v>4</v>
      </c>
      <c r="AM18" s="71">
        <f t="shared" si="45"/>
        <v>0.5714285714285714</v>
      </c>
      <c r="AN18" s="75">
        <f>AL18-AK18</f>
        <v>-3</v>
      </c>
      <c r="AO18" s="114">
        <f>IFERROR(AVERAGEIFS(Cliente!$AU:$AU,Cliente!$C:$C,Geral!$C18,Cliente!$AU:$AU,"&gt;0"),0)</f>
        <v>58.155000000000001</v>
      </c>
      <c r="AP18" s="80">
        <f>COUNTIF(Cliente!$C:$C,Geral!$C18)</f>
        <v>7</v>
      </c>
      <c r="AQ18" s="68">
        <f>SUMIF(Rede!$C:$C,Geral!$C18,Rede!$AB:$AB)</f>
        <v>3</v>
      </c>
      <c r="AR18" s="71">
        <f t="shared" si="35"/>
        <v>0.42857142857142855</v>
      </c>
      <c r="AS18" s="75">
        <f t="shared" si="36"/>
        <v>-4</v>
      </c>
      <c r="AT18" s="114">
        <f>IFERROR(AVERAGEIFS(Cliente!$BB:$BB,Cliente!$C:$C,Geral!$C18,Cliente!$BB:$BB,"&gt;0"),0)</f>
        <v>60.585000000000001</v>
      </c>
      <c r="AU18" s="15">
        <f>COUNTIF(Cliente!$C:$C,Geral!$C18)</f>
        <v>7</v>
      </c>
      <c r="AV18" s="68">
        <f>SUMIF(Rede!$C:$C,Geral!$C18,Rede!$AE:$AE)</f>
        <v>3</v>
      </c>
      <c r="AW18" s="71">
        <f t="shared" si="47"/>
        <v>0.42857142857142855</v>
      </c>
      <c r="AX18" s="75">
        <f t="shared" si="48"/>
        <v>-4</v>
      </c>
      <c r="AY18" s="110">
        <f t="shared" si="49"/>
        <v>81.883055555555543</v>
      </c>
      <c r="AZ18" s="77">
        <f>COUNTIF(Cliente!$C:$C,Geral!$C18)</f>
        <v>7</v>
      </c>
      <c r="BA18" s="68">
        <f>SUMIF(Rede!$C:$C,Geral!$C18,Rede!$AH:$AH)</f>
        <v>4</v>
      </c>
      <c r="BB18" s="71">
        <f t="shared" si="50"/>
        <v>0.5714285714285714</v>
      </c>
      <c r="BC18" s="73">
        <f t="shared" si="51"/>
        <v>-3</v>
      </c>
      <c r="BD18" s="110">
        <f>IFERROR(AVERAGEIFS(Cliente!$BL:$BL,Cliente!$C:$C,Geral!$C18,Cliente!$BL:$BL,"&gt;0"),0)</f>
        <v>59.557500000000005</v>
      </c>
      <c r="BE18" s="80">
        <f>COUNTIF(Cliente!$C:$C,Geral!$C18)</f>
        <v>7</v>
      </c>
      <c r="BF18" s="68">
        <f>SUMIF(Rede!$C:$C,Geral!$C18,Rede!$AK:$AK)</f>
        <v>3</v>
      </c>
      <c r="BG18" s="71">
        <f t="shared" si="52"/>
        <v>0.42857142857142855</v>
      </c>
      <c r="BH18" s="75">
        <f>BF18-BE18</f>
        <v>-4</v>
      </c>
      <c r="BI18" s="114">
        <f>IFERROR(AVERAGEIFS(Cliente!$BS:$BS,Cliente!$C:$C,Geral!$C18,Cliente!$BS:$BS,"&gt;0"),0)</f>
        <v>93.008333333333326</v>
      </c>
      <c r="BJ18" s="80">
        <f>COUNTIF(Cliente!$C:$C,Geral!$C18)</f>
        <v>7</v>
      </c>
      <c r="BK18" s="68">
        <f>SUMIF(Rede!$C:$C,Geral!$C18,Rede!$AN:$AN)</f>
        <v>3</v>
      </c>
      <c r="BL18" s="71">
        <f t="shared" si="37"/>
        <v>0.42857142857142855</v>
      </c>
      <c r="BM18" s="75">
        <f t="shared" si="38"/>
        <v>-4</v>
      </c>
      <c r="BN18" s="118">
        <f>IFERROR(AVERAGEIFS(Cliente!$BZ:$BZ,Cliente!$C:$C,Geral!$C18,Cliente!$BZ:$BZ,"&gt;0"),0)</f>
        <v>93.083333333333329</v>
      </c>
      <c r="BO18" s="15">
        <f>COUNTIF(Cliente!$C:$C,Geral!$C18)</f>
        <v>7</v>
      </c>
      <c r="BP18" s="68">
        <f>SUMIF(Rede!$C:$C,Geral!$C18,Rede!$AQ:$AQ)</f>
        <v>1</v>
      </c>
      <c r="BQ18" s="71">
        <f t="shared" si="54"/>
        <v>0.14285714285714285</v>
      </c>
      <c r="BR18" s="75">
        <f t="shared" si="55"/>
        <v>-6</v>
      </c>
      <c r="BS18" s="110">
        <f>IFERROR(AVERAGEIFS(Cliente!$CB:$CB,Cliente!$C:$C,Geral!$C18,Cliente!$CB:$CB,"&gt;0"),0)</f>
        <v>75.800000000000011</v>
      </c>
      <c r="BT18" s="77">
        <f>COUNTIF(Cliente!$C:$C,Geral!$C18)</f>
        <v>7</v>
      </c>
      <c r="BU18" s="68">
        <f>SUMIF(Rede!$C:$C,Geral!$C18,Rede!$AT:$AT)</f>
        <v>2</v>
      </c>
      <c r="BV18" s="71">
        <f t="shared" si="56"/>
        <v>0.2857142857142857</v>
      </c>
      <c r="BW18" s="73">
        <f t="shared" si="57"/>
        <v>-5</v>
      </c>
      <c r="BX18" s="110">
        <f>IFERROR(AVERAGEIFS(Cliente!$CL:$CL,Cliente!$C:$C,Geral!$C18,Cliente!$CL:$CL,"&gt;0"),0)</f>
        <v>90.4</v>
      </c>
      <c r="BY18" s="80">
        <f>COUNTIF(Cliente!$C:$C,Geral!$C18)</f>
        <v>7</v>
      </c>
      <c r="BZ18" s="68">
        <f>SUMIF(Rede!$C:$C,Geral!$C18,Rede!$AW:$AW)</f>
        <v>2</v>
      </c>
      <c r="CA18" s="71">
        <f t="shared" si="58"/>
        <v>0.2857142857142857</v>
      </c>
      <c r="CB18" s="75">
        <f>BZ18-BY18</f>
        <v>-5</v>
      </c>
      <c r="CC18" s="114">
        <f>IFERROR(AVERAGEIFS(Cliente!$CU:$CU,Cliente!$C:$C,Geral!$C18,Cliente!$CU:$CU,"&gt;0"),0)</f>
        <v>90.800000000000011</v>
      </c>
      <c r="CD18" s="80">
        <f>COUNTIF(Cliente!$C:$C,Geral!$C18)</f>
        <v>7</v>
      </c>
      <c r="CE18" s="68">
        <f>SUMIF(Rede!$C:$C,Geral!$C18,Rede!$AZ:$AZ)</f>
        <v>1</v>
      </c>
      <c r="CF18" s="71">
        <f t="shared" si="39"/>
        <v>0.14285714285714285</v>
      </c>
      <c r="CG18" s="75">
        <f t="shared" si="40"/>
        <v>-6</v>
      </c>
      <c r="CH18" s="118">
        <f>IFERROR(AVERAGEIFS(Cliente!$DD:$DD,Cliente!$C:$C,Geral!$C18,Cliente!$DD:$DD,"&gt;0"),0)</f>
        <v>92.4</v>
      </c>
      <c r="CO18"/>
      <c r="CP18"/>
    </row>
    <row r="19" spans="2:94" ht="15" customHeight="1" x14ac:dyDescent="0.35">
      <c r="B19" s="52" t="s">
        <v>42</v>
      </c>
      <c r="C19" s="21">
        <v>179</v>
      </c>
      <c r="D19" s="21" t="s">
        <v>3</v>
      </c>
      <c r="E19" s="84" t="s">
        <v>356</v>
      </c>
      <c r="F19" s="83">
        <f>COUNTIF(Rede!$C:$C,Geral!$C19)</f>
        <v>1</v>
      </c>
      <c r="G19" s="15">
        <f>COUNTIF(Cliente!$C:$C,Geral!$C19)</f>
        <v>6</v>
      </c>
      <c r="H19" s="68">
        <f>SUMIF(Rede!$C:$C,Geral!$C19,Rede!$G:$G)</f>
        <v>6</v>
      </c>
      <c r="I19" s="71">
        <f t="shared" si="41"/>
        <v>1</v>
      </c>
      <c r="J19" s="75">
        <f t="shared" si="27"/>
        <v>0</v>
      </c>
      <c r="K19" s="146">
        <f>IFERROR(AVERAGEIFS(Cliente!$L:$L,Cliente!$C:$C,Geral!$C19,Cliente!$L:$L,"&gt;0"),0)</f>
        <v>74.634722222222223</v>
      </c>
      <c r="L19" s="77">
        <f>COUNTIF(Cliente!$C:$C,Geral!$C19)</f>
        <v>6</v>
      </c>
      <c r="M19" s="68">
        <f>SUMIF(Rede!$C:$C,Geral!$C19,Rede!$J:$J)</f>
        <v>6</v>
      </c>
      <c r="N19" s="71">
        <f t="shared" si="28"/>
        <v>1</v>
      </c>
      <c r="O19" s="73">
        <f t="shared" si="29"/>
        <v>0</v>
      </c>
      <c r="P19" s="146">
        <f>IFERROR(AVERAGEIFS(Cliente!$S:$S,Cliente!$C:$C,Geral!$C19,Cliente!$S:$S,"&gt;0"),0)</f>
        <v>64.615833333333327</v>
      </c>
      <c r="Q19" s="80">
        <f>COUNTIF(Cliente!$C:$C,Geral!$C19)</f>
        <v>6</v>
      </c>
      <c r="R19" s="68">
        <f>SUMIF(Rede!$C:$C,Geral!$C19,Rede!$M:$M)</f>
        <v>6</v>
      </c>
      <c r="S19" s="71">
        <f t="shared" si="30"/>
        <v>1</v>
      </c>
      <c r="T19" s="73">
        <f t="shared" ref="T19:T23" si="60">R19-Q19</f>
        <v>0</v>
      </c>
      <c r="U19" s="148">
        <f>IFERROR(AVERAGEIFS(Cliente!$Y:$Y,Cliente!$C:$C,Geral!$C19,Cliente!$Y:$Y,"&gt;0"),0)</f>
        <v>77.273333333333355</v>
      </c>
      <c r="V19" s="80">
        <f>COUNTIF(Cliente!$C:$C,Geral!$C19)</f>
        <v>6</v>
      </c>
      <c r="W19" s="68">
        <f>SUMIF(Rede!$C:$C,Geral!$C19,Rede!$P:$P)</f>
        <v>6</v>
      </c>
      <c r="X19" s="71">
        <f t="shared" si="31"/>
        <v>1</v>
      </c>
      <c r="Y19" s="75">
        <f t="shared" si="32"/>
        <v>0</v>
      </c>
      <c r="Z19" s="148">
        <f>IFERROR(AVERAGEIFS(Cliente!$AE:$AE,Cliente!$C:$C,Geral!$C19,Cliente!$AE:$AE,"&gt;0"),0)</f>
        <v>82.015000000000001</v>
      </c>
      <c r="AA19" s="15">
        <f>COUNTIF(Cliente!$C:$C,Geral!$C19)</f>
        <v>6</v>
      </c>
      <c r="AB19" s="68">
        <f>SUMIF(Rede!$C:$C,Geral!$C19,Rede!$S:$S)</f>
        <v>4</v>
      </c>
      <c r="AC19" s="71">
        <f t="shared" si="43"/>
        <v>0.66666666666666663</v>
      </c>
      <c r="AD19" s="75">
        <f t="shared" si="33"/>
        <v>-2</v>
      </c>
      <c r="AE19" s="110">
        <f>IFERROR(AVERAGEIFS(Cliente!$AG:$AG,Cliente!$C:$C,Geral!$C19,Cliente!$AG:$AG,"&gt;0"),0)</f>
        <v>58.011388888888888</v>
      </c>
      <c r="AF19" s="77">
        <f>COUNTIF(Cliente!$C:$C,Geral!$C19)</f>
        <v>6</v>
      </c>
      <c r="AG19" s="68">
        <f>SUMIF(Rede!$C:$C,Geral!$C19,Rede!$V:$V)</f>
        <v>4</v>
      </c>
      <c r="AH19" s="25">
        <f t="shared" si="44"/>
        <v>0.66666666666666663</v>
      </c>
      <c r="AI19" s="73">
        <f t="shared" si="34"/>
        <v>-2</v>
      </c>
      <c r="AJ19" s="110">
        <f>IFERROR(AVERAGEIFS(Cliente!$AN:$AN,Cliente!$C:$C,Geral!$C19,Cliente!$AN:$AN,"&gt;0"),0)</f>
        <v>65.758749999999992</v>
      </c>
      <c r="AK19" s="80">
        <f>COUNTIF(Cliente!$C:$C,Geral!$C19)</f>
        <v>6</v>
      </c>
      <c r="AL19" s="68">
        <f>SUMIF(Rede!$C:$C,Geral!$C19,Rede!$Y:$Y)</f>
        <v>6</v>
      </c>
      <c r="AM19" s="71">
        <f t="shared" si="45"/>
        <v>1</v>
      </c>
      <c r="AN19" s="73">
        <f t="shared" si="46"/>
        <v>0</v>
      </c>
      <c r="AO19" s="114">
        <f>IFERROR(AVERAGEIFS(Cliente!$AU:$AU,Cliente!$C:$C,Geral!$C19,Cliente!$AU:$AU,"&gt;0"),0)</f>
        <v>50.06</v>
      </c>
      <c r="AP19" s="80">
        <f>COUNTIF(Cliente!$C:$C,Geral!$C19)</f>
        <v>6</v>
      </c>
      <c r="AQ19" s="68">
        <f>SUMIF(Rede!$C:$C,Geral!$C19,Rede!$AB:$AB)</f>
        <v>6</v>
      </c>
      <c r="AR19" s="71">
        <f t="shared" si="35"/>
        <v>1</v>
      </c>
      <c r="AS19" s="75">
        <f t="shared" si="36"/>
        <v>0</v>
      </c>
      <c r="AT19" s="114">
        <f>IFERROR(AVERAGEIFS(Cliente!$BB:$BB,Cliente!$C:$C,Geral!$C19,Cliente!$BB:$BB,"&gt;0"),0)</f>
        <v>80.135000000000005</v>
      </c>
      <c r="AU19" s="15">
        <f>COUNTIF(Cliente!$C:$C,Geral!$C19)</f>
        <v>6</v>
      </c>
      <c r="AV19" s="68">
        <f>SUMIF(Rede!$C:$C,Geral!$C19,Rede!$AE:$AE)</f>
        <v>6</v>
      </c>
      <c r="AW19" s="71">
        <f t="shared" si="47"/>
        <v>1</v>
      </c>
      <c r="AX19" s="75">
        <f t="shared" si="48"/>
        <v>0</v>
      </c>
      <c r="AY19" s="110">
        <f t="shared" si="49"/>
        <v>74.015277777777783</v>
      </c>
      <c r="AZ19" s="77">
        <f>COUNTIF(Cliente!$C:$C,Geral!$C19)</f>
        <v>6</v>
      </c>
      <c r="BA19" s="68">
        <f>SUMIF(Rede!$C:$C,Geral!$C19,Rede!$AH:$AH)</f>
        <v>6</v>
      </c>
      <c r="BB19" s="71">
        <f t="shared" si="50"/>
        <v>1</v>
      </c>
      <c r="BC19" s="73">
        <f t="shared" si="51"/>
        <v>0</v>
      </c>
      <c r="BD19" s="110">
        <f>IFERROR(AVERAGEIFS(Cliente!$BL:$BL,Cliente!$C:$C,Geral!$C19,Cliente!$BL:$BL,"&gt;0"),0)</f>
        <v>70.141666666666666</v>
      </c>
      <c r="BE19" s="80">
        <f>COUNTIF(Cliente!$C:$C,Geral!$C19)</f>
        <v>6</v>
      </c>
      <c r="BF19" s="68">
        <f>SUMIF(Rede!$C:$C,Geral!$C19,Rede!$AK:$AK)</f>
        <v>6</v>
      </c>
      <c r="BG19" s="71">
        <f t="shared" si="52"/>
        <v>1</v>
      </c>
      <c r="BH19" s="73">
        <f t="shared" ref="BH19:BH23" si="61">BF19-BE19</f>
        <v>0</v>
      </c>
      <c r="BI19" s="114">
        <f>IFERROR(AVERAGEIFS(Cliente!$BS:$BS,Cliente!$C:$C,Geral!$C19,Cliente!$BS:$BS,"&gt;0"),0)</f>
        <v>70.13333333333334</v>
      </c>
      <c r="BJ19" s="80">
        <f>COUNTIF(Cliente!$C:$C,Geral!$C19)</f>
        <v>6</v>
      </c>
      <c r="BK19" s="68">
        <f>SUMIF(Rede!$C:$C,Geral!$C19,Rede!$AN:$AN)</f>
        <v>6</v>
      </c>
      <c r="BL19" s="71">
        <f t="shared" si="37"/>
        <v>1</v>
      </c>
      <c r="BM19" s="75">
        <f t="shared" si="38"/>
        <v>0</v>
      </c>
      <c r="BN19" s="118">
        <f>IFERROR(AVERAGEIFS(Cliente!$BZ:$BZ,Cliente!$C:$C,Geral!$C19,Cliente!$BZ:$BZ,"&gt;0"),0)</f>
        <v>81.770833333333329</v>
      </c>
      <c r="BO19" s="15">
        <f>COUNTIF(Cliente!$C:$C,Geral!$C19)</f>
        <v>6</v>
      </c>
      <c r="BP19" s="68">
        <f>SUMIF(Rede!$C:$C,Geral!$C19,Rede!$AQ:$AQ)</f>
        <v>0</v>
      </c>
      <c r="BQ19" s="71">
        <f t="shared" si="54"/>
        <v>0</v>
      </c>
      <c r="BR19" s="75">
        <f t="shared" si="55"/>
        <v>-6</v>
      </c>
      <c r="BS19" s="110">
        <f>IFERROR(AVERAGEIFS(Cliente!$CB:$CB,Cliente!$C:$C,Geral!$C19,Cliente!$CB:$CB,"&gt;0"),0)</f>
        <v>44.910277777777772</v>
      </c>
      <c r="BT19" s="77">
        <f>COUNTIF(Cliente!$C:$C,Geral!$C19)</f>
        <v>6</v>
      </c>
      <c r="BU19" s="68">
        <f>SUMIF(Rede!$C:$C,Geral!$C19,Rede!$AT:$AT)</f>
        <v>6</v>
      </c>
      <c r="BV19" s="71">
        <f t="shared" si="56"/>
        <v>1</v>
      </c>
      <c r="BW19" s="73">
        <f t="shared" si="57"/>
        <v>0</v>
      </c>
      <c r="BX19" s="110">
        <f>IFERROR(AVERAGEIFS(Cliente!$CL:$CL,Cliente!$C:$C,Geral!$C19,Cliente!$CL:$CL,"&gt;0"),0)</f>
        <v>68.993333333333339</v>
      </c>
      <c r="BY19" s="80">
        <f>COUNTIF(Cliente!$C:$C,Geral!$C19)</f>
        <v>6</v>
      </c>
      <c r="BZ19" s="68">
        <f>SUMIF(Rede!$C:$C,Geral!$C19,Rede!$AW:$AW)</f>
        <v>6</v>
      </c>
      <c r="CA19" s="71">
        <f t="shared" si="58"/>
        <v>1</v>
      </c>
      <c r="CB19" s="73">
        <f t="shared" ref="CB19:CB23" si="62">BZ19-BY19</f>
        <v>0</v>
      </c>
      <c r="CC19" s="114">
        <f>IFERROR(AVERAGEIFS(Cliente!$CU:$CU,Cliente!$C:$C,Geral!$C19,Cliente!$CU:$CU,"&gt;0"),0)</f>
        <v>65.737499999999997</v>
      </c>
      <c r="CD19" s="80">
        <f>COUNTIF(Cliente!$C:$C,Geral!$C19)</f>
        <v>6</v>
      </c>
      <c r="CE19" s="68">
        <f>SUMIF(Rede!$C:$C,Geral!$C19,Rede!$AZ:$AZ)</f>
        <v>0</v>
      </c>
      <c r="CF19" s="71">
        <f t="shared" si="39"/>
        <v>0</v>
      </c>
      <c r="CG19" s="75">
        <f t="shared" si="40"/>
        <v>-6</v>
      </c>
      <c r="CH19" s="118">
        <f>IFERROR(AVERAGEIFS(Cliente!$DD:$DD,Cliente!$C:$C,Geral!$C19,Cliente!$DD:$DD,"&gt;0"),0)</f>
        <v>0</v>
      </c>
      <c r="CO19"/>
      <c r="CP19"/>
    </row>
    <row r="20" spans="2:94" ht="15" customHeight="1" x14ac:dyDescent="0.35">
      <c r="B20" s="52" t="s">
        <v>42</v>
      </c>
      <c r="C20" s="21">
        <v>359</v>
      </c>
      <c r="D20" s="21" t="s">
        <v>433</v>
      </c>
      <c r="E20" s="84" t="s">
        <v>1345</v>
      </c>
      <c r="F20" s="83">
        <f>COUNTIF(Rede!$C:$C,Geral!$C20)</f>
        <v>3</v>
      </c>
      <c r="G20" s="15">
        <f>COUNTIF(Cliente!$C:$C,Geral!$C20)</f>
        <v>7</v>
      </c>
      <c r="H20" s="68">
        <f>SUMIF(Rede!$C:$C,Geral!$C20,Rede!$G:$G)</f>
        <v>7</v>
      </c>
      <c r="I20" s="71">
        <f t="shared" si="41"/>
        <v>1</v>
      </c>
      <c r="J20" s="75">
        <f t="shared" si="27"/>
        <v>0</v>
      </c>
      <c r="K20" s="146">
        <f>IFERROR(AVERAGEIFS(Cliente!$L:$L,Cliente!$C:$C,Geral!$C20,Cliente!$L:$L,"&gt;0"),0)</f>
        <v>71.365833333333342</v>
      </c>
      <c r="L20" s="77">
        <f>COUNTIF(Cliente!$C:$C,Geral!$C20)</f>
        <v>7</v>
      </c>
      <c r="M20" s="68">
        <f>SUMIF(Rede!$C:$C,Geral!$C20,Rede!$J:$J)</f>
        <v>7</v>
      </c>
      <c r="N20" s="71">
        <f t="shared" si="28"/>
        <v>1</v>
      </c>
      <c r="O20" s="73">
        <f t="shared" si="29"/>
        <v>0</v>
      </c>
      <c r="P20" s="146">
        <f>IFERROR(AVERAGEIFS(Cliente!$S:$S,Cliente!$C:$C,Geral!$C20,Cliente!$S:$S,"&gt;0"),0)</f>
        <v>69.185714285714283</v>
      </c>
      <c r="Q20" s="80">
        <f>COUNTIF(Cliente!$C:$C,Geral!$C20)</f>
        <v>7</v>
      </c>
      <c r="R20" s="68">
        <f>SUMIF(Rede!$C:$C,Geral!$C20,Rede!$M:$M)</f>
        <v>7</v>
      </c>
      <c r="S20" s="71">
        <f t="shared" si="30"/>
        <v>1</v>
      </c>
      <c r="T20" s="73">
        <f t="shared" si="60"/>
        <v>0</v>
      </c>
      <c r="U20" s="148">
        <f>IFERROR(AVERAGEIFS(Cliente!$Y:$Y,Cliente!$C:$C,Geral!$C20,Cliente!$Y:$Y,"&gt;0"),0)</f>
        <v>68.403928571428565</v>
      </c>
      <c r="V20" s="80">
        <f>COUNTIF(Cliente!$C:$C,Geral!$C20)</f>
        <v>7</v>
      </c>
      <c r="W20" s="68">
        <f>SUMIF(Rede!$C:$C,Geral!$C20,Rede!$P:$P)</f>
        <v>7</v>
      </c>
      <c r="X20" s="71">
        <f t="shared" si="31"/>
        <v>1</v>
      </c>
      <c r="Y20" s="75">
        <f t="shared" si="32"/>
        <v>0</v>
      </c>
      <c r="Z20" s="148">
        <f>IFERROR(AVERAGEIFS(Cliente!$AE:$AE,Cliente!$C:$C,Geral!$C20,Cliente!$AE:$AE,"&gt;0"),0)</f>
        <v>76.507857142857148</v>
      </c>
      <c r="AA20" s="15">
        <f>COUNTIF(Cliente!$C:$C,Geral!$C20)</f>
        <v>7</v>
      </c>
      <c r="AB20" s="68">
        <f>SUMIF(Rede!$C:$C,Geral!$C20,Rede!$S:$S)</f>
        <v>3</v>
      </c>
      <c r="AC20" s="71">
        <f t="shared" si="43"/>
        <v>0.42857142857142855</v>
      </c>
      <c r="AD20" s="75">
        <f t="shared" si="33"/>
        <v>-4</v>
      </c>
      <c r="AE20" s="110">
        <f>IFERROR(AVERAGEIFS(Cliente!$AG:$AG,Cliente!$C:$C,Geral!$C20,Cliente!$AG:$AG,"&gt;0"),0)</f>
        <v>52.657857142857146</v>
      </c>
      <c r="AF20" s="77">
        <f>COUNTIF(Cliente!$C:$C,Geral!$C20)</f>
        <v>7</v>
      </c>
      <c r="AG20" s="68">
        <f>SUMIF(Rede!$C:$C,Geral!$C20,Rede!$V:$V)</f>
        <v>3</v>
      </c>
      <c r="AH20" s="25">
        <f t="shared" si="44"/>
        <v>0.42857142857142855</v>
      </c>
      <c r="AI20" s="73">
        <f t="shared" si="34"/>
        <v>-4</v>
      </c>
      <c r="AJ20" s="110">
        <f>IFERROR(AVERAGEIFS(Cliente!$AN:$AN,Cliente!$C:$C,Geral!$C20,Cliente!$AN:$AN,"&gt;0"),0)</f>
        <v>63.428333333333335</v>
      </c>
      <c r="AK20" s="80">
        <f>COUNTIF(Cliente!$C:$C,Geral!$C20)</f>
        <v>7</v>
      </c>
      <c r="AL20" s="68">
        <f>SUMIF(Rede!$C:$C,Geral!$C20,Rede!$Y:$Y)</f>
        <v>7</v>
      </c>
      <c r="AM20" s="71">
        <f t="shared" si="45"/>
        <v>1</v>
      </c>
      <c r="AN20" s="73">
        <f t="shared" si="46"/>
        <v>0</v>
      </c>
      <c r="AO20" s="114">
        <f>IFERROR(AVERAGEIFS(Cliente!$AU:$AU,Cliente!$C:$C,Geral!$C20,Cliente!$AU:$AU,"&gt;0"),0)</f>
        <v>60.729285714285709</v>
      </c>
      <c r="AP20" s="80">
        <f>COUNTIF(Cliente!$C:$C,Geral!$C20)</f>
        <v>7</v>
      </c>
      <c r="AQ20" s="68">
        <f>SUMIF(Rede!$C:$C,Geral!$C20,Rede!$AB:$AB)</f>
        <v>7</v>
      </c>
      <c r="AR20" s="71">
        <f t="shared" si="35"/>
        <v>1</v>
      </c>
      <c r="AS20" s="75">
        <f t="shared" si="36"/>
        <v>0</v>
      </c>
      <c r="AT20" s="114">
        <f>IFERROR(AVERAGEIFS(Cliente!$BB:$BB,Cliente!$C:$C,Geral!$C20,Cliente!$BB:$BB,"&gt;0"),0)</f>
        <v>70.060714285714283</v>
      </c>
      <c r="AU20" s="15">
        <f>COUNTIF(Cliente!$C:$C,Geral!$C20)</f>
        <v>7</v>
      </c>
      <c r="AV20" s="68">
        <f>SUMIF(Rede!$C:$C,Geral!$C20,Rede!$AE:$AE)</f>
        <v>3</v>
      </c>
      <c r="AW20" s="71">
        <f t="shared" si="47"/>
        <v>0.42857142857142855</v>
      </c>
      <c r="AX20" s="75">
        <f t="shared" si="48"/>
        <v>-4</v>
      </c>
      <c r="AY20" s="110">
        <f t="shared" si="49"/>
        <v>84.385000000000005</v>
      </c>
      <c r="AZ20" s="77">
        <f>COUNTIF(Cliente!$C:$C,Geral!$C20)</f>
        <v>7</v>
      </c>
      <c r="BA20" s="68">
        <f>SUMIF(Rede!$C:$C,Geral!$C20,Rede!$AH:$AH)</f>
        <v>3</v>
      </c>
      <c r="BB20" s="71">
        <f t="shared" si="50"/>
        <v>0.42857142857142855</v>
      </c>
      <c r="BC20" s="73">
        <f t="shared" si="51"/>
        <v>-4</v>
      </c>
      <c r="BD20" s="110">
        <f>IFERROR(AVERAGEIFS(Cliente!$BL:$BL,Cliente!$C:$C,Geral!$C20,Cliente!$BL:$BL,"&gt;0"),0)</f>
        <v>78.338333333333338</v>
      </c>
      <c r="BE20" s="80">
        <f>COUNTIF(Cliente!$C:$C,Geral!$C20)</f>
        <v>7</v>
      </c>
      <c r="BF20" s="68">
        <f>SUMIF(Rede!$C:$C,Geral!$C20,Rede!$AK:$AK)</f>
        <v>3</v>
      </c>
      <c r="BG20" s="71">
        <f t="shared" ref="BG20:BG22" si="63">BF20/BE20</f>
        <v>0.42857142857142855</v>
      </c>
      <c r="BH20" s="73">
        <f t="shared" si="61"/>
        <v>-4</v>
      </c>
      <c r="BI20" s="114">
        <f>IFERROR(AVERAGEIFS(Cliente!$BS:$BS,Cliente!$C:$C,Geral!$C20,Cliente!$BS:$BS,"&gt;0"),0)</f>
        <v>86.666666666666671</v>
      </c>
      <c r="BJ20" s="80">
        <f>COUNTIF(Cliente!$C:$C,Geral!$C20)</f>
        <v>7</v>
      </c>
      <c r="BK20" s="68">
        <f>SUMIF(Rede!$C:$C,Geral!$C20,Rede!$AN:$AN)</f>
        <v>4</v>
      </c>
      <c r="BL20" s="71">
        <f t="shared" si="37"/>
        <v>0.5714285714285714</v>
      </c>
      <c r="BM20" s="75">
        <f t="shared" si="38"/>
        <v>-3</v>
      </c>
      <c r="BN20" s="118">
        <f>IFERROR(AVERAGEIFS(Cliente!$BZ:$BZ,Cliente!$C:$C,Geral!$C20,Cliente!$BZ:$BZ,"&gt;0"),0)</f>
        <v>88.15</v>
      </c>
      <c r="BO20" s="15">
        <f>COUNTIF(Cliente!$C:$C,Geral!$C20)</f>
        <v>7</v>
      </c>
      <c r="BP20" s="68">
        <f>SUMIF(Rede!$C:$C,Geral!$C20,Rede!$AQ:$AQ)</f>
        <v>4</v>
      </c>
      <c r="BQ20" s="71">
        <f t="shared" si="54"/>
        <v>0.5714285714285714</v>
      </c>
      <c r="BR20" s="75">
        <f t="shared" si="55"/>
        <v>-3</v>
      </c>
      <c r="BS20" s="110">
        <f>IFERROR(AVERAGEIFS(Cliente!$CB:$CB,Cliente!$C:$C,Geral!$C20,Cliente!$CB:$CB,"&gt;0"),0)</f>
        <v>76.618055555555557</v>
      </c>
      <c r="BT20" s="77">
        <f>COUNTIF(Cliente!$C:$C,Geral!$C20)</f>
        <v>7</v>
      </c>
      <c r="BU20" s="68">
        <f>SUMIF(Rede!$C:$C,Geral!$C20,Rede!$AT:$AT)</f>
        <v>4</v>
      </c>
      <c r="BV20" s="71">
        <f t="shared" si="56"/>
        <v>0.5714285714285714</v>
      </c>
      <c r="BW20" s="73">
        <f t="shared" si="57"/>
        <v>-3</v>
      </c>
      <c r="BX20" s="110">
        <f>IFERROR(AVERAGEIFS(Cliente!$CL:$CL,Cliente!$C:$C,Geral!$C20,Cliente!$CL:$CL,"&gt;0"),0)</f>
        <v>92.249999999999986</v>
      </c>
      <c r="BY20" s="80">
        <f>COUNTIF(Cliente!$C:$C,Geral!$C20)</f>
        <v>7</v>
      </c>
      <c r="BZ20" s="68">
        <f>SUMIF(Rede!$C:$C,Geral!$C20,Rede!$AW:$AW)</f>
        <v>5</v>
      </c>
      <c r="CA20" s="71">
        <f t="shared" ref="CA20:CA22" si="64">BZ20/BY20</f>
        <v>0.7142857142857143</v>
      </c>
      <c r="CB20" s="73">
        <f t="shared" si="62"/>
        <v>-2</v>
      </c>
      <c r="CC20" s="114">
        <f>IFERROR(AVERAGEIFS(Cliente!$CU:$CU,Cliente!$C:$C,Geral!$C20,Cliente!$CU:$CU,"&gt;0"),0)</f>
        <v>91.655000000000001</v>
      </c>
      <c r="CD20" s="80">
        <f>COUNTIF(Cliente!$C:$C,Geral!$C20)</f>
        <v>7</v>
      </c>
      <c r="CE20" s="68">
        <f>SUMIF(Rede!$C:$C,Geral!$C20,Rede!$AZ:$AZ)</f>
        <v>6</v>
      </c>
      <c r="CF20" s="71">
        <f t="shared" si="39"/>
        <v>0.8571428571428571</v>
      </c>
      <c r="CG20" s="75">
        <f t="shared" si="40"/>
        <v>-1</v>
      </c>
      <c r="CH20" s="118">
        <f>IFERROR(AVERAGEIFS(Cliente!$DD:$DD,Cliente!$C:$C,Geral!$C20,Cliente!$DD:$DD,"&gt;0"),0)</f>
        <v>91.975000000000009</v>
      </c>
      <c r="CO20"/>
      <c r="CP20"/>
    </row>
    <row r="21" spans="2:94" ht="15" customHeight="1" x14ac:dyDescent="0.35">
      <c r="B21" s="52" t="s">
        <v>42</v>
      </c>
      <c r="C21" s="21">
        <v>3655</v>
      </c>
      <c r="D21" s="21" t="s">
        <v>434</v>
      </c>
      <c r="E21" s="84" t="s">
        <v>1306</v>
      </c>
      <c r="F21" s="83">
        <f>COUNTIF(Rede!$C:$C,Geral!$C21)</f>
        <v>1</v>
      </c>
      <c r="G21" s="15">
        <f>COUNTIF(Cliente!$C:$C,Geral!$C21)</f>
        <v>24</v>
      </c>
      <c r="H21" s="68">
        <f>SUMIF(Rede!$C:$C,Geral!$C21,Rede!$G:$G)</f>
        <v>20</v>
      </c>
      <c r="I21" s="71">
        <f t="shared" si="41"/>
        <v>0.83333333333333337</v>
      </c>
      <c r="J21" s="75">
        <f t="shared" si="27"/>
        <v>-4</v>
      </c>
      <c r="K21" s="146">
        <f>IFERROR(AVERAGEIFS(Cliente!$L:$L,Cliente!$C:$C,Geral!$C21,Cliente!$L:$L,"&gt;0"),0)</f>
        <v>65.618958333333339</v>
      </c>
      <c r="L21" s="77">
        <f>COUNTIF(Cliente!$C:$C,Geral!$C21)</f>
        <v>24</v>
      </c>
      <c r="M21" s="68">
        <f>SUMIF(Rede!$C:$C,Geral!$C21,Rede!$J:$J)</f>
        <v>24</v>
      </c>
      <c r="N21" s="71">
        <f t="shared" si="28"/>
        <v>1</v>
      </c>
      <c r="O21" s="73">
        <f t="shared" si="29"/>
        <v>0</v>
      </c>
      <c r="P21" s="146">
        <f>IFERROR(AVERAGEIFS(Cliente!$S:$S,Cliente!$C:$C,Geral!$C21,Cliente!$S:$S,"&gt;0"),0)</f>
        <v>65.034895833333323</v>
      </c>
      <c r="Q21" s="80">
        <f>COUNTIF(Cliente!$C:$C,Geral!$C21)</f>
        <v>24</v>
      </c>
      <c r="R21" s="68">
        <f>SUMIF(Rede!$C:$C,Geral!$C21,Rede!$M:$M)</f>
        <v>20</v>
      </c>
      <c r="S21" s="71">
        <f t="shared" si="30"/>
        <v>0.83333333333333337</v>
      </c>
      <c r="T21" s="73">
        <f t="shared" si="60"/>
        <v>-4</v>
      </c>
      <c r="U21" s="148">
        <f>IFERROR(AVERAGEIFS(Cliente!$Y:$Y,Cliente!$C:$C,Geral!$C21,Cliente!$Y:$Y,"&gt;0"),0)</f>
        <v>66.477375000000023</v>
      </c>
      <c r="V21" s="80">
        <f>COUNTIF(Cliente!$C:$C,Geral!$C21)</f>
        <v>24</v>
      </c>
      <c r="W21" s="68">
        <f>SUMIF(Rede!$C:$C,Geral!$C21,Rede!$P:$P)</f>
        <v>24</v>
      </c>
      <c r="X21" s="71">
        <f t="shared" si="31"/>
        <v>1</v>
      </c>
      <c r="Y21" s="75">
        <f t="shared" si="32"/>
        <v>0</v>
      </c>
      <c r="Z21" s="148">
        <f>IFERROR(AVERAGEIFS(Cliente!$AE:$AE,Cliente!$C:$C,Geral!$C21,Cliente!$AE:$AE,"&gt;0"),0)</f>
        <v>76.424166666666679</v>
      </c>
      <c r="AA21" s="15">
        <f>COUNTIF(Cliente!$C:$C,Geral!$C21)</f>
        <v>24</v>
      </c>
      <c r="AB21" s="68">
        <f>SUMIF(Rede!$C:$C,Geral!$C21,Rede!$S:$S)</f>
        <v>24</v>
      </c>
      <c r="AC21" s="71">
        <f t="shared" si="43"/>
        <v>1</v>
      </c>
      <c r="AD21" s="75">
        <f t="shared" si="33"/>
        <v>0</v>
      </c>
      <c r="AE21" s="110">
        <f>IFERROR(AVERAGEIFS(Cliente!$AG:$AG,Cliente!$C:$C,Geral!$C21,Cliente!$AG:$AG,"&gt;0"),0)</f>
        <v>65.871736111111105</v>
      </c>
      <c r="AF21" s="77">
        <f>COUNTIF(Cliente!$C:$C,Geral!$C21)</f>
        <v>24</v>
      </c>
      <c r="AG21" s="68">
        <f>SUMIF(Rede!$C:$C,Geral!$C21,Rede!$V:$V)</f>
        <v>24</v>
      </c>
      <c r="AH21" s="25">
        <f t="shared" si="44"/>
        <v>1</v>
      </c>
      <c r="AI21" s="73">
        <f t="shared" si="34"/>
        <v>0</v>
      </c>
      <c r="AJ21" s="110">
        <f>IFERROR(AVERAGEIFS(Cliente!$AN:$AN,Cliente!$C:$C,Geral!$C21,Cliente!$AN:$AN,"&gt;0"),0)</f>
        <v>62.40312500000001</v>
      </c>
      <c r="AK21" s="80">
        <f>COUNTIF(Cliente!$C:$C,Geral!$C21)</f>
        <v>24</v>
      </c>
      <c r="AL21" s="68">
        <f>SUMIF(Rede!$C:$C,Geral!$C21,Rede!$Y:$Y)</f>
        <v>24</v>
      </c>
      <c r="AM21" s="71">
        <f t="shared" si="45"/>
        <v>1</v>
      </c>
      <c r="AN21" s="73">
        <f t="shared" si="46"/>
        <v>0</v>
      </c>
      <c r="AO21" s="114">
        <f>IFERROR(AVERAGEIFS(Cliente!$AU:$AU,Cliente!$C:$C,Geral!$C21,Cliente!$AU:$AU,"&gt;0"),0)</f>
        <v>61.493958333333325</v>
      </c>
      <c r="AP21" s="80">
        <f>COUNTIF(Cliente!$C:$C,Geral!$C21)</f>
        <v>24</v>
      </c>
      <c r="AQ21" s="68">
        <f>SUMIF(Rede!$C:$C,Geral!$C21,Rede!$AB:$AB)</f>
        <v>24</v>
      </c>
      <c r="AR21" s="71">
        <f t="shared" si="35"/>
        <v>1</v>
      </c>
      <c r="AS21" s="75">
        <f t="shared" si="36"/>
        <v>0</v>
      </c>
      <c r="AT21" s="114">
        <f>IFERROR(AVERAGEIFS(Cliente!$BB:$BB,Cliente!$C:$C,Geral!$C21,Cliente!$BB:$BB,"&gt;0"),0)</f>
        <v>73.718125000000015</v>
      </c>
      <c r="AU21" s="15">
        <f>COUNTIF(Cliente!$C:$C,Geral!$C21)</f>
        <v>24</v>
      </c>
      <c r="AV21" s="68">
        <f>SUMIF(Rede!$C:$C,Geral!$C21,Rede!$AE:$AE)</f>
        <v>18</v>
      </c>
      <c r="AW21" s="71">
        <f t="shared" si="47"/>
        <v>0.75</v>
      </c>
      <c r="AX21" s="75">
        <f t="shared" si="48"/>
        <v>-6</v>
      </c>
      <c r="AY21" s="110">
        <f t="shared" si="49"/>
        <v>83.07276984126986</v>
      </c>
      <c r="AZ21" s="77">
        <f>COUNTIF(Cliente!$C:$C,Geral!$C21)</f>
        <v>24</v>
      </c>
      <c r="BA21" s="68">
        <f>SUMIF(Rede!$C:$C,Geral!$C21,Rede!$AH:$AH)</f>
        <v>24</v>
      </c>
      <c r="BB21" s="71">
        <f t="shared" si="50"/>
        <v>1</v>
      </c>
      <c r="BC21" s="73">
        <f t="shared" si="51"/>
        <v>0</v>
      </c>
      <c r="BD21" s="110">
        <f>IFERROR(AVERAGEIFS(Cliente!$BL:$BL,Cliente!$C:$C,Geral!$C21,Cliente!$BL:$BL,"&gt;0"),0)</f>
        <v>71.38333333333334</v>
      </c>
      <c r="BE21" s="80">
        <f>COUNTIF(Cliente!$C:$C,Geral!$C21)</f>
        <v>24</v>
      </c>
      <c r="BF21" s="68">
        <f>SUMIF(Rede!$C:$C,Geral!$C21,Rede!$AK:$AK)</f>
        <v>20</v>
      </c>
      <c r="BG21" s="71">
        <f t="shared" si="63"/>
        <v>0.83333333333333337</v>
      </c>
      <c r="BH21" s="73">
        <f t="shared" si="61"/>
        <v>-4</v>
      </c>
      <c r="BI21" s="114">
        <f>IFERROR(AVERAGEIFS(Cliente!$BS:$BS,Cliente!$C:$C,Geral!$C21,Cliente!$BS:$BS,"&gt;0"),0)</f>
        <v>86.019500000000022</v>
      </c>
      <c r="BJ21" s="80">
        <f>COUNTIF(Cliente!$C:$C,Geral!$C21)</f>
        <v>24</v>
      </c>
      <c r="BK21" s="68">
        <f>SUMIF(Rede!$C:$C,Geral!$C21,Rede!$AN:$AN)</f>
        <v>21</v>
      </c>
      <c r="BL21" s="71">
        <f t="shared" si="37"/>
        <v>0.875</v>
      </c>
      <c r="BM21" s="75">
        <f t="shared" si="38"/>
        <v>-3</v>
      </c>
      <c r="BN21" s="118">
        <f>IFERROR(AVERAGEIFS(Cliente!$BZ:$BZ,Cliente!$C:$C,Geral!$C21,Cliente!$BZ:$BZ,"&gt;0"),0)</f>
        <v>91.815476190476204</v>
      </c>
      <c r="BO21" s="15">
        <f>COUNTIF(Cliente!$C:$C,Geral!$C21)</f>
        <v>24</v>
      </c>
      <c r="BP21" s="68">
        <f>SUMIF(Rede!$C:$C,Geral!$C21,Rede!$AQ:$AQ)</f>
        <v>6</v>
      </c>
      <c r="BQ21" s="71">
        <f t="shared" si="54"/>
        <v>0.25</v>
      </c>
      <c r="BR21" s="75">
        <f t="shared" si="55"/>
        <v>-18</v>
      </c>
      <c r="BS21" s="110">
        <f>IFERROR(AVERAGEIFS(Cliente!$CB:$CB,Cliente!$C:$C,Geral!$C21,Cliente!$CB:$CB,"&gt;0"),0)</f>
        <v>67.372318840579695</v>
      </c>
      <c r="BT21" s="77">
        <f>COUNTIF(Cliente!$C:$C,Geral!$C21)</f>
        <v>24</v>
      </c>
      <c r="BU21" s="68">
        <f>SUMIF(Rede!$C:$C,Geral!$C21,Rede!$AT:$AT)</f>
        <v>22</v>
      </c>
      <c r="BV21" s="71">
        <f t="shared" si="56"/>
        <v>0.91666666666666663</v>
      </c>
      <c r="BW21" s="73">
        <f t="shared" si="57"/>
        <v>-2</v>
      </c>
      <c r="BX21" s="110">
        <f>IFERROR(AVERAGEIFS(Cliente!$CL:$CL,Cliente!$C:$C,Geral!$C21,Cliente!$CL:$CL,"&gt;0"),0)</f>
        <v>93.690909090909088</v>
      </c>
      <c r="BY21" s="80">
        <f>COUNTIF(Cliente!$C:$C,Geral!$C21)</f>
        <v>24</v>
      </c>
      <c r="BZ21" s="68">
        <f>SUMIF(Rede!$C:$C,Geral!$C21,Rede!$AW:$AW)</f>
        <v>20</v>
      </c>
      <c r="CA21" s="71">
        <f t="shared" si="64"/>
        <v>0.83333333333333337</v>
      </c>
      <c r="CB21" s="73">
        <f t="shared" si="62"/>
        <v>-4</v>
      </c>
      <c r="CC21" s="114">
        <f>IFERROR(AVERAGEIFS(Cliente!$CU:$CU,Cliente!$C:$C,Geral!$C21,Cliente!$CU:$CU,"&gt;0"),0)</f>
        <v>95.619500000000031</v>
      </c>
      <c r="CD21" s="80">
        <f>COUNTIF(Cliente!$C:$C,Geral!$C21)</f>
        <v>24</v>
      </c>
      <c r="CE21" s="68">
        <f>SUMIF(Rede!$C:$C,Geral!$C21,Rede!$AZ:$AZ)</f>
        <v>7</v>
      </c>
      <c r="CF21" s="71">
        <f t="shared" si="39"/>
        <v>0.29166666666666669</v>
      </c>
      <c r="CG21" s="75">
        <f t="shared" si="40"/>
        <v>-17</v>
      </c>
      <c r="CH21" s="118">
        <f>IFERROR(AVERAGEIFS(Cliente!$DD:$DD,Cliente!$C:$C,Geral!$C21,Cliente!$DD:$DD,"&gt;0"),0)</f>
        <v>96.44285714285715</v>
      </c>
      <c r="CO21"/>
      <c r="CP21"/>
    </row>
    <row r="22" spans="2:94" ht="15" customHeight="1" x14ac:dyDescent="0.35">
      <c r="B22" s="52" t="s">
        <v>42</v>
      </c>
      <c r="C22" s="21">
        <v>4066</v>
      </c>
      <c r="D22" s="21" t="s">
        <v>440</v>
      </c>
      <c r="E22" s="84" t="s">
        <v>1272</v>
      </c>
      <c r="F22" s="83">
        <f>COUNTIF(Rede!$C:$C,Geral!$C22)</f>
        <v>1</v>
      </c>
      <c r="G22" s="15">
        <f>COUNTIF(Cliente!$C:$C,Geral!$C22)</f>
        <v>1</v>
      </c>
      <c r="H22" s="68">
        <f>SUMIF(Rede!$C:$C,Geral!$C22,Rede!$G:$G)</f>
        <v>1</v>
      </c>
      <c r="I22" s="71">
        <f t="shared" si="41"/>
        <v>1</v>
      </c>
      <c r="J22" s="75">
        <f t="shared" si="27"/>
        <v>0</v>
      </c>
      <c r="K22" s="146">
        <f>IFERROR(AVERAGEIFS(Cliente!$L:$L,Cliente!$C:$C,Geral!$C22,Cliente!$L:$L,"&gt;0"),0)</f>
        <v>86.575000000000003</v>
      </c>
      <c r="L22" s="77">
        <f>COUNTIF(Cliente!$C:$C,Geral!$C22)</f>
        <v>1</v>
      </c>
      <c r="M22" s="68">
        <f>SUMIF(Rede!$C:$C,Geral!$C22,Rede!$J:$J)</f>
        <v>1</v>
      </c>
      <c r="N22" s="71">
        <f t="shared" si="28"/>
        <v>1</v>
      </c>
      <c r="O22" s="73">
        <f t="shared" si="29"/>
        <v>0</v>
      </c>
      <c r="P22" s="146">
        <f>IFERROR(AVERAGEIFS(Cliente!$S:$S,Cliente!$C:$C,Geral!$C22,Cliente!$S:$S,"&gt;0"),0)</f>
        <v>82.974999999999994</v>
      </c>
      <c r="Q22" s="80">
        <f>COUNTIF(Cliente!$C:$C,Geral!$C22)</f>
        <v>1</v>
      </c>
      <c r="R22" s="68">
        <f>SUMIF(Rede!$C:$C,Geral!$C22,Rede!$M:$M)</f>
        <v>1</v>
      </c>
      <c r="S22" s="71">
        <f t="shared" si="30"/>
        <v>1</v>
      </c>
      <c r="T22" s="73">
        <f t="shared" si="60"/>
        <v>0</v>
      </c>
      <c r="U22" s="148">
        <f>IFERROR(AVERAGEIFS(Cliente!$Y:$Y,Cliente!$C:$C,Geral!$C22,Cliente!$Y:$Y,"&gt;0"),0)</f>
        <v>84.375</v>
      </c>
      <c r="V22" s="80">
        <f>COUNTIF(Cliente!$C:$C,Geral!$C22)</f>
        <v>1</v>
      </c>
      <c r="W22" s="68">
        <f>SUMIF(Rede!$C:$C,Geral!$C22,Rede!$P:$P)</f>
        <v>1</v>
      </c>
      <c r="X22" s="71">
        <f t="shared" si="31"/>
        <v>1</v>
      </c>
      <c r="Y22" s="75">
        <f t="shared" si="32"/>
        <v>0</v>
      </c>
      <c r="Z22" s="148">
        <f>IFERROR(AVERAGEIFS(Cliente!$AE:$AE,Cliente!$C:$C,Geral!$C22,Cliente!$AE:$AE,"&gt;0"),0)</f>
        <v>92.375</v>
      </c>
      <c r="AA22" s="15">
        <f>COUNTIF(Cliente!$C:$C,Geral!$C22)</f>
        <v>1</v>
      </c>
      <c r="AB22" s="68">
        <f>SUMIF(Rede!$C:$C,Geral!$C22,Rede!$S:$S)</f>
        <v>1</v>
      </c>
      <c r="AC22" s="71">
        <f t="shared" si="43"/>
        <v>1</v>
      </c>
      <c r="AD22" s="75">
        <f t="shared" si="33"/>
        <v>0</v>
      </c>
      <c r="AE22" s="110">
        <f>IFERROR(AVERAGEIFS(Cliente!$AG:$AG,Cliente!$C:$C,Geral!$C22,Cliente!$AG:$AG,"&gt;0"),0)</f>
        <v>68.908333333333331</v>
      </c>
      <c r="AF22" s="77">
        <f>COUNTIF(Cliente!$C:$C,Geral!$C22)</f>
        <v>1</v>
      </c>
      <c r="AG22" s="68">
        <f>SUMIF(Rede!$C:$C,Geral!$C22,Rede!$V:$V)</f>
        <v>1</v>
      </c>
      <c r="AH22" s="25">
        <f t="shared" si="44"/>
        <v>1</v>
      </c>
      <c r="AI22" s="73">
        <f t="shared" si="34"/>
        <v>0</v>
      </c>
      <c r="AJ22" s="110">
        <f>IFERROR(AVERAGEIFS(Cliente!$AN:$AN,Cliente!$C:$C,Geral!$C22,Cliente!$AN:$AN,"&gt;0"),0)</f>
        <v>62.58</v>
      </c>
      <c r="AK22" s="80">
        <f>COUNTIF(Cliente!$C:$C,Geral!$C22)</f>
        <v>1</v>
      </c>
      <c r="AL22" s="68">
        <f>SUMIF(Rede!$C:$C,Geral!$C22,Rede!$Y:$Y)</f>
        <v>1</v>
      </c>
      <c r="AM22" s="71">
        <f t="shared" si="45"/>
        <v>1</v>
      </c>
      <c r="AN22" s="73">
        <f t="shared" si="46"/>
        <v>0</v>
      </c>
      <c r="AO22" s="114">
        <f>IFERROR(AVERAGEIFS(Cliente!$AU:$AU,Cliente!$C:$C,Geral!$C22,Cliente!$AU:$AU,"&gt;0"),0)</f>
        <v>69.105000000000004</v>
      </c>
      <c r="AP22" s="80">
        <f>COUNTIF(Cliente!$C:$C,Geral!$C22)</f>
        <v>1</v>
      </c>
      <c r="AQ22" s="68">
        <f>SUMIF(Rede!$C:$C,Geral!$C22,Rede!$AB:$AB)</f>
        <v>1</v>
      </c>
      <c r="AR22" s="71">
        <f t="shared" si="35"/>
        <v>1</v>
      </c>
      <c r="AS22" s="75">
        <f t="shared" si="36"/>
        <v>0</v>
      </c>
      <c r="AT22" s="114">
        <f>IFERROR(AVERAGEIFS(Cliente!$BB:$BB,Cliente!$C:$C,Geral!$C22,Cliente!$BB:$BB,"&gt;0"),0)</f>
        <v>75.039999999999992</v>
      </c>
      <c r="AU22" s="15">
        <f>COUNTIF(Cliente!$C:$C,Geral!$C22)</f>
        <v>1</v>
      </c>
      <c r="AV22" s="68">
        <f>SUMIF(Rede!$C:$C,Geral!$C22,Rede!$AE:$AE)</f>
        <v>1</v>
      </c>
      <c r="AW22" s="71">
        <f t="shared" si="47"/>
        <v>1</v>
      </c>
      <c r="AX22" s="75">
        <f t="shared" si="48"/>
        <v>0</v>
      </c>
      <c r="AY22" s="110">
        <f t="shared" si="49"/>
        <v>85.578333333333333</v>
      </c>
      <c r="AZ22" s="77">
        <f>COUNTIF(Cliente!$C:$C,Geral!$C22)</f>
        <v>1</v>
      </c>
      <c r="BA22" s="68">
        <f>SUMIF(Rede!$C:$C,Geral!$C22,Rede!$AH:$AH)</f>
        <v>1</v>
      </c>
      <c r="BB22" s="71">
        <f t="shared" si="50"/>
        <v>1</v>
      </c>
      <c r="BC22" s="73">
        <f t="shared" si="51"/>
        <v>0</v>
      </c>
      <c r="BD22" s="110">
        <f>IFERROR(AVERAGEIFS(Cliente!$BL:$BL,Cliente!$C:$C,Geral!$C22,Cliente!$BL:$BL,"&gt;0"),0)</f>
        <v>80</v>
      </c>
      <c r="BE22" s="80">
        <f>COUNTIF(Cliente!$C:$C,Geral!$C22)</f>
        <v>1</v>
      </c>
      <c r="BF22" s="68">
        <f>SUMIF(Rede!$C:$C,Geral!$C22,Rede!$AK:$AK)</f>
        <v>1</v>
      </c>
      <c r="BG22" s="71">
        <f t="shared" si="63"/>
        <v>1</v>
      </c>
      <c r="BH22" s="73">
        <f t="shared" si="61"/>
        <v>0</v>
      </c>
      <c r="BI22" s="114">
        <f>IFERROR(AVERAGEIFS(Cliente!$BS:$BS,Cliente!$C:$C,Geral!$C22,Cliente!$BS:$BS,"&gt;0"),0)</f>
        <v>80</v>
      </c>
      <c r="BJ22" s="80">
        <f>COUNTIF(Cliente!$C:$C,Geral!$C22)</f>
        <v>1</v>
      </c>
      <c r="BK22" s="68">
        <f>SUMIF(Rede!$C:$C,Geral!$C22,Rede!$AN:$AN)</f>
        <v>1</v>
      </c>
      <c r="BL22" s="71">
        <f t="shared" si="37"/>
        <v>1</v>
      </c>
      <c r="BM22" s="75">
        <f t="shared" si="38"/>
        <v>0</v>
      </c>
      <c r="BN22" s="118">
        <f>IFERROR(AVERAGEIFS(Cliente!$BZ:$BZ,Cliente!$C:$C,Geral!$C22,Cliente!$BZ:$BZ,"&gt;0"),0)</f>
        <v>96.734999999999999</v>
      </c>
      <c r="BO22" s="15">
        <f>COUNTIF(Cliente!$C:$C,Geral!$C22)</f>
        <v>1</v>
      </c>
      <c r="BP22" s="68">
        <f>SUMIF(Rede!$C:$C,Geral!$C22,Rede!$AQ:$AQ)</f>
        <v>1</v>
      </c>
      <c r="BQ22" s="71">
        <f t="shared" si="54"/>
        <v>1</v>
      </c>
      <c r="BR22" s="75">
        <f t="shared" si="55"/>
        <v>0</v>
      </c>
      <c r="BS22" s="110">
        <f>IFERROR(AVERAGEIFS(Cliente!$CB:$CB,Cliente!$C:$C,Geral!$C22,Cliente!$CB:$CB,"&gt;0"),0)</f>
        <v>98.399999999999991</v>
      </c>
      <c r="BT22" s="77">
        <f>COUNTIF(Cliente!$C:$C,Geral!$C22)</f>
        <v>1</v>
      </c>
      <c r="BU22" s="68">
        <f>SUMIF(Rede!$C:$C,Geral!$C22,Rede!$AT:$AT)</f>
        <v>1</v>
      </c>
      <c r="BV22" s="71">
        <f t="shared" si="56"/>
        <v>1</v>
      </c>
      <c r="BW22" s="73">
        <f t="shared" si="57"/>
        <v>0</v>
      </c>
      <c r="BX22" s="110">
        <f>IFERROR(AVERAGEIFS(Cliente!$CL:$CL,Cliente!$C:$C,Geral!$C22,Cliente!$CL:$CL,"&gt;0"),0)</f>
        <v>95.2</v>
      </c>
      <c r="BY22" s="80">
        <f>COUNTIF(Cliente!$C:$C,Geral!$C22)</f>
        <v>1</v>
      </c>
      <c r="BZ22" s="68">
        <f>SUMIF(Rede!$C:$C,Geral!$C22,Rede!$AW:$AW)</f>
        <v>1</v>
      </c>
      <c r="CA22" s="71">
        <f t="shared" si="64"/>
        <v>1</v>
      </c>
      <c r="CB22" s="73">
        <f t="shared" si="62"/>
        <v>0</v>
      </c>
      <c r="CC22" s="114">
        <f>IFERROR(AVERAGEIFS(Cliente!$CU:$CU,Cliente!$C:$C,Geral!$C22,Cliente!$CU:$CU,"&gt;0"),0)</f>
        <v>100</v>
      </c>
      <c r="CD22" s="80">
        <f>COUNTIF(Cliente!$C:$C,Geral!$C22)</f>
        <v>1</v>
      </c>
      <c r="CE22" s="68">
        <f>SUMIF(Rede!$C:$C,Geral!$C22,Rede!$AZ:$AZ)</f>
        <v>1</v>
      </c>
      <c r="CF22" s="71">
        <f t="shared" si="39"/>
        <v>1</v>
      </c>
      <c r="CG22" s="75">
        <f t="shared" si="40"/>
        <v>0</v>
      </c>
      <c r="CH22" s="118">
        <f>IFERROR(AVERAGEIFS(Cliente!$DD:$DD,Cliente!$C:$C,Geral!$C22,Cliente!$DD:$DD,"&gt;0"),0)</f>
        <v>100</v>
      </c>
      <c r="CO22"/>
      <c r="CP22"/>
    </row>
    <row r="23" spans="2:94" ht="15.75" customHeight="1" thickBot="1" x14ac:dyDescent="0.4">
      <c r="B23" s="156" t="s">
        <v>14</v>
      </c>
      <c r="C23" s="157"/>
      <c r="D23" s="157"/>
      <c r="E23" s="158"/>
      <c r="F23" s="59">
        <f>SUM(F15:F22)</f>
        <v>14</v>
      </c>
      <c r="G23" s="56">
        <f>SUBTOTAL(9,G15:G22)</f>
        <v>71</v>
      </c>
      <c r="H23" s="69">
        <f>SUM(H15:H22)</f>
        <v>58</v>
      </c>
      <c r="I23" s="100">
        <f>IFERROR(H23/G23,0)</f>
        <v>0.81690140845070425</v>
      </c>
      <c r="J23" s="69">
        <f t="shared" si="27"/>
        <v>-13</v>
      </c>
      <c r="K23" s="151">
        <f>K8</f>
        <v>63.814401408450657</v>
      </c>
      <c r="L23" s="78">
        <f>SUM(L15:L22)</f>
        <v>71</v>
      </c>
      <c r="M23" s="28">
        <f>SUM(M15:M22)</f>
        <v>67</v>
      </c>
      <c r="N23" s="72">
        <f>M23/L23</f>
        <v>0.94366197183098588</v>
      </c>
      <c r="O23" s="26">
        <f t="shared" si="29"/>
        <v>-4</v>
      </c>
      <c r="P23" s="147">
        <f>P8</f>
        <v>61.701529850746233</v>
      </c>
      <c r="Q23" s="82">
        <f>SUM(Q15:Q22)</f>
        <v>71</v>
      </c>
      <c r="R23" s="28">
        <f>SUM(R15:R22)</f>
        <v>65</v>
      </c>
      <c r="S23" s="72">
        <f>R23/Q23</f>
        <v>0.91549295774647887</v>
      </c>
      <c r="T23" s="74">
        <f t="shared" si="60"/>
        <v>-6</v>
      </c>
      <c r="U23" s="147">
        <f>U8</f>
        <v>65.592300000000037</v>
      </c>
      <c r="V23" s="82">
        <f>SUM(V15:V22)</f>
        <v>71</v>
      </c>
      <c r="W23" s="28">
        <f>SUM(W15:W22)</f>
        <v>68</v>
      </c>
      <c r="X23" s="71">
        <f t="shared" si="31"/>
        <v>0.95774647887323938</v>
      </c>
      <c r="Y23" s="74">
        <f>W23-V23</f>
        <v>-3</v>
      </c>
      <c r="Z23" s="147">
        <f>Z8</f>
        <v>75.672450980392199</v>
      </c>
      <c r="AA23" s="56">
        <f>SUBTOTAL(9,AA15:AA22)</f>
        <v>71</v>
      </c>
      <c r="AB23" s="69">
        <f>SUM(AB15:AB22)</f>
        <v>47</v>
      </c>
      <c r="AC23" s="100">
        <f>IFERROR(AB23/AA23,0)</f>
        <v>0.6619718309859155</v>
      </c>
      <c r="AD23" s="69">
        <f t="shared" si="33"/>
        <v>-24</v>
      </c>
      <c r="AE23" s="112">
        <f>AE8</f>
        <v>52.335566037735852</v>
      </c>
      <c r="AF23" s="78">
        <f>SUM(AF15:AF22)</f>
        <v>71</v>
      </c>
      <c r="AG23" s="28">
        <f>SUM(AG15:AG22)</f>
        <v>58</v>
      </c>
      <c r="AH23" s="72">
        <f>AG23/AF23</f>
        <v>0.81690140845070425</v>
      </c>
      <c r="AI23" s="26">
        <f t="shared" si="34"/>
        <v>-13</v>
      </c>
      <c r="AJ23" s="113">
        <f>AJ8</f>
        <v>80.400000000000006</v>
      </c>
      <c r="AK23" s="82">
        <f>SUM(AK15:AK22)</f>
        <v>71</v>
      </c>
      <c r="AL23" s="28">
        <f>SUM(AL15:AL22)</f>
        <v>59</v>
      </c>
      <c r="AM23" s="72">
        <f>AL23/AK23</f>
        <v>0.83098591549295775</v>
      </c>
      <c r="AN23" s="74">
        <f t="shared" ref="AN23" si="65">AL23-AK23</f>
        <v>-12</v>
      </c>
      <c r="AO23" s="115">
        <f>AO8</f>
        <v>80.400000000000006</v>
      </c>
      <c r="AP23" s="82">
        <f>SUM(AP15:AP22)</f>
        <v>71</v>
      </c>
      <c r="AQ23" s="28">
        <f>SUM(AQ15:AQ22)</f>
        <v>63</v>
      </c>
      <c r="AR23" s="72">
        <f>AQ23/AP23</f>
        <v>0.88732394366197187</v>
      </c>
      <c r="AS23" s="74">
        <f>AQ23-AP23</f>
        <v>-8</v>
      </c>
      <c r="AT23" s="115">
        <f>AT8</f>
        <v>69.654891304347842</v>
      </c>
      <c r="AU23" s="56">
        <f>SUBTOTAL(9,AU15:AU22)</f>
        <v>71</v>
      </c>
      <c r="AV23" s="69">
        <f>SUM(AV15:AV22)</f>
        <v>50</v>
      </c>
      <c r="AW23" s="100">
        <f t="shared" si="47"/>
        <v>0.70422535211267601</v>
      </c>
      <c r="AX23" s="69">
        <f t="shared" si="48"/>
        <v>-21</v>
      </c>
      <c r="AY23" s="111">
        <f>AVERAGE(BD23,BI23,BN23)</f>
        <v>81.127771848202869</v>
      </c>
      <c r="AZ23" s="78">
        <f>SUM(AZ15:AZ22)</f>
        <v>71</v>
      </c>
      <c r="BA23" s="28">
        <f>SUM(BA15:BA22)</f>
        <v>63</v>
      </c>
      <c r="BB23" s="72">
        <f>BA23/AZ23</f>
        <v>0.88732394366197187</v>
      </c>
      <c r="BC23" s="26">
        <f>BA23-AZ23</f>
        <v>-8</v>
      </c>
      <c r="BD23" s="115">
        <f>Cliente!$BL$2</f>
        <v>72.09253968253968</v>
      </c>
      <c r="BE23" s="82">
        <f>SUM(BE15:BE22)</f>
        <v>71</v>
      </c>
      <c r="BF23" s="28">
        <f>SUM(BF15:BF22)</f>
        <v>58</v>
      </c>
      <c r="BG23" s="72">
        <f>BF23/BE23</f>
        <v>0.81690140845070425</v>
      </c>
      <c r="BH23" s="74">
        <f t="shared" si="61"/>
        <v>-13</v>
      </c>
      <c r="BI23" s="115">
        <f>Cliente!$BS$2</f>
        <v>84.198103448275845</v>
      </c>
      <c r="BJ23" s="82">
        <f>SUM(BJ15:BJ22)</f>
        <v>71</v>
      </c>
      <c r="BK23" s="28">
        <f>SUM(BK15:BK22)</f>
        <v>58</v>
      </c>
      <c r="BL23" s="72">
        <f>BK23/BJ23</f>
        <v>0.81690140845070425</v>
      </c>
      <c r="BM23" s="74">
        <f>BK23-BJ23</f>
        <v>-13</v>
      </c>
      <c r="BN23" s="117">
        <f>Cliente!$BZ$2</f>
        <v>87.092672413793068</v>
      </c>
      <c r="BO23" s="56">
        <f>SUBTOTAL(9,BO15:BO22)</f>
        <v>71</v>
      </c>
      <c r="BP23" s="69">
        <f>SUM(BP15:BP22)</f>
        <v>30</v>
      </c>
      <c r="BQ23" s="100">
        <f t="shared" si="54"/>
        <v>0.42253521126760563</v>
      </c>
      <c r="BR23" s="69">
        <f t="shared" si="55"/>
        <v>-41</v>
      </c>
      <c r="BS23" s="111">
        <f>Cliente!$CB$2</f>
        <v>89.55548352371801</v>
      </c>
      <c r="BT23" s="78">
        <f>SUM(BT15:BT22)</f>
        <v>71</v>
      </c>
      <c r="BU23" s="28">
        <f>SUM(BU15:BU22)</f>
        <v>58</v>
      </c>
      <c r="BV23" s="72">
        <f>BU23/BT23</f>
        <v>0.81690140845070425</v>
      </c>
      <c r="BW23" s="26">
        <f>BU23-BT23</f>
        <v>-13</v>
      </c>
      <c r="BX23" s="115">
        <f>Cliente!$CL$2</f>
        <v>88.177758620689644</v>
      </c>
      <c r="BY23" s="82">
        <f>SUM(BY15:BY22)</f>
        <v>71</v>
      </c>
      <c r="BZ23" s="28">
        <f>SUM(BZ15:BZ22)</f>
        <v>57</v>
      </c>
      <c r="CA23" s="72">
        <f>BZ23/BY23</f>
        <v>0.80281690140845074</v>
      </c>
      <c r="CB23" s="74">
        <f t="shared" si="62"/>
        <v>-14</v>
      </c>
      <c r="CC23" s="115">
        <f>Cliente!$CU$2</f>
        <v>90.117368421052603</v>
      </c>
      <c r="CD23" s="82">
        <f>SUM(CD15:CD22)</f>
        <v>71</v>
      </c>
      <c r="CE23" s="28">
        <f>SUM(CE15:CE22)</f>
        <v>34</v>
      </c>
      <c r="CF23" s="72">
        <f>CE23/CD23</f>
        <v>0.47887323943661969</v>
      </c>
      <c r="CG23" s="74">
        <f>CE23-CD23</f>
        <v>-37</v>
      </c>
      <c r="CH23" s="117">
        <f>Cliente!$DD$2</f>
        <v>90.371323529411768</v>
      </c>
      <c r="CO23"/>
      <c r="CP23"/>
    </row>
    <row r="24" spans="2:94" ht="14.5" x14ac:dyDescent="0.35">
      <c r="D24" s="6"/>
      <c r="E24" s="7"/>
      <c r="CO24"/>
      <c r="CP24"/>
    </row>
    <row r="25" spans="2:94" ht="14.5" x14ac:dyDescent="0.35">
      <c r="F25"/>
      <c r="CO25"/>
      <c r="CP25"/>
    </row>
    <row r="26" spans="2:94" ht="14.5" x14ac:dyDescent="0.35">
      <c r="F26"/>
      <c r="CO26"/>
      <c r="CP26"/>
    </row>
    <row r="27" spans="2:94" ht="14.5" x14ac:dyDescent="0.35">
      <c r="F27"/>
      <c r="CO27"/>
      <c r="CP27"/>
    </row>
    <row r="28" spans="2:94" ht="14.5" x14ac:dyDescent="0.35">
      <c r="F28"/>
      <c r="CO28"/>
      <c r="CP28"/>
    </row>
    <row r="29" spans="2:94" ht="14.5" x14ac:dyDescent="0.35">
      <c r="F29"/>
      <c r="CO29"/>
      <c r="CP29"/>
    </row>
    <row r="30" spans="2:94" ht="14.5" x14ac:dyDescent="0.35">
      <c r="F30"/>
      <c r="CO30"/>
      <c r="CP30"/>
    </row>
    <row r="31" spans="2:94" ht="14.5" x14ac:dyDescent="0.35">
      <c r="F31"/>
      <c r="CO31"/>
      <c r="CP31"/>
    </row>
    <row r="32" spans="2:94" ht="14.5" x14ac:dyDescent="0.35">
      <c r="F32"/>
      <c r="L32"/>
      <c r="CO32"/>
      <c r="CP32"/>
    </row>
    <row r="33" spans="6:94" ht="14.5" x14ac:dyDescent="0.35">
      <c r="F33"/>
      <c r="L33"/>
      <c r="CO33"/>
      <c r="CP33"/>
    </row>
    <row r="34" spans="6:94" ht="14.5" x14ac:dyDescent="0.35">
      <c r="F34"/>
      <c r="L34"/>
      <c r="CO34"/>
      <c r="CP34"/>
    </row>
    <row r="35" spans="6:94" ht="14.5" x14ac:dyDescent="0.35">
      <c r="F35"/>
      <c r="L35"/>
      <c r="CO35"/>
      <c r="CP35"/>
    </row>
    <row r="36" spans="6:94" ht="14.5" x14ac:dyDescent="0.35">
      <c r="F36"/>
      <c r="L36"/>
      <c r="CO36"/>
      <c r="CP36"/>
    </row>
    <row r="37" spans="6:94" ht="14.5" x14ac:dyDescent="0.35">
      <c r="F37"/>
      <c r="L37"/>
      <c r="CO37"/>
      <c r="CP37"/>
    </row>
    <row r="38" spans="6:94" ht="14.5" x14ac:dyDescent="0.35">
      <c r="F38"/>
      <c r="L38"/>
      <c r="CO38"/>
      <c r="CP38"/>
    </row>
    <row r="39" spans="6:94" ht="14.5" x14ac:dyDescent="0.35">
      <c r="F39"/>
      <c r="L39"/>
      <c r="CO39"/>
      <c r="CP39"/>
    </row>
    <row r="40" spans="6:94" ht="14.5" hidden="1" x14ac:dyDescent="0.35">
      <c r="F40"/>
      <c r="L40"/>
      <c r="CO40"/>
      <c r="CP40"/>
    </row>
    <row r="41" spans="6:94" ht="14.5" hidden="1" x14ac:dyDescent="0.35">
      <c r="F41"/>
      <c r="L41"/>
      <c r="CO41"/>
      <c r="CP41"/>
    </row>
    <row r="42" spans="6:94" ht="14.5" hidden="1" x14ac:dyDescent="0.35">
      <c r="F42"/>
      <c r="L42"/>
      <c r="CO42"/>
      <c r="CP42"/>
    </row>
    <row r="43" spans="6:94" ht="14.5" hidden="1" x14ac:dyDescent="0.35">
      <c r="F43"/>
      <c r="L43"/>
      <c r="CO43"/>
      <c r="CP43"/>
    </row>
    <row r="44" spans="6:94" ht="14.5" hidden="1" x14ac:dyDescent="0.35">
      <c r="F44"/>
      <c r="L44"/>
      <c r="CO44"/>
      <c r="CP44"/>
    </row>
    <row r="45" spans="6:94" ht="14.5" hidden="1" x14ac:dyDescent="0.35">
      <c r="F45"/>
      <c r="L45"/>
      <c r="CO45"/>
      <c r="CP45"/>
    </row>
    <row r="46" spans="6:94" ht="14.5" hidden="1" x14ac:dyDescent="0.35">
      <c r="F46"/>
      <c r="L46"/>
      <c r="CO46"/>
      <c r="CP46"/>
    </row>
    <row r="47" spans="6:94" ht="14.5" hidden="1" x14ac:dyDescent="0.35">
      <c r="F47"/>
      <c r="L47"/>
      <c r="CO47"/>
      <c r="CP47"/>
    </row>
    <row r="48" spans="6:94" ht="14.5" hidden="1" x14ac:dyDescent="0.35">
      <c r="F48"/>
      <c r="L48"/>
      <c r="CO48"/>
      <c r="CP48"/>
    </row>
    <row r="49" spans="6:94" ht="14.5" hidden="1" x14ac:dyDescent="0.35">
      <c r="F49"/>
      <c r="L49"/>
      <c r="CO49"/>
      <c r="CP49"/>
    </row>
    <row r="50" spans="6:94" ht="14.5" hidden="1" x14ac:dyDescent="0.35">
      <c r="F50"/>
      <c r="L50"/>
      <c r="CO50"/>
      <c r="CP50"/>
    </row>
    <row r="51" spans="6:94" ht="14.5" hidden="1" x14ac:dyDescent="0.35">
      <c r="F51"/>
      <c r="L51"/>
      <c r="CO51"/>
      <c r="CP51"/>
    </row>
    <row r="52" spans="6:94" ht="14.5" hidden="1" x14ac:dyDescent="0.35">
      <c r="F52"/>
      <c r="L52"/>
      <c r="CO52"/>
      <c r="CP52"/>
    </row>
    <row r="53" spans="6:94" ht="14.5" hidden="1" x14ac:dyDescent="0.35">
      <c r="F53"/>
      <c r="L53"/>
      <c r="CO53"/>
      <c r="CP53"/>
    </row>
    <row r="54" spans="6:94" ht="14.5" hidden="1" x14ac:dyDescent="0.35">
      <c r="F54"/>
      <c r="L54"/>
      <c r="CO54"/>
      <c r="CP54"/>
    </row>
    <row r="55" spans="6:94" ht="14.5" hidden="1" x14ac:dyDescent="0.35">
      <c r="F55"/>
      <c r="L55"/>
      <c r="CO55"/>
      <c r="CP55"/>
    </row>
    <row r="56" spans="6:94" ht="14.5" hidden="1" x14ac:dyDescent="0.35">
      <c r="F56"/>
      <c r="L56"/>
      <c r="CO56"/>
      <c r="CP56"/>
    </row>
    <row r="57" spans="6:94" ht="14.5" hidden="1" x14ac:dyDescent="0.35">
      <c r="F57"/>
      <c r="L57"/>
      <c r="CO57"/>
      <c r="CP57"/>
    </row>
    <row r="58" spans="6:94" ht="14.5" hidden="1" x14ac:dyDescent="0.35">
      <c r="F58"/>
      <c r="L58"/>
      <c r="CO58"/>
      <c r="CP58"/>
    </row>
    <row r="59" spans="6:94" ht="14.5" hidden="1" x14ac:dyDescent="0.35">
      <c r="F59"/>
      <c r="L59"/>
      <c r="CO59"/>
      <c r="CP59"/>
    </row>
    <row r="60" spans="6:94" ht="14.5" hidden="1" x14ac:dyDescent="0.35">
      <c r="F60"/>
      <c r="L60"/>
      <c r="CO60"/>
      <c r="CP60"/>
    </row>
    <row r="61" spans="6:94" ht="14.5" hidden="1" x14ac:dyDescent="0.35">
      <c r="F61"/>
      <c r="L61"/>
      <c r="CO61"/>
      <c r="CP61"/>
    </row>
    <row r="62" spans="6:94" ht="14.5" hidden="1" x14ac:dyDescent="0.35">
      <c r="F62"/>
      <c r="L62"/>
      <c r="CO62"/>
      <c r="CP62"/>
    </row>
    <row r="63" spans="6:94" ht="14.5" hidden="1" x14ac:dyDescent="0.35">
      <c r="F63"/>
      <c r="L63"/>
      <c r="CO63"/>
      <c r="CP63"/>
    </row>
    <row r="64" spans="6:94" ht="14.5" hidden="1" x14ac:dyDescent="0.35">
      <c r="F64"/>
      <c r="L64"/>
      <c r="CO64"/>
      <c r="CP64"/>
    </row>
    <row r="65" spans="6:94" ht="14.5" hidden="1" x14ac:dyDescent="0.35">
      <c r="F65"/>
      <c r="L65"/>
      <c r="CO65"/>
      <c r="CP65"/>
    </row>
    <row r="66" spans="6:94" ht="14.5" hidden="1" x14ac:dyDescent="0.35">
      <c r="F66"/>
      <c r="L66"/>
      <c r="CO66"/>
      <c r="CP66"/>
    </row>
    <row r="67" spans="6:94" ht="14.5" hidden="1" x14ac:dyDescent="0.35">
      <c r="F67"/>
      <c r="L67"/>
      <c r="CO67"/>
      <c r="CP67"/>
    </row>
    <row r="68" spans="6:94" ht="14.5" hidden="1" x14ac:dyDescent="0.35">
      <c r="F68"/>
      <c r="L68"/>
      <c r="CO68"/>
      <c r="CP68"/>
    </row>
    <row r="69" spans="6:94" ht="14.5" hidden="1" x14ac:dyDescent="0.35">
      <c r="F69"/>
      <c r="L69"/>
      <c r="CO69"/>
      <c r="CP69"/>
    </row>
    <row r="70" spans="6:94" ht="14.5" hidden="1" x14ac:dyDescent="0.35">
      <c r="F70"/>
      <c r="L70"/>
      <c r="CO70"/>
      <c r="CP70"/>
    </row>
    <row r="71" spans="6:94" ht="14.5" hidden="1" x14ac:dyDescent="0.35">
      <c r="F71"/>
      <c r="L71"/>
      <c r="CO71"/>
      <c r="CP71"/>
    </row>
    <row r="72" spans="6:94" ht="14.5" hidden="1" x14ac:dyDescent="0.35">
      <c r="F72"/>
      <c r="L72"/>
      <c r="CO72"/>
      <c r="CP72"/>
    </row>
    <row r="73" spans="6:94" ht="14.5" hidden="1" x14ac:dyDescent="0.35">
      <c r="F73"/>
      <c r="L73"/>
      <c r="CO73"/>
      <c r="CP73"/>
    </row>
    <row r="74" spans="6:94" ht="14.5" hidden="1" x14ac:dyDescent="0.35">
      <c r="F74"/>
      <c r="L74"/>
      <c r="CO74"/>
      <c r="CP74"/>
    </row>
    <row r="75" spans="6:94" ht="14.5" hidden="1" x14ac:dyDescent="0.35">
      <c r="F75"/>
      <c r="L75"/>
      <c r="CO75"/>
      <c r="CP75"/>
    </row>
    <row r="76" spans="6:94" ht="14.5" hidden="1" x14ac:dyDescent="0.35">
      <c r="F76"/>
      <c r="L76"/>
      <c r="CO76"/>
      <c r="CP76"/>
    </row>
    <row r="77" spans="6:94" ht="14.5" hidden="1" x14ac:dyDescent="0.35">
      <c r="F77"/>
      <c r="L77"/>
      <c r="CO77"/>
      <c r="CP77"/>
    </row>
    <row r="78" spans="6:94" ht="14.5" hidden="1" x14ac:dyDescent="0.35">
      <c r="F78"/>
      <c r="L78"/>
      <c r="CO78"/>
      <c r="CP78"/>
    </row>
    <row r="79" spans="6:94" ht="14.5" hidden="1" x14ac:dyDescent="0.35">
      <c r="F79"/>
      <c r="L79"/>
      <c r="CO79"/>
      <c r="CP79"/>
    </row>
    <row r="80" spans="6:94" ht="14.5" hidden="1" x14ac:dyDescent="0.35">
      <c r="F80"/>
      <c r="L80"/>
      <c r="CO80"/>
      <c r="CP80"/>
    </row>
    <row r="81" spans="6:94" ht="14.5" hidden="1" x14ac:dyDescent="0.35">
      <c r="F81"/>
      <c r="L81"/>
      <c r="CO81"/>
      <c r="CP81"/>
    </row>
    <row r="82" spans="6:94" ht="14.5" hidden="1" x14ac:dyDescent="0.35">
      <c r="F82"/>
      <c r="L82"/>
      <c r="CO82"/>
      <c r="CP82"/>
    </row>
    <row r="83" spans="6:94" ht="14.5" hidden="1" x14ac:dyDescent="0.35">
      <c r="F83"/>
      <c r="L83"/>
    </row>
    <row r="84" spans="6:94" ht="14.5" hidden="1" x14ac:dyDescent="0.35">
      <c r="F84"/>
      <c r="L84"/>
    </row>
    <row r="85" spans="6:94" ht="14.5" hidden="1" x14ac:dyDescent="0.35">
      <c r="F85"/>
      <c r="L85"/>
    </row>
    <row r="86" spans="6:94" ht="14.5" hidden="1" x14ac:dyDescent="0.35">
      <c r="F86"/>
      <c r="L86"/>
    </row>
    <row r="87" spans="6:94" ht="14.5" hidden="1" x14ac:dyDescent="0.35">
      <c r="F87"/>
      <c r="L87"/>
    </row>
    <row r="88" spans="6:94" ht="14.5" hidden="1" x14ac:dyDescent="0.35">
      <c r="F88"/>
      <c r="L88"/>
    </row>
    <row r="89" spans="6:94" ht="14.5" hidden="1" x14ac:dyDescent="0.35">
      <c r="F89"/>
      <c r="L89"/>
    </row>
    <row r="90" spans="6:94" ht="14.5" hidden="1" x14ac:dyDescent="0.35">
      <c r="F90"/>
      <c r="L90"/>
    </row>
    <row r="91" spans="6:94" ht="14.5" hidden="1" x14ac:dyDescent="0.35">
      <c r="F91"/>
      <c r="L91"/>
    </row>
    <row r="92" spans="6:94" ht="14.5" hidden="1" x14ac:dyDescent="0.35">
      <c r="F92"/>
      <c r="L92"/>
    </row>
    <row r="93" spans="6:94" ht="14.5" hidden="1" x14ac:dyDescent="0.35">
      <c r="F93"/>
      <c r="L93"/>
    </row>
    <row r="94" spans="6:94" ht="14.5" hidden="1" x14ac:dyDescent="0.35">
      <c r="F94"/>
      <c r="L94"/>
    </row>
    <row r="95" spans="6:94" ht="14.5" hidden="1" x14ac:dyDescent="0.35">
      <c r="F95"/>
      <c r="L95"/>
    </row>
    <row r="96" spans="6:94" ht="14.5" hidden="1" x14ac:dyDescent="0.35">
      <c r="F96"/>
      <c r="L96"/>
    </row>
    <row r="97" spans="6:12" ht="14.5" hidden="1" x14ac:dyDescent="0.35">
      <c r="F97"/>
      <c r="L97"/>
    </row>
    <row r="98" spans="6:12" ht="14.5" hidden="1" x14ac:dyDescent="0.35">
      <c r="F98"/>
      <c r="L98"/>
    </row>
    <row r="99" spans="6:12" ht="14.5" hidden="1" x14ac:dyDescent="0.35">
      <c r="F99"/>
      <c r="L99"/>
    </row>
    <row r="100" spans="6:12" ht="14.5" hidden="1" x14ac:dyDescent="0.35">
      <c r="F100"/>
      <c r="L100"/>
    </row>
    <row r="101" spans="6:12" ht="14.5" hidden="1" x14ac:dyDescent="0.35">
      <c r="F101"/>
      <c r="L101"/>
    </row>
    <row r="102" spans="6:12" ht="14.5" hidden="1" x14ac:dyDescent="0.35">
      <c r="F102"/>
      <c r="L102"/>
    </row>
    <row r="103" spans="6:12" ht="14.5" hidden="1" x14ac:dyDescent="0.35">
      <c r="F103"/>
      <c r="L103"/>
    </row>
    <row r="104" spans="6:12" ht="14.5" hidden="1" x14ac:dyDescent="0.35">
      <c r="F104"/>
      <c r="L104"/>
    </row>
    <row r="105" spans="6:12" ht="14.5" hidden="1" x14ac:dyDescent="0.35">
      <c r="F105"/>
      <c r="L105"/>
    </row>
    <row r="106" spans="6:12" ht="14.5" hidden="1" x14ac:dyDescent="0.35">
      <c r="F106"/>
      <c r="L106"/>
    </row>
    <row r="107" spans="6:12" ht="14.5" hidden="1" x14ac:dyDescent="0.35">
      <c r="F107"/>
      <c r="L107"/>
    </row>
    <row r="108" spans="6:12" ht="14.5" hidden="1" x14ac:dyDescent="0.35">
      <c r="F108"/>
      <c r="L108"/>
    </row>
    <row r="109" spans="6:12" ht="14.5" hidden="1" x14ac:dyDescent="0.35">
      <c r="F109"/>
      <c r="L109"/>
    </row>
    <row r="110" spans="6:12" ht="14.5" hidden="1" x14ac:dyDescent="0.35">
      <c r="F110"/>
      <c r="L110"/>
    </row>
    <row r="111" spans="6:12" ht="14.5" hidden="1" x14ac:dyDescent="0.35">
      <c r="F111"/>
      <c r="L111"/>
    </row>
    <row r="112" spans="6:12" ht="14.5" hidden="1" x14ac:dyDescent="0.35">
      <c r="F112"/>
      <c r="L112"/>
    </row>
    <row r="113" spans="6:12" ht="14.5" hidden="1" x14ac:dyDescent="0.35">
      <c r="F113"/>
      <c r="L113"/>
    </row>
    <row r="114" spans="6:12" ht="14.5" hidden="1" x14ac:dyDescent="0.35">
      <c r="F114"/>
      <c r="L114"/>
    </row>
    <row r="115" spans="6:12" ht="14.5" hidden="1" x14ac:dyDescent="0.35">
      <c r="F115"/>
      <c r="L115"/>
    </row>
    <row r="116" spans="6:12" ht="14.5" hidden="1" x14ac:dyDescent="0.35">
      <c r="F116"/>
      <c r="L116"/>
    </row>
    <row r="117" spans="6:12" ht="14.5" hidden="1" x14ac:dyDescent="0.35">
      <c r="F117"/>
      <c r="L117"/>
    </row>
    <row r="118" spans="6:12" ht="14.5" hidden="1" x14ac:dyDescent="0.35">
      <c r="F118"/>
      <c r="L118"/>
    </row>
    <row r="119" spans="6:12" ht="14.5" hidden="1" x14ac:dyDescent="0.35">
      <c r="F119"/>
      <c r="L119"/>
    </row>
    <row r="120" spans="6:12" ht="14.5" hidden="1" x14ac:dyDescent="0.35">
      <c r="F120"/>
      <c r="L120"/>
    </row>
    <row r="121" spans="6:12" ht="14.5" hidden="1" x14ac:dyDescent="0.35">
      <c r="F121"/>
      <c r="L121"/>
    </row>
    <row r="122" spans="6:12" ht="14.5" hidden="1" x14ac:dyDescent="0.35">
      <c r="F122"/>
      <c r="L122"/>
    </row>
    <row r="123" spans="6:12" ht="14.5" hidden="1" x14ac:dyDescent="0.35">
      <c r="F123"/>
      <c r="L123"/>
    </row>
    <row r="124" spans="6:12" ht="14.5" hidden="1" x14ac:dyDescent="0.35">
      <c r="F124"/>
      <c r="L124"/>
    </row>
    <row r="125" spans="6:12" ht="14.5" hidden="1" x14ac:dyDescent="0.35">
      <c r="F125"/>
      <c r="L125"/>
    </row>
    <row r="126" spans="6:12" ht="14.5" hidden="1" x14ac:dyDescent="0.35">
      <c r="F126"/>
      <c r="L126"/>
    </row>
    <row r="127" spans="6:12" ht="14.5" hidden="1" x14ac:dyDescent="0.35">
      <c r="F127"/>
      <c r="L127"/>
    </row>
    <row r="128" spans="6:12" ht="14.5" hidden="1" x14ac:dyDescent="0.35">
      <c r="F128"/>
      <c r="L128"/>
    </row>
    <row r="129" spans="6:12" ht="14.5" hidden="1" x14ac:dyDescent="0.35">
      <c r="F129"/>
      <c r="L129"/>
    </row>
    <row r="130" spans="6:12" ht="14.5" hidden="1" x14ac:dyDescent="0.35">
      <c r="F130"/>
      <c r="L130"/>
    </row>
    <row r="131" spans="6:12" ht="14.5" hidden="1" x14ac:dyDescent="0.35">
      <c r="F131"/>
      <c r="L131"/>
    </row>
    <row r="132" spans="6:12" ht="14.5" hidden="1" x14ac:dyDescent="0.35">
      <c r="F132"/>
      <c r="L132"/>
    </row>
    <row r="133" spans="6:12" ht="14.5" hidden="1" x14ac:dyDescent="0.35">
      <c r="F133"/>
      <c r="L133"/>
    </row>
    <row r="134" spans="6:12" ht="14.5" hidden="1" x14ac:dyDescent="0.35">
      <c r="F134"/>
      <c r="L134"/>
    </row>
    <row r="135" spans="6:12" ht="14.5" hidden="1" x14ac:dyDescent="0.35">
      <c r="F135"/>
      <c r="L135"/>
    </row>
    <row r="136" spans="6:12" ht="14.5" hidden="1" x14ac:dyDescent="0.35">
      <c r="L136"/>
    </row>
    <row r="137" spans="6:12" ht="14.5" hidden="1" x14ac:dyDescent="0.35">
      <c r="L137"/>
    </row>
    <row r="138" spans="6:12" ht="14.5" hidden="1" x14ac:dyDescent="0.35">
      <c r="L138"/>
    </row>
    <row r="139" spans="6:12" ht="14.5" hidden="1" x14ac:dyDescent="0.35">
      <c r="L139"/>
    </row>
    <row r="140" spans="6:12" ht="14.5" hidden="1" x14ac:dyDescent="0.35">
      <c r="L140"/>
    </row>
    <row r="141" spans="6:12" ht="14.5" hidden="1" x14ac:dyDescent="0.35">
      <c r="L141"/>
    </row>
    <row r="142" spans="6:12" ht="14.5" hidden="1" x14ac:dyDescent="0.35">
      <c r="L142"/>
    </row>
    <row r="143" spans="6:12" ht="14.5" hidden="1" x14ac:dyDescent="0.35">
      <c r="L143"/>
    </row>
    <row r="9524" spans="4:5" hidden="1" x14ac:dyDescent="0.3">
      <c r="E9524" s="4"/>
    </row>
    <row r="9529" spans="4:5" hidden="1" x14ac:dyDescent="0.3">
      <c r="D9529" s="4"/>
    </row>
    <row r="10159" spans="5:5" hidden="1" x14ac:dyDescent="0.3">
      <c r="E10159" s="4"/>
    </row>
    <row r="10161" spans="4:5" hidden="1" x14ac:dyDescent="0.3">
      <c r="E10161" s="4"/>
    </row>
    <row r="10164" spans="4:5" hidden="1" x14ac:dyDescent="0.3">
      <c r="D10164" s="4"/>
    </row>
    <row r="10166" spans="4:5" hidden="1" x14ac:dyDescent="0.3">
      <c r="D10166" s="4"/>
    </row>
    <row r="12411" spans="4:5" hidden="1" x14ac:dyDescent="0.3">
      <c r="E12411" s="4"/>
    </row>
    <row r="12415" spans="4:5" hidden="1" x14ac:dyDescent="0.3">
      <c r="E12415" s="4"/>
    </row>
    <row r="12416" spans="4:5" hidden="1" x14ac:dyDescent="0.3">
      <c r="D12416" s="4"/>
    </row>
    <row r="12420" spans="4:4" hidden="1" x14ac:dyDescent="0.3">
      <c r="D12420" s="4"/>
    </row>
    <row r="13529" spans="4:5" hidden="1" x14ac:dyDescent="0.3">
      <c r="E13529" s="4"/>
    </row>
    <row r="13533" spans="4:5" hidden="1" x14ac:dyDescent="0.3">
      <c r="E13533" s="4"/>
    </row>
    <row r="13534" spans="4:5" hidden="1" x14ac:dyDescent="0.3">
      <c r="D13534" s="4"/>
    </row>
    <row r="13538" spans="4:4" hidden="1" x14ac:dyDescent="0.3">
      <c r="D13538" s="4"/>
    </row>
    <row r="13903" spans="5:5" hidden="1" x14ac:dyDescent="0.3">
      <c r="E13903" s="4"/>
    </row>
    <row r="13908" spans="4:4" hidden="1" x14ac:dyDescent="0.3">
      <c r="D13908" s="4"/>
    </row>
    <row r="16900" spans="4:5" hidden="1" x14ac:dyDescent="0.3">
      <c r="E16900" s="4"/>
    </row>
    <row r="16905" spans="4:5" hidden="1" x14ac:dyDescent="0.3">
      <c r="D16905" s="4"/>
    </row>
    <row r="16909" spans="4:5" hidden="1" x14ac:dyDescent="0.3">
      <c r="E16909" s="4"/>
    </row>
    <row r="16914" spans="4:4" hidden="1" x14ac:dyDescent="0.3">
      <c r="D16914" s="4"/>
    </row>
    <row r="17230" spans="5:5" hidden="1" x14ac:dyDescent="0.3">
      <c r="E17230" s="4"/>
    </row>
    <row r="17235" spans="4:4" hidden="1" x14ac:dyDescent="0.3">
      <c r="D17235" s="4"/>
    </row>
    <row r="17254" spans="4:5" hidden="1" x14ac:dyDescent="0.3">
      <c r="E17254" s="4"/>
    </row>
    <row r="17259" spans="4:5" hidden="1" x14ac:dyDescent="0.3">
      <c r="D17259" s="4"/>
      <c r="E17259" s="4"/>
    </row>
    <row r="17264" spans="4:5" hidden="1" x14ac:dyDescent="0.3">
      <c r="D17264" s="4"/>
    </row>
    <row r="17672" spans="4:5" hidden="1" x14ac:dyDescent="0.3">
      <c r="E17672" s="4"/>
    </row>
    <row r="17677" spans="4:5" hidden="1" x14ac:dyDescent="0.3">
      <c r="D17677" s="4"/>
    </row>
    <row r="17688" spans="4:5" hidden="1" x14ac:dyDescent="0.3">
      <c r="E17688" s="4"/>
    </row>
    <row r="17693" spans="4:5" hidden="1" x14ac:dyDescent="0.3">
      <c r="D17693" s="4"/>
    </row>
    <row r="19340" spans="5:5" hidden="1" x14ac:dyDescent="0.3">
      <c r="E19340" s="4"/>
    </row>
    <row r="19345" spans="4:4" hidden="1" x14ac:dyDescent="0.3">
      <c r="D19345" s="4"/>
    </row>
    <row r="21111" spans="4:5" hidden="1" x14ac:dyDescent="0.3">
      <c r="E21111" s="4"/>
    </row>
    <row r="21112" spans="4:5" hidden="1" x14ac:dyDescent="0.3">
      <c r="E21112" s="4"/>
    </row>
    <row r="21113" spans="4:5" hidden="1" x14ac:dyDescent="0.3">
      <c r="E21113" s="4"/>
    </row>
    <row r="21114" spans="4:5" hidden="1" x14ac:dyDescent="0.3">
      <c r="E21114" s="4"/>
    </row>
    <row r="21116" spans="4:5" hidden="1" x14ac:dyDescent="0.3">
      <c r="D21116" s="4"/>
      <c r="E21116" s="4"/>
    </row>
    <row r="21117" spans="4:5" hidden="1" x14ac:dyDescent="0.3">
      <c r="D21117" s="4"/>
    </row>
    <row r="21118" spans="4:5" hidden="1" x14ac:dyDescent="0.3">
      <c r="D21118" s="4"/>
    </row>
    <row r="21119" spans="4:5" hidden="1" x14ac:dyDescent="0.3">
      <c r="D21119" s="4"/>
    </row>
    <row r="21121" spans="4:4" hidden="1" x14ac:dyDescent="0.3">
      <c r="D21121" s="4"/>
    </row>
    <row r="21207" spans="4:5" hidden="1" x14ac:dyDescent="0.3">
      <c r="E21207" s="4"/>
    </row>
    <row r="21209" spans="4:5" hidden="1" x14ac:dyDescent="0.3">
      <c r="E21209" s="4"/>
    </row>
    <row r="21210" spans="4:5" hidden="1" x14ac:dyDescent="0.3">
      <c r="E21210" s="4"/>
    </row>
    <row r="21211" spans="4:5" hidden="1" x14ac:dyDescent="0.3">
      <c r="E21211" s="4"/>
    </row>
    <row r="21212" spans="4:5" hidden="1" x14ac:dyDescent="0.3">
      <c r="D21212" s="4"/>
      <c r="E21212" s="4"/>
    </row>
    <row r="21214" spans="4:5" hidden="1" x14ac:dyDescent="0.3">
      <c r="D21214" s="4"/>
    </row>
    <row r="21215" spans="4:5" hidden="1" x14ac:dyDescent="0.3">
      <c r="D21215" s="4"/>
    </row>
    <row r="21216" spans="4:5" hidden="1" x14ac:dyDescent="0.3">
      <c r="D21216" s="4"/>
    </row>
    <row r="21217" spans="4:4" hidden="1" x14ac:dyDescent="0.3">
      <c r="D21217" s="4"/>
    </row>
    <row r="21653" spans="4:5" hidden="1" x14ac:dyDescent="0.3">
      <c r="E21653" s="4"/>
    </row>
    <row r="21658" spans="4:5" hidden="1" x14ac:dyDescent="0.3">
      <c r="D21658" s="4"/>
    </row>
    <row r="21691" spans="4:5" hidden="1" x14ac:dyDescent="0.3">
      <c r="E21691" s="4"/>
    </row>
    <row r="21696" spans="4:5" hidden="1" x14ac:dyDescent="0.3">
      <c r="D21696" s="4"/>
    </row>
    <row r="21698" spans="4:5" hidden="1" x14ac:dyDescent="0.3">
      <c r="E21698" s="4"/>
    </row>
    <row r="21703" spans="4:5" hidden="1" x14ac:dyDescent="0.3">
      <c r="D21703" s="4"/>
    </row>
    <row r="22386" spans="4:5" hidden="1" x14ac:dyDescent="0.3">
      <c r="E22386" s="4"/>
    </row>
    <row r="22391" spans="4:5" hidden="1" x14ac:dyDescent="0.3">
      <c r="D22391" s="4"/>
    </row>
    <row r="22394" spans="4:5" hidden="1" x14ac:dyDescent="0.3">
      <c r="E22394" s="4"/>
    </row>
    <row r="22395" spans="4:5" hidden="1" x14ac:dyDescent="0.3">
      <c r="E22395" s="4"/>
    </row>
    <row r="22396" spans="4:5" hidden="1" x14ac:dyDescent="0.3">
      <c r="E22396" s="4"/>
    </row>
    <row r="22399" spans="4:5" hidden="1" x14ac:dyDescent="0.3">
      <c r="D22399" s="4"/>
    </row>
    <row r="22400" spans="4:5" hidden="1" x14ac:dyDescent="0.3">
      <c r="D22400" s="4"/>
    </row>
    <row r="22401" spans="4:4" hidden="1" x14ac:dyDescent="0.3">
      <c r="D22401" s="4"/>
    </row>
    <row r="22505" spans="4:5" hidden="1" x14ac:dyDescent="0.3">
      <c r="E22505" s="4"/>
    </row>
    <row r="22510" spans="4:5" hidden="1" x14ac:dyDescent="0.3">
      <c r="D22510" s="4"/>
    </row>
    <row r="22689" spans="4:5" hidden="1" x14ac:dyDescent="0.3">
      <c r="E22689" s="4"/>
    </row>
    <row r="22694" spans="4:5" hidden="1" x14ac:dyDescent="0.3">
      <c r="D22694" s="4"/>
    </row>
    <row r="23048" spans="4:5" hidden="1" x14ac:dyDescent="0.3">
      <c r="E23048" s="4"/>
    </row>
    <row r="23053" spans="4:5" hidden="1" x14ac:dyDescent="0.3">
      <c r="D23053" s="4"/>
    </row>
    <row r="23058" spans="4:5" hidden="1" x14ac:dyDescent="0.3">
      <c r="E23058" s="4"/>
    </row>
    <row r="23063" spans="4:5" hidden="1" x14ac:dyDescent="0.3">
      <c r="D23063" s="4"/>
    </row>
    <row r="23552" spans="5:5" hidden="1" x14ac:dyDescent="0.3">
      <c r="E23552" s="4"/>
    </row>
    <row r="23554" spans="4:5" hidden="1" x14ac:dyDescent="0.3">
      <c r="E23554" s="4"/>
    </row>
    <row r="23555" spans="4:5" hidden="1" x14ac:dyDescent="0.3">
      <c r="E23555" s="4"/>
    </row>
    <row r="23556" spans="4:5" hidden="1" x14ac:dyDescent="0.3">
      <c r="E23556" s="4"/>
    </row>
    <row r="23557" spans="4:5" hidden="1" x14ac:dyDescent="0.3">
      <c r="D23557" s="4"/>
    </row>
    <row r="23559" spans="4:5" hidden="1" x14ac:dyDescent="0.3">
      <c r="D23559" s="4"/>
    </row>
    <row r="23560" spans="4:5" hidden="1" x14ac:dyDescent="0.3">
      <c r="D23560" s="4"/>
    </row>
    <row r="23561" spans="4:5" hidden="1" x14ac:dyDescent="0.3">
      <c r="D23561" s="4"/>
    </row>
    <row r="23940" spans="4:5" hidden="1" x14ac:dyDescent="0.3">
      <c r="E23940" s="4"/>
    </row>
    <row r="23942" spans="4:5" hidden="1" x14ac:dyDescent="0.3">
      <c r="E23942" s="4"/>
    </row>
    <row r="23945" spans="4:5" hidden="1" x14ac:dyDescent="0.3">
      <c r="D23945" s="4"/>
    </row>
    <row r="23947" spans="4:5" hidden="1" x14ac:dyDescent="0.3">
      <c r="D23947" s="4"/>
    </row>
  </sheetData>
  <sortState xmlns:xlrd2="http://schemas.microsoft.com/office/spreadsheetml/2017/richdata2" ref="B15:E22">
    <sortCondition ref="B15:B22"/>
    <sortCondition ref="C15:C22"/>
  </sortState>
  <mergeCells count="37">
    <mergeCell ref="F4:F5"/>
    <mergeCell ref="E4:E5"/>
    <mergeCell ref="L13:P13"/>
    <mergeCell ref="Q13:U13"/>
    <mergeCell ref="V13:Z13"/>
    <mergeCell ref="BO4:BS4"/>
    <mergeCell ref="BT4:BX4"/>
    <mergeCell ref="BY4:CC4"/>
    <mergeCell ref="CD4:CH4"/>
    <mergeCell ref="BO13:BS13"/>
    <mergeCell ref="BT13:BX13"/>
    <mergeCell ref="BY13:CC13"/>
    <mergeCell ref="CD13:CH13"/>
    <mergeCell ref="AU4:AY4"/>
    <mergeCell ref="AZ4:BD4"/>
    <mergeCell ref="BE4:BI4"/>
    <mergeCell ref="BJ4:BN4"/>
    <mergeCell ref="AU13:AY13"/>
    <mergeCell ref="AZ13:BD13"/>
    <mergeCell ref="BE13:BI13"/>
    <mergeCell ref="BJ13:BN13"/>
    <mergeCell ref="AP4:AT4"/>
    <mergeCell ref="AK13:AO13"/>
    <mergeCell ref="B23:E23"/>
    <mergeCell ref="B13:E13"/>
    <mergeCell ref="F13:F14"/>
    <mergeCell ref="AP13:AT13"/>
    <mergeCell ref="AA4:AE4"/>
    <mergeCell ref="AA13:AE13"/>
    <mergeCell ref="AF4:AJ4"/>
    <mergeCell ref="AF13:AJ13"/>
    <mergeCell ref="AK4:AO4"/>
    <mergeCell ref="G4:K4"/>
    <mergeCell ref="L4:P4"/>
    <mergeCell ref="Q4:U4"/>
    <mergeCell ref="V4:Z4"/>
    <mergeCell ref="G13:K13"/>
  </mergeCells>
  <phoneticPr fontId="13" type="noConversion"/>
  <conditionalFormatting sqref="BB6:BB7 BQ6:BQ7 BV6:BV7 AM6:AM8 AR6:AR8 BG6:BG8 BL6:BL8 CA6:CA8 CF6:CF8 S8 X8 BB15:BB22 BQ15:BQ22 BV15:BV22 AM15:AM23 AR15:AR23 BG15:BG23 BL15:BL23 CA15:CA23 CF15:CF23 S23">
    <cfRule type="cellIs" dxfId="5" priority="3" operator="greaterThanOrEqual">
      <formula>1</formula>
    </cfRule>
  </conditionalFormatting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74" orientation="landscape" horizontalDpi="4294967293" vertic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6FD57-2A9E-4AD0-8D46-153C1243D1AC}">
  <sheetPr>
    <pageSetUpPr fitToPage="1"/>
  </sheetPr>
  <dimension ref="B1:BA114"/>
  <sheetViews>
    <sheetView showGridLines="0" zoomScale="80" zoomScaleNormal="80" workbookViewId="0">
      <selection activeCell="AR11" sqref="AR11"/>
    </sheetView>
  </sheetViews>
  <sheetFormatPr defaultRowHeight="14.5" outlineLevelCol="1" x14ac:dyDescent="0.35"/>
  <cols>
    <col min="1" max="1" width="1.26953125" customWidth="1"/>
    <col min="2" max="2" width="15.7265625" style="12" bestFit="1" customWidth="1"/>
    <col min="3" max="3" width="10.26953125" style="9" bestFit="1" customWidth="1"/>
    <col min="4" max="4" width="11" style="9" bestFit="1" customWidth="1"/>
    <col min="5" max="5" width="24" style="12" customWidth="1"/>
    <col min="6" max="6" width="12" style="9" hidden="1" customWidth="1" outlineLevel="1"/>
    <col min="7" max="7" width="15.81640625" style="9" hidden="1" customWidth="1" outlineLevel="1"/>
    <col min="8" max="8" width="15" style="9" hidden="1" customWidth="1" outlineLevel="1"/>
    <col min="9" max="9" width="12" style="9" hidden="1" customWidth="1" outlineLevel="1" collapsed="1"/>
    <col min="10" max="10" width="15.81640625" style="9" hidden="1" customWidth="1" outlineLevel="1"/>
    <col min="11" max="11" width="15" style="9" hidden="1" customWidth="1" outlineLevel="1"/>
    <col min="12" max="12" width="12" style="9" hidden="1" customWidth="1" outlineLevel="1"/>
    <col min="13" max="13" width="15.81640625" style="9" hidden="1" customWidth="1" outlineLevel="1"/>
    <col min="14" max="14" width="15" style="9" hidden="1" customWidth="1" outlineLevel="1"/>
    <col min="15" max="15" width="12" style="9" hidden="1" customWidth="1" outlineLevel="1"/>
    <col min="16" max="16" width="15.81640625" style="9" hidden="1" customWidth="1" outlineLevel="1"/>
    <col min="17" max="17" width="13.453125" style="9" hidden="1" customWidth="1" outlineLevel="1"/>
    <col min="18" max="18" width="9.26953125" style="9" hidden="1" customWidth="1" outlineLevel="1" collapsed="1"/>
    <col min="19" max="19" width="9.81640625" style="9" hidden="1" customWidth="1" outlineLevel="1"/>
    <col min="20" max="20" width="11.453125" style="9" hidden="1" customWidth="1" outlineLevel="1"/>
    <col min="21" max="21" width="9" style="9" hidden="1" customWidth="1" outlineLevel="1" collapsed="1"/>
    <col min="22" max="22" width="11.26953125" style="9" hidden="1" customWidth="1" outlineLevel="1"/>
    <col min="23" max="23" width="12.26953125" style="9" hidden="1" customWidth="1" outlineLevel="1"/>
    <col min="24" max="24" width="9" style="9" hidden="1" customWidth="1" outlineLevel="1"/>
    <col min="25" max="25" width="10.453125" style="9" hidden="1" customWidth="1" outlineLevel="1"/>
    <col min="26" max="26" width="9.54296875" style="9" hidden="1" customWidth="1" outlineLevel="1"/>
    <col min="27" max="27" width="9" style="9" hidden="1" customWidth="1" outlineLevel="1"/>
    <col min="28" max="28" width="10.453125" style="9" hidden="1" customWidth="1" outlineLevel="1"/>
    <col min="29" max="29" width="9" style="9" hidden="1" customWidth="1" outlineLevel="1"/>
    <col min="30" max="30" width="9.26953125" style="9" hidden="1" customWidth="1" outlineLevel="1" collapsed="1"/>
    <col min="31" max="31" width="10.26953125" style="9" hidden="1" customWidth="1" outlineLevel="1"/>
    <col min="32" max="32" width="10.7265625" style="9" hidden="1" customWidth="1" outlineLevel="1"/>
    <col min="33" max="33" width="9.54296875" style="9" hidden="1" customWidth="1" outlineLevel="1" collapsed="1"/>
    <col min="34" max="34" width="10.453125" style="9" hidden="1" customWidth="1" outlineLevel="1"/>
    <col min="35" max="35" width="9.54296875" style="9" hidden="1" customWidth="1" outlineLevel="1"/>
    <col min="36" max="36" width="9.54296875" style="9" hidden="1" customWidth="1" outlineLevel="1" collapsed="1"/>
    <col min="37" max="37" width="10.7265625" style="9" hidden="1" customWidth="1" outlineLevel="1"/>
    <col min="38" max="39" width="9.54296875" style="9" hidden="1" customWidth="1" outlineLevel="1"/>
    <col min="40" max="40" width="10.7265625" style="9" hidden="1" customWidth="1" outlineLevel="1"/>
    <col min="41" max="41" width="9.54296875" style="9" hidden="1" customWidth="1" outlineLevel="1"/>
    <col min="42" max="42" width="11.453125" style="9" customWidth="1" collapsed="1"/>
    <col min="43" max="44" width="11.453125" style="9" customWidth="1"/>
    <col min="45" max="45" width="9.54296875" style="9" customWidth="1" collapsed="1"/>
    <col min="46" max="46" width="11.7265625" style="9" customWidth="1"/>
    <col min="47" max="47" width="9.54296875" style="9" customWidth="1"/>
    <col min="48" max="48" width="9.54296875" style="9" customWidth="1" collapsed="1"/>
    <col min="49" max="49" width="11.26953125" style="9" customWidth="1"/>
    <col min="50" max="51" width="9.54296875" style="9" customWidth="1"/>
    <col min="52" max="52" width="12" style="9" customWidth="1"/>
    <col min="53" max="53" width="9.54296875" style="9" customWidth="1"/>
  </cols>
  <sheetData>
    <row r="1" spans="2:53" ht="13.9" customHeight="1" x14ac:dyDescent="0.35">
      <c r="B1" s="10"/>
      <c r="C1" s="8"/>
      <c r="D1" s="8"/>
      <c r="E1" s="10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</row>
    <row r="2" spans="2:53" ht="18.75" customHeight="1" x14ac:dyDescent="0.35">
      <c r="B2" s="10"/>
      <c r="C2" s="8"/>
      <c r="D2" s="8"/>
      <c r="E2" s="10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  <c r="AX2" s="8"/>
      <c r="AY2" s="8"/>
      <c r="AZ2" s="8"/>
      <c r="BA2" s="8"/>
    </row>
    <row r="3" spans="2:53" ht="17.649999999999999" customHeight="1" thickBot="1" x14ac:dyDescent="0.4">
      <c r="B3" s="11"/>
      <c r="C3" s="8"/>
      <c r="D3" s="8"/>
      <c r="E3" s="47" t="s">
        <v>109</v>
      </c>
      <c r="F3" s="46">
        <f>SUM(F6:F19)</f>
        <v>71</v>
      </c>
      <c r="G3" s="46">
        <f>SUM(G6:G19)</f>
        <v>58</v>
      </c>
      <c r="H3" s="107">
        <f>Cliente!L2</f>
        <v>63.814401408450657</v>
      </c>
      <c r="I3" s="46">
        <f>SUM(I6:I19)</f>
        <v>71</v>
      </c>
      <c r="J3" s="46">
        <f>SUM(J6:J19)</f>
        <v>67</v>
      </c>
      <c r="K3" s="107">
        <f>Cliente!S2</f>
        <v>61.701529850746233</v>
      </c>
      <c r="L3" s="46">
        <f>SUM(L6:L19)</f>
        <v>71</v>
      </c>
      <c r="M3" s="46">
        <f>SUM(M6:M19)</f>
        <v>65</v>
      </c>
      <c r="N3" s="107">
        <f>Cliente!Y2</f>
        <v>65.592300000000037</v>
      </c>
      <c r="O3" s="46">
        <f>SUM(O6:O19)</f>
        <v>71</v>
      </c>
      <c r="P3" s="46">
        <f>SUM(P6:P19)</f>
        <v>68</v>
      </c>
      <c r="Q3" s="107">
        <f>Cliente!AE2</f>
        <v>75.672450980392199</v>
      </c>
      <c r="R3" s="46">
        <f>SUM(R6:R19)</f>
        <v>71</v>
      </c>
      <c r="S3" s="46">
        <f>SUM(S6:S19)</f>
        <v>47</v>
      </c>
      <c r="T3" s="104">
        <f>Cliente!AG2</f>
        <v>52.335566037735852</v>
      </c>
      <c r="U3" s="46">
        <f>SUM(U6:U19)</f>
        <v>71</v>
      </c>
      <c r="V3" s="46">
        <f>SUM(V6:V19)</f>
        <v>58</v>
      </c>
      <c r="W3" s="104">
        <f>Cliente!AN2</f>
        <v>62.570853658536578</v>
      </c>
      <c r="X3" s="46">
        <f>SUM(X6:X19)</f>
        <v>71</v>
      </c>
      <c r="Y3" s="46">
        <f>SUM(Y6:Y19)</f>
        <v>59</v>
      </c>
      <c r="Z3" s="104">
        <f>Cliente!AU2</f>
        <v>60.757738095238089</v>
      </c>
      <c r="AA3" s="46">
        <f>SUM(AA6:AA19)</f>
        <v>71</v>
      </c>
      <c r="AB3" s="46">
        <f>SUM(AB6:AB19)</f>
        <v>63</v>
      </c>
      <c r="AC3" s="104">
        <f>Cliente!BB2</f>
        <v>69.654891304347842</v>
      </c>
      <c r="AD3" s="46">
        <f>SUM(AD6:AD19)</f>
        <v>71</v>
      </c>
      <c r="AE3" s="46">
        <f>SUM(AE6:AE19)</f>
        <v>50</v>
      </c>
      <c r="AF3" s="104">
        <f>Cliente!BF2</f>
        <v>42</v>
      </c>
      <c r="AG3" s="46">
        <f>SUM(AG6:AG19)</f>
        <v>71</v>
      </c>
      <c r="AH3" s="46">
        <f>SUM(AH6:AH19)</f>
        <v>63</v>
      </c>
      <c r="AI3" s="104">
        <f>Cliente!BL2</f>
        <v>72.09253968253968</v>
      </c>
      <c r="AJ3" s="46">
        <f>SUM(AJ6:AJ19)</f>
        <v>71</v>
      </c>
      <c r="AK3" s="46">
        <f>SUM(AK6:AK19)</f>
        <v>58</v>
      </c>
      <c r="AL3" s="104">
        <f>Cliente!BS2</f>
        <v>84.198103448275845</v>
      </c>
      <c r="AM3" s="46">
        <f>SUM(AM6:AM19)</f>
        <v>71</v>
      </c>
      <c r="AN3" s="46">
        <f>SUM(AN6:AN19)</f>
        <v>58</v>
      </c>
      <c r="AO3" s="104">
        <f>Cliente!BZ2</f>
        <v>87.092672413793068</v>
      </c>
      <c r="AP3" s="46">
        <f>SUM(AP6:AP19)</f>
        <v>71</v>
      </c>
      <c r="AQ3" s="46">
        <f>SUM(AQ6:AQ19)</f>
        <v>30</v>
      </c>
      <c r="AR3" s="104">
        <f>Cliente!CB2</f>
        <v>89.55548352371801</v>
      </c>
      <c r="AS3" s="46">
        <f>SUM(AS6:AS19)</f>
        <v>71</v>
      </c>
      <c r="AT3" s="46">
        <f>SUM(AT6:AT19)</f>
        <v>58</v>
      </c>
      <c r="AU3" s="104">
        <f>Cliente!CL2</f>
        <v>88.177758620689644</v>
      </c>
      <c r="AV3" s="46">
        <f>SUM(AV6:AV19)</f>
        <v>71</v>
      </c>
      <c r="AW3" s="46">
        <f>SUM(AW6:AW19)</f>
        <v>57</v>
      </c>
      <c r="AX3" s="104">
        <f>Cliente!CU2</f>
        <v>90.117368421052603</v>
      </c>
      <c r="AY3" s="46">
        <f>SUM(AY6:AY19)</f>
        <v>71</v>
      </c>
      <c r="AZ3" s="46">
        <f>SUM(AZ6:AZ19)</f>
        <v>34</v>
      </c>
      <c r="BA3" s="104">
        <f>Cliente!DD2</f>
        <v>90.371323529411768</v>
      </c>
    </row>
    <row r="4" spans="2:53" ht="24" customHeight="1" thickBot="1" x14ac:dyDescent="0.4">
      <c r="E4" s="13"/>
      <c r="F4" s="49" t="s">
        <v>411</v>
      </c>
      <c r="G4" s="61"/>
      <c r="H4" s="50"/>
      <c r="I4" s="54" t="s">
        <v>412</v>
      </c>
      <c r="J4" s="65"/>
      <c r="K4" s="55"/>
      <c r="L4" s="54" t="s">
        <v>413</v>
      </c>
      <c r="M4" s="65"/>
      <c r="N4" s="55"/>
      <c r="O4" s="54" t="s">
        <v>414</v>
      </c>
      <c r="P4" s="65"/>
      <c r="Q4" s="55"/>
      <c r="R4" s="49" t="s">
        <v>418</v>
      </c>
      <c r="S4" s="61"/>
      <c r="T4" s="50"/>
      <c r="U4" s="54" t="s">
        <v>415</v>
      </c>
      <c r="V4" s="65"/>
      <c r="W4" s="55"/>
      <c r="X4" s="54" t="s">
        <v>416</v>
      </c>
      <c r="Y4" s="65"/>
      <c r="Z4" s="55"/>
      <c r="AA4" s="54" t="s">
        <v>417</v>
      </c>
      <c r="AB4" s="65"/>
      <c r="AC4" s="55"/>
      <c r="AD4" s="49" t="s">
        <v>419</v>
      </c>
      <c r="AE4" s="61"/>
      <c r="AF4" s="50"/>
      <c r="AG4" s="54" t="s">
        <v>420</v>
      </c>
      <c r="AH4" s="65"/>
      <c r="AI4" s="55"/>
      <c r="AJ4" s="54" t="s">
        <v>421</v>
      </c>
      <c r="AK4" s="65"/>
      <c r="AL4" s="55"/>
      <c r="AM4" s="54" t="s">
        <v>422</v>
      </c>
      <c r="AN4" s="65"/>
      <c r="AO4" s="55"/>
      <c r="AP4" s="49" t="s">
        <v>441</v>
      </c>
      <c r="AQ4" s="61"/>
      <c r="AR4" s="50"/>
      <c r="AS4" s="54" t="s">
        <v>424</v>
      </c>
      <c r="AT4" s="65"/>
      <c r="AU4" s="55"/>
      <c r="AV4" s="54" t="s">
        <v>425</v>
      </c>
      <c r="AW4" s="65"/>
      <c r="AX4" s="55"/>
      <c r="AY4" s="54" t="s">
        <v>426</v>
      </c>
      <c r="AZ4" s="65"/>
      <c r="BA4" s="55"/>
    </row>
    <row r="5" spans="2:53" s="40" customFormat="1" ht="33" customHeight="1" x14ac:dyDescent="0.35">
      <c r="B5" s="31" t="s">
        <v>0</v>
      </c>
      <c r="C5" s="32" t="s">
        <v>1</v>
      </c>
      <c r="D5" s="32" t="s">
        <v>2</v>
      </c>
      <c r="E5" s="33" t="s">
        <v>13</v>
      </c>
      <c r="F5" s="51" t="s">
        <v>108</v>
      </c>
      <c r="G5" s="62" t="s">
        <v>124</v>
      </c>
      <c r="H5" s="36" t="s">
        <v>122</v>
      </c>
      <c r="I5" s="35" t="s">
        <v>108</v>
      </c>
      <c r="J5" s="66" t="s">
        <v>123</v>
      </c>
      <c r="K5" s="38" t="s">
        <v>122</v>
      </c>
      <c r="L5" s="35" t="s">
        <v>108</v>
      </c>
      <c r="M5" s="66" t="s">
        <v>123</v>
      </c>
      <c r="N5" s="38" t="s">
        <v>122</v>
      </c>
      <c r="O5" s="35" t="s">
        <v>108</v>
      </c>
      <c r="P5" s="66" t="s">
        <v>123</v>
      </c>
      <c r="Q5" s="38" t="s">
        <v>122</v>
      </c>
      <c r="R5" s="51" t="s">
        <v>108</v>
      </c>
      <c r="S5" s="62" t="s">
        <v>124</v>
      </c>
      <c r="T5" s="36" t="s">
        <v>122</v>
      </c>
      <c r="U5" s="35" t="s">
        <v>108</v>
      </c>
      <c r="V5" s="66" t="s">
        <v>123</v>
      </c>
      <c r="W5" s="38" t="s">
        <v>122</v>
      </c>
      <c r="X5" s="35" t="s">
        <v>108</v>
      </c>
      <c r="Y5" s="66" t="s">
        <v>123</v>
      </c>
      <c r="Z5" s="38" t="s">
        <v>122</v>
      </c>
      <c r="AA5" s="35" t="s">
        <v>108</v>
      </c>
      <c r="AB5" s="66" t="s">
        <v>123</v>
      </c>
      <c r="AC5" s="38" t="s">
        <v>122</v>
      </c>
      <c r="AD5" s="51" t="s">
        <v>108</v>
      </c>
      <c r="AE5" s="62" t="s">
        <v>124</v>
      </c>
      <c r="AF5" s="36" t="s">
        <v>122</v>
      </c>
      <c r="AG5" s="35" t="s">
        <v>108</v>
      </c>
      <c r="AH5" s="66" t="s">
        <v>123</v>
      </c>
      <c r="AI5" s="38" t="s">
        <v>122</v>
      </c>
      <c r="AJ5" s="35" t="s">
        <v>108</v>
      </c>
      <c r="AK5" s="66" t="s">
        <v>123</v>
      </c>
      <c r="AL5" s="38" t="s">
        <v>122</v>
      </c>
      <c r="AM5" s="35" t="s">
        <v>108</v>
      </c>
      <c r="AN5" s="66" t="s">
        <v>123</v>
      </c>
      <c r="AO5" s="38" t="s">
        <v>122</v>
      </c>
      <c r="AP5" s="51" t="s">
        <v>108</v>
      </c>
      <c r="AQ5" s="62" t="s">
        <v>124</v>
      </c>
      <c r="AR5" s="36" t="s">
        <v>122</v>
      </c>
      <c r="AS5" s="35" t="s">
        <v>108</v>
      </c>
      <c r="AT5" s="66" t="s">
        <v>123</v>
      </c>
      <c r="AU5" s="38" t="s">
        <v>122</v>
      </c>
      <c r="AV5" s="35" t="s">
        <v>108</v>
      </c>
      <c r="AW5" s="66" t="s">
        <v>123</v>
      </c>
      <c r="AX5" s="38" t="s">
        <v>122</v>
      </c>
      <c r="AY5" s="35" t="s">
        <v>108</v>
      </c>
      <c r="AZ5" s="66" t="s">
        <v>123</v>
      </c>
      <c r="BA5" s="38" t="s">
        <v>122</v>
      </c>
    </row>
    <row r="6" spans="2:53" x14ac:dyDescent="0.35">
      <c r="B6" s="23" t="s">
        <v>427</v>
      </c>
      <c r="C6" s="21">
        <v>771</v>
      </c>
      <c r="D6" s="21" t="s">
        <v>428</v>
      </c>
      <c r="E6" s="34" t="s">
        <v>83</v>
      </c>
      <c r="F6" s="52">
        <f>COUNTIF(Cliente!$K:$K,Rede!$E6)</f>
        <v>3</v>
      </c>
      <c r="G6" s="63">
        <f>SUMIF(Cliente!$K:$K,Rede!$E6,Cliente!$M:$M)</f>
        <v>3</v>
      </c>
      <c r="H6" s="142">
        <f>IFERROR(AVERAGE(K6,N6,Q6),"")</f>
        <v>50.060277777777777</v>
      </c>
      <c r="I6" s="52">
        <f>COUNTIF(Cliente!$K:$K,Rede!$E6)</f>
        <v>3</v>
      </c>
      <c r="J6" s="63">
        <f>COUNTIFS(Cliente!$K:$K,Rede!$E6,Cliente!$S:$S,"&gt;=0,01")</f>
        <v>3</v>
      </c>
      <c r="K6" s="142">
        <f>IFERROR(AVERAGEIFS(Cliente!$S:$S,Cliente!$K:$K,Rede!$E6,Cliente!$S:$S,"&gt;0"),0)</f>
        <v>32.814166666666665</v>
      </c>
      <c r="L6" s="52">
        <f>COUNTIF(Cliente!$K:$K,Rede!$E6)</f>
        <v>3</v>
      </c>
      <c r="M6" s="63">
        <f>COUNTIFS(Cliente!$K:$K,Rede!$E6,Cliente!$Y:$Y,"&gt;=0,01")</f>
        <v>3</v>
      </c>
      <c r="N6" s="142">
        <f>IFERROR(AVERAGEIFS(Cliente!$Y:$Y,Cliente!$K:$K,Rede!$E6,Cliente!$Y:$Y,"&gt;0"),0)</f>
        <v>46.044999999999995</v>
      </c>
      <c r="O6" s="52">
        <f>COUNTIF(Cliente!$K:$K,Rede!$E6)</f>
        <v>3</v>
      </c>
      <c r="P6" s="63">
        <f>COUNTIFS(Cliente!$K:$K,Rede!$E6,Cliente!$AE:$AE,"&gt;=0,01")</f>
        <v>3</v>
      </c>
      <c r="Q6" s="142">
        <f>IFERROR(AVERAGEIFS(Cliente!$AE:$AE,Cliente!$K:$K,Rede!$E6,Cliente!$AE:$AE,"&gt;0"),0)</f>
        <v>71.321666666666673</v>
      </c>
      <c r="R6" s="52">
        <f>COUNTIF(Cliente!$K:$K,Rede!$E6)</f>
        <v>3</v>
      </c>
      <c r="S6" s="63">
        <f>SUMIF(Cliente!$K:$K,Rede!$E6,Cliente!$AH:$AH)</f>
        <v>0</v>
      </c>
      <c r="T6" s="105">
        <f>IFERROR(AVERAGE(W6,Z6,AC6),"")</f>
        <v>19.734166666666667</v>
      </c>
      <c r="U6" s="52">
        <f>COUNTIF(Cliente!$K:$K,Rede!$E6)</f>
        <v>3</v>
      </c>
      <c r="V6" s="63">
        <f>COUNTIFS(Cliente!$K:$K,Rede!$E6,Cliente!$AN:$AN,"&gt;=0,01")</f>
        <v>2</v>
      </c>
      <c r="W6" s="105">
        <f>IFERROR(AVERAGEIFS(Cliente!$AN:$AN,Cliente!$K:$K,Rede!$E6,Cliente!AN:AN,"&gt;0"),0)</f>
        <v>59.202500000000001</v>
      </c>
      <c r="X6" s="52">
        <f>COUNTIF(Cliente!$K:$K,Rede!$E6)</f>
        <v>3</v>
      </c>
      <c r="Y6" s="63">
        <f>COUNTIFS(Cliente!$K:$K,Rede!$E6,Cliente!$AU:$AU,"&gt;=0,01")</f>
        <v>0</v>
      </c>
      <c r="Z6" s="105">
        <f>IFERROR(AVERAGEIFS(Cliente!$AU:$AU,Cliente!$K:$K,Rede!$E6,Cliente!$AU:$AU,"&gt;0"),0)</f>
        <v>0</v>
      </c>
      <c r="AA6" s="52">
        <f>COUNTIF(Cliente!$K:$K,Rede!$E6)</f>
        <v>3</v>
      </c>
      <c r="AB6" s="63">
        <f>COUNTIFS(Cliente!$K:$K,Rede!$E6,Cliente!$BB:$BB,"&gt;=0,01")</f>
        <v>0</v>
      </c>
      <c r="AC6" s="105">
        <f>IFERROR(AVERAGEIFS(Cliente!$BB:$BB,Cliente!$K:$K,Rede!$E6,Cliente!$BB:$BB,"&gt;0"),0)</f>
        <v>0</v>
      </c>
      <c r="AD6" s="52">
        <f>COUNTIF(Cliente!$K:$K,Rede!$E6)</f>
        <v>3</v>
      </c>
      <c r="AE6" s="63">
        <f>SUMIF(Cliente!$K:$K,Rede!$E6,Cliente!$BE:$BE)</f>
        <v>1</v>
      </c>
      <c r="AF6" s="105">
        <f>IFERROR(AVERAGE(AI6,AL6,AO6),"")</f>
        <v>78.904166666666669</v>
      </c>
      <c r="AG6" s="52">
        <f>COUNTIF(Cliente!$K:$K,Rede!$E6)</f>
        <v>3</v>
      </c>
      <c r="AH6" s="63">
        <f>COUNTIFS(Cliente!$K:$K,Rede!$E6,Cliente!$BL:$BL,"&gt;=0,01")</f>
        <v>2</v>
      </c>
      <c r="AI6" s="105">
        <f>IFERROR(AVERAGEIFS(Cliente!$BL:$BL,Cliente!$K:$K,Rede!$E6,Cliente!$BL:$BL,"&gt;0"),0)</f>
        <v>71.712500000000006</v>
      </c>
      <c r="AJ6" s="52">
        <f>COUNTIF(Cliente!$K:$K,Rede!$E6)</f>
        <v>3</v>
      </c>
      <c r="AK6" s="63">
        <f>COUNTIFS(Cliente!$K:$K,Rede!$E6,Cliente!$BS:$BS,"&gt;=0,01")</f>
        <v>2</v>
      </c>
      <c r="AL6" s="105">
        <f>IFERROR(AVERAGEIFS(Cliente!$BS:$BS,Cliente!$K:$K,Rede!$E6,Cliente!$BS:$BS,"&gt;0"),0)</f>
        <v>79.400000000000006</v>
      </c>
      <c r="AM6" s="52">
        <f>COUNTIF(Cliente!$K:$K,Rede!$E6)</f>
        <v>3</v>
      </c>
      <c r="AN6" s="63">
        <f>COUNTIFS(Cliente!$K:$K,Rede!$E6,Cliente!$BZ:$BZ,"&gt;=0,01")</f>
        <v>1</v>
      </c>
      <c r="AO6" s="105">
        <f>IFERROR(AVERAGEIFS(Cliente!$BZ:$BZ,Cliente!$K:$K,Rede!$E6,Cliente!$BZ:$BZ,"&gt;0"),0)</f>
        <v>85.6</v>
      </c>
      <c r="AP6" s="52">
        <f>COUNTIF(Cliente!$K:$K,Rede!$E6)</f>
        <v>3</v>
      </c>
      <c r="AQ6" s="63">
        <f>SUMIF(Cliente!$K:$K,Rede!$E6,Cliente!$CC:$CC)</f>
        <v>0</v>
      </c>
      <c r="AR6" s="105">
        <f>IFERROR(AVERAGE(AU6,AX6,BA6),"")</f>
        <v>25.95</v>
      </c>
      <c r="AS6" s="52">
        <f>COUNTIF(Cliente!$K:$K,Rede!$E6)</f>
        <v>3</v>
      </c>
      <c r="AT6" s="63">
        <f>COUNTIFS(Cliente!$K:$K,Rede!$E6,Cliente!$CL:$CL,"&gt;=0,01")</f>
        <v>0</v>
      </c>
      <c r="AU6" s="105">
        <f>IFERROR(AVERAGEIFS(Cliente!$CL:$CL,Cliente!$K:$K,Rede!$E6,Cliente!$CL:$CL,"&gt;0"),0)</f>
        <v>0</v>
      </c>
      <c r="AV6" s="52">
        <f>COUNTIF(Cliente!$K:$K,Rede!$E6)</f>
        <v>3</v>
      </c>
      <c r="AW6" s="63">
        <f>COUNTIFS(Cliente!$K:$K,Rede!$E6,Cliente!$CU:$CU,"&gt;=0,01")</f>
        <v>0</v>
      </c>
      <c r="AX6" s="105">
        <f>IFERROR(AVERAGEIFS(Cliente!$CU:$CU,Cliente!$K:$K,Rede!$E6,Cliente!$CU:$CU,"&gt;0"),0)</f>
        <v>0</v>
      </c>
      <c r="AY6" s="52">
        <f>COUNTIF(Cliente!$K:$K,Rede!$E6)</f>
        <v>3</v>
      </c>
      <c r="AZ6" s="63">
        <f>COUNTIFS(Cliente!$K:$K,Rede!$E6,Cliente!$DD:$DD,"&gt;=0,01")</f>
        <v>1</v>
      </c>
      <c r="BA6" s="105">
        <f>IFERROR(AVERAGEIFS(Cliente!$DD:$DD,Cliente!$K:$K,Rede!$E6,Cliente!$DD:$DD,"&gt;0"),0)</f>
        <v>77.849999999999994</v>
      </c>
    </row>
    <row r="7" spans="2:53" x14ac:dyDescent="0.35">
      <c r="B7" s="23" t="s">
        <v>427</v>
      </c>
      <c r="C7" s="21">
        <v>3919</v>
      </c>
      <c r="D7" s="21" t="s">
        <v>429</v>
      </c>
      <c r="E7" s="34" t="s">
        <v>156</v>
      </c>
      <c r="F7" s="52">
        <f>COUNTIF(Cliente!$K:$K,Rede!$E7)</f>
        <v>6</v>
      </c>
      <c r="G7" s="63">
        <f>SUMIF(Cliente!$K:$K,Rede!$E7,Cliente!$M:$M)</f>
        <v>4</v>
      </c>
      <c r="H7" s="142">
        <f>IFERROR(AVERAGE(K7,N7,Q7),"")</f>
        <v>63.866999999999997</v>
      </c>
      <c r="I7" s="52">
        <f>COUNTIF(Cliente!$K:$K,Rede!$E7)</f>
        <v>6</v>
      </c>
      <c r="J7" s="63">
        <f>COUNTIFS(Cliente!$K:$K,Rede!$E7,Cliente!$S:$S,"&gt;=0,01")</f>
        <v>5</v>
      </c>
      <c r="K7" s="142">
        <f>IFERROR(AVERAGEIFS(Cliente!$S:$S,Cliente!$K:$K,Rede!$E7,Cliente!$S:$S,"&gt;0"),0)</f>
        <v>58.722499999999989</v>
      </c>
      <c r="L7" s="52">
        <f>COUNTIF(Cliente!$K:$K,Rede!$E7)</f>
        <v>6</v>
      </c>
      <c r="M7" s="63">
        <f>COUNTIFS(Cliente!$K:$K,Rede!$E7,Cliente!$Y:$Y,"&gt;=0,01")</f>
        <v>5</v>
      </c>
      <c r="N7" s="142">
        <f>IFERROR(AVERAGEIFS(Cliente!$Y:$Y,Cliente!$K:$K,Rede!$E7,Cliente!$Y:$Y,"&gt;0"),0)</f>
        <v>57.411000000000016</v>
      </c>
      <c r="O7" s="52">
        <f>COUNTIF(Cliente!$K:$K,Rede!$E7)</f>
        <v>6</v>
      </c>
      <c r="P7" s="63">
        <f>COUNTIFS(Cliente!$K:$K,Rede!$E7,Cliente!$AE:$AE,"&gt;=0,01")</f>
        <v>6</v>
      </c>
      <c r="Q7" s="142">
        <f>IFERROR(AVERAGEIFS(Cliente!$AE:$AE,Cliente!$K:$K,Rede!$E7,Cliente!$AE:$AE,"&gt;0"),0)</f>
        <v>75.467500000000015</v>
      </c>
      <c r="R7" s="52">
        <f>COUNTIF(Cliente!$K:$K,Rede!$E7)</f>
        <v>6</v>
      </c>
      <c r="S7" s="63">
        <f>SUMIF(Cliente!$K:$K,Rede!$E7,Cliente!$AH:$AH)</f>
        <v>4</v>
      </c>
      <c r="T7" s="105">
        <f>IFERROR(AVERAGE(W7,Z7,AC7),"")</f>
        <v>64.332666666666668</v>
      </c>
      <c r="U7" s="52">
        <f>COUNTIF(Cliente!$K:$K,Rede!$E7)</f>
        <v>6</v>
      </c>
      <c r="V7" s="63">
        <f>COUNTIFS(Cliente!$K:$K,Rede!$E7,Cliente!$AN:$AN,"&gt;=0,01")</f>
        <v>5</v>
      </c>
      <c r="W7" s="105">
        <f>IFERROR(AVERAGEIFS(Cliente!$AN:$AN,Cliente!$K:$K,Rede!$E7,Cliente!AN:AN,"&gt;0"),0)</f>
        <v>57.095000000000006</v>
      </c>
      <c r="X7" s="52">
        <f>COUNTIF(Cliente!$K:$K,Rede!$E7)</f>
        <v>6</v>
      </c>
      <c r="Y7" s="63">
        <f>COUNTIFS(Cliente!$K:$K,Rede!$E7,Cliente!$AU:$AU,"&gt;=0,01")</f>
        <v>5</v>
      </c>
      <c r="Z7" s="105">
        <f>IFERROR(AVERAGEIFS(Cliente!$AU:$AU,Cliente!$K:$K,Rede!$E7,Cliente!$AU:$AU,"&gt;0"),0)</f>
        <v>65.596000000000004</v>
      </c>
      <c r="AA7" s="52">
        <f>COUNTIF(Cliente!$K:$K,Rede!$E7)</f>
        <v>6</v>
      </c>
      <c r="AB7" s="63">
        <f>COUNTIFS(Cliente!$K:$K,Rede!$E7,Cliente!$BB:$BB,"&gt;=0,01")</f>
        <v>5</v>
      </c>
      <c r="AC7" s="105">
        <f>IFERROR(AVERAGEIFS(Cliente!$BB:$BB,Cliente!$K:$K,Rede!$E7,Cliente!$BB:$BB,"&gt;0"),0)</f>
        <v>70.306999999999988</v>
      </c>
      <c r="AD7" s="52">
        <f>COUNTIF(Cliente!$K:$K,Rede!$E7)</f>
        <v>6</v>
      </c>
      <c r="AE7" s="63">
        <f>SUMIF(Cliente!$K:$K,Rede!$E7,Cliente!$BE:$BE)</f>
        <v>6</v>
      </c>
      <c r="AF7" s="105">
        <f t="shared" ref="AF7:AF19" si="0">IFERROR(AVERAGE(AI7,AL7,AO7),"")</f>
        <v>76.642499999999998</v>
      </c>
      <c r="AG7" s="52">
        <f>COUNTIF(Cliente!$K:$K,Rede!$E7)</f>
        <v>6</v>
      </c>
      <c r="AH7" s="63">
        <f>COUNTIFS(Cliente!$K:$K,Rede!$E7,Cliente!$BL:$BL,"&gt;=0,01")</f>
        <v>6</v>
      </c>
      <c r="AI7" s="105">
        <f>IFERROR(AVERAGEIFS(Cliente!$BL:$BL,Cliente!$K:$K,Rede!$E7,Cliente!$BL:$BL,"&gt;0"),0)</f>
        <v>72.395833333333329</v>
      </c>
      <c r="AJ7" s="52">
        <f>COUNTIF(Cliente!$K:$K,Rede!$E7)</f>
        <v>6</v>
      </c>
      <c r="AK7" s="63">
        <f>COUNTIFS(Cliente!$K:$K,Rede!$E7,Cliente!$BS:$BS,"&gt;=0,01")</f>
        <v>6</v>
      </c>
      <c r="AL7" s="105">
        <f>IFERROR(AVERAGEIFS(Cliente!$BS:$BS,Cliente!$K:$K,Rede!$E7,Cliente!$BS:$BS,"&gt;0"),0)</f>
        <v>79.962499999999991</v>
      </c>
      <c r="AM7" s="52">
        <f>COUNTIF(Cliente!$K:$K,Rede!$E7)</f>
        <v>6</v>
      </c>
      <c r="AN7" s="63">
        <f>COUNTIFS(Cliente!$K:$K,Rede!$E7,Cliente!$BZ:$BZ,"&gt;=0,01")</f>
        <v>6</v>
      </c>
      <c r="AO7" s="105">
        <f>IFERROR(AVERAGEIFS(Cliente!$BZ:$BZ,Cliente!$K:$K,Rede!$E7,Cliente!$BZ:$BZ,"&gt;0"),0)</f>
        <v>77.569166666666675</v>
      </c>
      <c r="AP7" s="52">
        <f>COUNTIF(Cliente!$K:$K,Rede!$E7)</f>
        <v>6</v>
      </c>
      <c r="AQ7" s="63">
        <f>SUMIF(Cliente!$K:$K,Rede!$E7,Cliente!$CC:$CC)</f>
        <v>4</v>
      </c>
      <c r="AR7" s="105">
        <f t="shared" ref="AR7:AR19" si="1">IFERROR(AVERAGE(AU7,AX7,BA7),"")</f>
        <v>82.718888888888884</v>
      </c>
      <c r="AS7" s="52">
        <f>COUNTIF(Cliente!$K:$K,Rede!$E7)</f>
        <v>6</v>
      </c>
      <c r="AT7" s="63">
        <f>COUNTIFS(Cliente!$K:$K,Rede!$E7,Cliente!$CL:$CL,"&gt;=0,01")</f>
        <v>6</v>
      </c>
      <c r="AU7" s="105">
        <f>IFERROR(AVERAGEIFS(Cliente!$CL:$CL,Cliente!$K:$K,Rede!$E7,Cliente!$CL:$CL,"&gt;0"),0)</f>
        <v>79.106666666666669</v>
      </c>
      <c r="AV7" s="52">
        <f>COUNTIF(Cliente!$K:$K,Rede!$E7)</f>
        <v>6</v>
      </c>
      <c r="AW7" s="63">
        <f>COUNTIFS(Cliente!$K:$K,Rede!$E7,Cliente!$CU:$CU,"&gt;=0,01")</f>
        <v>6</v>
      </c>
      <c r="AX7" s="105">
        <f>IFERROR(AVERAGEIFS(Cliente!$CU:$CU,Cliente!$K:$K,Rede!$E7,Cliente!$CU:$CU,"&gt;0"),0)</f>
        <v>87.325000000000003</v>
      </c>
      <c r="AY7" s="52">
        <f>COUNTIF(Cliente!$K:$K,Rede!$E7)</f>
        <v>6</v>
      </c>
      <c r="AZ7" s="63">
        <f>COUNTIFS(Cliente!$K:$K,Rede!$E7,Cliente!$DD:$DD,"&gt;=0,01")</f>
        <v>4</v>
      </c>
      <c r="BA7" s="105">
        <f>IFERROR(AVERAGEIFS(Cliente!$DD:$DD,Cliente!$K:$K,Rede!$E7,Cliente!$DD:$DD,"&gt;0"),0)</f>
        <v>81.724999999999994</v>
      </c>
    </row>
    <row r="8" spans="2:53" x14ac:dyDescent="0.35">
      <c r="B8" s="23" t="s">
        <v>427</v>
      </c>
      <c r="C8" s="21">
        <v>3919</v>
      </c>
      <c r="D8" s="21" t="s">
        <v>429</v>
      </c>
      <c r="E8" s="34" t="s">
        <v>51</v>
      </c>
      <c r="F8" s="52">
        <f>COUNTIF(Cliente!$K:$K,Rede!$E8)</f>
        <v>10</v>
      </c>
      <c r="G8" s="63">
        <f>SUMIF(Cliente!$K:$K,Rede!$E8,Cliente!$M:$M)</f>
        <v>7</v>
      </c>
      <c r="H8" s="142">
        <f t="shared" ref="H8:H18" si="2">IFERROR(AVERAGE(K8,N8,Q8),"")</f>
        <v>66.686560185185201</v>
      </c>
      <c r="I8" s="52">
        <f>COUNTIF(Cliente!$K:$K,Rede!$E8)</f>
        <v>10</v>
      </c>
      <c r="J8" s="63">
        <f>COUNTIFS(Cliente!$K:$K,Rede!$E8,Cliente!$S:$S,"&gt;=0,01")</f>
        <v>9</v>
      </c>
      <c r="K8" s="142">
        <f>IFERROR(AVERAGEIFS(Cliente!$S:$S,Cliente!$K:$K,Rede!$E8,Cliente!$S:$S,"&gt;0"),0)</f>
        <v>52.750555555555557</v>
      </c>
      <c r="L8" s="52">
        <f>COUNTIF(Cliente!$K:$K,Rede!$E8)</f>
        <v>10</v>
      </c>
      <c r="M8" s="63">
        <f>COUNTIFS(Cliente!$K:$K,Rede!$E8,Cliente!$Y:$Y,"&gt;=0,01")</f>
        <v>10</v>
      </c>
      <c r="N8" s="142">
        <f>IFERROR(AVERAGEIFS(Cliente!$Y:$Y,Cliente!$K:$K,Rede!$E8,Cliente!$Y:$Y,"&gt;0"),0)</f>
        <v>68.667249999999996</v>
      </c>
      <c r="O8" s="52">
        <f>COUNTIF(Cliente!$K:$K,Rede!$E8)</f>
        <v>10</v>
      </c>
      <c r="P8" s="63">
        <f>COUNTIFS(Cliente!$K:$K,Rede!$E8,Cliente!$AE:$AE,"&gt;=0,01")</f>
        <v>8</v>
      </c>
      <c r="Q8" s="142">
        <f>IFERROR(AVERAGEIFS(Cliente!$AE:$AE,Cliente!$K:$K,Rede!$E8,Cliente!$AE:$AE,"&gt;0"),0)</f>
        <v>78.641875000000013</v>
      </c>
      <c r="R8" s="52">
        <f>COUNTIF(Cliente!$K:$K,Rede!$E8)</f>
        <v>10</v>
      </c>
      <c r="S8" s="63">
        <f>SUMIF(Cliente!$K:$K,Rede!$E8,Cliente!$AH:$AH)</f>
        <v>5</v>
      </c>
      <c r="T8" s="105">
        <f t="shared" ref="T8:T18" si="3">IFERROR(AVERAGE(W8,Z8,AC8),"")</f>
        <v>62.234023809523819</v>
      </c>
      <c r="U8" s="52">
        <f>COUNTIF(Cliente!$K:$K,Rede!$E8)</f>
        <v>10</v>
      </c>
      <c r="V8" s="63">
        <f>COUNTIFS(Cliente!$K:$K,Rede!$E8,Cliente!$AN:$AN,"&gt;=0,01")</f>
        <v>7</v>
      </c>
      <c r="W8" s="105">
        <f>IFERROR(AVERAGEIFS(Cliente!$AN:$AN,Cliente!$K:$K,Rede!$E8,Cliente!AN:AN,"&gt;0"),0)</f>
        <v>66.650000000000006</v>
      </c>
      <c r="X8" s="52">
        <f>COUNTIF(Cliente!$K:$K,Rede!$E8)</f>
        <v>10</v>
      </c>
      <c r="Y8" s="63">
        <f>COUNTIFS(Cliente!$K:$K,Rede!$E8,Cliente!$AU:$AU,"&gt;=0,01")</f>
        <v>7</v>
      </c>
      <c r="Z8" s="105">
        <f>IFERROR(AVERAGEIFS(Cliente!$AU:$AU,Cliente!$K:$K,Rede!$E8,Cliente!$AU:$AU,"&gt;0"),0)</f>
        <v>61.813571428571429</v>
      </c>
      <c r="AA8" s="52">
        <f>COUNTIF(Cliente!$K:$K,Rede!$E8)</f>
        <v>10</v>
      </c>
      <c r="AB8" s="63">
        <f>COUNTIFS(Cliente!$K:$K,Rede!$E8,Cliente!$BB:$BB,"&gt;=0,01")</f>
        <v>10</v>
      </c>
      <c r="AC8" s="105">
        <f>IFERROR(AVERAGEIFS(Cliente!$BB:$BB,Cliente!$K:$K,Rede!$E8,Cliente!$BB:$BB,"&gt;0"),0)</f>
        <v>58.238500000000002</v>
      </c>
      <c r="AD8" s="52">
        <f>COUNTIF(Cliente!$K:$K,Rede!$E8)</f>
        <v>10</v>
      </c>
      <c r="AE8" s="63">
        <f>SUMIF(Cliente!$K:$K,Rede!$E8,Cliente!$BE:$BE)</f>
        <v>7</v>
      </c>
      <c r="AF8" s="105">
        <f t="shared" si="0"/>
        <v>82.429999999999993</v>
      </c>
      <c r="AG8" s="52">
        <f>COUNTIF(Cliente!$K:$K,Rede!$E8)</f>
        <v>10</v>
      </c>
      <c r="AH8" s="63">
        <f>COUNTIFS(Cliente!$K:$K,Rede!$E8,Cliente!$BL:$BL,"&gt;=0,01")</f>
        <v>10</v>
      </c>
      <c r="AI8" s="105">
        <f>IFERROR(AVERAGEIFS(Cliente!$BL:$BL,Cliente!$K:$K,Rede!$E8,Cliente!$BL:$BL,"&gt;0"),0)</f>
        <v>75.947500000000005</v>
      </c>
      <c r="AJ8" s="52">
        <f>COUNTIF(Cliente!$K:$K,Rede!$E8)</f>
        <v>10</v>
      </c>
      <c r="AK8" s="63">
        <f>COUNTIFS(Cliente!$K:$K,Rede!$E8,Cliente!$BS:$BS,"&gt;=0,01")</f>
        <v>10</v>
      </c>
      <c r="AL8" s="105">
        <f>IFERROR(AVERAGEIFS(Cliente!$BS:$BS,Cliente!$K:$K,Rede!$E8,Cliente!$BS:$BS,"&gt;0"),0)</f>
        <v>86.442499999999981</v>
      </c>
      <c r="AM8" s="52">
        <f>COUNTIF(Cliente!$K:$K,Rede!$E8)</f>
        <v>10</v>
      </c>
      <c r="AN8" s="63">
        <f>COUNTIFS(Cliente!$K:$K,Rede!$E8,Cliente!$BZ:$BZ,"&gt;=0,01")</f>
        <v>10</v>
      </c>
      <c r="AO8" s="105">
        <f>IFERROR(AVERAGEIFS(Cliente!$BZ:$BZ,Cliente!$K:$K,Rede!$E8,Cliente!$BZ:$BZ,"&gt;0"),0)</f>
        <v>84.899999999999991</v>
      </c>
      <c r="AP8" s="52">
        <f>COUNTIF(Cliente!$K:$K,Rede!$E8)</f>
        <v>10</v>
      </c>
      <c r="AQ8" s="63">
        <f>SUMIF(Cliente!$K:$K,Rede!$E8,Cliente!$CC:$CC)</f>
        <v>9</v>
      </c>
      <c r="AR8" s="105">
        <f t="shared" si="1"/>
        <v>90.555981481481481</v>
      </c>
      <c r="AS8" s="52">
        <f>COUNTIF(Cliente!$K:$K,Rede!$E8)</f>
        <v>10</v>
      </c>
      <c r="AT8" s="63">
        <f>COUNTIFS(Cliente!$K:$K,Rede!$E8,Cliente!$CL:$CL,"&gt;=0,01")</f>
        <v>10</v>
      </c>
      <c r="AU8" s="105">
        <f>IFERROR(AVERAGEIFS(Cliente!$CL:$CL,Cliente!$K:$K,Rede!$E8,Cliente!$CL:$CL,"&gt;0"),0)</f>
        <v>90.26100000000001</v>
      </c>
      <c r="AV8" s="52">
        <f>COUNTIF(Cliente!$K:$K,Rede!$E8)</f>
        <v>10</v>
      </c>
      <c r="AW8" s="63">
        <f>COUNTIFS(Cliente!$K:$K,Rede!$E8,Cliente!$CU:$CU,"&gt;=0,01")</f>
        <v>10</v>
      </c>
      <c r="AX8" s="105">
        <f>IFERROR(AVERAGEIFS(Cliente!$CU:$CU,Cliente!$K:$K,Rede!$E8,Cliente!$CU:$CU,"&gt;0"),0)</f>
        <v>93.512500000000017</v>
      </c>
      <c r="AY8" s="52">
        <f>COUNTIF(Cliente!$K:$K,Rede!$E8)</f>
        <v>10</v>
      </c>
      <c r="AZ8" s="63">
        <f>COUNTIFS(Cliente!$K:$K,Rede!$E8,Cliente!$DD:$DD,"&gt;=0,01")</f>
        <v>9</v>
      </c>
      <c r="BA8" s="105">
        <f>IFERROR(AVERAGEIFS(Cliente!$DD:$DD,Cliente!$K:$K,Rede!$E8,Cliente!$DD:$DD,"&gt;0"),0)</f>
        <v>87.894444444444446</v>
      </c>
    </row>
    <row r="9" spans="2:53" x14ac:dyDescent="0.35">
      <c r="B9" s="23" t="s">
        <v>427</v>
      </c>
      <c r="C9" s="21">
        <v>3919</v>
      </c>
      <c r="D9" s="21" t="s">
        <v>429</v>
      </c>
      <c r="E9" s="34" t="s">
        <v>54</v>
      </c>
      <c r="F9" s="52">
        <f>COUNTIF(Cliente!$K:$K,Rede!$E9)</f>
        <v>1</v>
      </c>
      <c r="G9" s="63">
        <f>SUMIF(Cliente!$K:$K,Rede!$E9,Cliente!$M:$M)</f>
        <v>1</v>
      </c>
      <c r="H9" s="142">
        <f t="shared" si="2"/>
        <v>72.59</v>
      </c>
      <c r="I9" s="52">
        <f>COUNTIF(Cliente!$K:$K,Rede!$E9)</f>
        <v>1</v>
      </c>
      <c r="J9" s="63">
        <f>COUNTIFS(Cliente!$K:$K,Rede!$E9,Cliente!$S:$S,"&gt;=0,01")</f>
        <v>1</v>
      </c>
      <c r="K9" s="142">
        <f>IFERROR(AVERAGEIFS(Cliente!$S:$S,Cliente!$K:$K,Rede!$E9,Cliente!$S:$S,"&gt;0"),0)</f>
        <v>67.930000000000007</v>
      </c>
      <c r="L9" s="52">
        <f>COUNTIF(Cliente!$K:$K,Rede!$E9)</f>
        <v>1</v>
      </c>
      <c r="M9" s="63">
        <f>COUNTIFS(Cliente!$K:$K,Rede!$E9,Cliente!$Y:$Y,"&gt;=0,01")</f>
        <v>1</v>
      </c>
      <c r="N9" s="142">
        <f>IFERROR(AVERAGEIFS(Cliente!$Y:$Y,Cliente!$K:$K,Rede!$E9,Cliente!$Y:$Y,"&gt;0"),0)</f>
        <v>69.63</v>
      </c>
      <c r="O9" s="52">
        <f>COUNTIF(Cliente!$K:$K,Rede!$E9)</f>
        <v>1</v>
      </c>
      <c r="P9" s="63">
        <f>COUNTIFS(Cliente!$K:$K,Rede!$E9,Cliente!$AE:$AE,"&gt;=0,01")</f>
        <v>1</v>
      </c>
      <c r="Q9" s="142">
        <f>IFERROR(AVERAGEIFS(Cliente!$AE:$AE,Cliente!$K:$K,Rede!$E9,Cliente!$AE:$AE,"&gt;0"),0)</f>
        <v>80.210000000000008</v>
      </c>
      <c r="R9" s="52">
        <f>COUNTIF(Cliente!$K:$K,Rede!$E9)</f>
        <v>1</v>
      </c>
      <c r="S9" s="63">
        <f>SUMIF(Cliente!$K:$K,Rede!$E9,Cliente!$AH:$AH)</f>
        <v>0</v>
      </c>
      <c r="T9" s="105">
        <f t="shared" si="3"/>
        <v>41.811666666666667</v>
      </c>
      <c r="U9" s="52">
        <f>COUNTIF(Cliente!$K:$K,Rede!$E9)</f>
        <v>1</v>
      </c>
      <c r="V9" s="63">
        <f>COUNTIFS(Cliente!$K:$K,Rede!$E9,Cliente!$AN:$AN,"&gt;=0,01")</f>
        <v>0</v>
      </c>
      <c r="W9" s="105">
        <f>IFERROR(AVERAGEIFS(Cliente!$AN:$AN,Cliente!$K:$K,Rede!$E9,Cliente!AN:AN,"&gt;0"),0)</f>
        <v>0</v>
      </c>
      <c r="X9" s="52">
        <f>COUNTIF(Cliente!$K:$K,Rede!$E9)</f>
        <v>1</v>
      </c>
      <c r="Y9" s="63">
        <f>COUNTIFS(Cliente!$K:$K,Rede!$E9,Cliente!$AU:$AU,"&gt;=0,01")</f>
        <v>1</v>
      </c>
      <c r="Z9" s="105">
        <f>IFERROR(AVERAGEIFS(Cliente!$AU:$AU,Cliente!$K:$K,Rede!$E9,Cliente!$AU:$AU,"&gt;0"),0)</f>
        <v>57.45</v>
      </c>
      <c r="AA9" s="52">
        <f>COUNTIF(Cliente!$K:$K,Rede!$E9)</f>
        <v>1</v>
      </c>
      <c r="AB9" s="63">
        <f>COUNTIFS(Cliente!$K:$K,Rede!$E9,Cliente!$BB:$BB,"&gt;=0,01")</f>
        <v>1</v>
      </c>
      <c r="AC9" s="105">
        <f>IFERROR(AVERAGEIFS(Cliente!$BB:$BB,Cliente!$K:$K,Rede!$E9,Cliente!$BB:$BB,"&gt;0"),0)</f>
        <v>67.984999999999999</v>
      </c>
      <c r="AD9" s="52">
        <f>COUNTIF(Cliente!$K:$K,Rede!$E9)</f>
        <v>1</v>
      </c>
      <c r="AE9" s="63">
        <f>SUMIF(Cliente!$K:$K,Rede!$E9,Cliente!$BE:$BE)</f>
        <v>0</v>
      </c>
      <c r="AF9" s="105">
        <f t="shared" si="0"/>
        <v>49.544999999999995</v>
      </c>
      <c r="AG9" s="52">
        <f>COUNTIF(Cliente!$K:$K,Rede!$E9)</f>
        <v>1</v>
      </c>
      <c r="AH9" s="63">
        <f>COUNTIFS(Cliente!$K:$K,Rede!$E9,Cliente!$BL:$BL,"&gt;=0,01")</f>
        <v>1</v>
      </c>
      <c r="AI9" s="105">
        <f>IFERROR(AVERAGEIFS(Cliente!$BL:$BL,Cliente!$K:$K,Rede!$E9,Cliente!$BL:$BL,"&gt;0"),0)</f>
        <v>65.385000000000005</v>
      </c>
      <c r="AJ9" s="52">
        <f>COUNTIF(Cliente!$K:$K,Rede!$E9)</f>
        <v>1</v>
      </c>
      <c r="AK9" s="63">
        <f>COUNTIFS(Cliente!$K:$K,Rede!$E9,Cliente!$BS:$BS,"&gt;=0,01")</f>
        <v>1</v>
      </c>
      <c r="AL9" s="105">
        <f>IFERROR(AVERAGEIFS(Cliente!$BS:$BS,Cliente!$K:$K,Rede!$E9,Cliente!$BS:$BS,"&gt;0"),0)</f>
        <v>83.25</v>
      </c>
      <c r="AM9" s="52">
        <f>COUNTIF(Cliente!$K:$K,Rede!$E9)</f>
        <v>1</v>
      </c>
      <c r="AN9" s="63">
        <f>COUNTIFS(Cliente!$K:$K,Rede!$E9,Cliente!$BZ:$BZ,"&gt;=0,01")</f>
        <v>0</v>
      </c>
      <c r="AO9" s="105">
        <f>IFERROR(AVERAGEIFS(Cliente!$BZ:$BZ,Cliente!$K:$K,Rede!$E9,Cliente!$BZ:$BZ,"&gt;0"),0)</f>
        <v>0</v>
      </c>
      <c r="AP9" s="52">
        <f>COUNTIF(Cliente!$K:$K,Rede!$E9)</f>
        <v>1</v>
      </c>
      <c r="AQ9" s="63">
        <f>SUMIF(Cliente!$K:$K,Rede!$E9,Cliente!$CC:$CC)</f>
        <v>1</v>
      </c>
      <c r="AR9" s="105">
        <f t="shared" si="1"/>
        <v>80.325000000000003</v>
      </c>
      <c r="AS9" s="52">
        <f>COUNTIF(Cliente!$K:$K,Rede!$E9)</f>
        <v>1</v>
      </c>
      <c r="AT9" s="63">
        <f>COUNTIFS(Cliente!$K:$K,Rede!$E9,Cliente!$CL:$CL,"&gt;=0,01")</f>
        <v>1</v>
      </c>
      <c r="AU9" s="105">
        <f>IFERROR(AVERAGEIFS(Cliente!$CL:$CL,Cliente!$K:$K,Rede!$E9,Cliente!$CL:$CL,"&gt;0"),0)</f>
        <v>85.25</v>
      </c>
      <c r="AV9" s="52">
        <f>COUNTIF(Cliente!$K:$K,Rede!$E9)</f>
        <v>1</v>
      </c>
      <c r="AW9" s="63">
        <f>COUNTIFS(Cliente!$K:$K,Rede!$E9,Cliente!$CU:$CU,"&gt;=0,01")</f>
        <v>1</v>
      </c>
      <c r="AX9" s="105">
        <f>IFERROR(AVERAGEIFS(Cliente!$CU:$CU,Cliente!$K:$K,Rede!$E9,Cliente!$CU:$CU,"&gt;0"),0)</f>
        <v>76.875</v>
      </c>
      <c r="AY9" s="52">
        <f>COUNTIF(Cliente!$K:$K,Rede!$E9)</f>
        <v>1</v>
      </c>
      <c r="AZ9" s="63">
        <f>COUNTIFS(Cliente!$K:$K,Rede!$E9,Cliente!$DD:$DD,"&gt;=0,01")</f>
        <v>1</v>
      </c>
      <c r="BA9" s="105">
        <f>IFERROR(AVERAGEIFS(Cliente!$DD:$DD,Cliente!$K:$K,Rede!$E9,Cliente!$DD:$DD,"&gt;0"),0)</f>
        <v>78.849999999999994</v>
      </c>
    </row>
    <row r="10" spans="2:53" x14ac:dyDescent="0.35">
      <c r="B10" s="23" t="s">
        <v>427</v>
      </c>
      <c r="C10" s="21">
        <v>3919</v>
      </c>
      <c r="D10" s="21" t="s">
        <v>429</v>
      </c>
      <c r="E10" s="34" t="s">
        <v>48</v>
      </c>
      <c r="F10" s="52">
        <f>COUNTIF(Cliente!$K:$K,Rede!$E10)</f>
        <v>3</v>
      </c>
      <c r="G10" s="63">
        <f>SUMIF(Cliente!$K:$K,Rede!$E10,Cliente!$M:$M)</f>
        <v>1</v>
      </c>
      <c r="H10" s="142">
        <f t="shared" si="2"/>
        <v>59.57500000000001</v>
      </c>
      <c r="I10" s="52">
        <f>COUNTIF(Cliente!$K:$K,Rede!$E10)</f>
        <v>3</v>
      </c>
      <c r="J10" s="63">
        <f>COUNTIFS(Cliente!$K:$K,Rede!$E10,Cliente!$S:$S,"&gt;=0,01")</f>
        <v>2</v>
      </c>
      <c r="K10" s="142">
        <f>IFERROR(AVERAGEIFS(Cliente!$S:$S,Cliente!$K:$K,Rede!$E10,Cliente!$S:$S,"&gt;0"),0)</f>
        <v>43.525000000000006</v>
      </c>
      <c r="L10" s="52">
        <f>COUNTIF(Cliente!$K:$K,Rede!$E10)</f>
        <v>3</v>
      </c>
      <c r="M10" s="63">
        <f>COUNTIFS(Cliente!$K:$K,Rede!$E10,Cliente!$Y:$Y,"&gt;=0,01")</f>
        <v>3</v>
      </c>
      <c r="N10" s="142">
        <f>IFERROR(AVERAGEIFS(Cliente!$Y:$Y,Cliente!$K:$K,Rede!$E10,Cliente!$Y:$Y,"&gt;0"),0)</f>
        <v>56.677500000000002</v>
      </c>
      <c r="O10" s="52">
        <f>COUNTIF(Cliente!$K:$K,Rede!$E10)</f>
        <v>3</v>
      </c>
      <c r="P10" s="63">
        <f>COUNTIFS(Cliente!$K:$K,Rede!$E10,Cliente!$AE:$AE,"&gt;=0,01")</f>
        <v>2</v>
      </c>
      <c r="Q10" s="142">
        <f>IFERROR(AVERAGEIFS(Cliente!$AE:$AE,Cliente!$K:$K,Rede!$E10,Cliente!$AE:$AE,"&gt;0"),0)</f>
        <v>78.522500000000008</v>
      </c>
      <c r="R10" s="52">
        <f>COUNTIF(Cliente!$K:$K,Rede!$E10)</f>
        <v>3</v>
      </c>
      <c r="S10" s="63">
        <f>SUMIF(Cliente!$K:$K,Rede!$E10,Cliente!$AH:$AH)</f>
        <v>1</v>
      </c>
      <c r="T10" s="105">
        <f t="shared" si="3"/>
        <v>65.76722222222223</v>
      </c>
      <c r="U10" s="52">
        <f>COUNTIF(Cliente!$K:$K,Rede!$E10)</f>
        <v>3</v>
      </c>
      <c r="V10" s="63">
        <f>COUNTIFS(Cliente!$K:$K,Rede!$E10,Cliente!$AN:$AN,"&gt;=0,01")</f>
        <v>2</v>
      </c>
      <c r="W10" s="105">
        <f>IFERROR(AVERAGEIFS(Cliente!$AN:$AN,Cliente!$K:$K,Rede!$E10,Cliente!AN:AN,"&gt;0"),0)</f>
        <v>64.424999999999997</v>
      </c>
      <c r="X10" s="52">
        <f>COUNTIF(Cliente!$K:$K,Rede!$E10)</f>
        <v>3</v>
      </c>
      <c r="Y10" s="63">
        <f>COUNTIFS(Cliente!$K:$K,Rede!$E10,Cliente!$AU:$AU,"&gt;=0,01")</f>
        <v>1</v>
      </c>
      <c r="Z10" s="105">
        <f>IFERROR(AVERAGEIFS(Cliente!$AU:$AU,Cliente!$K:$K,Rede!$E10,Cliente!$AU:$AU,"&gt;0"),0)</f>
        <v>66.105000000000004</v>
      </c>
      <c r="AA10" s="52">
        <f>COUNTIF(Cliente!$K:$K,Rede!$E10)</f>
        <v>3</v>
      </c>
      <c r="AB10" s="63">
        <f>COUNTIFS(Cliente!$K:$K,Rede!$E10,Cliente!$BB:$BB,"&gt;=0,01")</f>
        <v>3</v>
      </c>
      <c r="AC10" s="105">
        <f>IFERROR(AVERAGEIFS(Cliente!$BB:$BB,Cliente!$K:$K,Rede!$E10,Cliente!$BB:$BB,"&gt;0"),0)</f>
        <v>66.771666666666661</v>
      </c>
      <c r="AD10" s="52">
        <f>COUNTIF(Cliente!$K:$K,Rede!$E10)</f>
        <v>3</v>
      </c>
      <c r="AE10" s="63">
        <f>SUMIF(Cliente!$K:$K,Rede!$E10,Cliente!$BE:$BE)</f>
        <v>2</v>
      </c>
      <c r="AF10" s="105">
        <f t="shared" si="0"/>
        <v>78.6111111111111</v>
      </c>
      <c r="AG10" s="52">
        <f>COUNTIF(Cliente!$K:$K,Rede!$E10)</f>
        <v>3</v>
      </c>
      <c r="AH10" s="63">
        <f>COUNTIFS(Cliente!$K:$K,Rede!$E10,Cliente!$BL:$BL,"&gt;=0,01")</f>
        <v>3</v>
      </c>
      <c r="AI10" s="105">
        <f>IFERROR(AVERAGEIFS(Cliente!$BL:$BL,Cliente!$K:$K,Rede!$E10,Cliente!$BL:$BL,"&gt;0"),0)</f>
        <v>72.016666666666666</v>
      </c>
      <c r="AJ10" s="52">
        <f>COUNTIF(Cliente!$K:$K,Rede!$E10)</f>
        <v>3</v>
      </c>
      <c r="AK10" s="63">
        <f>COUNTIFS(Cliente!$K:$K,Rede!$E10,Cliente!$BS:$BS,"&gt;=0,01")</f>
        <v>3</v>
      </c>
      <c r="AL10" s="105">
        <f>IFERROR(AVERAGEIFS(Cliente!$BS:$BS,Cliente!$K:$K,Rede!$E10,Cliente!$BS:$BS,"&gt;0"),0)</f>
        <v>86.008333333333326</v>
      </c>
      <c r="AM10" s="52">
        <f>COUNTIF(Cliente!$K:$K,Rede!$E10)</f>
        <v>3</v>
      </c>
      <c r="AN10" s="63">
        <f>COUNTIFS(Cliente!$K:$K,Rede!$E10,Cliente!$BZ:$BZ,"&gt;=0,01")</f>
        <v>3</v>
      </c>
      <c r="AO10" s="105">
        <f>IFERROR(AVERAGEIFS(Cliente!$BZ:$BZ,Cliente!$K:$K,Rede!$E10,Cliente!$BZ:$BZ,"&gt;0"),0)</f>
        <v>77.808333333333323</v>
      </c>
      <c r="AP10" s="52">
        <f>COUNTIF(Cliente!$K:$K,Rede!$E10)</f>
        <v>3</v>
      </c>
      <c r="AQ10" s="63">
        <f>SUMIF(Cliente!$K:$K,Rede!$E10,Cliente!$CC:$CC)</f>
        <v>1</v>
      </c>
      <c r="AR10" s="105">
        <f t="shared" si="1"/>
        <v>85.774999999999991</v>
      </c>
      <c r="AS10" s="52">
        <f>COUNTIF(Cliente!$K:$K,Rede!$E10)</f>
        <v>3</v>
      </c>
      <c r="AT10" s="63">
        <f>COUNTIFS(Cliente!$K:$K,Rede!$E10,Cliente!$CL:$CL,"&gt;=0,01")</f>
        <v>3</v>
      </c>
      <c r="AU10" s="105">
        <f>IFERROR(AVERAGEIFS(Cliente!$CL:$CL,Cliente!$K:$K,Rede!$E10,Cliente!$CL:$CL,"&gt;0"),0)</f>
        <v>87.616666666666674</v>
      </c>
      <c r="AV10" s="52">
        <f>COUNTIF(Cliente!$K:$K,Rede!$E10)</f>
        <v>3</v>
      </c>
      <c r="AW10" s="63">
        <f>COUNTIFS(Cliente!$K:$K,Rede!$E10,Cliente!$CU:$CU,"&gt;=0,01")</f>
        <v>3</v>
      </c>
      <c r="AX10" s="105">
        <f>IFERROR(AVERAGEIFS(Cliente!$CU:$CU,Cliente!$K:$K,Rede!$E10,Cliente!$CU:$CU,"&gt;0"),0)</f>
        <v>86.083333333333329</v>
      </c>
      <c r="AY10" s="52">
        <f>COUNTIF(Cliente!$K:$K,Rede!$E10)</f>
        <v>3</v>
      </c>
      <c r="AZ10" s="63">
        <f>COUNTIFS(Cliente!$K:$K,Rede!$E10,Cliente!$DD:$DD,"&gt;=0,01")</f>
        <v>1</v>
      </c>
      <c r="BA10" s="105">
        <f>IFERROR(AVERAGEIFS(Cliente!$DD:$DD,Cliente!$K:$K,Rede!$E10,Cliente!$DD:$DD,"&gt;0"),0)</f>
        <v>83.625</v>
      </c>
    </row>
    <row r="11" spans="2:53" x14ac:dyDescent="0.35">
      <c r="B11" s="23" t="s">
        <v>427</v>
      </c>
      <c r="C11" s="21">
        <v>3956</v>
      </c>
      <c r="D11" s="21" t="s">
        <v>431</v>
      </c>
      <c r="E11" s="34" t="s">
        <v>47</v>
      </c>
      <c r="F11" s="52">
        <f>COUNTIF(Cliente!$K:$K,Rede!$E11)</f>
        <v>3</v>
      </c>
      <c r="G11" s="63">
        <f>SUMIF(Cliente!$K:$K,Rede!$E11,Cliente!$M:$M)</f>
        <v>2</v>
      </c>
      <c r="H11" s="142">
        <f t="shared" si="2"/>
        <v>82.571111111111108</v>
      </c>
      <c r="I11" s="52">
        <f>COUNTIF(Cliente!$K:$K,Rede!$E11)</f>
        <v>3</v>
      </c>
      <c r="J11" s="63">
        <f>COUNTIFS(Cliente!$K:$K,Rede!$E11,Cliente!$S:$S,"&gt;=0,01")</f>
        <v>3</v>
      </c>
      <c r="K11" s="142">
        <f>IFERROR(AVERAGEIFS(Cliente!$S:$S,Cliente!$K:$K,Rede!$E11,Cliente!$S:$S,"&gt;0"),0)</f>
        <v>70.48833333333333</v>
      </c>
      <c r="L11" s="52">
        <f>COUNTIF(Cliente!$K:$K,Rede!$E11)</f>
        <v>3</v>
      </c>
      <c r="M11" s="63">
        <f>COUNTIFS(Cliente!$K:$K,Rede!$E11,Cliente!$Y:$Y,"&gt;=0,01")</f>
        <v>2</v>
      </c>
      <c r="N11" s="142">
        <f>IFERROR(AVERAGEIFS(Cliente!$Y:$Y,Cliente!$K:$K,Rede!$E11,Cliente!$Y:$Y,"&gt;0"),0)</f>
        <v>89.210000000000008</v>
      </c>
      <c r="O11" s="52">
        <f>COUNTIF(Cliente!$K:$K,Rede!$E11)</f>
        <v>3</v>
      </c>
      <c r="P11" s="63">
        <f>COUNTIFS(Cliente!$K:$K,Rede!$E11,Cliente!$AE:$AE,"&gt;=0,01")</f>
        <v>3</v>
      </c>
      <c r="Q11" s="142">
        <f>IFERROR(AVERAGEIFS(Cliente!$AE:$AE,Cliente!$K:$K,Rede!$E11,Cliente!$AE:$AE,"&gt;0"),0)</f>
        <v>88.015000000000001</v>
      </c>
      <c r="R11" s="52">
        <f>COUNTIF(Cliente!$K:$K,Rede!$E11)</f>
        <v>3</v>
      </c>
      <c r="S11" s="63">
        <f>SUMIF(Cliente!$K:$K,Rede!$E11,Cliente!$AH:$AH)</f>
        <v>3</v>
      </c>
      <c r="T11" s="105">
        <f t="shared" si="3"/>
        <v>78.671111111111102</v>
      </c>
      <c r="U11" s="52">
        <f>COUNTIF(Cliente!$K:$K,Rede!$E11)</f>
        <v>3</v>
      </c>
      <c r="V11" s="63">
        <f>COUNTIFS(Cliente!$K:$K,Rede!$E11,Cliente!$AN:$AN,"&gt;=0,01")</f>
        <v>3</v>
      </c>
      <c r="W11" s="105">
        <f>IFERROR(AVERAGEIFS(Cliente!$AN:$AN,Cliente!$K:$K,Rede!$E11,Cliente!AN:AN,"&gt;0"),0)</f>
        <v>71.993333333333339</v>
      </c>
      <c r="X11" s="52">
        <f>COUNTIF(Cliente!$K:$K,Rede!$E11)</f>
        <v>3</v>
      </c>
      <c r="Y11" s="63">
        <f>COUNTIFS(Cliente!$K:$K,Rede!$E11,Cliente!$AU:$AU,"&gt;=0,01")</f>
        <v>3</v>
      </c>
      <c r="Z11" s="105">
        <f>IFERROR(AVERAGEIFS(Cliente!$AU:$AU,Cliente!$K:$K,Rede!$E11,Cliente!$AU:$AU,"&gt;0"),0)</f>
        <v>73.50333333333333</v>
      </c>
      <c r="AA11" s="52">
        <f>COUNTIF(Cliente!$K:$K,Rede!$E11)</f>
        <v>3</v>
      </c>
      <c r="AB11" s="63">
        <f>COUNTIFS(Cliente!$K:$K,Rede!$E11,Cliente!$BB:$BB,"&gt;=0,01")</f>
        <v>3</v>
      </c>
      <c r="AC11" s="105">
        <f>IFERROR(AVERAGEIFS(Cliente!$BB:$BB,Cliente!$K:$K,Rede!$E11,Cliente!$BB:$BB,"&gt;0"),0)</f>
        <v>90.516666666666666</v>
      </c>
      <c r="AD11" s="52">
        <f>COUNTIF(Cliente!$K:$K,Rede!$E11)</f>
        <v>3</v>
      </c>
      <c r="AE11" s="63">
        <f>SUMIF(Cliente!$K:$K,Rede!$E11,Cliente!$BE:$BE)</f>
        <v>3</v>
      </c>
      <c r="AF11" s="105">
        <f t="shared" si="0"/>
        <v>87.269444444444446</v>
      </c>
      <c r="AG11" s="52">
        <f>COUNTIF(Cliente!$K:$K,Rede!$E11)</f>
        <v>3</v>
      </c>
      <c r="AH11" s="63">
        <f>COUNTIFS(Cliente!$K:$K,Rede!$E11,Cliente!$BL:$BL,"&gt;=0,01")</f>
        <v>3</v>
      </c>
      <c r="AI11" s="105">
        <f>IFERROR(AVERAGEIFS(Cliente!$BL:$BL,Cliente!$K:$K,Rede!$E11,Cliente!$BL:$BL,"&gt;0"),0)</f>
        <v>78.608333333333334</v>
      </c>
      <c r="AJ11" s="52">
        <f>COUNTIF(Cliente!$K:$K,Rede!$E11)</f>
        <v>3</v>
      </c>
      <c r="AK11" s="63">
        <f>COUNTIFS(Cliente!$K:$K,Rede!$E11,Cliente!$BS:$BS,"&gt;=0,01")</f>
        <v>3</v>
      </c>
      <c r="AL11" s="105">
        <f>IFERROR(AVERAGEIFS(Cliente!$BS:$BS,Cliente!$K:$K,Rede!$E11,Cliente!$BS:$BS,"&gt;0"),0)</f>
        <v>93</v>
      </c>
      <c r="AM11" s="52">
        <f>COUNTIF(Cliente!$K:$K,Rede!$E11)</f>
        <v>3</v>
      </c>
      <c r="AN11" s="63">
        <f>COUNTIFS(Cliente!$K:$K,Rede!$E11,Cliente!$BZ:$BZ,"&gt;=0,01")</f>
        <v>3</v>
      </c>
      <c r="AO11" s="105">
        <f>IFERROR(AVERAGEIFS(Cliente!$BZ:$BZ,Cliente!$K:$K,Rede!$E11,Cliente!$BZ:$BZ,"&gt;0"),0)</f>
        <v>90.2</v>
      </c>
      <c r="AP11" s="52">
        <f>COUNTIF(Cliente!$K:$K,Rede!$E11)</f>
        <v>3</v>
      </c>
      <c r="AQ11" s="63">
        <f>SUMIF(Cliente!$K:$K,Rede!$E11,Cliente!$CC:$CC)</f>
        <v>3</v>
      </c>
      <c r="AR11" s="105">
        <f t="shared" si="1"/>
        <v>95.511111111111106</v>
      </c>
      <c r="AS11" s="52">
        <f>COUNTIF(Cliente!$K:$K,Rede!$E11)</f>
        <v>3</v>
      </c>
      <c r="AT11" s="63">
        <f>COUNTIFS(Cliente!$K:$K,Rede!$E11,Cliente!$CL:$CL,"&gt;=0,01")</f>
        <v>3</v>
      </c>
      <c r="AU11" s="105">
        <f>IFERROR(AVERAGEIFS(Cliente!$CL:$CL,Cliente!$K:$K,Rede!$E11,Cliente!$CL:$CL,"&gt;0"),0)</f>
        <v>89.59999999999998</v>
      </c>
      <c r="AV11" s="52">
        <f>COUNTIF(Cliente!$K:$K,Rede!$E11)</f>
        <v>3</v>
      </c>
      <c r="AW11" s="63">
        <f>COUNTIFS(Cliente!$K:$K,Rede!$E11,Cliente!$CU:$CU,"&gt;=0,01")</f>
        <v>3</v>
      </c>
      <c r="AX11" s="105">
        <f>IFERROR(AVERAGEIFS(Cliente!$CU:$CU,Cliente!$K:$K,Rede!$E11,Cliente!$CU:$CU,"&gt;0"),0)</f>
        <v>98.600000000000009</v>
      </c>
      <c r="AY11" s="52">
        <f>COUNTIF(Cliente!$K:$K,Rede!$E11)</f>
        <v>3</v>
      </c>
      <c r="AZ11" s="63">
        <f>COUNTIFS(Cliente!$K:$K,Rede!$E11,Cliente!$DD:$DD,"&gt;=0,01")</f>
        <v>3</v>
      </c>
      <c r="BA11" s="105">
        <f>IFERROR(AVERAGEIFS(Cliente!$DD:$DD,Cliente!$K:$K,Rede!$E11,Cliente!$DD:$DD,"&gt;0"),0)</f>
        <v>98.333333333333329</v>
      </c>
    </row>
    <row r="12" spans="2:53" x14ac:dyDescent="0.35">
      <c r="B12" s="23" t="s">
        <v>427</v>
      </c>
      <c r="C12" s="21">
        <v>4054</v>
      </c>
      <c r="D12" s="21" t="s">
        <v>432</v>
      </c>
      <c r="E12" s="34" t="s">
        <v>166</v>
      </c>
      <c r="F12" s="52">
        <f>COUNTIF(Cliente!$K:$K,Rede!$E12)</f>
        <v>3</v>
      </c>
      <c r="G12" s="63">
        <f>SUMIF(Cliente!$K:$K,Rede!$E12,Cliente!$M:$M)</f>
        <v>2</v>
      </c>
      <c r="H12" s="142">
        <f t="shared" si="2"/>
        <v>75.878055555555548</v>
      </c>
      <c r="I12" s="52">
        <f>COUNTIF(Cliente!$K:$K,Rede!$E12)</f>
        <v>3</v>
      </c>
      <c r="J12" s="63">
        <f>COUNTIFS(Cliente!$K:$K,Rede!$E12,Cliente!$S:$S,"&gt;=0,01")</f>
        <v>2</v>
      </c>
      <c r="K12" s="142">
        <f>IFERROR(AVERAGEIFS(Cliente!$S:$S,Cliente!$K:$K,Rede!$E12,Cliente!$S:$S,"&gt;0"),0)</f>
        <v>81.492499999999993</v>
      </c>
      <c r="L12" s="52">
        <f>COUNTIF(Cliente!$K:$K,Rede!$E12)</f>
        <v>3</v>
      </c>
      <c r="M12" s="63">
        <f>COUNTIFS(Cliente!$K:$K,Rede!$E12,Cliente!$Y:$Y,"&gt;=0,01")</f>
        <v>3</v>
      </c>
      <c r="N12" s="142">
        <f>IFERROR(AVERAGEIFS(Cliente!$Y:$Y,Cliente!$K:$K,Rede!$E12,Cliente!$Y:$Y,"&gt;0"),0)</f>
        <v>69.53</v>
      </c>
      <c r="O12" s="52">
        <f>COUNTIF(Cliente!$K:$K,Rede!$E12)</f>
        <v>3</v>
      </c>
      <c r="P12" s="63">
        <f>COUNTIFS(Cliente!$K:$K,Rede!$E12,Cliente!$AE:$AE,"&gt;=0,01")</f>
        <v>3</v>
      </c>
      <c r="Q12" s="142">
        <f>IFERROR(AVERAGEIFS(Cliente!$AE:$AE,Cliente!$K:$K,Rede!$E12,Cliente!$AE:$AE,"&gt;0"),0)</f>
        <v>76.611666666666665</v>
      </c>
      <c r="R12" s="52">
        <f>COUNTIF(Cliente!$K:$K,Rede!$E12)</f>
        <v>3</v>
      </c>
      <c r="S12" s="63">
        <f>SUMIF(Cliente!$K:$K,Rede!$E12,Cliente!$AH:$AH)</f>
        <v>1</v>
      </c>
      <c r="T12" s="105">
        <f t="shared" si="3"/>
        <v>62.23555555555555</v>
      </c>
      <c r="U12" s="52">
        <f>COUNTIF(Cliente!$K:$K,Rede!$E12)</f>
        <v>3</v>
      </c>
      <c r="V12" s="63">
        <f>COUNTIFS(Cliente!$K:$K,Rede!$E12,Cliente!$AN:$AN,"&gt;=0,01")</f>
        <v>3</v>
      </c>
      <c r="W12" s="105">
        <f>IFERROR(AVERAGEIFS(Cliente!$AN:$AN,Cliente!$K:$K,Rede!$E12,Cliente!AN:AN,"&gt;0"),0)</f>
        <v>63.176666666666655</v>
      </c>
      <c r="X12" s="52">
        <f>COUNTIF(Cliente!$K:$K,Rede!$E12)</f>
        <v>3</v>
      </c>
      <c r="Y12" s="63">
        <f>COUNTIFS(Cliente!$K:$K,Rede!$E12,Cliente!$AU:$AU,"&gt;=0,01")</f>
        <v>2</v>
      </c>
      <c r="Z12" s="105">
        <f>IFERROR(AVERAGEIFS(Cliente!$AU:$AU,Cliente!$K:$K,Rede!$E12,Cliente!$AU:$AU,"&gt;0"),0)</f>
        <v>63.1325</v>
      </c>
      <c r="AA12" s="52">
        <f>COUNTIF(Cliente!$K:$K,Rede!$E12)</f>
        <v>3</v>
      </c>
      <c r="AB12" s="63">
        <f>COUNTIFS(Cliente!$K:$K,Rede!$E12,Cliente!$BB:$BB,"&gt;=0,01")</f>
        <v>2</v>
      </c>
      <c r="AC12" s="105">
        <f>IFERROR(AVERAGEIFS(Cliente!$BB:$BB,Cliente!$K:$K,Rede!$E12,Cliente!$BB:$BB,"&gt;0"),0)</f>
        <v>60.397500000000001</v>
      </c>
      <c r="AD12" s="52">
        <f>COUNTIF(Cliente!$K:$K,Rede!$E12)</f>
        <v>3</v>
      </c>
      <c r="AE12" s="63">
        <f>SUMIF(Cliente!$K:$K,Rede!$E12,Cliente!$BE:$BE)</f>
        <v>3</v>
      </c>
      <c r="AF12" s="105">
        <f t="shared" si="0"/>
        <v>83.11722222222221</v>
      </c>
      <c r="AG12" s="52">
        <f>COUNTIF(Cliente!$K:$K,Rede!$E12)</f>
        <v>3</v>
      </c>
      <c r="AH12" s="63">
        <f>COUNTIFS(Cliente!$K:$K,Rede!$E12,Cliente!$BL:$BL,"&gt;=0,01")</f>
        <v>3</v>
      </c>
      <c r="AI12" s="105">
        <f>IFERROR(AVERAGEIFS(Cliente!$BL:$BL,Cliente!$K:$K,Rede!$E12,Cliente!$BL:$BL,"&gt;0"),0)</f>
        <v>63.26</v>
      </c>
      <c r="AJ12" s="52">
        <f>COUNTIF(Cliente!$K:$K,Rede!$E12)</f>
        <v>3</v>
      </c>
      <c r="AK12" s="63">
        <f>COUNTIFS(Cliente!$K:$K,Rede!$E12,Cliente!$BS:$BS,"&gt;=0,01")</f>
        <v>3</v>
      </c>
      <c r="AL12" s="105">
        <f>IFERROR(AVERAGEIFS(Cliente!$BS:$BS,Cliente!$K:$K,Rede!$E12,Cliente!$BS:$BS,"&gt;0"),0)</f>
        <v>93.008333333333326</v>
      </c>
      <c r="AM12" s="52">
        <f>COUNTIF(Cliente!$K:$K,Rede!$E12)</f>
        <v>3</v>
      </c>
      <c r="AN12" s="63">
        <f>COUNTIFS(Cliente!$K:$K,Rede!$E12,Cliente!$BZ:$BZ,"&gt;=0,01")</f>
        <v>3</v>
      </c>
      <c r="AO12" s="105">
        <f>IFERROR(AVERAGEIFS(Cliente!$BZ:$BZ,Cliente!$K:$K,Rede!$E12,Cliente!$BZ:$BZ,"&gt;0"),0)</f>
        <v>93.083333333333329</v>
      </c>
      <c r="AP12" s="52">
        <f>COUNTIF(Cliente!$K:$K,Rede!$E12)</f>
        <v>3</v>
      </c>
      <c r="AQ12" s="63">
        <f>SUMIF(Cliente!$K:$K,Rede!$E12,Cliente!$CC:$CC)</f>
        <v>1</v>
      </c>
      <c r="AR12" s="105">
        <f t="shared" si="1"/>
        <v>91.2</v>
      </c>
      <c r="AS12" s="52">
        <f>COUNTIF(Cliente!$K:$K,Rede!$E12)</f>
        <v>3</v>
      </c>
      <c r="AT12" s="63">
        <f>COUNTIFS(Cliente!$K:$K,Rede!$E12,Cliente!$CL:$CL,"&gt;=0,01")</f>
        <v>2</v>
      </c>
      <c r="AU12" s="105">
        <f>IFERROR(AVERAGEIFS(Cliente!$CL:$CL,Cliente!$K:$K,Rede!$E12,Cliente!$CL:$CL,"&gt;0"),0)</f>
        <v>90.4</v>
      </c>
      <c r="AV12" s="52">
        <f>COUNTIF(Cliente!$K:$K,Rede!$E12)</f>
        <v>3</v>
      </c>
      <c r="AW12" s="63">
        <f>COUNTIFS(Cliente!$K:$K,Rede!$E12,Cliente!$CU:$CU,"&gt;=0,01")</f>
        <v>2</v>
      </c>
      <c r="AX12" s="105">
        <f>IFERROR(AVERAGEIFS(Cliente!$CU:$CU,Cliente!$K:$K,Rede!$E12,Cliente!$CU:$CU,"&gt;0"),0)</f>
        <v>90.800000000000011</v>
      </c>
      <c r="AY12" s="52">
        <f>COUNTIF(Cliente!$K:$K,Rede!$E12)</f>
        <v>3</v>
      </c>
      <c r="AZ12" s="63">
        <f>COUNTIFS(Cliente!$K:$K,Rede!$E12,Cliente!$DD:$DD,"&gt;=0,01")</f>
        <v>1</v>
      </c>
      <c r="BA12" s="105">
        <f>IFERROR(AVERAGEIFS(Cliente!$DD:$DD,Cliente!$K:$K,Rede!$E12,Cliente!$DD:$DD,"&gt;0"),0)</f>
        <v>92.4</v>
      </c>
    </row>
    <row r="13" spans="2:53" x14ac:dyDescent="0.35">
      <c r="B13" s="23" t="s">
        <v>427</v>
      </c>
      <c r="C13" s="21">
        <v>4054</v>
      </c>
      <c r="D13" s="21" t="s">
        <v>432</v>
      </c>
      <c r="E13" s="34" t="s">
        <v>82</v>
      </c>
      <c r="F13" s="52">
        <f>COUNTIF(Cliente!$K:$K,Rede!$E13)</f>
        <v>4</v>
      </c>
      <c r="G13" s="63">
        <f>SUMIF(Cliente!$K:$K,Rede!$E13,Cliente!$M:$M)</f>
        <v>4</v>
      </c>
      <c r="H13" s="142">
        <f t="shared" si="2"/>
        <v>50.354583333333331</v>
      </c>
      <c r="I13" s="52">
        <f>COUNTIF(Cliente!$K:$K,Rede!$E13)</f>
        <v>4</v>
      </c>
      <c r="J13" s="63">
        <f>COUNTIFS(Cliente!$K:$K,Rede!$E13,Cliente!$S:$S,"&gt;=0,01")</f>
        <v>4</v>
      </c>
      <c r="K13" s="142">
        <f>IFERROR(AVERAGEIFS(Cliente!$S:$S,Cliente!$K:$K,Rede!$E13,Cliente!$S:$S,"&gt;0"),0)</f>
        <v>55.488749999999996</v>
      </c>
      <c r="L13" s="52">
        <f>COUNTIF(Cliente!$K:$K,Rede!$E13)</f>
        <v>4</v>
      </c>
      <c r="M13" s="63">
        <f>COUNTIFS(Cliente!$K:$K,Rede!$E13,Cliente!$Y:$Y,"&gt;=0,01")</f>
        <v>4</v>
      </c>
      <c r="N13" s="142">
        <f>IFERROR(AVERAGEIFS(Cliente!$Y:$Y,Cliente!$K:$K,Rede!$E13,Cliente!$Y:$Y,"&gt;0"),0)</f>
        <v>50.136250000000004</v>
      </c>
      <c r="O13" s="52">
        <f>COUNTIF(Cliente!$K:$K,Rede!$E13)</f>
        <v>4</v>
      </c>
      <c r="P13" s="63">
        <f>COUNTIFS(Cliente!$K:$K,Rede!$E13,Cliente!$AE:$AE,"&gt;=0,01")</f>
        <v>4</v>
      </c>
      <c r="Q13" s="142">
        <f>IFERROR(AVERAGEIFS(Cliente!$AE:$AE,Cliente!$K:$K,Rede!$E13,Cliente!$AE:$AE,"&gt;0"),0)</f>
        <v>45.438749999999999</v>
      </c>
      <c r="R13" s="52">
        <f>COUNTIF(Cliente!$K:$K,Rede!$E13)</f>
        <v>4</v>
      </c>
      <c r="S13" s="63">
        <f>SUMIF(Cliente!$K:$K,Rede!$E13,Cliente!$AH:$AH)</f>
        <v>1</v>
      </c>
      <c r="T13" s="105">
        <f t="shared" si="3"/>
        <v>55.822916666666664</v>
      </c>
      <c r="U13" s="52">
        <f>COUNTIF(Cliente!$K:$K,Rede!$E13)</f>
        <v>4</v>
      </c>
      <c r="V13" s="63">
        <f>COUNTIFS(Cliente!$K:$K,Rede!$E13,Cliente!$AN:$AN,"&gt;=0,01")</f>
        <v>4</v>
      </c>
      <c r="W13" s="105">
        <f>IFERROR(AVERAGEIFS(Cliente!$AN:$AN,Cliente!$K:$K,Rede!$E13,Cliente!AN:AN,"&gt;0"),0)</f>
        <v>53.331249999999997</v>
      </c>
      <c r="X13" s="52">
        <f>COUNTIF(Cliente!$K:$K,Rede!$E13)</f>
        <v>4</v>
      </c>
      <c r="Y13" s="63">
        <f>COUNTIFS(Cliente!$K:$K,Rede!$E13,Cliente!$AU:$AU,"&gt;=0,01")</f>
        <v>2</v>
      </c>
      <c r="Z13" s="105">
        <f>IFERROR(AVERAGEIFS(Cliente!$AU:$AU,Cliente!$K:$K,Rede!$E13,Cliente!$AU:$AU,"&gt;0"),0)</f>
        <v>53.177499999999995</v>
      </c>
      <c r="AA13" s="52">
        <f>COUNTIF(Cliente!$K:$K,Rede!$E13)</f>
        <v>4</v>
      </c>
      <c r="AB13" s="63">
        <f>COUNTIFS(Cliente!$K:$K,Rede!$E13,Cliente!$BB:$BB,"&gt;=0,01")</f>
        <v>1</v>
      </c>
      <c r="AC13" s="105">
        <f>IFERROR(AVERAGEIFS(Cliente!$BB:$BB,Cliente!$K:$K,Rede!$E13,Cliente!$BB:$BB,"&gt;0"),0)</f>
        <v>60.96</v>
      </c>
      <c r="AD13" s="52">
        <f>COUNTIF(Cliente!$K:$K,Rede!$E13)</f>
        <v>4</v>
      </c>
      <c r="AE13" s="63">
        <f>SUMIF(Cliente!$K:$K,Rede!$E13,Cliente!$BE:$BE)</f>
        <v>0</v>
      </c>
      <c r="AF13" s="105">
        <f t="shared" si="0"/>
        <v>16.150000000000002</v>
      </c>
      <c r="AG13" s="52">
        <f>COUNTIF(Cliente!$K:$K,Rede!$E13)</f>
        <v>4</v>
      </c>
      <c r="AH13" s="63">
        <f>COUNTIFS(Cliente!$K:$K,Rede!$E13,Cliente!$BL:$BL,"&gt;=0,01")</f>
        <v>1</v>
      </c>
      <c r="AI13" s="105">
        <f>IFERROR(AVERAGEIFS(Cliente!$BL:$BL,Cliente!$K:$K,Rede!$E13,Cliente!$BL:$BL,"&gt;0"),0)</f>
        <v>48.45</v>
      </c>
      <c r="AJ13" s="52">
        <f>COUNTIF(Cliente!$K:$K,Rede!$E13)</f>
        <v>4</v>
      </c>
      <c r="AK13" s="63">
        <f>COUNTIFS(Cliente!$K:$K,Rede!$E13,Cliente!$BS:$BS,"&gt;=0,01")</f>
        <v>0</v>
      </c>
      <c r="AL13" s="105">
        <f>IFERROR(AVERAGEIFS(Cliente!$BS:$BS,Cliente!$K:$K,Rede!$E13,Cliente!$BS:$BS,"&gt;0"),0)</f>
        <v>0</v>
      </c>
      <c r="AM13" s="52">
        <f>COUNTIF(Cliente!$K:$K,Rede!$E13)</f>
        <v>4</v>
      </c>
      <c r="AN13" s="63">
        <f>COUNTIFS(Cliente!$K:$K,Rede!$E13,Cliente!$BZ:$BZ,"&gt;=0,01")</f>
        <v>0</v>
      </c>
      <c r="AO13" s="105">
        <f>IFERROR(AVERAGEIFS(Cliente!$BZ:$BZ,Cliente!$K:$K,Rede!$E13,Cliente!$BZ:$BZ,"&gt;0"),0)</f>
        <v>0</v>
      </c>
      <c r="AP13" s="52">
        <f>COUNTIF(Cliente!$K:$K,Rede!$E13)</f>
        <v>4</v>
      </c>
      <c r="AQ13" s="63">
        <f>SUMIF(Cliente!$K:$K,Rede!$E13,Cliente!$CC:$CC)</f>
        <v>0</v>
      </c>
      <c r="AR13" s="105">
        <f t="shared" si="1"/>
        <v>0</v>
      </c>
      <c r="AS13" s="52">
        <f>COUNTIF(Cliente!$K:$K,Rede!$E13)</f>
        <v>4</v>
      </c>
      <c r="AT13" s="63">
        <f>COUNTIFS(Cliente!$K:$K,Rede!$E13,Cliente!$CL:$CL,"&gt;=0,01")</f>
        <v>0</v>
      </c>
      <c r="AU13" s="105">
        <f>IFERROR(AVERAGEIFS(Cliente!$CL:$CL,Cliente!$K:$K,Rede!$E13,Cliente!$CL:$CL,"&gt;0"),0)</f>
        <v>0</v>
      </c>
      <c r="AV13" s="52">
        <f>COUNTIF(Cliente!$K:$K,Rede!$E13)</f>
        <v>4</v>
      </c>
      <c r="AW13" s="63">
        <f>COUNTIFS(Cliente!$K:$K,Rede!$E13,Cliente!$CU:$CU,"&gt;=0,01")</f>
        <v>0</v>
      </c>
      <c r="AX13" s="105">
        <f>IFERROR(AVERAGEIFS(Cliente!$CU:$CU,Cliente!$K:$K,Rede!$E13,Cliente!$CU:$CU,"&gt;0"),0)</f>
        <v>0</v>
      </c>
      <c r="AY13" s="52">
        <f>COUNTIF(Cliente!$K:$K,Rede!$E13)</f>
        <v>4</v>
      </c>
      <c r="AZ13" s="63">
        <f>COUNTIFS(Cliente!$K:$K,Rede!$E13,Cliente!$DD:$DD,"&gt;=0,01")</f>
        <v>0</v>
      </c>
      <c r="BA13" s="105">
        <f>IFERROR(AVERAGEIFS(Cliente!$DD:$DD,Cliente!$K:$K,Rede!$E13,Cliente!$DD:$DD,"&gt;0"),0)</f>
        <v>0</v>
      </c>
    </row>
    <row r="14" spans="2:53" x14ac:dyDescent="0.35">
      <c r="B14" s="23" t="s">
        <v>42</v>
      </c>
      <c r="C14" s="21">
        <v>179</v>
      </c>
      <c r="D14" s="21" t="s">
        <v>3</v>
      </c>
      <c r="E14" s="34" t="s">
        <v>45</v>
      </c>
      <c r="F14" s="52">
        <f>COUNTIF(Cliente!$K:$K,Rede!$E14)</f>
        <v>6</v>
      </c>
      <c r="G14" s="63">
        <f>SUMIF(Cliente!$K:$K,Rede!$E14,Cliente!$M:$M)</f>
        <v>6</v>
      </c>
      <c r="H14" s="142">
        <f t="shared" si="2"/>
        <v>74.634722222222237</v>
      </c>
      <c r="I14" s="52">
        <f>COUNTIF(Cliente!$K:$K,Rede!$E14)</f>
        <v>6</v>
      </c>
      <c r="J14" s="63">
        <f>COUNTIFS(Cliente!$K:$K,Rede!$E14,Cliente!$S:$S,"&gt;=0,01")</f>
        <v>6</v>
      </c>
      <c r="K14" s="142">
        <f>IFERROR(AVERAGEIFS(Cliente!$S:$S,Cliente!$K:$K,Rede!$E14,Cliente!$S:$S,"&gt;0"),0)</f>
        <v>64.615833333333327</v>
      </c>
      <c r="L14" s="52">
        <f>COUNTIF(Cliente!$K:$K,Rede!$E14)</f>
        <v>6</v>
      </c>
      <c r="M14" s="63">
        <f>COUNTIFS(Cliente!$K:$K,Rede!$E14,Cliente!$Y:$Y,"&gt;=0,01")</f>
        <v>6</v>
      </c>
      <c r="N14" s="142">
        <f>IFERROR(AVERAGEIFS(Cliente!$Y:$Y,Cliente!$K:$K,Rede!$E14,Cliente!$Y:$Y,"&gt;0"),0)</f>
        <v>77.273333333333355</v>
      </c>
      <c r="O14" s="52">
        <f>COUNTIF(Cliente!$K:$K,Rede!$E14)</f>
        <v>6</v>
      </c>
      <c r="P14" s="63">
        <f>COUNTIFS(Cliente!$K:$K,Rede!$E14,Cliente!$AE:$AE,"&gt;=0,01")</f>
        <v>6</v>
      </c>
      <c r="Q14" s="142">
        <f>IFERROR(AVERAGEIFS(Cliente!$AE:$AE,Cliente!$K:$K,Rede!$E14,Cliente!$AE:$AE,"&gt;0"),0)</f>
        <v>82.015000000000001</v>
      </c>
      <c r="R14" s="52">
        <f>COUNTIF(Cliente!$K:$K,Rede!$E14)</f>
        <v>6</v>
      </c>
      <c r="S14" s="63">
        <f>SUMIF(Cliente!$K:$K,Rede!$E14,Cliente!$AH:$AH)</f>
        <v>4</v>
      </c>
      <c r="T14" s="105">
        <f t="shared" si="3"/>
        <v>65.317916666666676</v>
      </c>
      <c r="U14" s="52">
        <f>COUNTIF(Cliente!$K:$K,Rede!$E14)</f>
        <v>6</v>
      </c>
      <c r="V14" s="63">
        <f>COUNTIFS(Cliente!$K:$K,Rede!$E14,Cliente!$AN:$AN,"&gt;=0,01")</f>
        <v>4</v>
      </c>
      <c r="W14" s="105">
        <f>IFERROR(AVERAGEIFS(Cliente!$AN:$AN,Cliente!$K:$K,Rede!$E14,Cliente!AN:AN,"&gt;0"),0)</f>
        <v>65.758749999999992</v>
      </c>
      <c r="X14" s="52">
        <f>COUNTIF(Cliente!$K:$K,Rede!$E14)</f>
        <v>6</v>
      </c>
      <c r="Y14" s="63">
        <f>COUNTIFS(Cliente!$K:$K,Rede!$E14,Cliente!$AU:$AU,"&gt;=0,01")</f>
        <v>6</v>
      </c>
      <c r="Z14" s="105">
        <f>IFERROR(AVERAGEIFS(Cliente!$AU:$AU,Cliente!$K:$K,Rede!$E14,Cliente!$AU:$AU,"&gt;0"),0)</f>
        <v>50.06</v>
      </c>
      <c r="AA14" s="52">
        <f>COUNTIF(Cliente!$K:$K,Rede!$E14)</f>
        <v>6</v>
      </c>
      <c r="AB14" s="63">
        <f>COUNTIFS(Cliente!$K:$K,Rede!$E14,Cliente!$BB:$BB,"&gt;=0,01")</f>
        <v>6</v>
      </c>
      <c r="AC14" s="105">
        <f>IFERROR(AVERAGEIFS(Cliente!$BB:$BB,Cliente!$K:$K,Rede!$E14,Cliente!$BB:$BB,"&gt;0"),0)</f>
        <v>80.135000000000005</v>
      </c>
      <c r="AD14" s="52">
        <f>COUNTIF(Cliente!$K:$K,Rede!$E14)</f>
        <v>6</v>
      </c>
      <c r="AE14" s="63">
        <f>SUMIF(Cliente!$K:$K,Rede!$E14,Cliente!$BE:$BE)</f>
        <v>6</v>
      </c>
      <c r="AF14" s="105">
        <f t="shared" si="0"/>
        <v>74.015277777777783</v>
      </c>
      <c r="AG14" s="52">
        <f>COUNTIF(Cliente!$K:$K,Rede!$E14)</f>
        <v>6</v>
      </c>
      <c r="AH14" s="63">
        <f>COUNTIFS(Cliente!$K:$K,Rede!$E14,Cliente!$BL:$BL,"&gt;=0,01")</f>
        <v>6</v>
      </c>
      <c r="AI14" s="105">
        <f>IFERROR(AVERAGEIFS(Cliente!$BL:$BL,Cliente!$K:$K,Rede!$E14,Cliente!$BL:$BL,"&gt;0"),0)</f>
        <v>70.141666666666666</v>
      </c>
      <c r="AJ14" s="52">
        <f>COUNTIF(Cliente!$K:$K,Rede!$E14)</f>
        <v>6</v>
      </c>
      <c r="AK14" s="63">
        <f>COUNTIFS(Cliente!$K:$K,Rede!$E14,Cliente!$BS:$BS,"&gt;=0,01")</f>
        <v>6</v>
      </c>
      <c r="AL14" s="105">
        <f>IFERROR(AVERAGEIFS(Cliente!$BS:$BS,Cliente!$K:$K,Rede!$E14,Cliente!$BS:$BS,"&gt;0"),0)</f>
        <v>70.13333333333334</v>
      </c>
      <c r="AM14" s="52">
        <f>COUNTIF(Cliente!$K:$K,Rede!$E14)</f>
        <v>6</v>
      </c>
      <c r="AN14" s="63">
        <f>COUNTIFS(Cliente!$K:$K,Rede!$E14,Cliente!$BZ:$BZ,"&gt;=0,01")</f>
        <v>6</v>
      </c>
      <c r="AO14" s="105">
        <f>IFERROR(AVERAGEIFS(Cliente!$BZ:$BZ,Cliente!$K:$K,Rede!$E14,Cliente!$BZ:$BZ,"&gt;0"),0)</f>
        <v>81.770833333333329</v>
      </c>
      <c r="AP14" s="52">
        <f>COUNTIF(Cliente!$K:$K,Rede!$E14)</f>
        <v>6</v>
      </c>
      <c r="AQ14" s="63">
        <f>SUMIF(Cliente!$K:$K,Rede!$E14,Cliente!$CC:$CC)</f>
        <v>0</v>
      </c>
      <c r="AR14" s="105">
        <f t="shared" si="1"/>
        <v>44.910277777777786</v>
      </c>
      <c r="AS14" s="52">
        <f>COUNTIF(Cliente!$K:$K,Rede!$E14)</f>
        <v>6</v>
      </c>
      <c r="AT14" s="63">
        <f>COUNTIFS(Cliente!$K:$K,Rede!$E14,Cliente!$CL:$CL,"&gt;=0,01")</f>
        <v>6</v>
      </c>
      <c r="AU14" s="105">
        <f>IFERROR(AVERAGEIFS(Cliente!$CL:$CL,Cliente!$K:$K,Rede!$E14,Cliente!$CL:$CL,"&gt;0"),0)</f>
        <v>68.993333333333339</v>
      </c>
      <c r="AV14" s="52">
        <f>COUNTIF(Cliente!$K:$K,Rede!$E14)</f>
        <v>6</v>
      </c>
      <c r="AW14" s="63">
        <f>COUNTIFS(Cliente!$K:$K,Rede!$E14,Cliente!$CU:$CU,"&gt;=0,01")</f>
        <v>6</v>
      </c>
      <c r="AX14" s="105">
        <f>IFERROR(AVERAGEIFS(Cliente!$CU:$CU,Cliente!$K:$K,Rede!$E14,Cliente!$CU:$CU,"&gt;0"),0)</f>
        <v>65.737499999999997</v>
      </c>
      <c r="AY14" s="52">
        <f>COUNTIF(Cliente!$K:$K,Rede!$E14)</f>
        <v>6</v>
      </c>
      <c r="AZ14" s="63">
        <f>COUNTIFS(Cliente!$K:$K,Rede!$E14,Cliente!$DD:$DD,"&gt;=0,01")</f>
        <v>0</v>
      </c>
      <c r="BA14" s="105">
        <f>IFERROR(AVERAGEIFS(Cliente!$DD:$DD,Cliente!$K:$K,Rede!$E14,Cliente!$DD:$DD,"&gt;0"),0)</f>
        <v>0</v>
      </c>
    </row>
    <row r="15" spans="2:53" x14ac:dyDescent="0.35">
      <c r="B15" s="23" t="s">
        <v>42</v>
      </c>
      <c r="C15" s="21">
        <v>359</v>
      </c>
      <c r="D15" s="21" t="s">
        <v>433</v>
      </c>
      <c r="E15" s="34" t="s">
        <v>52</v>
      </c>
      <c r="F15" s="52">
        <f>COUNTIF(Cliente!$K:$K,Rede!$E15)</f>
        <v>2</v>
      </c>
      <c r="G15" s="63">
        <f>SUMIF(Cliente!$K:$K,Rede!$E15,Cliente!$M:$M)</f>
        <v>2</v>
      </c>
      <c r="H15" s="142">
        <f t="shared" si="2"/>
        <v>71.154583333333335</v>
      </c>
      <c r="I15" s="52">
        <f>COUNTIF(Cliente!$K:$K,Rede!$E15)</f>
        <v>2</v>
      </c>
      <c r="J15" s="63">
        <f>COUNTIFS(Cliente!$K:$K,Rede!$E15,Cliente!$S:$S,"&gt;=0,01")</f>
        <v>2</v>
      </c>
      <c r="K15" s="142">
        <f>IFERROR(AVERAGEIFS(Cliente!$S:$S,Cliente!$K:$K,Rede!$E15,Cliente!$S:$S,"&gt;0"),0)</f>
        <v>75.867500000000007</v>
      </c>
      <c r="L15" s="52">
        <f>COUNTIF(Cliente!$K:$K,Rede!$E15)</f>
        <v>2</v>
      </c>
      <c r="M15" s="63">
        <f>COUNTIFS(Cliente!$K:$K,Rede!$E15,Cliente!$Y:$Y,"&gt;=0,01")</f>
        <v>2</v>
      </c>
      <c r="N15" s="142">
        <f>IFERROR(AVERAGEIFS(Cliente!$Y:$Y,Cliente!$K:$K,Rede!$E15,Cliente!$Y:$Y,"&gt;0"),0)</f>
        <v>60.866250000000008</v>
      </c>
      <c r="O15" s="52">
        <f>COUNTIF(Cliente!$K:$K,Rede!$E15)</f>
        <v>2</v>
      </c>
      <c r="P15" s="63">
        <f>COUNTIFS(Cliente!$K:$K,Rede!$E15,Cliente!$AE:$AE,"&gt;=0,01")</f>
        <v>2</v>
      </c>
      <c r="Q15" s="142">
        <f>IFERROR(AVERAGEIFS(Cliente!$AE:$AE,Cliente!$K:$K,Rede!$E15,Cliente!$AE:$AE,"&gt;0"),0)</f>
        <v>76.73</v>
      </c>
      <c r="R15" s="52">
        <f>COUNTIF(Cliente!$K:$K,Rede!$E15)</f>
        <v>2</v>
      </c>
      <c r="S15" s="63">
        <f>SUMIF(Cliente!$K:$K,Rede!$E15,Cliente!$AH:$AH)</f>
        <v>2</v>
      </c>
      <c r="T15" s="105">
        <f t="shared" si="3"/>
        <v>71.6875</v>
      </c>
      <c r="U15" s="52">
        <f>COUNTIF(Cliente!$K:$K,Rede!$E15)</f>
        <v>2</v>
      </c>
      <c r="V15" s="63">
        <f>COUNTIFS(Cliente!$K:$K,Rede!$E15,Cliente!$AN:$AN,"&gt;=0,01")</f>
        <v>2</v>
      </c>
      <c r="W15" s="105">
        <f>IFERROR(AVERAGEIFS(Cliente!$AN:$AN,Cliente!$K:$K,Rede!$E15,Cliente!AN:AN,"&gt;0"),0)</f>
        <v>63.612499999999997</v>
      </c>
      <c r="X15" s="52">
        <f>COUNTIF(Cliente!$K:$K,Rede!$E15)</f>
        <v>2</v>
      </c>
      <c r="Y15" s="63">
        <f>COUNTIFS(Cliente!$K:$K,Rede!$E15,Cliente!$AU:$AU,"&gt;=0,01")</f>
        <v>2</v>
      </c>
      <c r="Z15" s="105">
        <f>IFERROR(AVERAGEIFS(Cliente!$AU:$AU,Cliente!$K:$K,Rede!$E15,Cliente!$AU:$AU,"&gt;0"),0)</f>
        <v>63.197500000000005</v>
      </c>
      <c r="AA15" s="52">
        <f>COUNTIF(Cliente!$K:$K,Rede!$E15)</f>
        <v>2</v>
      </c>
      <c r="AB15" s="63">
        <f>COUNTIFS(Cliente!$K:$K,Rede!$E15,Cliente!$BB:$BB,"&gt;=0,01")</f>
        <v>2</v>
      </c>
      <c r="AC15" s="105">
        <f>IFERROR(AVERAGEIFS(Cliente!$BB:$BB,Cliente!$K:$K,Rede!$E15,Cliente!$BB:$BB,"&gt;0"),0)</f>
        <v>88.252499999999998</v>
      </c>
      <c r="AD15" s="52">
        <f>COUNTIF(Cliente!$K:$K,Rede!$E15)</f>
        <v>2</v>
      </c>
      <c r="AE15" s="63">
        <f>SUMIF(Cliente!$K:$K,Rede!$E15,Cliente!$BE:$BE)</f>
        <v>2</v>
      </c>
      <c r="AF15" s="105">
        <f t="shared" si="0"/>
        <v>90.820833333333326</v>
      </c>
      <c r="AG15" s="52">
        <f>COUNTIF(Cliente!$K:$K,Rede!$E15)</f>
        <v>2</v>
      </c>
      <c r="AH15" s="63">
        <f>COUNTIFS(Cliente!$K:$K,Rede!$E15,Cliente!$BL:$BL,"&gt;=0,01")</f>
        <v>2</v>
      </c>
      <c r="AI15" s="105">
        <f>IFERROR(AVERAGEIFS(Cliente!$BL:$BL,Cliente!$K:$K,Rede!$E15,Cliente!$BL:$BL,"&gt;0"),0)</f>
        <v>87.462500000000006</v>
      </c>
      <c r="AJ15" s="52">
        <f>COUNTIF(Cliente!$K:$K,Rede!$E15)</f>
        <v>2</v>
      </c>
      <c r="AK15" s="63">
        <f>COUNTIFS(Cliente!$K:$K,Rede!$E15,Cliente!$BS:$BS,"&gt;=0,01")</f>
        <v>2</v>
      </c>
      <c r="AL15" s="105">
        <f>IFERROR(AVERAGEIFS(Cliente!$BS:$BS,Cliente!$K:$K,Rede!$E15,Cliente!$BS:$BS,"&gt;0"),0)</f>
        <v>92.300000000000011</v>
      </c>
      <c r="AM15" s="52">
        <f>COUNTIF(Cliente!$K:$K,Rede!$E15)</f>
        <v>2</v>
      </c>
      <c r="AN15" s="63">
        <f>COUNTIFS(Cliente!$K:$K,Rede!$E15,Cliente!$BZ:$BZ,"&gt;=0,01")</f>
        <v>2</v>
      </c>
      <c r="AO15" s="105">
        <f>IFERROR(AVERAGEIFS(Cliente!$BZ:$BZ,Cliente!$K:$K,Rede!$E15,Cliente!$BZ:$BZ,"&gt;0"),0)</f>
        <v>92.699999999999989</v>
      </c>
      <c r="AP15" s="52">
        <f>COUNTIF(Cliente!$K:$K,Rede!$E15)</f>
        <v>2</v>
      </c>
      <c r="AQ15" s="63">
        <f>SUMIF(Cliente!$K:$K,Rede!$E15,Cliente!$CC:$CC)</f>
        <v>2</v>
      </c>
      <c r="AR15" s="105">
        <f t="shared" si="1"/>
        <v>97.533333333333346</v>
      </c>
      <c r="AS15" s="52">
        <f>COUNTIF(Cliente!$K:$K,Rede!$E15)</f>
        <v>2</v>
      </c>
      <c r="AT15" s="63">
        <f>COUNTIFS(Cliente!$K:$K,Rede!$E15,Cliente!$CL:$CL,"&gt;=0,01")</f>
        <v>2</v>
      </c>
      <c r="AU15" s="105">
        <f>IFERROR(AVERAGEIFS(Cliente!$CL:$CL,Cliente!$K:$K,Rede!$E15,Cliente!$CL:$CL,"&gt;0"),0)</f>
        <v>93.199999999999989</v>
      </c>
      <c r="AV15" s="52">
        <f>COUNTIF(Cliente!$K:$K,Rede!$E15)</f>
        <v>2</v>
      </c>
      <c r="AW15" s="63">
        <f>COUNTIFS(Cliente!$K:$K,Rede!$E15,Cliente!$CU:$CU,"&gt;=0,01")</f>
        <v>2</v>
      </c>
      <c r="AX15" s="105">
        <f>IFERROR(AVERAGEIFS(Cliente!$CU:$CU,Cliente!$K:$K,Rede!$E15,Cliente!$CU:$CU,"&gt;0"),0)</f>
        <v>99.4</v>
      </c>
      <c r="AY15" s="52">
        <f>COUNTIF(Cliente!$K:$K,Rede!$E15)</f>
        <v>2</v>
      </c>
      <c r="AZ15" s="63">
        <f>COUNTIFS(Cliente!$K:$K,Rede!$E15,Cliente!$DD:$DD,"&gt;=0,01")</f>
        <v>2</v>
      </c>
      <c r="BA15" s="105">
        <f>IFERROR(AVERAGEIFS(Cliente!$DD:$DD,Cliente!$K:$K,Rede!$E15,Cliente!$DD:$DD,"&gt;0"),0)</f>
        <v>100</v>
      </c>
    </row>
    <row r="16" spans="2:53" x14ac:dyDescent="0.35">
      <c r="B16" s="23" t="s">
        <v>42</v>
      </c>
      <c r="C16" s="21">
        <v>359</v>
      </c>
      <c r="D16" s="21" t="s">
        <v>433</v>
      </c>
      <c r="E16" s="34" t="s">
        <v>57</v>
      </c>
      <c r="F16" s="52">
        <f>COUNTIF(Cliente!$K:$K,Rede!$E16)</f>
        <v>1</v>
      </c>
      <c r="G16" s="63">
        <f>SUMIF(Cliente!$K:$K,Rede!$E16,Cliente!$M:$M)</f>
        <v>1</v>
      </c>
      <c r="H16" s="142">
        <f t="shared" si="2"/>
        <v>64.351666666666674</v>
      </c>
      <c r="I16" s="52">
        <f>COUNTIF(Cliente!$K:$K,Rede!$E16)</f>
        <v>1</v>
      </c>
      <c r="J16" s="63">
        <f>COUNTIFS(Cliente!$K:$K,Rede!$E16,Cliente!$S:$S,"&gt;=0,01")</f>
        <v>1</v>
      </c>
      <c r="K16" s="142">
        <f>IFERROR(AVERAGEIFS(Cliente!$S:$S,Cliente!$K:$K,Rede!$E16,Cliente!$S:$S,"&gt;0"),0)</f>
        <v>46.01</v>
      </c>
      <c r="L16" s="52">
        <f>COUNTIF(Cliente!$K:$K,Rede!$E16)</f>
        <v>1</v>
      </c>
      <c r="M16" s="63">
        <f>COUNTIFS(Cliente!$K:$K,Rede!$E16,Cliente!$Y:$Y,"&gt;=0,01")</f>
        <v>1</v>
      </c>
      <c r="N16" s="142">
        <f>IFERROR(AVERAGEIFS(Cliente!$Y:$Y,Cliente!$K:$K,Rede!$E16,Cliente!$Y:$Y,"&gt;0"),0)</f>
        <v>65.710000000000008</v>
      </c>
      <c r="O16" s="52">
        <f>COUNTIF(Cliente!$K:$K,Rede!$E16)</f>
        <v>1</v>
      </c>
      <c r="P16" s="63">
        <f>COUNTIFS(Cliente!$K:$K,Rede!$E16,Cliente!$AE:$AE,"&gt;=0,01")</f>
        <v>1</v>
      </c>
      <c r="Q16" s="142">
        <f>IFERROR(AVERAGEIFS(Cliente!$AE:$AE,Cliente!$K:$K,Rede!$E16,Cliente!$AE:$AE,"&gt;0"),0)</f>
        <v>81.335000000000008</v>
      </c>
      <c r="R16" s="52">
        <f>COUNTIF(Cliente!$K:$K,Rede!$E16)</f>
        <v>1</v>
      </c>
      <c r="S16" s="63">
        <f>SUMIF(Cliente!$K:$K,Rede!$E16,Cliente!$AH:$AH)</f>
        <v>1</v>
      </c>
      <c r="T16" s="105">
        <f t="shared" si="3"/>
        <v>61.77</v>
      </c>
      <c r="U16" s="52">
        <f>COUNTIF(Cliente!$K:$K,Rede!$E16)</f>
        <v>1</v>
      </c>
      <c r="V16" s="63">
        <f>COUNTIFS(Cliente!$K:$K,Rede!$E16,Cliente!$AN:$AN,"&gt;=0,01")</f>
        <v>1</v>
      </c>
      <c r="W16" s="105">
        <f>IFERROR(AVERAGEIFS(Cliente!$AN:$AN,Cliente!$K:$K,Rede!$E16,Cliente!AN:AN,"&gt;0"),0)</f>
        <v>63.06</v>
      </c>
      <c r="X16" s="52">
        <f>COUNTIF(Cliente!$K:$K,Rede!$E16)</f>
        <v>1</v>
      </c>
      <c r="Y16" s="63">
        <f>COUNTIFS(Cliente!$K:$K,Rede!$E16,Cliente!$AU:$AU,"&gt;=0,01")</f>
        <v>1</v>
      </c>
      <c r="Z16" s="105">
        <f>IFERROR(AVERAGEIFS(Cliente!$AU:$AU,Cliente!$K:$K,Rede!$E16,Cliente!$AU:$AU,"&gt;0"),0)</f>
        <v>62.224999999999994</v>
      </c>
      <c r="AA16" s="52">
        <f>COUNTIF(Cliente!$K:$K,Rede!$E16)</f>
        <v>1</v>
      </c>
      <c r="AB16" s="63">
        <f>COUNTIFS(Cliente!$K:$K,Rede!$E16,Cliente!$BB:$BB,"&gt;=0,01")</f>
        <v>1</v>
      </c>
      <c r="AC16" s="105">
        <f>IFERROR(AVERAGEIFS(Cliente!$BB:$BB,Cliente!$K:$K,Rede!$E16,Cliente!$BB:$BB,"&gt;0"),0)</f>
        <v>60.024999999999999</v>
      </c>
      <c r="AD16" s="52">
        <f>COUNTIF(Cliente!$K:$K,Rede!$E16)</f>
        <v>1</v>
      </c>
      <c r="AE16" s="63">
        <f>SUMIF(Cliente!$K:$K,Rede!$E16,Cliente!$BE:$BE)</f>
        <v>1</v>
      </c>
      <c r="AF16" s="105">
        <f t="shared" si="0"/>
        <v>73.096666666666678</v>
      </c>
      <c r="AG16" s="52">
        <f>COUNTIF(Cliente!$K:$K,Rede!$E16)</f>
        <v>1</v>
      </c>
      <c r="AH16" s="63">
        <f>COUNTIFS(Cliente!$K:$K,Rede!$E16,Cliente!$BL:$BL,"&gt;=0,01")</f>
        <v>1</v>
      </c>
      <c r="AI16" s="105">
        <f>IFERROR(AVERAGEIFS(Cliente!$BL:$BL,Cliente!$K:$K,Rede!$E16,Cliente!$BL:$BL,"&gt;0"),0)</f>
        <v>60.09</v>
      </c>
      <c r="AJ16" s="52">
        <f>COUNTIF(Cliente!$K:$K,Rede!$E16)</f>
        <v>1</v>
      </c>
      <c r="AK16" s="63">
        <f>COUNTIFS(Cliente!$K:$K,Rede!$E16,Cliente!$BS:$BS,"&gt;=0,01")</f>
        <v>1</v>
      </c>
      <c r="AL16" s="105">
        <f>IFERROR(AVERAGEIFS(Cliente!$BS:$BS,Cliente!$K:$K,Rede!$E16,Cliente!$BS:$BS,"&gt;0"),0)</f>
        <v>75.400000000000006</v>
      </c>
      <c r="AM16" s="52">
        <f>COUNTIF(Cliente!$K:$K,Rede!$E16)</f>
        <v>1</v>
      </c>
      <c r="AN16" s="63">
        <f>COUNTIFS(Cliente!$K:$K,Rede!$E16,Cliente!$BZ:$BZ,"&gt;=0,01")</f>
        <v>1</v>
      </c>
      <c r="AO16" s="105">
        <f>IFERROR(AVERAGEIFS(Cliente!$BZ:$BZ,Cliente!$K:$K,Rede!$E16,Cliente!$BZ:$BZ,"&gt;0"),0)</f>
        <v>83.8</v>
      </c>
      <c r="AP16" s="52">
        <f>COUNTIF(Cliente!$K:$K,Rede!$E16)</f>
        <v>1</v>
      </c>
      <c r="AQ16" s="63">
        <f>SUMIF(Cliente!$K:$K,Rede!$E16,Cliente!$CC:$CC)</f>
        <v>1</v>
      </c>
      <c r="AR16" s="105">
        <f t="shared" si="1"/>
        <v>87.941666666666677</v>
      </c>
      <c r="AS16" s="52">
        <f>COUNTIF(Cliente!$K:$K,Rede!$E16)</f>
        <v>1</v>
      </c>
      <c r="AT16" s="63">
        <f>COUNTIFS(Cliente!$K:$K,Rede!$E16,Cliente!$CL:$CL,"&gt;=0,01")</f>
        <v>1</v>
      </c>
      <c r="AU16" s="105">
        <f>IFERROR(AVERAGEIFS(Cliente!$CL:$CL,Cliente!$K:$K,Rede!$E16,Cliente!$CL:$CL,"&gt;0"),0)</f>
        <v>90.4</v>
      </c>
      <c r="AV16" s="52">
        <f>COUNTIF(Cliente!$K:$K,Rede!$E16)</f>
        <v>1</v>
      </c>
      <c r="AW16" s="63">
        <f>COUNTIFS(Cliente!$K:$K,Rede!$E16,Cliente!$CU:$CU,"&gt;=0,01")</f>
        <v>1</v>
      </c>
      <c r="AX16" s="105">
        <f>IFERROR(AVERAGEIFS(Cliente!$CU:$CU,Cliente!$K:$K,Rede!$E16,Cliente!$CU:$CU,"&gt;0"),0)</f>
        <v>83.825000000000003</v>
      </c>
      <c r="AY16" s="52">
        <f>COUNTIF(Cliente!$K:$K,Rede!$E16)</f>
        <v>1</v>
      </c>
      <c r="AZ16" s="63">
        <f>COUNTIFS(Cliente!$K:$K,Rede!$E16,Cliente!$DD:$DD,"&gt;=0,01")</f>
        <v>1</v>
      </c>
      <c r="BA16" s="105">
        <f>IFERROR(AVERAGEIFS(Cliente!$DD:$DD,Cliente!$K:$K,Rede!$E16,Cliente!$DD:$DD,"&gt;0"),0)</f>
        <v>89.6</v>
      </c>
    </row>
    <row r="17" spans="2:53" x14ac:dyDescent="0.35">
      <c r="B17" s="23" t="s">
        <v>42</v>
      </c>
      <c r="C17" s="21">
        <v>359</v>
      </c>
      <c r="D17" s="21" t="s">
        <v>433</v>
      </c>
      <c r="E17" s="34" t="s">
        <v>49</v>
      </c>
      <c r="F17" s="52">
        <f>COUNTIF(Cliente!$K:$K,Rede!$E17)</f>
        <v>4</v>
      </c>
      <c r="G17" s="63">
        <f>SUMIF(Cliente!$K:$K,Rede!$E17,Cliente!$M:$M)</f>
        <v>4</v>
      </c>
      <c r="H17" s="142">
        <f t="shared" ref="H17" si="4">IFERROR(AVERAGE(K17,N17,Q17),"")</f>
        <v>73.225000000000009</v>
      </c>
      <c r="I17" s="52">
        <f>COUNTIF(Cliente!$K:$K,Rede!$E17)</f>
        <v>4</v>
      </c>
      <c r="J17" s="63">
        <f>COUNTIFS(Cliente!$K:$K,Rede!$E17,Cliente!$S:$S,"&gt;=0,01")</f>
        <v>4</v>
      </c>
      <c r="K17" s="142">
        <f>IFERROR(AVERAGEIFS(Cliente!$S:$S,Cliente!$K:$K,Rede!$E17,Cliente!$S:$S,"&gt;0"),0)</f>
        <v>71.638749999999987</v>
      </c>
      <c r="L17" s="52">
        <f>COUNTIF(Cliente!$K:$K,Rede!$E17)</f>
        <v>4</v>
      </c>
      <c r="M17" s="63">
        <f>COUNTIFS(Cliente!$K:$K,Rede!$E17,Cliente!$Y:$Y,"&gt;=0,01")</f>
        <v>4</v>
      </c>
      <c r="N17" s="142">
        <f>IFERROR(AVERAGEIFS(Cliente!$Y:$Y,Cliente!$K:$K,Rede!$E17,Cliente!$Y:$Y,"&gt;0"),0)</f>
        <v>72.846249999999998</v>
      </c>
      <c r="O17" s="52">
        <f>COUNTIF(Cliente!$K:$K,Rede!$E17)</f>
        <v>4</v>
      </c>
      <c r="P17" s="63">
        <f>COUNTIFS(Cliente!$K:$K,Rede!$E17,Cliente!$AE:$AE,"&gt;=0,01")</f>
        <v>4</v>
      </c>
      <c r="Q17" s="142">
        <f>IFERROR(AVERAGEIFS(Cliente!$AE:$AE,Cliente!$K:$K,Rede!$E17,Cliente!$AE:$AE,"&gt;0"),0)</f>
        <v>75.190000000000012</v>
      </c>
      <c r="R17" s="52">
        <f>COUNTIF(Cliente!$K:$K,Rede!$E17)</f>
        <v>4</v>
      </c>
      <c r="S17" s="63">
        <f>SUMIF(Cliente!$K:$K,Rede!$E17,Cliente!$AH:$AH)</f>
        <v>0</v>
      </c>
      <c r="T17" s="105">
        <f t="shared" ref="T17" si="5">IFERROR(AVERAGE(W17,Z17,AC17),"")</f>
        <v>40.865000000000002</v>
      </c>
      <c r="U17" s="52">
        <f>COUNTIF(Cliente!$K:$K,Rede!$E17)</f>
        <v>4</v>
      </c>
      <c r="V17" s="63">
        <f>COUNTIFS(Cliente!$K:$K,Rede!$E17,Cliente!$AN:$AN,"&gt;=0,01")</f>
        <v>0</v>
      </c>
      <c r="W17" s="105">
        <f>IFERROR(AVERAGEIFS(Cliente!$AN:$AN,Cliente!$K:$K,Rede!$E17,Cliente!AN:AN,"&gt;0"),0)</f>
        <v>0</v>
      </c>
      <c r="X17" s="52">
        <f>COUNTIF(Cliente!$K:$K,Rede!$E17)</f>
        <v>4</v>
      </c>
      <c r="Y17" s="63">
        <f>COUNTIFS(Cliente!$K:$K,Rede!$E17,Cliente!$AU:$AU,"&gt;=0,01")</f>
        <v>4</v>
      </c>
      <c r="Z17" s="105">
        <f>IFERROR(AVERAGEIFS(Cliente!$AU:$AU,Cliente!$K:$K,Rede!$E17,Cliente!$AU:$AU,"&gt;0"),0)</f>
        <v>59.121250000000003</v>
      </c>
      <c r="AA17" s="52">
        <f>COUNTIF(Cliente!$K:$K,Rede!$E17)</f>
        <v>4</v>
      </c>
      <c r="AB17" s="63">
        <f>COUNTIFS(Cliente!$K:$K,Rede!$E17,Cliente!$BB:$BB,"&gt;=0,01")</f>
        <v>4</v>
      </c>
      <c r="AC17" s="105">
        <f>IFERROR(AVERAGEIFS(Cliente!$BB:$BB,Cliente!$K:$K,Rede!$E17,Cliente!$BB:$BB,"&gt;0"),0)</f>
        <v>63.473749999999995</v>
      </c>
      <c r="AD17" s="52">
        <f>COUNTIF(Cliente!$K:$K,Rede!$E17)</f>
        <v>4</v>
      </c>
      <c r="AE17" s="63">
        <f>SUMIF(Cliente!$K:$K,Rede!$E17,Cliente!$BE:$BE)</f>
        <v>0</v>
      </c>
      <c r="AF17" s="105">
        <f t="shared" ref="AF17" si="6">IFERROR(AVERAGE(AI17,AL17,AO17),"")</f>
        <v>27.8</v>
      </c>
      <c r="AG17" s="52">
        <f>COUNTIF(Cliente!$K:$K,Rede!$E17)</f>
        <v>4</v>
      </c>
      <c r="AH17" s="63">
        <f>COUNTIFS(Cliente!$K:$K,Rede!$E17,Cliente!$BL:$BL,"&gt;=0,01")</f>
        <v>0</v>
      </c>
      <c r="AI17" s="105">
        <f>IFERROR(AVERAGEIFS(Cliente!$BL:$BL,Cliente!$K:$K,Rede!$E17,Cliente!$BL:$BL,"&gt;0"),0)</f>
        <v>0</v>
      </c>
      <c r="AJ17" s="52">
        <f>COUNTIF(Cliente!$K:$K,Rede!$E17)</f>
        <v>4</v>
      </c>
      <c r="AK17" s="63">
        <f>COUNTIFS(Cliente!$K:$K,Rede!$E17,Cliente!$BS:$BS,"&gt;=0,01")</f>
        <v>0</v>
      </c>
      <c r="AL17" s="105">
        <f>IFERROR(AVERAGEIFS(Cliente!$BS:$BS,Cliente!$K:$K,Rede!$E17,Cliente!$BS:$BS,"&gt;0"),0)</f>
        <v>0</v>
      </c>
      <c r="AM17" s="52">
        <f>COUNTIF(Cliente!$K:$K,Rede!$E17)</f>
        <v>4</v>
      </c>
      <c r="AN17" s="63">
        <f>COUNTIFS(Cliente!$K:$K,Rede!$E17,Cliente!$BZ:$BZ,"&gt;=0,01")</f>
        <v>1</v>
      </c>
      <c r="AO17" s="105">
        <f>IFERROR(AVERAGEIFS(Cliente!$BZ:$BZ,Cliente!$K:$K,Rede!$E17,Cliente!$BZ:$BZ,"&gt;0"),0)</f>
        <v>83.4</v>
      </c>
      <c r="AP17" s="52">
        <f>COUNTIF(Cliente!$K:$K,Rede!$E17)</f>
        <v>4</v>
      </c>
      <c r="AQ17" s="63">
        <f>SUMIF(Cliente!$K:$K,Rede!$E17,Cliente!$CC:$CC)</f>
        <v>1</v>
      </c>
      <c r="AR17" s="105">
        <f t="shared" ref="AR17" si="7">IFERROR(AVERAGE(AU17,AX17,BA17),"")</f>
        <v>89.147222222222226</v>
      </c>
      <c r="AS17" s="52">
        <f>COUNTIF(Cliente!$K:$K,Rede!$E17)</f>
        <v>4</v>
      </c>
      <c r="AT17" s="63">
        <f>COUNTIFS(Cliente!$K:$K,Rede!$E17,Cliente!$CL:$CL,"&gt;=0,01")</f>
        <v>1</v>
      </c>
      <c r="AU17" s="105">
        <f>IFERROR(AVERAGEIFS(Cliente!$CL:$CL,Cliente!$K:$K,Rede!$E17,Cliente!$CL:$CL,"&gt;0"),0)</f>
        <v>92.2</v>
      </c>
      <c r="AV17" s="52">
        <f>COUNTIF(Cliente!$K:$K,Rede!$E17)</f>
        <v>4</v>
      </c>
      <c r="AW17" s="63">
        <f>COUNTIFS(Cliente!$K:$K,Rede!$E17,Cliente!$CU:$CU,"&gt;=0,01")</f>
        <v>2</v>
      </c>
      <c r="AX17" s="105">
        <f>IFERROR(AVERAGEIFS(Cliente!$CU:$CU,Cliente!$K:$K,Rede!$E17,Cliente!$CU:$CU,"&gt;0"),0)</f>
        <v>87.825000000000003</v>
      </c>
      <c r="AY17" s="52">
        <f>COUNTIF(Cliente!$K:$K,Rede!$E17)</f>
        <v>4</v>
      </c>
      <c r="AZ17" s="63">
        <f>COUNTIFS(Cliente!$K:$K,Rede!$E17,Cliente!$DD:$DD,"&gt;=0,01")</f>
        <v>3</v>
      </c>
      <c r="BA17" s="105">
        <f>IFERROR(AVERAGEIFS(Cliente!$DD:$DD,Cliente!$K:$K,Rede!$E17,Cliente!$DD:$DD,"&gt;0"),0)</f>
        <v>87.416666666666671</v>
      </c>
    </row>
    <row r="18" spans="2:53" x14ac:dyDescent="0.35">
      <c r="B18" s="23" t="s">
        <v>42</v>
      </c>
      <c r="C18" s="21">
        <v>3655</v>
      </c>
      <c r="D18" s="21" t="s">
        <v>434</v>
      </c>
      <c r="E18" s="34" t="s">
        <v>81</v>
      </c>
      <c r="F18" s="52">
        <f>COUNTIF(Cliente!$K:$K,Rede!$E18)</f>
        <v>24</v>
      </c>
      <c r="G18" s="63">
        <f>SUMIF(Cliente!$K:$K,Rede!$E18,Cliente!$M:$M)</f>
        <v>20</v>
      </c>
      <c r="H18" s="142">
        <f t="shared" si="2"/>
        <v>69.312145833333332</v>
      </c>
      <c r="I18" s="52">
        <f>COUNTIF(Cliente!$K:$K,Rede!$E18)</f>
        <v>24</v>
      </c>
      <c r="J18" s="63">
        <f>COUNTIFS(Cliente!$K:$K,Rede!$E18,Cliente!$S:$S,"&gt;=0,01")</f>
        <v>24</v>
      </c>
      <c r="K18" s="142">
        <f>IFERROR(AVERAGEIFS(Cliente!$S:$S,Cliente!$K:$K,Rede!$E18,Cliente!$S:$S,"&gt;0"),0)</f>
        <v>65.034895833333323</v>
      </c>
      <c r="L18" s="52">
        <f>COUNTIF(Cliente!$K:$K,Rede!$E18)</f>
        <v>24</v>
      </c>
      <c r="M18" s="63">
        <f>COUNTIFS(Cliente!$K:$K,Rede!$E18,Cliente!$Y:$Y,"&gt;=0,01")</f>
        <v>20</v>
      </c>
      <c r="N18" s="142">
        <f>IFERROR(AVERAGEIFS(Cliente!$Y:$Y,Cliente!$K:$K,Rede!$E18,Cliente!$Y:$Y,"&gt;0"),0)</f>
        <v>66.477375000000023</v>
      </c>
      <c r="O18" s="52">
        <f>COUNTIF(Cliente!$K:$K,Rede!$E18)</f>
        <v>24</v>
      </c>
      <c r="P18" s="63">
        <f>COUNTIFS(Cliente!$K:$K,Rede!$E18,Cliente!$AE:$AE,"&gt;=0,01")</f>
        <v>24</v>
      </c>
      <c r="Q18" s="142">
        <f>IFERROR(AVERAGEIFS(Cliente!$AE:$AE,Cliente!$K:$K,Rede!$E18,Cliente!$AE:$AE,"&gt;0"),0)</f>
        <v>76.424166666666679</v>
      </c>
      <c r="R18" s="52">
        <f>COUNTIF(Cliente!$K:$K,Rede!$E18)</f>
        <v>24</v>
      </c>
      <c r="S18" s="63">
        <f>SUMIF(Cliente!$K:$K,Rede!$E18,Cliente!$AH:$AH)</f>
        <v>24</v>
      </c>
      <c r="T18" s="105">
        <f t="shared" si="3"/>
        <v>65.871736111111119</v>
      </c>
      <c r="U18" s="52">
        <f>COUNTIF(Cliente!$K:$K,Rede!$E18)</f>
        <v>24</v>
      </c>
      <c r="V18" s="63">
        <f>COUNTIFS(Cliente!$K:$K,Rede!$E18,Cliente!$AN:$AN,"&gt;=0,01")</f>
        <v>24</v>
      </c>
      <c r="W18" s="105">
        <f>IFERROR(AVERAGEIFS(Cliente!$AN:$AN,Cliente!$K:$K,Rede!$E18,Cliente!AN:AN,"&gt;0"),0)</f>
        <v>62.40312500000001</v>
      </c>
      <c r="X18" s="52">
        <f>COUNTIF(Cliente!$K:$K,Rede!$E18)</f>
        <v>24</v>
      </c>
      <c r="Y18" s="63">
        <f>COUNTIFS(Cliente!$K:$K,Rede!$E18,Cliente!$AU:$AU,"&gt;=0,01")</f>
        <v>24</v>
      </c>
      <c r="Z18" s="105">
        <f>IFERROR(AVERAGEIFS(Cliente!$AU:$AU,Cliente!$K:$K,Rede!$E18,Cliente!$AU:$AU,"&gt;0"),0)</f>
        <v>61.493958333333325</v>
      </c>
      <c r="AA18" s="52">
        <f>COUNTIF(Cliente!$K:$K,Rede!$E18)</f>
        <v>24</v>
      </c>
      <c r="AB18" s="63">
        <f>COUNTIFS(Cliente!$K:$K,Rede!$E18,Cliente!$BB:$BB,"&gt;=0,01")</f>
        <v>24</v>
      </c>
      <c r="AC18" s="105">
        <f>IFERROR(AVERAGEIFS(Cliente!$BB:$BB,Cliente!$K:$K,Rede!$E18,Cliente!$BB:$BB,"&gt;0"),0)</f>
        <v>73.718125000000015</v>
      </c>
      <c r="AD18" s="52">
        <f>COUNTIF(Cliente!$K:$K,Rede!$E18)</f>
        <v>24</v>
      </c>
      <c r="AE18" s="63">
        <f>SUMIF(Cliente!$K:$K,Rede!$E18,Cliente!$BE:$BE)</f>
        <v>18</v>
      </c>
      <c r="AF18" s="105">
        <f t="shared" si="0"/>
        <v>83.07276984126986</v>
      </c>
      <c r="AG18" s="52">
        <f>COUNTIF(Cliente!$K:$K,Rede!$E18)</f>
        <v>24</v>
      </c>
      <c r="AH18" s="63">
        <f>COUNTIFS(Cliente!$K:$K,Rede!$E18,Cliente!$BL:$BL,"&gt;=0,01")</f>
        <v>24</v>
      </c>
      <c r="AI18" s="105">
        <f>IFERROR(AVERAGEIFS(Cliente!$BL:$BL,Cliente!$K:$K,Rede!$E18,Cliente!$BL:$BL,"&gt;0"),0)</f>
        <v>71.38333333333334</v>
      </c>
      <c r="AJ18" s="52">
        <f>COUNTIF(Cliente!$K:$K,Rede!$E18)</f>
        <v>24</v>
      </c>
      <c r="AK18" s="63">
        <f>COUNTIFS(Cliente!$K:$K,Rede!$E18,Cliente!$BS:$BS,"&gt;=0,01")</f>
        <v>20</v>
      </c>
      <c r="AL18" s="105">
        <f>IFERROR(AVERAGEIFS(Cliente!$BS:$BS,Cliente!$K:$K,Rede!$E18,Cliente!$BS:$BS,"&gt;0"),0)</f>
        <v>86.019500000000022</v>
      </c>
      <c r="AM18" s="52">
        <f>COUNTIF(Cliente!$K:$K,Rede!$E18)</f>
        <v>24</v>
      </c>
      <c r="AN18" s="63">
        <f>COUNTIFS(Cliente!$K:$K,Rede!$E18,Cliente!$BZ:$BZ,"&gt;=0,01")</f>
        <v>21</v>
      </c>
      <c r="AO18" s="105">
        <f>IFERROR(AVERAGEIFS(Cliente!$BZ:$BZ,Cliente!$K:$K,Rede!$E18,Cliente!$BZ:$BZ,"&gt;0"),0)</f>
        <v>91.815476190476204</v>
      </c>
      <c r="AP18" s="52">
        <f>COUNTIF(Cliente!$K:$K,Rede!$E18)</f>
        <v>24</v>
      </c>
      <c r="AQ18" s="63">
        <f>SUMIF(Cliente!$K:$K,Rede!$E18,Cliente!$CC:$CC)</f>
        <v>6</v>
      </c>
      <c r="AR18" s="105">
        <f t="shared" si="1"/>
        <v>95.251088744588742</v>
      </c>
      <c r="AS18" s="52">
        <f>COUNTIF(Cliente!$K:$K,Rede!$E18)</f>
        <v>24</v>
      </c>
      <c r="AT18" s="63">
        <f>COUNTIFS(Cliente!$K:$K,Rede!$E18,Cliente!$CL:$CL,"&gt;=0,01")</f>
        <v>22</v>
      </c>
      <c r="AU18" s="105">
        <f>IFERROR(AVERAGEIFS(Cliente!$CL:$CL,Cliente!$K:$K,Rede!$E18,Cliente!$CL:$CL,"&gt;0"),0)</f>
        <v>93.690909090909088</v>
      </c>
      <c r="AV18" s="52">
        <f>COUNTIF(Cliente!$K:$K,Rede!$E18)</f>
        <v>24</v>
      </c>
      <c r="AW18" s="63">
        <f>COUNTIFS(Cliente!$K:$K,Rede!$E18,Cliente!$CU:$CU,"&gt;=0,01")</f>
        <v>20</v>
      </c>
      <c r="AX18" s="105">
        <f>IFERROR(AVERAGEIFS(Cliente!$CU:$CU,Cliente!$K:$K,Rede!$E18,Cliente!$CU:$CU,"&gt;0"),0)</f>
        <v>95.619500000000031</v>
      </c>
      <c r="AY18" s="52">
        <f>COUNTIF(Cliente!$K:$K,Rede!$E18)</f>
        <v>24</v>
      </c>
      <c r="AZ18" s="63">
        <f>COUNTIFS(Cliente!$K:$K,Rede!$E18,Cliente!$DD:$DD,"&gt;=0,01")</f>
        <v>7</v>
      </c>
      <c r="BA18" s="105">
        <f>IFERROR(AVERAGEIFS(Cliente!$DD:$DD,Cliente!$K:$K,Rede!$E18,Cliente!$DD:$DD,"&gt;0"),0)</f>
        <v>96.44285714285715</v>
      </c>
    </row>
    <row r="19" spans="2:53" ht="15" thickBot="1" x14ac:dyDescent="0.4">
      <c r="B19" s="29" t="s">
        <v>42</v>
      </c>
      <c r="C19" s="30">
        <v>4066</v>
      </c>
      <c r="D19" s="30" t="s">
        <v>440</v>
      </c>
      <c r="E19" s="44" t="s">
        <v>55</v>
      </c>
      <c r="F19" s="53">
        <f>COUNTIF(Cliente!$K:$K,Rede!$E19)</f>
        <v>1</v>
      </c>
      <c r="G19" s="64">
        <f>SUMIF(Cliente!$K:$K,Rede!$E19,Cliente!$M:$M)</f>
        <v>1</v>
      </c>
      <c r="H19" s="143">
        <f>IFERROR(AVERAGE(K19,N19,Q19),"")</f>
        <v>86.575000000000003</v>
      </c>
      <c r="I19" s="53">
        <f>COUNTIF(Cliente!$K:$K,Rede!$E19)</f>
        <v>1</v>
      </c>
      <c r="J19" s="64">
        <f>COUNTIFS(Cliente!$K:$K,Rede!$E19,Cliente!$S:$S,"&gt;=0,01")</f>
        <v>1</v>
      </c>
      <c r="K19" s="143">
        <f>IFERROR(AVERAGEIFS(Cliente!$S:$S,Cliente!$K:$K,Rede!$E19,Cliente!$S:$S,"&gt;0"),0)</f>
        <v>82.974999999999994</v>
      </c>
      <c r="L19" s="53">
        <f>COUNTIF(Cliente!$K:$K,Rede!$E19)</f>
        <v>1</v>
      </c>
      <c r="M19" s="64">
        <f>COUNTIFS(Cliente!$K:$K,Rede!$E19,Cliente!$Y:$Y,"&gt;=0,01")</f>
        <v>1</v>
      </c>
      <c r="N19" s="143">
        <f>IFERROR(AVERAGEIFS(Cliente!$Y:$Y,Cliente!$K:$K,Rede!$E19,Cliente!$Y:$Y,"&gt;0"),0)</f>
        <v>84.375</v>
      </c>
      <c r="O19" s="53">
        <f>COUNTIF(Cliente!$K:$K,Rede!$E19)</f>
        <v>1</v>
      </c>
      <c r="P19" s="64">
        <f>COUNTIFS(Cliente!$K:$K,Rede!$E19,Cliente!$AE:$AE,"&gt;=0,01")</f>
        <v>1</v>
      </c>
      <c r="Q19" s="143">
        <f>IFERROR(AVERAGEIFS(Cliente!$AE:$AE,Cliente!$K:$K,Rede!$E19,Cliente!$AE:$AE,"&gt;0"),0)</f>
        <v>92.375</v>
      </c>
      <c r="R19" s="53">
        <f>COUNTIF(Cliente!$K:$K,Rede!$E19)</f>
        <v>1</v>
      </c>
      <c r="S19" s="64">
        <f>SUMIF(Cliente!$K:$K,Rede!$E19,Cliente!$AH:$AH)</f>
        <v>1</v>
      </c>
      <c r="T19" s="106">
        <f>IFERROR(AVERAGE(W19,Z19,AC19),"")</f>
        <v>68.908333333333331</v>
      </c>
      <c r="U19" s="53">
        <f>COUNTIF(Cliente!$K:$K,Rede!$E19)</f>
        <v>1</v>
      </c>
      <c r="V19" s="64">
        <f>COUNTIFS(Cliente!$K:$K,Rede!$E19,Cliente!$AN:$AN,"&gt;=0,01")</f>
        <v>1</v>
      </c>
      <c r="W19" s="106">
        <f>IFERROR(AVERAGEIFS(Cliente!$AN:$AN,Cliente!$K:$K,Rede!$E19,Cliente!AN:AN,"&gt;0"),0)</f>
        <v>62.58</v>
      </c>
      <c r="X19" s="53">
        <f>COUNTIF(Cliente!$K:$K,Rede!$E19)</f>
        <v>1</v>
      </c>
      <c r="Y19" s="64">
        <f>COUNTIFS(Cliente!$K:$K,Rede!$E19,Cliente!$AU:$AU,"&gt;=0,01")</f>
        <v>1</v>
      </c>
      <c r="Z19" s="106">
        <f>IFERROR(AVERAGEIFS(Cliente!$AU:$AU,Cliente!$K:$K,Rede!$E19,Cliente!$AU:$AU,"&gt;0"),0)</f>
        <v>69.105000000000004</v>
      </c>
      <c r="AA19" s="53">
        <f>COUNTIF(Cliente!$K:$K,Rede!$E19)</f>
        <v>1</v>
      </c>
      <c r="AB19" s="64">
        <f>COUNTIFS(Cliente!$K:$K,Rede!$E19,Cliente!$BB:$BB,"&gt;=0,01")</f>
        <v>1</v>
      </c>
      <c r="AC19" s="106">
        <f>IFERROR(AVERAGEIFS(Cliente!$BB:$BB,Cliente!$K:$K,Rede!$E19,Cliente!$BB:$BB,"&gt;0"),0)</f>
        <v>75.039999999999992</v>
      </c>
      <c r="AD19" s="53">
        <f>COUNTIF(Cliente!$K:$K,Rede!$E19)</f>
        <v>1</v>
      </c>
      <c r="AE19" s="64">
        <f>SUMIF(Cliente!$K:$K,Rede!$E19,Cliente!$BE:$BE)</f>
        <v>1</v>
      </c>
      <c r="AF19" s="106">
        <f t="shared" si="0"/>
        <v>85.578333333333333</v>
      </c>
      <c r="AG19" s="53">
        <f>COUNTIF(Cliente!$K:$K,Rede!$E19)</f>
        <v>1</v>
      </c>
      <c r="AH19" s="64">
        <f>COUNTIFS(Cliente!$K:$K,Rede!$E19,Cliente!$BL:$BL,"&gt;=0,01")</f>
        <v>1</v>
      </c>
      <c r="AI19" s="106">
        <f>IFERROR(AVERAGEIFS(Cliente!$BL:$BL,Cliente!$K:$K,Rede!$E19,Cliente!$BL:$BL,"&gt;0"),0)</f>
        <v>80</v>
      </c>
      <c r="AJ19" s="53">
        <f>COUNTIF(Cliente!$K:$K,Rede!$E19)</f>
        <v>1</v>
      </c>
      <c r="AK19" s="64">
        <f>COUNTIFS(Cliente!$K:$K,Rede!$E19,Cliente!$BS:$BS,"&gt;=0,01")</f>
        <v>1</v>
      </c>
      <c r="AL19" s="106">
        <f>IFERROR(AVERAGEIFS(Cliente!$BS:$BS,Cliente!$K:$K,Rede!$E19,Cliente!$BS:$BS,"&gt;0"),0)</f>
        <v>80</v>
      </c>
      <c r="AM19" s="53">
        <f>COUNTIF(Cliente!$K:$K,Rede!$E19)</f>
        <v>1</v>
      </c>
      <c r="AN19" s="64">
        <f>COUNTIFS(Cliente!$K:$K,Rede!$E19,Cliente!$BZ:$BZ,"&gt;=0,01")</f>
        <v>1</v>
      </c>
      <c r="AO19" s="106">
        <f>IFERROR(AVERAGEIFS(Cliente!$BZ:$BZ,Cliente!$K:$K,Rede!$E19,Cliente!$BZ:$BZ,"&gt;0"),0)</f>
        <v>96.734999999999999</v>
      </c>
      <c r="AP19" s="53">
        <f>COUNTIF(Cliente!$K:$K,Rede!$E19)</f>
        <v>1</v>
      </c>
      <c r="AQ19" s="64">
        <f>SUMIF(Cliente!$K:$K,Rede!$E19,Cliente!$CC:$CC)</f>
        <v>1</v>
      </c>
      <c r="AR19" s="106">
        <f t="shared" si="1"/>
        <v>98.399999999999991</v>
      </c>
      <c r="AS19" s="53">
        <f>COUNTIF(Cliente!$K:$K,Rede!$E19)</f>
        <v>1</v>
      </c>
      <c r="AT19" s="64">
        <f>COUNTIFS(Cliente!$K:$K,Rede!$E19,Cliente!$CL:$CL,"&gt;=0,01")</f>
        <v>1</v>
      </c>
      <c r="AU19" s="106">
        <f>IFERROR(AVERAGEIFS(Cliente!$CL:$CL,Cliente!$K:$K,Rede!$E19,Cliente!$CL:$CL,"&gt;0"),0)</f>
        <v>95.2</v>
      </c>
      <c r="AV19" s="53">
        <f>COUNTIF(Cliente!$K:$K,Rede!$E19)</f>
        <v>1</v>
      </c>
      <c r="AW19" s="64">
        <f>COUNTIFS(Cliente!$K:$K,Rede!$E19,Cliente!$CU:$CU,"&gt;=0,01")</f>
        <v>1</v>
      </c>
      <c r="AX19" s="106">
        <f>IFERROR(AVERAGEIFS(Cliente!$CU:$CU,Cliente!$K:$K,Rede!$E19,Cliente!$CU:$CU,"&gt;0"),0)</f>
        <v>100</v>
      </c>
      <c r="AY19" s="53">
        <f>COUNTIF(Cliente!$K:$K,Rede!$E19)</f>
        <v>1</v>
      </c>
      <c r="AZ19" s="64">
        <f>COUNTIFS(Cliente!$K:$K,Rede!$E19,Cliente!$DD:$DD,"&gt;=0,01")</f>
        <v>1</v>
      </c>
      <c r="BA19" s="106">
        <f>IFERROR(AVERAGEIFS(Cliente!$DD:$DD,Cliente!$K:$K,Rede!$E19,Cliente!$DD:$DD,"&gt;0"),0)</f>
        <v>100</v>
      </c>
    </row>
    <row r="20" spans="2:53" x14ac:dyDescent="0.35">
      <c r="AI20" s="109"/>
    </row>
    <row r="23" spans="2:53" x14ac:dyDescent="0.35">
      <c r="C23"/>
      <c r="D23"/>
      <c r="E23"/>
      <c r="F23"/>
      <c r="AV23"/>
      <c r="AW23"/>
      <c r="AX23"/>
      <c r="AY23"/>
      <c r="AZ23"/>
      <c r="BA23"/>
    </row>
    <row r="24" spans="2:53" x14ac:dyDescent="0.35">
      <c r="C24"/>
      <c r="D24"/>
      <c r="E24"/>
      <c r="F24"/>
      <c r="AV24"/>
      <c r="AW24"/>
      <c r="AX24"/>
      <c r="AY24"/>
      <c r="AZ24"/>
      <c r="BA24"/>
    </row>
    <row r="25" spans="2:53" x14ac:dyDescent="0.35">
      <c r="C25"/>
      <c r="D25"/>
      <c r="E25"/>
      <c r="F25"/>
      <c r="AV25"/>
      <c r="AW25"/>
      <c r="AX25"/>
      <c r="AY25"/>
      <c r="AZ25"/>
      <c r="BA25"/>
    </row>
    <row r="26" spans="2:53" x14ac:dyDescent="0.35">
      <c r="C26"/>
      <c r="D26"/>
      <c r="E26"/>
      <c r="F26"/>
      <c r="AV26"/>
      <c r="AW26"/>
      <c r="AX26"/>
      <c r="AY26"/>
      <c r="AZ26"/>
      <c r="BA26"/>
    </row>
    <row r="27" spans="2:53" x14ac:dyDescent="0.35">
      <c r="C27"/>
      <c r="D27"/>
      <c r="E27"/>
      <c r="F27"/>
      <c r="AV27"/>
      <c r="AW27"/>
      <c r="AX27"/>
      <c r="AY27"/>
      <c r="AZ27"/>
      <c r="BA27"/>
    </row>
    <row r="28" spans="2:53" x14ac:dyDescent="0.35">
      <c r="C28"/>
      <c r="D28"/>
      <c r="E28"/>
      <c r="F28"/>
      <c r="AV28"/>
      <c r="AW28"/>
      <c r="AX28"/>
      <c r="AY28"/>
      <c r="AZ28"/>
      <c r="BA28"/>
    </row>
    <row r="29" spans="2:53" x14ac:dyDescent="0.35">
      <c r="C29"/>
      <c r="D29"/>
      <c r="E29"/>
      <c r="F29"/>
      <c r="AV29"/>
      <c r="AW29"/>
      <c r="AX29"/>
      <c r="AY29"/>
      <c r="AZ29"/>
      <c r="BA29"/>
    </row>
    <row r="30" spans="2:53" x14ac:dyDescent="0.35">
      <c r="C30"/>
      <c r="D30"/>
      <c r="E30"/>
      <c r="F30"/>
      <c r="AV30"/>
      <c r="AW30"/>
      <c r="AX30"/>
      <c r="AY30"/>
      <c r="AZ30"/>
      <c r="BA30"/>
    </row>
    <row r="31" spans="2:53" x14ac:dyDescent="0.35">
      <c r="C31"/>
      <c r="D31"/>
      <c r="E31"/>
      <c r="F31"/>
      <c r="AV31"/>
      <c r="AW31"/>
      <c r="AX31"/>
      <c r="AY31"/>
      <c r="AZ31"/>
      <c r="BA31"/>
    </row>
    <row r="32" spans="2:53" x14ac:dyDescent="0.35">
      <c r="C32"/>
      <c r="D32"/>
      <c r="E32"/>
      <c r="F32"/>
      <c r="AV32"/>
      <c r="AW32"/>
      <c r="AX32"/>
      <c r="AY32"/>
      <c r="AZ32"/>
      <c r="BA32"/>
    </row>
    <row r="33" spans="3:53" x14ac:dyDescent="0.35">
      <c r="C33"/>
      <c r="D33"/>
      <c r="E33"/>
      <c r="F33"/>
      <c r="AV33"/>
      <c r="AW33"/>
      <c r="AX33"/>
      <c r="AY33"/>
      <c r="AZ33"/>
      <c r="BA33"/>
    </row>
    <row r="34" spans="3:53" x14ac:dyDescent="0.35">
      <c r="C34"/>
      <c r="D34"/>
      <c r="E34"/>
      <c r="F34"/>
      <c r="AV34"/>
      <c r="AW34"/>
      <c r="AX34"/>
      <c r="AY34"/>
      <c r="AZ34"/>
      <c r="BA34"/>
    </row>
    <row r="35" spans="3:53" x14ac:dyDescent="0.35">
      <c r="C35"/>
      <c r="D35"/>
      <c r="E35"/>
      <c r="F35"/>
      <c r="AV35"/>
      <c r="AW35"/>
      <c r="AX35"/>
      <c r="AY35"/>
      <c r="AZ35"/>
      <c r="BA35"/>
    </row>
    <row r="36" spans="3:53" x14ac:dyDescent="0.35">
      <c r="C36"/>
      <c r="D36"/>
      <c r="E36"/>
      <c r="F36"/>
      <c r="AV36"/>
      <c r="AW36"/>
      <c r="AX36"/>
      <c r="AY36"/>
      <c r="AZ36"/>
      <c r="BA36"/>
    </row>
    <row r="37" spans="3:53" x14ac:dyDescent="0.35">
      <c r="C37"/>
      <c r="D37"/>
      <c r="E37"/>
      <c r="F37"/>
      <c r="AV37"/>
      <c r="AW37"/>
      <c r="AX37"/>
      <c r="AY37"/>
      <c r="AZ37"/>
      <c r="BA37"/>
    </row>
    <row r="38" spans="3:53" x14ac:dyDescent="0.35">
      <c r="C38"/>
      <c r="D38"/>
      <c r="E38"/>
      <c r="F38"/>
      <c r="AV38"/>
      <c r="AW38"/>
      <c r="AX38"/>
      <c r="AY38"/>
      <c r="AZ38"/>
      <c r="BA38"/>
    </row>
    <row r="39" spans="3:53" x14ac:dyDescent="0.35">
      <c r="C39"/>
      <c r="D39"/>
      <c r="E39"/>
      <c r="F39"/>
      <c r="AV39"/>
      <c r="AW39"/>
      <c r="AX39"/>
      <c r="AY39"/>
      <c r="AZ39"/>
      <c r="BA39"/>
    </row>
    <row r="40" spans="3:53" x14ac:dyDescent="0.35">
      <c r="C40"/>
      <c r="D40"/>
      <c r="E40"/>
      <c r="F40"/>
      <c r="AV40"/>
      <c r="AW40"/>
      <c r="AX40"/>
      <c r="AY40"/>
      <c r="AZ40"/>
      <c r="BA40"/>
    </row>
    <row r="41" spans="3:53" x14ac:dyDescent="0.35">
      <c r="C41"/>
      <c r="D41"/>
      <c r="E41"/>
      <c r="F41"/>
      <c r="AV41"/>
      <c r="AW41"/>
      <c r="AX41"/>
      <c r="AY41"/>
      <c r="AZ41"/>
      <c r="BA41"/>
    </row>
    <row r="42" spans="3:53" x14ac:dyDescent="0.35">
      <c r="C42"/>
      <c r="D42"/>
      <c r="E42"/>
      <c r="F42"/>
      <c r="AV42"/>
      <c r="AW42"/>
      <c r="AX42"/>
      <c r="AY42"/>
      <c r="AZ42"/>
      <c r="BA42"/>
    </row>
    <row r="43" spans="3:53" x14ac:dyDescent="0.35">
      <c r="C43"/>
      <c r="D43"/>
      <c r="E43"/>
      <c r="F43"/>
      <c r="AV43"/>
      <c r="AW43"/>
      <c r="AX43"/>
      <c r="AY43"/>
      <c r="AZ43"/>
      <c r="BA43"/>
    </row>
    <row r="44" spans="3:53" x14ac:dyDescent="0.35">
      <c r="C44"/>
      <c r="D44"/>
      <c r="E44"/>
      <c r="F44"/>
      <c r="AV44"/>
      <c r="AW44"/>
      <c r="AX44"/>
      <c r="AY44"/>
      <c r="AZ44"/>
      <c r="BA44"/>
    </row>
    <row r="45" spans="3:53" x14ac:dyDescent="0.35">
      <c r="C45"/>
      <c r="D45"/>
      <c r="E45"/>
      <c r="F45"/>
      <c r="AV45"/>
      <c r="AW45"/>
      <c r="AX45"/>
      <c r="AY45"/>
      <c r="AZ45"/>
      <c r="BA45"/>
    </row>
    <row r="46" spans="3:53" x14ac:dyDescent="0.35">
      <c r="C46"/>
      <c r="D46"/>
      <c r="E46"/>
      <c r="F46"/>
      <c r="AV46"/>
      <c r="AW46"/>
      <c r="AX46"/>
      <c r="AY46"/>
      <c r="AZ46"/>
      <c r="BA46"/>
    </row>
    <row r="47" spans="3:53" x14ac:dyDescent="0.35">
      <c r="C47"/>
      <c r="D47"/>
      <c r="E47"/>
      <c r="F47"/>
      <c r="AV47"/>
      <c r="AW47"/>
      <c r="AX47"/>
      <c r="AY47"/>
      <c r="AZ47"/>
      <c r="BA47"/>
    </row>
    <row r="48" spans="3:53" x14ac:dyDescent="0.35">
      <c r="C48"/>
      <c r="D48"/>
      <c r="E48"/>
      <c r="F48"/>
      <c r="AV48"/>
      <c r="AW48"/>
      <c r="AX48"/>
      <c r="AY48"/>
      <c r="AZ48"/>
      <c r="BA48"/>
    </row>
    <row r="49" spans="3:53" x14ac:dyDescent="0.35">
      <c r="C49"/>
      <c r="D49"/>
      <c r="E49"/>
      <c r="F49"/>
      <c r="AV49"/>
      <c r="AW49"/>
      <c r="AX49"/>
      <c r="AY49"/>
      <c r="AZ49"/>
      <c r="BA49"/>
    </row>
    <row r="50" spans="3:53" x14ac:dyDescent="0.35">
      <c r="C50"/>
      <c r="D50"/>
      <c r="E50"/>
      <c r="F50"/>
      <c r="AV50"/>
      <c r="AW50"/>
      <c r="AX50"/>
      <c r="AY50"/>
      <c r="AZ50"/>
      <c r="BA50"/>
    </row>
    <row r="51" spans="3:53" x14ac:dyDescent="0.35">
      <c r="C51"/>
      <c r="D51"/>
      <c r="E51"/>
      <c r="F51"/>
      <c r="AV51"/>
      <c r="AW51"/>
      <c r="AX51"/>
      <c r="AY51"/>
      <c r="AZ51"/>
      <c r="BA51"/>
    </row>
    <row r="52" spans="3:53" x14ac:dyDescent="0.35">
      <c r="C52"/>
      <c r="D52"/>
      <c r="E52"/>
      <c r="F52"/>
      <c r="AV52"/>
      <c r="AW52"/>
      <c r="AX52"/>
      <c r="AY52"/>
      <c r="AZ52"/>
      <c r="BA52"/>
    </row>
    <row r="53" spans="3:53" x14ac:dyDescent="0.35">
      <c r="C53"/>
      <c r="D53"/>
      <c r="E53"/>
      <c r="F53"/>
      <c r="AV53"/>
      <c r="AW53"/>
      <c r="AX53"/>
      <c r="AY53"/>
      <c r="AZ53"/>
      <c r="BA53"/>
    </row>
    <row r="54" spans="3:53" x14ac:dyDescent="0.35">
      <c r="C54"/>
      <c r="D54"/>
      <c r="E54"/>
      <c r="F54"/>
      <c r="AV54"/>
      <c r="AW54"/>
      <c r="AX54"/>
      <c r="AY54"/>
      <c r="AZ54"/>
      <c r="BA54"/>
    </row>
    <row r="55" spans="3:53" x14ac:dyDescent="0.35">
      <c r="C55"/>
      <c r="D55"/>
      <c r="E55"/>
      <c r="F55"/>
      <c r="AV55"/>
      <c r="AW55"/>
      <c r="AX55"/>
      <c r="AY55"/>
      <c r="AZ55"/>
      <c r="BA55"/>
    </row>
    <row r="56" spans="3:53" x14ac:dyDescent="0.35">
      <c r="C56"/>
      <c r="D56"/>
      <c r="E56"/>
      <c r="F56"/>
      <c r="AV56"/>
      <c r="AW56"/>
      <c r="AX56"/>
      <c r="AY56"/>
      <c r="AZ56"/>
      <c r="BA56"/>
    </row>
    <row r="57" spans="3:53" x14ac:dyDescent="0.35">
      <c r="C57"/>
      <c r="D57"/>
      <c r="E57"/>
      <c r="F57"/>
      <c r="AV57"/>
      <c r="AW57"/>
      <c r="AX57"/>
      <c r="AY57"/>
      <c r="AZ57"/>
      <c r="BA57"/>
    </row>
    <row r="58" spans="3:53" x14ac:dyDescent="0.35">
      <c r="C58"/>
      <c r="D58"/>
      <c r="E58"/>
      <c r="F58"/>
      <c r="AV58"/>
      <c r="AW58"/>
      <c r="AX58"/>
      <c r="AY58"/>
      <c r="AZ58"/>
      <c r="BA58"/>
    </row>
    <row r="59" spans="3:53" x14ac:dyDescent="0.35">
      <c r="C59"/>
      <c r="D59"/>
      <c r="E59"/>
      <c r="F59"/>
      <c r="AV59"/>
      <c r="AW59"/>
      <c r="AX59"/>
      <c r="AY59"/>
      <c r="AZ59"/>
      <c r="BA59"/>
    </row>
    <row r="60" spans="3:53" x14ac:dyDescent="0.35">
      <c r="C60"/>
      <c r="D60"/>
      <c r="E60"/>
      <c r="F60"/>
      <c r="AV60"/>
      <c r="AW60"/>
      <c r="AX60"/>
      <c r="AY60"/>
      <c r="AZ60"/>
      <c r="BA60"/>
    </row>
    <row r="61" spans="3:53" x14ac:dyDescent="0.35">
      <c r="C61"/>
      <c r="D61"/>
      <c r="E61"/>
      <c r="F61"/>
      <c r="AV61"/>
      <c r="AW61"/>
      <c r="AX61"/>
      <c r="AY61"/>
      <c r="AZ61"/>
      <c r="BA61"/>
    </row>
    <row r="62" spans="3:53" x14ac:dyDescent="0.35">
      <c r="C62"/>
      <c r="D62"/>
      <c r="E62"/>
      <c r="F62"/>
      <c r="AV62"/>
      <c r="AW62"/>
      <c r="AX62"/>
      <c r="AY62"/>
      <c r="AZ62"/>
      <c r="BA62"/>
    </row>
    <row r="63" spans="3:53" x14ac:dyDescent="0.35">
      <c r="C63"/>
      <c r="D63"/>
      <c r="E63"/>
      <c r="F63"/>
      <c r="AV63"/>
      <c r="AW63"/>
      <c r="AX63"/>
      <c r="AY63"/>
      <c r="AZ63"/>
      <c r="BA63"/>
    </row>
    <row r="64" spans="3:53" x14ac:dyDescent="0.35">
      <c r="C64"/>
      <c r="D64"/>
      <c r="E64"/>
      <c r="F64"/>
      <c r="AV64"/>
      <c r="AW64"/>
      <c r="AX64"/>
      <c r="AY64"/>
      <c r="AZ64"/>
      <c r="BA64"/>
    </row>
    <row r="65" spans="3:53" x14ac:dyDescent="0.35">
      <c r="C65"/>
      <c r="D65"/>
      <c r="E65"/>
      <c r="F65"/>
      <c r="AV65"/>
      <c r="AW65"/>
      <c r="AX65"/>
      <c r="AY65"/>
      <c r="AZ65"/>
      <c r="BA65"/>
    </row>
    <row r="66" spans="3:53" x14ac:dyDescent="0.35">
      <c r="C66"/>
      <c r="D66"/>
      <c r="E66"/>
      <c r="F66"/>
      <c r="AV66"/>
      <c r="AW66"/>
      <c r="AX66"/>
      <c r="AY66"/>
      <c r="AZ66"/>
      <c r="BA66"/>
    </row>
    <row r="67" spans="3:53" x14ac:dyDescent="0.35">
      <c r="C67"/>
      <c r="D67"/>
      <c r="E67"/>
      <c r="F67"/>
      <c r="AV67"/>
      <c r="AW67"/>
      <c r="AX67"/>
      <c r="AY67"/>
      <c r="AZ67"/>
      <c r="BA67"/>
    </row>
    <row r="68" spans="3:53" x14ac:dyDescent="0.35">
      <c r="C68"/>
      <c r="D68"/>
      <c r="E68"/>
      <c r="F68"/>
      <c r="AV68"/>
      <c r="AW68"/>
      <c r="AX68"/>
      <c r="AY68"/>
      <c r="AZ68"/>
      <c r="BA68"/>
    </row>
    <row r="69" spans="3:53" x14ac:dyDescent="0.35">
      <c r="C69"/>
      <c r="D69"/>
      <c r="E69"/>
      <c r="F69"/>
      <c r="AV69"/>
      <c r="AW69"/>
      <c r="AX69"/>
      <c r="AY69"/>
      <c r="AZ69"/>
      <c r="BA69"/>
    </row>
    <row r="70" spans="3:53" x14ac:dyDescent="0.35">
      <c r="C70"/>
      <c r="D70"/>
      <c r="E70"/>
      <c r="F70"/>
      <c r="AV70"/>
      <c r="AW70"/>
      <c r="AX70"/>
      <c r="AY70"/>
      <c r="AZ70"/>
      <c r="BA70"/>
    </row>
    <row r="71" spans="3:53" x14ac:dyDescent="0.35">
      <c r="C71"/>
      <c r="D71"/>
      <c r="E71"/>
      <c r="F71"/>
      <c r="AV71"/>
      <c r="AW71"/>
      <c r="AX71"/>
      <c r="AY71"/>
      <c r="AZ71"/>
      <c r="BA71"/>
    </row>
    <row r="72" spans="3:53" x14ac:dyDescent="0.35">
      <c r="C72"/>
      <c r="D72"/>
      <c r="E72"/>
      <c r="F72"/>
      <c r="AV72"/>
      <c r="AW72"/>
      <c r="AX72"/>
      <c r="AY72"/>
      <c r="AZ72"/>
      <c r="BA72"/>
    </row>
    <row r="73" spans="3:53" x14ac:dyDescent="0.35">
      <c r="C73"/>
      <c r="D73"/>
      <c r="E73"/>
      <c r="F73"/>
      <c r="AV73"/>
      <c r="AW73"/>
      <c r="AX73"/>
      <c r="AY73"/>
      <c r="AZ73"/>
      <c r="BA73"/>
    </row>
    <row r="74" spans="3:53" x14ac:dyDescent="0.35">
      <c r="C74"/>
      <c r="D74"/>
      <c r="E74"/>
      <c r="F74"/>
      <c r="AV74"/>
      <c r="AW74"/>
      <c r="AX74"/>
      <c r="AY74"/>
      <c r="AZ74"/>
      <c r="BA74"/>
    </row>
    <row r="75" spans="3:53" x14ac:dyDescent="0.35">
      <c r="C75"/>
      <c r="D75"/>
      <c r="E75"/>
      <c r="F75"/>
      <c r="AV75"/>
      <c r="AW75"/>
      <c r="AX75"/>
      <c r="AY75"/>
      <c r="AZ75"/>
      <c r="BA75"/>
    </row>
    <row r="76" spans="3:53" x14ac:dyDescent="0.35">
      <c r="C76"/>
      <c r="D76"/>
      <c r="E76"/>
      <c r="F76"/>
      <c r="AV76"/>
      <c r="AW76"/>
      <c r="AX76"/>
      <c r="AY76"/>
      <c r="AZ76"/>
      <c r="BA76"/>
    </row>
    <row r="77" spans="3:53" x14ac:dyDescent="0.35">
      <c r="C77"/>
      <c r="D77"/>
      <c r="E77"/>
      <c r="F77"/>
      <c r="AV77"/>
      <c r="AW77"/>
      <c r="AX77"/>
      <c r="AY77"/>
      <c r="AZ77"/>
      <c r="BA77"/>
    </row>
    <row r="78" spans="3:53" x14ac:dyDescent="0.35">
      <c r="C78"/>
      <c r="D78"/>
      <c r="E78"/>
      <c r="F78"/>
      <c r="AV78"/>
      <c r="AW78"/>
      <c r="AX78"/>
      <c r="AY78"/>
      <c r="AZ78"/>
      <c r="BA78"/>
    </row>
    <row r="79" spans="3:53" x14ac:dyDescent="0.35">
      <c r="C79"/>
      <c r="D79"/>
      <c r="E79"/>
      <c r="F79"/>
      <c r="AV79"/>
      <c r="AW79"/>
      <c r="AX79"/>
      <c r="AY79"/>
      <c r="AZ79"/>
      <c r="BA79"/>
    </row>
    <row r="80" spans="3:53" x14ac:dyDescent="0.35">
      <c r="C80"/>
      <c r="D80"/>
      <c r="E80"/>
      <c r="F80"/>
      <c r="AV80"/>
      <c r="AW80"/>
      <c r="AX80"/>
      <c r="AY80"/>
      <c r="AZ80"/>
      <c r="BA80"/>
    </row>
    <row r="81" spans="3:53" x14ac:dyDescent="0.35">
      <c r="C81"/>
      <c r="D81"/>
      <c r="E81"/>
      <c r="F81"/>
      <c r="AV81"/>
      <c r="AW81"/>
      <c r="AX81"/>
      <c r="AY81"/>
      <c r="AZ81"/>
      <c r="BA81"/>
    </row>
    <row r="82" spans="3:53" x14ac:dyDescent="0.35">
      <c r="C82"/>
      <c r="D82"/>
      <c r="E82"/>
      <c r="F82"/>
      <c r="AV82"/>
      <c r="AW82"/>
      <c r="AX82"/>
      <c r="AY82"/>
      <c r="AZ82"/>
      <c r="BA82"/>
    </row>
    <row r="83" spans="3:53" x14ac:dyDescent="0.35">
      <c r="C83"/>
      <c r="D83"/>
      <c r="E83"/>
      <c r="F83"/>
      <c r="AV83"/>
      <c r="AW83"/>
      <c r="AX83"/>
      <c r="AY83"/>
      <c r="AZ83"/>
      <c r="BA83"/>
    </row>
    <row r="84" spans="3:53" x14ac:dyDescent="0.35">
      <c r="C84"/>
      <c r="D84"/>
      <c r="E84"/>
      <c r="F84"/>
      <c r="AV84"/>
      <c r="AW84"/>
      <c r="AX84"/>
      <c r="AY84"/>
      <c r="AZ84"/>
      <c r="BA84"/>
    </row>
    <row r="85" spans="3:53" x14ac:dyDescent="0.35">
      <c r="C85"/>
      <c r="D85"/>
      <c r="E85"/>
      <c r="F85"/>
      <c r="AV85"/>
      <c r="AW85"/>
      <c r="AX85"/>
      <c r="AY85"/>
      <c r="AZ85"/>
      <c r="BA85"/>
    </row>
    <row r="86" spans="3:53" x14ac:dyDescent="0.35">
      <c r="C86"/>
      <c r="D86"/>
      <c r="E86"/>
      <c r="F86"/>
      <c r="AV86"/>
      <c r="AW86"/>
      <c r="AX86"/>
      <c r="AY86"/>
      <c r="AZ86"/>
      <c r="BA86"/>
    </row>
    <row r="87" spans="3:53" x14ac:dyDescent="0.35">
      <c r="C87"/>
      <c r="D87"/>
      <c r="E87"/>
      <c r="F87"/>
      <c r="AV87"/>
      <c r="AW87"/>
      <c r="AX87"/>
      <c r="AY87"/>
      <c r="AZ87"/>
      <c r="BA87"/>
    </row>
    <row r="88" spans="3:53" x14ac:dyDescent="0.35">
      <c r="C88"/>
      <c r="D88"/>
      <c r="E88"/>
      <c r="F88"/>
      <c r="AV88"/>
      <c r="AW88"/>
      <c r="AX88"/>
      <c r="AY88"/>
      <c r="AZ88"/>
      <c r="BA88"/>
    </row>
    <row r="89" spans="3:53" x14ac:dyDescent="0.35">
      <c r="C89"/>
      <c r="D89"/>
      <c r="E89"/>
      <c r="F89"/>
      <c r="AV89"/>
      <c r="AW89"/>
      <c r="AX89"/>
      <c r="AY89"/>
      <c r="AZ89"/>
      <c r="BA89"/>
    </row>
    <row r="90" spans="3:53" x14ac:dyDescent="0.35">
      <c r="C90"/>
      <c r="D90"/>
      <c r="E90"/>
      <c r="F90"/>
      <c r="AV90"/>
      <c r="AW90"/>
      <c r="AX90"/>
      <c r="AY90"/>
      <c r="AZ90"/>
      <c r="BA90"/>
    </row>
    <row r="91" spans="3:53" x14ac:dyDescent="0.35">
      <c r="C91"/>
      <c r="D91"/>
      <c r="E91"/>
      <c r="F91"/>
      <c r="AV91"/>
      <c r="AW91"/>
      <c r="AX91"/>
      <c r="AY91"/>
      <c r="AZ91"/>
      <c r="BA91"/>
    </row>
    <row r="92" spans="3:53" x14ac:dyDescent="0.35">
      <c r="C92"/>
      <c r="D92"/>
      <c r="E92"/>
      <c r="F92"/>
      <c r="AV92"/>
      <c r="AW92"/>
      <c r="AX92"/>
      <c r="AY92"/>
      <c r="AZ92"/>
      <c r="BA92"/>
    </row>
    <row r="93" spans="3:53" x14ac:dyDescent="0.35">
      <c r="C93"/>
      <c r="D93"/>
      <c r="E93"/>
      <c r="F93"/>
      <c r="AV93"/>
      <c r="AW93"/>
      <c r="AX93"/>
      <c r="AY93"/>
      <c r="AZ93"/>
      <c r="BA93"/>
    </row>
    <row r="94" spans="3:53" x14ac:dyDescent="0.35">
      <c r="C94"/>
      <c r="D94"/>
      <c r="E94"/>
      <c r="F94"/>
      <c r="AV94"/>
      <c r="AW94"/>
      <c r="AX94"/>
      <c r="AY94"/>
      <c r="AZ94"/>
      <c r="BA94"/>
    </row>
    <row r="95" spans="3:53" x14ac:dyDescent="0.35">
      <c r="C95"/>
      <c r="D95"/>
      <c r="E95"/>
      <c r="F95"/>
      <c r="AV95"/>
      <c r="AW95"/>
      <c r="AX95"/>
      <c r="AY95"/>
      <c r="AZ95"/>
      <c r="BA95"/>
    </row>
    <row r="96" spans="3:53" x14ac:dyDescent="0.35">
      <c r="C96"/>
      <c r="D96"/>
      <c r="E96"/>
      <c r="F96"/>
      <c r="AV96"/>
      <c r="AW96"/>
      <c r="AX96"/>
      <c r="AY96"/>
      <c r="AZ96"/>
      <c r="BA96"/>
    </row>
    <row r="97" spans="3:53" x14ac:dyDescent="0.35">
      <c r="C97"/>
      <c r="D97"/>
      <c r="E97"/>
      <c r="F97"/>
      <c r="AV97"/>
      <c r="AW97"/>
      <c r="AX97"/>
      <c r="AY97"/>
      <c r="AZ97"/>
      <c r="BA97"/>
    </row>
    <row r="98" spans="3:53" x14ac:dyDescent="0.35">
      <c r="C98"/>
      <c r="D98"/>
      <c r="E98"/>
      <c r="F98"/>
      <c r="AV98"/>
      <c r="AW98"/>
      <c r="AX98"/>
      <c r="AY98"/>
      <c r="AZ98"/>
      <c r="BA98"/>
    </row>
    <row r="99" spans="3:53" x14ac:dyDescent="0.35">
      <c r="C99"/>
      <c r="D99"/>
      <c r="E99"/>
      <c r="F99"/>
      <c r="AV99"/>
      <c r="AW99"/>
      <c r="AX99"/>
      <c r="AY99"/>
      <c r="AZ99"/>
      <c r="BA99"/>
    </row>
    <row r="100" spans="3:53" x14ac:dyDescent="0.35">
      <c r="C100"/>
      <c r="D100"/>
      <c r="E100"/>
      <c r="F100"/>
      <c r="AV100"/>
      <c r="AW100"/>
      <c r="AX100"/>
      <c r="AY100"/>
      <c r="AZ100"/>
      <c r="BA100"/>
    </row>
    <row r="101" spans="3:53" x14ac:dyDescent="0.35">
      <c r="C101"/>
      <c r="D101"/>
      <c r="E101"/>
      <c r="F101"/>
      <c r="AV101"/>
      <c r="AW101"/>
      <c r="AX101"/>
      <c r="AY101"/>
      <c r="AZ101"/>
      <c r="BA101"/>
    </row>
    <row r="102" spans="3:53" x14ac:dyDescent="0.35">
      <c r="C102"/>
      <c r="D102"/>
      <c r="E102"/>
      <c r="F102"/>
      <c r="AV102"/>
      <c r="AW102"/>
      <c r="AX102"/>
      <c r="AY102"/>
      <c r="AZ102"/>
      <c r="BA102"/>
    </row>
    <row r="103" spans="3:53" x14ac:dyDescent="0.35">
      <c r="C103"/>
      <c r="D103"/>
      <c r="E103"/>
      <c r="F103"/>
      <c r="AV103"/>
      <c r="AW103"/>
      <c r="AX103"/>
      <c r="AY103"/>
      <c r="AZ103"/>
      <c r="BA103"/>
    </row>
    <row r="104" spans="3:53" x14ac:dyDescent="0.35">
      <c r="C104"/>
      <c r="D104"/>
      <c r="E104"/>
      <c r="F104"/>
      <c r="AV104"/>
      <c r="AW104"/>
      <c r="AX104"/>
      <c r="AY104"/>
      <c r="AZ104"/>
      <c r="BA104"/>
    </row>
    <row r="105" spans="3:53" x14ac:dyDescent="0.35">
      <c r="C105"/>
      <c r="D105"/>
      <c r="E105"/>
      <c r="F105"/>
      <c r="AV105"/>
      <c r="AW105"/>
      <c r="AX105"/>
      <c r="AY105"/>
      <c r="AZ105"/>
      <c r="BA105"/>
    </row>
    <row r="106" spans="3:53" x14ac:dyDescent="0.35">
      <c r="C106"/>
      <c r="D106"/>
      <c r="E106"/>
      <c r="F106"/>
      <c r="AV106"/>
      <c r="AW106"/>
      <c r="AX106"/>
      <c r="AY106"/>
      <c r="AZ106"/>
      <c r="BA106"/>
    </row>
    <row r="107" spans="3:53" x14ac:dyDescent="0.35">
      <c r="C107"/>
      <c r="D107"/>
      <c r="E107"/>
      <c r="F107"/>
      <c r="AV107"/>
      <c r="AW107"/>
      <c r="AX107"/>
      <c r="AY107"/>
      <c r="AZ107"/>
      <c r="BA107"/>
    </row>
    <row r="108" spans="3:53" x14ac:dyDescent="0.35">
      <c r="C108"/>
      <c r="D108"/>
      <c r="E108"/>
      <c r="F108"/>
      <c r="AV108"/>
      <c r="AW108"/>
      <c r="AX108"/>
      <c r="AY108"/>
      <c r="AZ108"/>
      <c r="BA108"/>
    </row>
    <row r="109" spans="3:53" x14ac:dyDescent="0.35">
      <c r="C109"/>
      <c r="D109"/>
      <c r="E109"/>
      <c r="F109"/>
      <c r="AV109"/>
      <c r="AW109"/>
      <c r="AX109"/>
      <c r="AY109"/>
      <c r="AZ109"/>
      <c r="BA109"/>
    </row>
    <row r="110" spans="3:53" x14ac:dyDescent="0.35">
      <c r="C110"/>
      <c r="D110"/>
      <c r="E110"/>
      <c r="F110"/>
      <c r="AV110"/>
      <c r="AW110"/>
      <c r="AX110"/>
      <c r="AY110"/>
      <c r="AZ110"/>
      <c r="BA110"/>
    </row>
    <row r="111" spans="3:53" x14ac:dyDescent="0.35">
      <c r="C111"/>
      <c r="D111"/>
      <c r="E111"/>
      <c r="F111"/>
      <c r="AV111"/>
      <c r="AW111"/>
      <c r="AX111"/>
      <c r="AY111"/>
      <c r="AZ111"/>
      <c r="BA111"/>
    </row>
    <row r="112" spans="3:53" x14ac:dyDescent="0.35">
      <c r="C112"/>
      <c r="D112"/>
      <c r="E112"/>
      <c r="F112"/>
      <c r="AV112"/>
      <c r="AW112"/>
      <c r="AX112"/>
      <c r="AY112"/>
      <c r="AZ112"/>
      <c r="BA112"/>
    </row>
    <row r="113" spans="3:53" x14ac:dyDescent="0.35">
      <c r="C113"/>
      <c r="D113"/>
      <c r="E113"/>
      <c r="F113"/>
      <c r="AV113"/>
      <c r="AW113"/>
      <c r="AX113"/>
      <c r="AY113"/>
      <c r="AZ113"/>
      <c r="BA113"/>
    </row>
    <row r="114" spans="3:53" x14ac:dyDescent="0.35">
      <c r="C114"/>
      <c r="D114"/>
      <c r="E114"/>
      <c r="F114"/>
      <c r="AV114"/>
      <c r="AW114"/>
      <c r="AX114"/>
      <c r="AY114"/>
      <c r="AZ114"/>
      <c r="BA114"/>
    </row>
  </sheetData>
  <autoFilter ref="B5:BA19" xr:uid="{CFE6FD57-2A9E-4AD0-8D46-153C1243D1AC}"/>
  <sortState xmlns:xlrd2="http://schemas.microsoft.com/office/spreadsheetml/2017/richdata2" ref="B6:E19">
    <sortCondition ref="B6:B19"/>
    <sortCondition ref="C6:C19"/>
    <sortCondition ref="E6:E19"/>
  </sortState>
  <phoneticPr fontId="13" type="noConversion"/>
  <conditionalFormatting sqref="E6:E19">
    <cfRule type="duplicateValues" dxfId="4" priority="1615"/>
  </conditionalFormatting>
  <pageMargins left="0.511811024" right="0.511811024" top="0.78740157499999996" bottom="0.78740157499999996" header="0.31496062000000002" footer="0.31496062000000002"/>
  <pageSetup paperSize="9" scale="32" orientation="landscape" horizontalDpi="4294967293" r:id="rId1"/>
  <ignoredErrors>
    <ignoredError sqref="X18:X19 X6:X9 X12:X16 X10:X11 AU3" 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5D0EF-BEB3-48FE-B5EB-2A3D5B006E56}">
  <sheetPr filterMode="1"/>
  <dimension ref="B1:DF76"/>
  <sheetViews>
    <sheetView showGridLines="0" zoomScale="80" zoomScaleNormal="80" workbookViewId="0">
      <selection activeCell="CF28" sqref="CF28"/>
    </sheetView>
  </sheetViews>
  <sheetFormatPr defaultRowHeight="14.5" outlineLevelCol="1" x14ac:dyDescent="0.35"/>
  <cols>
    <col min="1" max="1" width="1.26953125" customWidth="1"/>
    <col min="2" max="2" width="20" style="9" bestFit="1" customWidth="1"/>
    <col min="3" max="3" width="10.26953125" style="9" customWidth="1"/>
    <col min="4" max="4" width="11" style="9" bestFit="1" customWidth="1"/>
    <col min="5" max="5" width="11.26953125" style="9" customWidth="1"/>
    <col min="6" max="6" width="38" style="12" bestFit="1" customWidth="1"/>
    <col min="7" max="7" width="19.7265625" style="12" hidden="1" customWidth="1" outlineLevel="1"/>
    <col min="8" max="8" width="38.7265625" style="12" hidden="1" customWidth="1" outlineLevel="1"/>
    <col min="9" max="10" width="21.7265625" style="12" hidden="1" customWidth="1" outlineLevel="1"/>
    <col min="11" max="11" width="16.81640625" style="12" bestFit="1" customWidth="1" collapsed="1"/>
    <col min="12" max="13" width="11.7265625" style="12" hidden="1" customWidth="1" outlineLevel="1"/>
    <col min="14" max="14" width="10.7265625" style="12" hidden="1" customWidth="1" outlineLevel="1"/>
    <col min="15" max="18" width="18.26953125" style="12" hidden="1" customWidth="1" outlineLevel="1"/>
    <col min="19" max="19" width="11.26953125" style="12" hidden="1" customWidth="1" outlineLevel="1"/>
    <col min="20" max="20" width="10.7265625" style="12" hidden="1" customWidth="1" outlineLevel="1"/>
    <col min="21" max="24" width="16.1796875" style="12" hidden="1" customWidth="1" outlineLevel="1"/>
    <col min="25" max="25" width="11.26953125" style="12" hidden="1" customWidth="1" outlineLevel="1"/>
    <col min="26" max="26" width="10.7265625" style="12" hidden="1" customWidth="1" outlineLevel="1"/>
    <col min="27" max="30" width="16.1796875" style="12" hidden="1" customWidth="1" outlineLevel="1"/>
    <col min="31" max="32" width="10.7265625" style="12" hidden="1" customWidth="1" outlineLevel="1"/>
    <col min="33" max="33" width="11.7265625" style="12" hidden="1" customWidth="1" outlineLevel="1" collapsed="1"/>
    <col min="34" max="34" width="11.7265625" style="12" hidden="1" customWidth="1" outlineLevel="1"/>
    <col min="35" max="36" width="10.7265625" style="12" hidden="1" customWidth="1" outlineLevel="1"/>
    <col min="37" max="37" width="14.7265625" style="12" hidden="1" customWidth="1" outlineLevel="1"/>
    <col min="38" max="38" width="14.26953125" style="12" hidden="1" customWidth="1" outlineLevel="1"/>
    <col min="39" max="39" width="15.453125" style="12" hidden="1" customWidth="1" outlineLevel="1"/>
    <col min="40" max="40" width="11.26953125" style="12" hidden="1" customWidth="1" outlineLevel="1"/>
    <col min="41" max="41" width="10.7265625" style="12" hidden="1" customWidth="1" outlineLevel="1"/>
    <col min="42" max="42" width="10" style="12" hidden="1" customWidth="1" outlineLevel="1"/>
    <col min="43" max="43" width="10.7265625" style="12" hidden="1" customWidth="1" outlineLevel="1"/>
    <col min="44" max="44" width="14.7265625" style="12" hidden="1" customWidth="1" outlineLevel="1"/>
    <col min="45" max="45" width="14.26953125" style="12" hidden="1" customWidth="1" outlineLevel="1"/>
    <col min="46" max="46" width="15.453125" style="12" hidden="1" customWidth="1" outlineLevel="1"/>
    <col min="47" max="47" width="11.26953125" style="12" hidden="1" customWidth="1" outlineLevel="1"/>
    <col min="48" max="48" width="10.7265625" style="12" hidden="1" customWidth="1" outlineLevel="1"/>
    <col min="49" max="53" width="15.7265625" style="12" hidden="1" customWidth="1" outlineLevel="1"/>
    <col min="54" max="54" width="13.54296875" style="12" hidden="1" customWidth="1" outlineLevel="1"/>
    <col min="55" max="55" width="13.453125" style="12" hidden="1" customWidth="1" outlineLevel="1"/>
    <col min="56" max="56" width="11.7265625" style="12" hidden="1" customWidth="1" outlineLevel="1" collapsed="1"/>
    <col min="57" max="57" width="11.7265625" style="12" hidden="1" customWidth="1" outlineLevel="1"/>
    <col min="58" max="58" width="10.7265625" style="12" hidden="1" customWidth="1" outlineLevel="1"/>
    <col min="59" max="59" width="10" style="12" hidden="1" customWidth="1" outlineLevel="1"/>
    <col min="60" max="60" width="10.7265625" style="12" hidden="1" customWidth="1" outlineLevel="1"/>
    <col min="61" max="61" width="14.7265625" style="12" hidden="1" customWidth="1" outlineLevel="1"/>
    <col min="62" max="62" width="14.26953125" style="12" hidden="1" customWidth="1" outlineLevel="1"/>
    <col min="63" max="63" width="15.453125" style="12" hidden="1" customWidth="1" outlineLevel="1"/>
    <col min="64" max="64" width="11.26953125" style="12" hidden="1" customWidth="1" outlineLevel="1"/>
    <col min="65" max="65" width="10.7265625" style="12" hidden="1" customWidth="1" outlineLevel="1"/>
    <col min="66" max="66" width="10" style="12" hidden="1" customWidth="1" outlineLevel="1" collapsed="1"/>
    <col min="67" max="67" width="10.7265625" style="12" hidden="1" customWidth="1" outlineLevel="1"/>
    <col min="68" max="68" width="14.7265625" style="12" hidden="1" customWidth="1" outlineLevel="1"/>
    <col min="69" max="69" width="14.26953125" style="12" hidden="1" customWidth="1" outlineLevel="1"/>
    <col min="70" max="70" width="15.453125" style="12" hidden="1" customWidth="1" outlineLevel="1"/>
    <col min="71" max="71" width="11.26953125" style="12" hidden="1" customWidth="1" outlineLevel="1"/>
    <col min="72" max="72" width="10.7265625" style="12" hidden="1" customWidth="1" outlineLevel="1"/>
    <col min="73" max="73" width="10" style="12" hidden="1" customWidth="1" outlineLevel="1"/>
    <col min="74" max="74" width="10.7265625" style="12" hidden="1" customWidth="1" outlineLevel="1"/>
    <col min="75" max="75" width="14.7265625" style="12" hidden="1" customWidth="1" outlineLevel="1"/>
    <col min="76" max="76" width="14.26953125" style="12" hidden="1" customWidth="1" outlineLevel="1"/>
    <col min="77" max="77" width="15.453125" style="12" hidden="1" customWidth="1" outlineLevel="1"/>
    <col min="78" max="78" width="11.26953125" style="12" hidden="1" customWidth="1" outlineLevel="1"/>
    <col min="79" max="79" width="10.7265625" style="12" hidden="1" customWidth="1" outlineLevel="1"/>
    <col min="80" max="80" width="11" style="12" customWidth="1" collapsed="1"/>
    <col min="81" max="81" width="11.7265625" style="12" customWidth="1"/>
    <col min="82" max="82" width="9.453125" style="12" customWidth="1"/>
    <col min="83" max="83" width="10" style="12" customWidth="1"/>
    <col min="84" max="84" width="10.7265625" style="12" customWidth="1"/>
    <col min="85" max="85" width="13.453125" style="12" customWidth="1"/>
    <col min="86" max="86" width="13.26953125" style="12" customWidth="1"/>
    <col min="87" max="89" width="15.453125" style="12" customWidth="1"/>
    <col min="90" max="90" width="11.26953125" style="12" customWidth="1"/>
    <col min="91" max="91" width="9.26953125" style="12" customWidth="1"/>
    <col min="92" max="92" width="10" style="12" customWidth="1"/>
    <col min="93" max="93" width="10.7265625" style="12" customWidth="1"/>
    <col min="94" max="94" width="14.7265625" style="12" customWidth="1"/>
    <col min="95" max="95" width="14.26953125" style="12" customWidth="1"/>
    <col min="96" max="97" width="15.453125" style="12" customWidth="1"/>
    <col min="98" max="98" width="13" style="12" customWidth="1"/>
    <col min="99" max="99" width="11.26953125" style="12" customWidth="1"/>
    <col min="100" max="100" width="10.7265625" style="12" customWidth="1"/>
    <col min="101" max="101" width="10" style="12" customWidth="1"/>
    <col min="102" max="102" width="10.7265625" style="12" customWidth="1"/>
    <col min="103" max="103" width="14.7265625" style="12" customWidth="1"/>
    <col min="104" max="104" width="14.26953125" style="12" customWidth="1"/>
    <col min="105" max="106" width="15.453125" style="12" customWidth="1"/>
    <col min="107" max="107" width="13" style="12" customWidth="1"/>
    <col min="108" max="108" width="11.26953125" style="12" customWidth="1"/>
    <col min="109" max="109" width="10.7265625" style="12" customWidth="1"/>
    <col min="110" max="110" width="3.7265625" customWidth="1"/>
  </cols>
  <sheetData>
    <row r="1" spans="2:110" s="46" customFormat="1" ht="13" x14ac:dyDescent="0.35">
      <c r="B1" s="48"/>
      <c r="K1" s="47"/>
    </row>
    <row r="2" spans="2:110" s="46" customFormat="1" ht="15.75" customHeight="1" thickBot="1" x14ac:dyDescent="0.4">
      <c r="K2" s="47" t="s">
        <v>106</v>
      </c>
      <c r="L2" s="104">
        <f>AVERAGEIF(L6:L76,"&gt;0")</f>
        <v>63.814401408450657</v>
      </c>
      <c r="M2" s="98">
        <f>SUM(M6:M161)</f>
        <v>58</v>
      </c>
      <c r="N2" s="98">
        <f>SUM(N6:N161)</f>
        <v>7</v>
      </c>
      <c r="S2" s="107">
        <f>AVERAGEIF(S6:S76,"&gt;0")</f>
        <v>61.701529850746233</v>
      </c>
      <c r="T2" s="46">
        <f>SUM(T6:T81)</f>
        <v>5</v>
      </c>
      <c r="Y2" s="104">
        <f>AVERAGEIF(Y6:Y59,"&gt;0")</f>
        <v>65.592300000000037</v>
      </c>
      <c r="Z2" s="46">
        <f>SUM(Z6:Z59)</f>
        <v>7</v>
      </c>
      <c r="AE2" s="104">
        <f>AVERAGEIF(AE6:AE59,"&gt;0")</f>
        <v>75.672450980392199</v>
      </c>
      <c r="AF2" s="46">
        <f>SUM(AF6:AF59)</f>
        <v>23</v>
      </c>
      <c r="AG2" s="104">
        <f>AVERAGEIF(AG6:AG59,"&gt;0")</f>
        <v>52.335566037735852</v>
      </c>
      <c r="AH2" s="98">
        <f>SUM(AH6:AH59)</f>
        <v>30</v>
      </c>
      <c r="AI2" s="46">
        <f>SUM(AI6:AI59)</f>
        <v>30</v>
      </c>
      <c r="AN2" s="107">
        <f>AVERAGEIF(AN6:AN59,"&gt;0")</f>
        <v>62.570853658536578</v>
      </c>
      <c r="AO2" s="46">
        <f>SUM(AO6:AO59)</f>
        <v>0</v>
      </c>
      <c r="AU2" s="104">
        <f>AVERAGEIF(AU6:AU59,"&gt;0")</f>
        <v>60.757738095238089</v>
      </c>
      <c r="AV2" s="46">
        <f>SUM(AV6:AV59)</f>
        <v>21</v>
      </c>
      <c r="BB2" s="104">
        <f>AVERAGEIF(BB6:BB59,"&gt;0")</f>
        <v>69.654891304347842</v>
      </c>
      <c r="BC2" s="46">
        <f>SUM(BC6:BC59)</f>
        <v>25</v>
      </c>
      <c r="BD2" s="104">
        <f>AVERAGEIF(BD6:BD76,"&gt;0")</f>
        <v>75.399453125000008</v>
      </c>
      <c r="BE2" s="98">
        <f>SUM(BE6:BE76)</f>
        <v>50</v>
      </c>
      <c r="BF2" s="46">
        <f>SUM(BF6:BF76)</f>
        <v>42</v>
      </c>
      <c r="BL2" s="104">
        <f>AVERAGEIF(BL6:BL76,"&gt;0")</f>
        <v>72.09253968253968</v>
      </c>
      <c r="BM2" s="46">
        <f>SUM(BM6:BM76)</f>
        <v>39</v>
      </c>
      <c r="BS2" s="104">
        <f>AVERAGEIF(BS6:BS76,"&gt;0")</f>
        <v>84.198103448275845</v>
      </c>
      <c r="BT2" s="46">
        <f>SUM(BT6:BT76)</f>
        <v>52</v>
      </c>
      <c r="BZ2" s="104">
        <f>AVERAGEIF(BZ6:BZ76,"&gt;0")</f>
        <v>87.092672413793068</v>
      </c>
      <c r="CA2" s="46">
        <f>SUM(CA6:CA76)</f>
        <v>51</v>
      </c>
      <c r="CB2" s="104">
        <f>IF((CL2+CU2+DD2)/3=0,"",(CL2+CU2+DD2)/3)</f>
        <v>89.55548352371801</v>
      </c>
      <c r="CC2" s="98">
        <f>SUM(CC6:CC76)</f>
        <v>30</v>
      </c>
      <c r="CD2" s="46">
        <f>SUM(CD6:CD76)</f>
        <v>30</v>
      </c>
      <c r="CL2" s="104">
        <f>AVERAGEIF(CL6:CL76,"&gt;0")</f>
        <v>88.177758620689644</v>
      </c>
      <c r="CM2" s="46">
        <f>SUM(CM6:CM76)</f>
        <v>45</v>
      </c>
      <c r="CU2" s="104">
        <f>IFERROR(AVERAGEIF(CU6:CU76,"&gt;0"),0)</f>
        <v>90.117368421052603</v>
      </c>
      <c r="CV2" s="46">
        <f>SUM(CV6:CV76)</f>
        <v>57</v>
      </c>
      <c r="DD2" s="104">
        <f>IFERROR(AVERAGEIF(DD6:DD76,"&gt;0"),0)</f>
        <v>90.371323529411768</v>
      </c>
      <c r="DE2" s="46">
        <f>SUM(DE6:DE76)</f>
        <v>34</v>
      </c>
    </row>
    <row r="3" spans="2:110" s="39" customFormat="1" ht="21.75" customHeight="1" x14ac:dyDescent="0.35">
      <c r="B3" s="10"/>
      <c r="C3" s="10"/>
      <c r="D3" s="10"/>
      <c r="E3" s="10"/>
      <c r="F3" s="10"/>
      <c r="G3" s="10"/>
      <c r="H3" s="10"/>
      <c r="I3" s="10"/>
      <c r="J3" s="10"/>
      <c r="K3" s="10"/>
      <c r="L3" s="49" t="s">
        <v>411</v>
      </c>
      <c r="M3" s="61"/>
      <c r="N3" s="85"/>
      <c r="O3" s="89" t="s">
        <v>412</v>
      </c>
      <c r="P3" s="90"/>
      <c r="Q3" s="90"/>
      <c r="R3" s="90"/>
      <c r="S3" s="90"/>
      <c r="T3" s="91"/>
      <c r="U3" s="65" t="s">
        <v>413</v>
      </c>
      <c r="V3" s="93"/>
      <c r="W3" s="93"/>
      <c r="X3" s="93"/>
      <c r="Y3" s="90"/>
      <c r="Z3" s="55"/>
      <c r="AA3" s="65" t="s">
        <v>414</v>
      </c>
      <c r="AB3" s="93"/>
      <c r="AC3" s="93"/>
      <c r="AD3" s="93"/>
      <c r="AE3" s="90"/>
      <c r="AF3" s="55"/>
      <c r="AG3" s="49" t="s">
        <v>418</v>
      </c>
      <c r="AH3" s="61"/>
      <c r="AI3" s="85"/>
      <c r="AJ3" s="90"/>
      <c r="AK3" s="90"/>
      <c r="AL3" s="90"/>
      <c r="AM3" s="90"/>
      <c r="AN3" s="90"/>
      <c r="AO3" s="91"/>
      <c r="AP3" s="65" t="s">
        <v>416</v>
      </c>
      <c r="AQ3" s="93"/>
      <c r="AR3" s="93"/>
      <c r="AS3" s="93"/>
      <c r="AT3" s="93"/>
      <c r="AU3" s="90"/>
      <c r="AV3" s="55"/>
      <c r="AW3" s="65" t="s">
        <v>417</v>
      </c>
      <c r="AX3" s="93"/>
      <c r="AY3" s="93"/>
      <c r="AZ3" s="93"/>
      <c r="BA3" s="93"/>
      <c r="BB3" s="90"/>
      <c r="BC3" s="55"/>
      <c r="BD3" s="49" t="s">
        <v>419</v>
      </c>
      <c r="BE3" s="61"/>
      <c r="BF3" s="85"/>
      <c r="BG3" s="89" t="s">
        <v>420</v>
      </c>
      <c r="BH3" s="90"/>
      <c r="BI3" s="90"/>
      <c r="BJ3" s="90"/>
      <c r="BK3" s="90"/>
      <c r="BL3" s="90"/>
      <c r="BM3" s="91"/>
      <c r="BN3" s="65" t="s">
        <v>421</v>
      </c>
      <c r="BO3" s="93"/>
      <c r="BP3" s="93"/>
      <c r="BQ3" s="93"/>
      <c r="BR3" s="93"/>
      <c r="BS3" s="90"/>
      <c r="BT3" s="55"/>
      <c r="BU3" s="65" t="s">
        <v>422</v>
      </c>
      <c r="BV3" s="93"/>
      <c r="BW3" s="93"/>
      <c r="BX3" s="93"/>
      <c r="BY3" s="93"/>
      <c r="BZ3" s="90"/>
      <c r="CA3" s="55"/>
      <c r="CB3" s="49" t="s">
        <v>423</v>
      </c>
      <c r="CC3" s="61"/>
      <c r="CD3" s="50"/>
      <c r="CE3" s="89" t="s">
        <v>424</v>
      </c>
      <c r="CF3" s="90"/>
      <c r="CG3" s="90"/>
      <c r="CH3" s="90"/>
      <c r="CI3" s="90"/>
      <c r="CJ3" s="90"/>
      <c r="CK3" s="90"/>
      <c r="CL3" s="90"/>
      <c r="CM3" s="91"/>
      <c r="CN3" s="65" t="s">
        <v>425</v>
      </c>
      <c r="CO3" s="93"/>
      <c r="CP3" s="93"/>
      <c r="CQ3" s="93"/>
      <c r="CR3" s="93"/>
      <c r="CS3" s="93"/>
      <c r="CT3" s="93"/>
      <c r="CU3" s="90"/>
      <c r="CV3" s="55"/>
      <c r="CW3" s="65" t="s">
        <v>426</v>
      </c>
      <c r="CX3" s="93"/>
      <c r="CY3" s="93"/>
      <c r="CZ3" s="93"/>
      <c r="DA3" s="93"/>
      <c r="DB3" s="93"/>
      <c r="DC3" s="93"/>
      <c r="DD3" s="90"/>
      <c r="DE3" s="55"/>
    </row>
    <row r="4" spans="2:110" s="39" customFormat="1" ht="16.899999999999999" customHeight="1" thickBot="1" x14ac:dyDescent="0.4">
      <c r="B4" s="10"/>
      <c r="C4" s="10"/>
      <c r="D4" s="10"/>
      <c r="E4" s="10"/>
      <c r="F4" s="10"/>
      <c r="G4" s="10"/>
      <c r="H4" s="10"/>
      <c r="I4" s="10"/>
      <c r="J4" s="10"/>
      <c r="K4" s="124"/>
      <c r="L4" s="126" t="s">
        <v>169</v>
      </c>
      <c r="M4" s="121"/>
      <c r="N4" s="125"/>
      <c r="O4" s="140">
        <v>30</v>
      </c>
      <c r="P4" s="140">
        <v>8</v>
      </c>
      <c r="Q4" s="140">
        <v>17</v>
      </c>
      <c r="R4" s="140">
        <v>45</v>
      </c>
      <c r="S4" s="122">
        <f>SUM(O4:R4)</f>
        <v>100</v>
      </c>
      <c r="T4" s="123" t="s">
        <v>130</v>
      </c>
      <c r="U4" s="140">
        <v>30</v>
      </c>
      <c r="V4" s="140">
        <v>8</v>
      </c>
      <c r="W4" s="140">
        <v>17</v>
      </c>
      <c r="X4" s="140">
        <v>45</v>
      </c>
      <c r="Y4" s="122">
        <f>SUM(U4:X4)</f>
        <v>100</v>
      </c>
      <c r="Z4" s="123" t="s">
        <v>130</v>
      </c>
      <c r="AA4" s="140">
        <v>30</v>
      </c>
      <c r="AB4" s="140">
        <v>8</v>
      </c>
      <c r="AC4" s="140">
        <v>17</v>
      </c>
      <c r="AD4" s="140">
        <v>45</v>
      </c>
      <c r="AE4" s="122">
        <f>SUM(AA4:AD4)</f>
        <v>100</v>
      </c>
      <c r="AF4" s="123" t="s">
        <v>130</v>
      </c>
      <c r="AG4" s="126" t="s">
        <v>169</v>
      </c>
      <c r="AH4" s="121"/>
      <c r="AI4" s="125"/>
      <c r="AJ4" s="140">
        <v>30</v>
      </c>
      <c r="AK4" s="140">
        <v>8</v>
      </c>
      <c r="AL4" s="140">
        <v>17</v>
      </c>
      <c r="AM4" s="140">
        <v>45</v>
      </c>
      <c r="AN4" s="122">
        <f>SUM(AJ4:AM4)</f>
        <v>100</v>
      </c>
      <c r="AO4" s="123" t="s">
        <v>130</v>
      </c>
      <c r="AP4" s="140">
        <v>30</v>
      </c>
      <c r="AQ4" s="140">
        <v>8</v>
      </c>
      <c r="AR4" s="140">
        <v>17</v>
      </c>
      <c r="AS4" s="140">
        <v>45</v>
      </c>
      <c r="AT4" s="122">
        <f>SUM(AP4:AS4)</f>
        <v>100</v>
      </c>
      <c r="AU4" s="122">
        <v>10</v>
      </c>
      <c r="AV4" s="123" t="s">
        <v>130</v>
      </c>
      <c r="AW4" s="140">
        <v>25</v>
      </c>
      <c r="AX4" s="140">
        <v>5</v>
      </c>
      <c r="AY4" s="140">
        <v>12</v>
      </c>
      <c r="AZ4" s="140">
        <v>40</v>
      </c>
      <c r="BA4" s="140">
        <v>18</v>
      </c>
      <c r="BB4" s="122">
        <v>100</v>
      </c>
      <c r="BC4" s="123" t="s">
        <v>130</v>
      </c>
      <c r="BD4" s="126" t="s">
        <v>169</v>
      </c>
      <c r="BE4" s="121"/>
      <c r="BF4" s="125"/>
      <c r="BG4" s="140">
        <v>25</v>
      </c>
      <c r="BH4" s="140">
        <v>5</v>
      </c>
      <c r="BI4" s="140">
        <v>12</v>
      </c>
      <c r="BJ4" s="140">
        <v>40</v>
      </c>
      <c r="BK4" s="140">
        <v>18</v>
      </c>
      <c r="BL4" s="122">
        <v>100</v>
      </c>
      <c r="BM4" s="123" t="s">
        <v>130</v>
      </c>
      <c r="BN4" s="140">
        <v>25</v>
      </c>
      <c r="BO4" s="140">
        <v>5</v>
      </c>
      <c r="BP4" s="140">
        <v>12</v>
      </c>
      <c r="BQ4" s="140">
        <v>40</v>
      </c>
      <c r="BR4" s="140">
        <v>18</v>
      </c>
      <c r="BS4" s="122">
        <v>100</v>
      </c>
      <c r="BT4" s="123" t="s">
        <v>130</v>
      </c>
      <c r="BU4" s="140">
        <v>25</v>
      </c>
      <c r="BV4" s="140">
        <v>5</v>
      </c>
      <c r="BW4" s="140">
        <v>12</v>
      </c>
      <c r="BX4" s="140">
        <v>40</v>
      </c>
      <c r="BY4" s="140">
        <v>18</v>
      </c>
      <c r="BZ4" s="122">
        <v>100</v>
      </c>
      <c r="CA4" s="123" t="s">
        <v>130</v>
      </c>
      <c r="CB4" s="126" t="s">
        <v>169</v>
      </c>
      <c r="CC4" s="121"/>
      <c r="CD4" s="125"/>
      <c r="CE4" s="140">
        <v>35</v>
      </c>
      <c r="CF4" s="140">
        <v>5</v>
      </c>
      <c r="CG4" s="140">
        <v>5</v>
      </c>
      <c r="CH4" s="140">
        <v>15</v>
      </c>
      <c r="CI4" s="140">
        <v>20</v>
      </c>
      <c r="CJ4" s="140">
        <v>10</v>
      </c>
      <c r="CK4" s="140">
        <v>15</v>
      </c>
      <c r="CL4" s="122">
        <v>100</v>
      </c>
      <c r="CM4" s="123" t="s">
        <v>130</v>
      </c>
      <c r="CN4" s="140">
        <v>35</v>
      </c>
      <c r="CO4" s="140">
        <v>5</v>
      </c>
      <c r="CP4" s="140">
        <v>5</v>
      </c>
      <c r="CQ4" s="140">
        <v>15</v>
      </c>
      <c r="CR4" s="140">
        <v>20</v>
      </c>
      <c r="CS4" s="140">
        <v>10</v>
      </c>
      <c r="CT4" s="140">
        <v>15</v>
      </c>
      <c r="CU4" s="122">
        <v>100</v>
      </c>
      <c r="CV4" s="123" t="s">
        <v>130</v>
      </c>
      <c r="CW4" s="140">
        <v>35</v>
      </c>
      <c r="CX4" s="140">
        <v>5</v>
      </c>
      <c r="CY4" s="140">
        <v>5</v>
      </c>
      <c r="CZ4" s="140">
        <v>15</v>
      </c>
      <c r="DA4" s="140">
        <v>20</v>
      </c>
      <c r="DB4" s="140">
        <v>10</v>
      </c>
      <c r="DC4" s="140">
        <v>15</v>
      </c>
      <c r="DD4" s="122">
        <v>100</v>
      </c>
      <c r="DE4" s="123" t="s">
        <v>130</v>
      </c>
    </row>
    <row r="5" spans="2:110" s="39" customFormat="1" ht="33" customHeight="1" x14ac:dyDescent="0.35">
      <c r="B5" s="57" t="s">
        <v>0</v>
      </c>
      <c r="C5" s="58" t="s">
        <v>1</v>
      </c>
      <c r="D5" s="58" t="s">
        <v>2</v>
      </c>
      <c r="E5" s="58" t="s">
        <v>4</v>
      </c>
      <c r="F5" s="58" t="s">
        <v>5</v>
      </c>
      <c r="G5" s="58" t="s">
        <v>322</v>
      </c>
      <c r="H5" s="58" t="s">
        <v>323</v>
      </c>
      <c r="I5" s="58" t="s">
        <v>324</v>
      </c>
      <c r="J5" s="58" t="s">
        <v>93</v>
      </c>
      <c r="K5" s="33" t="s">
        <v>13</v>
      </c>
      <c r="L5" s="51" t="s">
        <v>107</v>
      </c>
      <c r="M5" s="62" t="s">
        <v>124</v>
      </c>
      <c r="N5" s="87" t="s">
        <v>105</v>
      </c>
      <c r="O5" s="37" t="s">
        <v>457</v>
      </c>
      <c r="P5" s="37" t="s">
        <v>111</v>
      </c>
      <c r="Q5" s="37" t="s">
        <v>458</v>
      </c>
      <c r="R5" s="37" t="s">
        <v>459</v>
      </c>
      <c r="S5" s="37" t="s">
        <v>121</v>
      </c>
      <c r="T5" s="38" t="s">
        <v>105</v>
      </c>
      <c r="U5" s="37" t="s">
        <v>457</v>
      </c>
      <c r="V5" s="37" t="s">
        <v>111</v>
      </c>
      <c r="W5" s="37" t="s">
        <v>458</v>
      </c>
      <c r="X5" s="37" t="s">
        <v>459</v>
      </c>
      <c r="Y5" s="37" t="s">
        <v>121</v>
      </c>
      <c r="Z5" s="38" t="s">
        <v>105</v>
      </c>
      <c r="AA5" s="141" t="s">
        <v>457</v>
      </c>
      <c r="AB5" s="141" t="s">
        <v>111</v>
      </c>
      <c r="AC5" s="141" t="s">
        <v>458</v>
      </c>
      <c r="AD5" s="141" t="s">
        <v>459</v>
      </c>
      <c r="AE5" s="37" t="s">
        <v>121</v>
      </c>
      <c r="AF5" s="38" t="s">
        <v>105</v>
      </c>
      <c r="AG5" s="51" t="s">
        <v>107</v>
      </c>
      <c r="AH5" s="62" t="s">
        <v>124</v>
      </c>
      <c r="AI5" s="87" t="s">
        <v>105</v>
      </c>
      <c r="AJ5" s="141" t="s">
        <v>457</v>
      </c>
      <c r="AK5" s="141" t="s">
        <v>111</v>
      </c>
      <c r="AL5" s="141" t="s">
        <v>458</v>
      </c>
      <c r="AM5" s="141" t="s">
        <v>459</v>
      </c>
      <c r="AN5" s="37" t="s">
        <v>121</v>
      </c>
      <c r="AO5" s="38" t="s">
        <v>105</v>
      </c>
      <c r="AP5" s="141" t="s">
        <v>457</v>
      </c>
      <c r="AQ5" s="141" t="s">
        <v>111</v>
      </c>
      <c r="AR5" s="141" t="s">
        <v>458</v>
      </c>
      <c r="AS5" s="141" t="s">
        <v>459</v>
      </c>
      <c r="AT5" s="37" t="s">
        <v>121</v>
      </c>
      <c r="AU5" s="37" t="s">
        <v>121</v>
      </c>
      <c r="AV5" s="38" t="s">
        <v>105</v>
      </c>
      <c r="AW5" s="141" t="s">
        <v>457</v>
      </c>
      <c r="AX5" s="141" t="s">
        <v>111</v>
      </c>
      <c r="AY5" s="141" t="s">
        <v>458</v>
      </c>
      <c r="AZ5" s="141" t="s">
        <v>459</v>
      </c>
      <c r="BA5" s="141" t="s">
        <v>953</v>
      </c>
      <c r="BB5" s="37" t="s">
        <v>121</v>
      </c>
      <c r="BC5" s="38" t="s">
        <v>105</v>
      </c>
      <c r="BD5" s="51" t="s">
        <v>107</v>
      </c>
      <c r="BE5" s="62" t="s">
        <v>124</v>
      </c>
      <c r="BF5" s="87" t="s">
        <v>105</v>
      </c>
      <c r="BG5" s="141" t="s">
        <v>457</v>
      </c>
      <c r="BH5" s="141" t="s">
        <v>111</v>
      </c>
      <c r="BI5" s="141" t="s">
        <v>458</v>
      </c>
      <c r="BJ5" s="141" t="s">
        <v>459</v>
      </c>
      <c r="BK5" s="141" t="s">
        <v>953</v>
      </c>
      <c r="BL5" s="37" t="s">
        <v>121</v>
      </c>
      <c r="BM5" s="38" t="s">
        <v>105</v>
      </c>
      <c r="BN5" s="141" t="s">
        <v>457</v>
      </c>
      <c r="BO5" s="141" t="s">
        <v>111</v>
      </c>
      <c r="BP5" s="141" t="s">
        <v>458</v>
      </c>
      <c r="BQ5" s="141" t="s">
        <v>459</v>
      </c>
      <c r="BR5" s="141" t="s">
        <v>953</v>
      </c>
      <c r="BS5" s="37" t="s">
        <v>121</v>
      </c>
      <c r="BT5" s="38" t="s">
        <v>105</v>
      </c>
      <c r="BU5" s="141" t="s">
        <v>457</v>
      </c>
      <c r="BV5" s="141" t="s">
        <v>111</v>
      </c>
      <c r="BW5" s="141" t="s">
        <v>458</v>
      </c>
      <c r="BX5" s="141" t="s">
        <v>459</v>
      </c>
      <c r="BY5" s="141" t="s">
        <v>953</v>
      </c>
      <c r="BZ5" s="37" t="s">
        <v>121</v>
      </c>
      <c r="CA5" s="38" t="s">
        <v>105</v>
      </c>
      <c r="CB5" s="51" t="s">
        <v>107</v>
      </c>
      <c r="CC5" s="62" t="s">
        <v>124</v>
      </c>
      <c r="CD5" s="36" t="s">
        <v>105</v>
      </c>
      <c r="CE5" s="141" t="s">
        <v>459</v>
      </c>
      <c r="CF5" s="141" t="s">
        <v>1291</v>
      </c>
      <c r="CG5" s="141" t="s">
        <v>111</v>
      </c>
      <c r="CH5" s="141" t="s">
        <v>953</v>
      </c>
      <c r="CI5" s="141" t="s">
        <v>457</v>
      </c>
      <c r="CJ5" s="141" t="s">
        <v>458</v>
      </c>
      <c r="CK5" s="141" t="s">
        <v>1251</v>
      </c>
      <c r="CL5" s="37" t="s">
        <v>121</v>
      </c>
      <c r="CM5" s="38" t="s">
        <v>105</v>
      </c>
      <c r="CN5" s="141" t="s">
        <v>459</v>
      </c>
      <c r="CO5" s="141" t="s">
        <v>1291</v>
      </c>
      <c r="CP5" s="141" t="s">
        <v>111</v>
      </c>
      <c r="CQ5" s="141" t="s">
        <v>953</v>
      </c>
      <c r="CR5" s="141" t="s">
        <v>457</v>
      </c>
      <c r="CS5" s="141" t="s">
        <v>458</v>
      </c>
      <c r="CT5" s="141" t="s">
        <v>1251</v>
      </c>
      <c r="CU5" s="37" t="s">
        <v>121</v>
      </c>
      <c r="CV5" s="38" t="s">
        <v>105</v>
      </c>
      <c r="CW5" s="141" t="s">
        <v>459</v>
      </c>
      <c r="CX5" s="141" t="s">
        <v>1291</v>
      </c>
      <c r="CY5" s="141" t="s">
        <v>111</v>
      </c>
      <c r="CZ5" s="141" t="s">
        <v>953</v>
      </c>
      <c r="DA5" s="141" t="s">
        <v>457</v>
      </c>
      <c r="DB5" s="141" t="s">
        <v>458</v>
      </c>
      <c r="DC5" s="141" t="s">
        <v>1251</v>
      </c>
      <c r="DD5" s="37" t="s">
        <v>121</v>
      </c>
      <c r="DE5" s="38" t="s">
        <v>105</v>
      </c>
    </row>
    <row r="6" spans="2:110" x14ac:dyDescent="0.35">
      <c r="B6" s="52" t="s">
        <v>427</v>
      </c>
      <c r="C6" s="21">
        <v>771</v>
      </c>
      <c r="D6" s="21" t="s">
        <v>428</v>
      </c>
      <c r="E6" s="21">
        <v>143128</v>
      </c>
      <c r="F6" s="16" t="s">
        <v>84</v>
      </c>
      <c r="G6" s="16" t="s">
        <v>174</v>
      </c>
      <c r="H6" s="16" t="s">
        <v>277</v>
      </c>
      <c r="I6" s="16" t="s">
        <v>175</v>
      </c>
      <c r="J6" s="16" t="s">
        <v>90</v>
      </c>
      <c r="K6" s="34" t="s">
        <v>83</v>
      </c>
      <c r="L6" s="60">
        <f t="shared" ref="L6" si="0">IF((S6+Y6+AE6)/3=0,"",(S6+Y6+AE6)/3)</f>
        <v>52.856666666666662</v>
      </c>
      <c r="M6" s="97">
        <f t="shared" ref="M6" si="1">IF(IF(S6&gt;0,1,0)+IF(Y6&gt;0,1,0)+IF(AE6&gt;0,1,0)=3,1,0)</f>
        <v>1</v>
      </c>
      <c r="N6" s="43">
        <f t="shared" ref="N6:N35" si="2">IF(M6=0,0,IF(L6&gt;=80,1,0))</f>
        <v>0</v>
      </c>
      <c r="O6" s="60">
        <f>IFERROR(AVERAGEIFS('Base Kpi'!$I:$I,'Base Kpi'!$B:$B,Cliente!$E6,'Base Kpi'!$G:$G,Cliente!O$5),0)</f>
        <v>12.87</v>
      </c>
      <c r="P6" s="92">
        <f>IFERROR(AVERAGEIFS('Base Kpi'!$I:$I,'Base Kpi'!$B:$B,Cliente!$E6,'Base Kpi'!$G:$G,Cliente!P$5),0)</f>
        <v>0</v>
      </c>
      <c r="Q6" s="92">
        <f>IFERROR(AVERAGEIFS('Base Kpi'!$I:$I,'Base Kpi'!$B:$B,Cliente!$E6,'Base Kpi'!$G:$G,Cliente!Q$5),0)</f>
        <v>3.4</v>
      </c>
      <c r="R6" s="92">
        <f>IFERROR(AVERAGEIFS('Base Kpi'!$I:$I,'Base Kpi'!$B:$B,Cliente!$E6,'Base Kpi'!$G:$G,Cliente!R$5),0)</f>
        <v>13.5</v>
      </c>
      <c r="S6" s="94">
        <f t="shared" ref="S6" si="3">SUM(O6:R6)</f>
        <v>29.77</v>
      </c>
      <c r="T6" s="95">
        <f t="shared" ref="T6" si="4">IF(S6&gt;=80,1,0)</f>
        <v>0</v>
      </c>
      <c r="U6" s="60">
        <f>IFERROR(AVERAGEIFS('Base Kpi'!$T:$T,'Base Kpi'!$M:$M,Cliente!$E6,'Base Kpi'!$S:$S,Cliente!U$5),0)</f>
        <v>17.13</v>
      </c>
      <c r="V6" s="92">
        <f>IFERROR(AVERAGEIFS('Base Kpi'!$T:$T,'Base Kpi'!$M:$M,Cliente!$E6,'Base Kpi'!$S:$S,Cliente!V$5),0)</f>
        <v>0</v>
      </c>
      <c r="W6" s="92">
        <f>IFERROR(AVERAGEIFS('Base Kpi'!$T:$T,'Base Kpi'!$M:$M,Cliente!$E6,'Base Kpi'!$S:$S,Cliente!W$5),0)</f>
        <v>8.5</v>
      </c>
      <c r="X6" s="92">
        <f>IFERROR(AVERAGEIFS('Base Kpi'!$T:$T,'Base Kpi'!$M:$M,Cliente!$E6,'Base Kpi'!$S:$S,Cliente!X$5),0)</f>
        <v>29.25</v>
      </c>
      <c r="Y6" s="94">
        <f t="shared" ref="Y6" si="5">SUM(U6:X6)</f>
        <v>54.879999999999995</v>
      </c>
      <c r="Z6" s="95">
        <f t="shared" ref="Z6" si="6">IF(Y6&gt;=80,1,0)</f>
        <v>0</v>
      </c>
      <c r="AA6" s="60">
        <f>IFERROR(AVERAGEIFS('Base Kpi'!$AF:$AF,'Base Kpi'!$Y:$Y,Cliente!$E6,'Base Kpi'!$AE:$AE,Cliente!AA$5),0)</f>
        <v>21.42</v>
      </c>
      <c r="AB6" s="92">
        <f>IFERROR(AVERAGEIFS('Base Kpi'!$AF:$AF,'Base Kpi'!$Y:$Y,Cliente!$E6,'Base Kpi'!$AE:$AE,Cliente!AB$5),0)</f>
        <v>8</v>
      </c>
      <c r="AC6" s="92">
        <f>IFERROR(AVERAGEIFS('Base Kpi'!$AF:$AF,'Base Kpi'!$Y:$Y,Cliente!$E6,'Base Kpi'!$AE:$AE,Cliente!AC$5),0)</f>
        <v>8.5</v>
      </c>
      <c r="AD6" s="92">
        <f>IFERROR(AVERAGEIFS('Base Kpi'!$AF:$AF,'Base Kpi'!$Y:$Y,Cliente!$E6,'Base Kpi'!$AE:$AE,Cliente!AD$5),0)</f>
        <v>36</v>
      </c>
      <c r="AE6" s="94">
        <f t="shared" ref="AE6" si="7">SUM(AA6:AD6)</f>
        <v>73.92</v>
      </c>
      <c r="AF6" s="95">
        <f t="shared" ref="AF6" si="8">IF(AE6&gt;=80,1,0)</f>
        <v>0</v>
      </c>
      <c r="AG6" s="60">
        <f t="shared" ref="AG6:AG37" si="9">IF((AN6+AU6+BB6)/3=0,"",(AN6+AU6+BB6)/3)</f>
        <v>18.288333333333334</v>
      </c>
      <c r="AH6" s="97">
        <f t="shared" ref="AH6:AH37" si="10">IF(IF(AN6&gt;0,1,0)+IF(AU6&gt;0,1,0)+IF(BB6&gt;0,1,0)=3,1,0)</f>
        <v>0</v>
      </c>
      <c r="AI6" s="88">
        <f t="shared" ref="AI6" si="11">IF(AH6=0,0,IF(AG6&gt;=7,1,0))</f>
        <v>0</v>
      </c>
      <c r="AJ6" s="92">
        <f>IFERROR(AVERAGEIFS('Base Kpi'!$AR:$AR,'Base Kpi'!$AK:$AK,Cliente!$E6,'Base Kpi'!$AQ:$AQ,AJ$5),0)</f>
        <v>21.425000000000001</v>
      </c>
      <c r="AK6" s="92">
        <f>IFERROR(AVERAGEIFS('Base Kpi'!$AR:$AR,'Base Kpi'!$AK:$AK,Cliente!$E6,'Base Kpi'!$AQ:$AQ,AK$5),0)</f>
        <v>0</v>
      </c>
      <c r="AL6" s="92">
        <f>IFERROR(AVERAGEIFS('Base Kpi'!$AR:$AR,'Base Kpi'!$AK:$AK,Cliente!$E6,'Base Kpi'!$AQ:$AQ,AL$5),0)</f>
        <v>3</v>
      </c>
      <c r="AM6" s="92">
        <f>IFERROR(AVERAGEIFS('Base Kpi'!$AR:$AR,'Base Kpi'!$AK:$AK,Cliente!$E6,'Base Kpi'!$AQ:$AQ,AM$5),0)</f>
        <v>30.44</v>
      </c>
      <c r="AN6" s="94">
        <f t="shared" ref="AN6:AN35" si="12">SUM(AJ6:AM6)</f>
        <v>54.865000000000002</v>
      </c>
      <c r="AO6" s="95">
        <f t="shared" ref="AO6:AO65" si="13">IF(AN6&gt;=80,1,0)</f>
        <v>0</v>
      </c>
      <c r="AP6" s="60">
        <f>IFERROR(AVERAGEIFS('Base Kpi'!$BD:$BD,'Base Kpi'!$AW:$AW,Cliente!$E6,'Base Kpi'!$BC:$BC,Cliente!AP$5),0)</f>
        <v>0</v>
      </c>
      <c r="AQ6" s="92">
        <f>IFERROR(AVERAGEIFS('Base Kpi'!$BD:$BD,'Base Kpi'!$AW:$AW,Cliente!$E6,'Base Kpi'!$BC:$BC,Cliente!AQ$5),0)</f>
        <v>0</v>
      </c>
      <c r="AR6" s="92">
        <f>IFERROR(AVERAGEIFS('Base Kpi'!$BD:$BD,'Base Kpi'!$AW:$AW,Cliente!$E6,'Base Kpi'!$BC:$BC,Cliente!AR$5),0)</f>
        <v>0</v>
      </c>
      <c r="AS6" s="92">
        <f>IFERROR(AVERAGEIFS('Base Kpi'!$BD:$BD,'Base Kpi'!$AW:$AW,Cliente!$E6,'Base Kpi'!$BC:$BC,Cliente!AS$5),0)</f>
        <v>0</v>
      </c>
      <c r="AT6" s="92">
        <f>IFERROR(AVERAGEIFS('Base Kpi'!$BD:$BD,'Base Kpi'!$AW:$AW,Cliente!$E6,'Base Kpi'!$BC:$BC,Cliente!AT$5),0)</f>
        <v>0</v>
      </c>
      <c r="AU6" s="94">
        <f t="shared" ref="AU6:AU35" si="14">SUM(AP6:AT6)</f>
        <v>0</v>
      </c>
      <c r="AV6" s="95">
        <f t="shared" ref="AV6:AV38" si="15">IF(AU6&gt;=80,1,0)</f>
        <v>0</v>
      </c>
      <c r="AW6" s="60">
        <f>IFERROR(AVERAGEIFS('Base Kpi'!$BP:$BP,'Base Kpi'!$BI:$BI,Cliente!$E6,'Base Kpi'!$BO:$BO,Cliente!AW$5),0)</f>
        <v>0</v>
      </c>
      <c r="AX6" s="92">
        <f>IFERROR(AVERAGEIFS('Base Kpi'!$BP:$BP,'Base Kpi'!$BI:$BI,Cliente!$E6,'Base Kpi'!$BO:$BO,Cliente!AX$5),0)</f>
        <v>0</v>
      </c>
      <c r="AY6" s="92">
        <f>IFERROR(AVERAGEIFS('Base Kpi'!$BP:$BP,'Base Kpi'!$BI:$BI,Cliente!$E6,'Base Kpi'!$BO:$BO,Cliente!AY$5),0)</f>
        <v>0</v>
      </c>
      <c r="AZ6" s="92">
        <f>IFERROR(AVERAGEIFS('Base Kpi'!$BP:$BP,'Base Kpi'!$BI:$BI,Cliente!$E6,'Base Kpi'!$BO:$BO,Cliente!AZ$5),0)</f>
        <v>0</v>
      </c>
      <c r="BA6" s="92">
        <f>IFERROR(AVERAGEIFS('Base Kpi'!$BP:$BP,'Base Kpi'!$BI:$BI,Cliente!$E6,'Base Kpi'!$BO:$BO,Cliente!BA$5),0)</f>
        <v>0</v>
      </c>
      <c r="BB6" s="94">
        <f t="shared" ref="BB6:BB37" si="16">SUM(AW6:BA6)</f>
        <v>0</v>
      </c>
      <c r="BC6" s="95">
        <f t="shared" ref="BC6:BC38" si="17">IF(BB6&gt;=80,1,0)</f>
        <v>0</v>
      </c>
      <c r="BD6" s="60">
        <f>IF((BL6+BS6+BZ6)/3=0,"",(BL6+BS6+BZ6)/3)</f>
        <v>47.133333333333326</v>
      </c>
      <c r="BE6" s="97">
        <f t="shared" ref="BE6:BE38" si="18">IF(IF(BK6&gt;0,1,0)+IF(BR6&gt;0,1,0)+IF(BX6&gt;0,1,0)=3,1,0)</f>
        <v>0</v>
      </c>
      <c r="BF6" s="88">
        <f>IF(BE6=0,0,IF(BD6&gt;=80,1,0))</f>
        <v>0</v>
      </c>
      <c r="BG6" s="60">
        <f>IFERROR(AVERAGEIFS('Base Kpi'!$CB:$CB,'Base Kpi'!$BU:$BU,Cliente!$E6,'Base Kpi'!$CA:$CA,Cliente!BG$5),0)</f>
        <v>25</v>
      </c>
      <c r="BH6" s="92">
        <f>IFERROR(AVERAGEIFS('Base Kpi'!$CB:$CB,'Base Kpi'!$BU:$BU,Cliente!$E6,'Base Kpi'!$CA:$CA,Cliente!BH$5),0)</f>
        <v>5</v>
      </c>
      <c r="BI6" s="92">
        <f>IFERROR(AVERAGEIFS('Base Kpi'!$CB:$CB,'Base Kpi'!$BU:$BU,Cliente!$E6,'Base Kpi'!$CA:$CA,Cliente!BI$5),0)</f>
        <v>6</v>
      </c>
      <c r="BJ6" s="92">
        <f>IFERROR(AVERAGEIFS('Base Kpi'!$CB:$CB,'Base Kpi'!$BU:$BU,Cliente!$E6,'Base Kpi'!$CA:$CA,Cliente!BJ$5),0)</f>
        <v>28.8</v>
      </c>
      <c r="BK6" s="92">
        <f>IFERROR(AVERAGEIFS('Base Kpi'!$CB:$CB,'Base Kpi'!$BU:$BU,Cliente!$E6,'Base Kpi'!$CA:$CA,Cliente!BK$5),0)</f>
        <v>9</v>
      </c>
      <c r="BL6" s="94">
        <f t="shared" ref="BL6:BL37" si="19">SUM(BG6:BK6)</f>
        <v>73.8</v>
      </c>
      <c r="BM6" s="95">
        <f t="shared" ref="BM6:BM38" si="20">IF(BL6&gt;=80,1,0)</f>
        <v>0</v>
      </c>
      <c r="BN6" s="60">
        <f>IFERROR(AVERAGEIFS('Base Kpi'!$CN:$CN,'Base Kpi'!$CG:$CG,Cliente!$E6,'Base Kpi'!$CM:$CM,Cliente!BN$5),0)</f>
        <v>25</v>
      </c>
      <c r="BO6" s="92">
        <f>IFERROR(AVERAGEIFS('Base Kpi'!$CN:$CN,'Base Kpi'!$CG:$CG,Cliente!$E6,'Base Kpi'!$CM:$CM,Cliente!BO$5),0)</f>
        <v>5</v>
      </c>
      <c r="BP6" s="92">
        <f>IFERROR(AVERAGEIFS('Base Kpi'!$CN:$CN,'Base Kpi'!$CG:$CG,Cliente!$E6,'Base Kpi'!$CM:$CM,Cliente!BP$5),0)</f>
        <v>6</v>
      </c>
      <c r="BQ6" s="92">
        <f>IFERROR(AVERAGEIFS('Base Kpi'!$CN:$CN,'Base Kpi'!$CG:$CG,Cliente!$E6,'Base Kpi'!$CM:$CM,Cliente!BQ$5),0)</f>
        <v>13.6</v>
      </c>
      <c r="BR6" s="92">
        <f>IFERROR(AVERAGEIFS('Base Kpi'!$CN:$CN,'Base Kpi'!$CG:$CG,Cliente!$E6,'Base Kpi'!$CM:$CM,Cliente!BR$5),0)</f>
        <v>18</v>
      </c>
      <c r="BS6" s="94">
        <f t="shared" ref="BS6:BS37" si="21">SUM(BN6:BR6)</f>
        <v>67.599999999999994</v>
      </c>
      <c r="BT6" s="95">
        <f t="shared" ref="BT6:BT38" si="22">IF(BS6&gt;=80,1,0)</f>
        <v>0</v>
      </c>
      <c r="BU6" s="60">
        <f>IFERROR(AVERAGEIFS('Base Kpi'!$CZ:$CZ,'Base Kpi'!$CS:$CS,Cliente!$E6,'Base Kpi'!$CY:$CY,Cliente!BU$5),0)</f>
        <v>0</v>
      </c>
      <c r="BV6" s="92">
        <f>IFERROR(AVERAGEIFS('Base Kpi'!$CZ:$CZ,'Base Kpi'!$CS:$CS,Cliente!$E6,'Base Kpi'!$CY:$CY,Cliente!BV$5),0)</f>
        <v>0</v>
      </c>
      <c r="BW6" s="92">
        <f>IFERROR(AVERAGEIFS('Base Kpi'!$CZ:$CZ,'Base Kpi'!$CS:$CS,Cliente!$E6,'Base Kpi'!$CY:$CY,Cliente!BW$5),0)</f>
        <v>0</v>
      </c>
      <c r="BX6" s="92">
        <f>IFERROR(AVERAGEIFS('Base Kpi'!$CZ:$CZ,'Base Kpi'!$CS:$CS,Cliente!$E6,'Base Kpi'!$CY:$CY,Cliente!BX$5),0)</f>
        <v>0</v>
      </c>
      <c r="BY6" s="92">
        <f>IFERROR(AVERAGEIFS('Base Kpi'!$CZ:$CZ,'Base Kpi'!$CS:$CS,Cliente!$E6,'Base Kpi'!$CY:$CY,Cliente!BY$5),0)</f>
        <v>0</v>
      </c>
      <c r="BZ6" s="94">
        <f t="shared" ref="BZ6:BZ37" si="23">SUM(BU6:BY6)</f>
        <v>0</v>
      </c>
      <c r="CA6" s="95">
        <f t="shared" ref="CA6:CA38" si="24">IF(BZ6&gt;=80,1,0)</f>
        <v>0</v>
      </c>
      <c r="CB6" s="60" t="str">
        <f t="shared" ref="CB6" si="25">IF((CL6+CU6+DD6)/3=0,"",(CL6+CU6+DD6)/3)</f>
        <v/>
      </c>
      <c r="CC6" s="97">
        <f t="shared" ref="CC6" si="26">IF(IF(CL6&gt;0,1,0)+IF(CU6&gt;0,1,0)+IF(DD6&gt;0,1,0)=3,1,0)</f>
        <v>0</v>
      </c>
      <c r="CD6" s="43">
        <f t="shared" ref="CD6" si="27">IF(CC6=0,0,IF(CB6&gt;=7,1,0))</f>
        <v>0</v>
      </c>
      <c r="CE6" s="60" cm="1">
        <f t="array" ref="CE6">IFERROR(LARGE(_xlfn._xlws.FILTER('Base Kpi'!$DL:$DL,('Base Kpi'!$DK:$DK=$CE$5)*('Base Kpi'!$DE:$DE=Cliente!$E6)),1),0)</f>
        <v>0</v>
      </c>
      <c r="CF6" s="60" cm="1">
        <f t="array" ref="CF6">IFERROR(LARGE(_xlfn._xlws.FILTER('Base Kpi'!$DL:$DL,('Base Kpi'!$DK:$DK=$CF$5)*('Base Kpi'!$DE:$DE=Cliente!$E6)),1),0)</f>
        <v>0</v>
      </c>
      <c r="CG6" s="60" cm="1">
        <f t="array" ref="CG6">IFERROR(LARGE(_xlfn._xlws.FILTER('Base Kpi'!$DL:$DL,('Base Kpi'!$DK:$DK=$CG$5)*('Base Kpi'!$DE:$DE=Cliente!$E6)),1),0)</f>
        <v>0</v>
      </c>
      <c r="CH6" s="60" cm="1">
        <f t="array" ref="CH6">IFERROR(LARGE(_xlfn._xlws.FILTER('Base Kpi'!$DL:$DL,('Base Kpi'!$DK:$DK=$CH$5)*('Base Kpi'!$DE:$DE=Cliente!$E6)),1),0)</f>
        <v>0</v>
      </c>
      <c r="CI6" s="60" cm="1">
        <f t="array" ref="CI6">IFERROR(LARGE(_xlfn._xlws.FILTER('Base Kpi'!$DL:$DL,('Base Kpi'!$DK:$DK=$CI$5)*('Base Kpi'!$DE:$DE=Cliente!$E6)),1),0)</f>
        <v>0</v>
      </c>
      <c r="CJ6" s="60" cm="1">
        <f t="array" ref="CJ6">IFERROR(LARGE(_xlfn._xlws.FILTER('Base Kpi'!$DL:$DL,('Base Kpi'!$DK:$DK=$CJ$5)*('Base Kpi'!$DE:$DE=Cliente!$E6)),1),0)</f>
        <v>0</v>
      </c>
      <c r="CK6" s="60" cm="1">
        <f t="array" ref="CK6">IFERROR(LARGE(_xlfn._xlws.FILTER('Base Kpi'!$DL:$DL,('Base Kpi'!$DK:$DK=$CK$5)*('Base Kpi'!$DE:$DE=Cliente!$E6)),1),0)</f>
        <v>0</v>
      </c>
      <c r="CL6" s="94">
        <f t="shared" ref="CL6:CL37" si="28">SUM(CE6:CK6)</f>
        <v>0</v>
      </c>
      <c r="CM6" s="95">
        <f>IF(CL6&gt;=80,1,0)</f>
        <v>0</v>
      </c>
      <c r="CN6" s="60">
        <f>IFERROR(AVERAGEIFS('Base Kpi'!$DX:$DX,'Base Kpi'!$DQ:$DQ,Cliente!$E6,'Base Kpi'!$DW:$DW,Cliente!CN$5),0)</f>
        <v>0</v>
      </c>
      <c r="CO6" s="92">
        <f>IFERROR(AVERAGEIFS('Base Kpi'!$DX:$DX,'Base Kpi'!$DQ:$DQ,Cliente!$E6,'Base Kpi'!$DW:$DW,Cliente!CO$5),0)</f>
        <v>0</v>
      </c>
      <c r="CP6" s="92">
        <f>IFERROR(AVERAGEIFS('Base Kpi'!$DX:$DX,'Base Kpi'!$DQ:$DQ,Cliente!$E6,'Base Kpi'!$DW:$DW,Cliente!CP$5),0)</f>
        <v>0</v>
      </c>
      <c r="CQ6" s="92">
        <f>IFERROR(AVERAGEIFS('Base Kpi'!$DX:$DX,'Base Kpi'!$DQ:$DQ,Cliente!$E6,'Base Kpi'!$DW:$DW,Cliente!CQ$5),0)</f>
        <v>0</v>
      </c>
      <c r="CR6" s="92">
        <f>IFERROR(AVERAGEIFS('Base Kpi'!$DX:$DX,'Base Kpi'!$DQ:$DQ,Cliente!$E6,'Base Kpi'!$DW:$DW,Cliente!CR$5),0)</f>
        <v>0</v>
      </c>
      <c r="CS6" s="92">
        <f>IFERROR(AVERAGEIFS('Base Kpi'!$DX:$DX,'Base Kpi'!$DQ:$DQ,Cliente!$E6,'Base Kpi'!$DW:$DW,Cliente!CS$5),0)</f>
        <v>0</v>
      </c>
      <c r="CT6" s="92">
        <f>IFERROR(AVERAGEIFS('Base Kpi'!$DX:$DX,'Base Kpi'!$DQ:$DQ,Cliente!$E6,'Base Kpi'!$DW:$DW,Cliente!CT$5),0)</f>
        <v>0</v>
      </c>
      <c r="CU6" s="94">
        <f t="shared" ref="CU6" si="29">SUM(CN6:CT6)</f>
        <v>0</v>
      </c>
      <c r="CV6" s="95">
        <f t="shared" ref="CV6" si="30">IF(CU6&gt;=7,1,0)</f>
        <v>0</v>
      </c>
      <c r="CW6" s="60">
        <f>IFERROR(AVERAGEIFS('Base Kpi'!$EJ:$EJ,'Base Kpi'!$EC:$EC,Cliente!$E6,'Base Kpi'!$EI:$EI,Cliente!CW$5),0)</f>
        <v>0</v>
      </c>
      <c r="CX6" s="92">
        <f>IFERROR(AVERAGEIFS('Base Kpi'!$EJ:$EJ,'Base Kpi'!$EC:$EC,Cliente!$E6,'Base Kpi'!$EI:$EI,Cliente!CX$5),0)</f>
        <v>0</v>
      </c>
      <c r="CY6" s="92">
        <f>IFERROR(AVERAGEIFS('Base Kpi'!$EJ:$EJ,'Base Kpi'!$EC:$EC,Cliente!$E6,'Base Kpi'!$EI:$EI,Cliente!CY$5),0)</f>
        <v>0</v>
      </c>
      <c r="CZ6" s="92">
        <f>IFERROR(AVERAGEIFS('Base Kpi'!$EJ:$EJ,'Base Kpi'!$EC:$EC,Cliente!$E6,'Base Kpi'!$EI:$EI,Cliente!CZ$5),0)</f>
        <v>0</v>
      </c>
      <c r="DA6" s="92">
        <f>IFERROR(AVERAGEIFS('Base Kpi'!$EJ:$EJ,'Base Kpi'!$EC:$EC,Cliente!$E6,'Base Kpi'!$EI:$EI,Cliente!DA$5),0)</f>
        <v>0</v>
      </c>
      <c r="DB6" s="92">
        <f>IFERROR(AVERAGEIFS('Base Kpi'!$EJ:$EJ,'Base Kpi'!$EC:$EC,Cliente!$E6,'Base Kpi'!$EI:$EI,Cliente!DB$5),0)</f>
        <v>0</v>
      </c>
      <c r="DC6" s="92">
        <f>IFERROR(AVERAGEIFS('Base Kpi'!$EJ:$EJ,'Base Kpi'!$EC:$EC,Cliente!$E6,'Base Kpi'!$EI:$EI,Cliente!DC$5),0)</f>
        <v>0</v>
      </c>
      <c r="DD6" s="94">
        <f t="shared" ref="DD6" si="31">SUM(CW6:DC6)</f>
        <v>0</v>
      </c>
      <c r="DE6" s="95">
        <f t="shared" ref="DE6" si="32">IF(DD6&gt;=7,1,0)</f>
        <v>0</v>
      </c>
      <c r="DF6" s="120"/>
    </row>
    <row r="7" spans="2:110" x14ac:dyDescent="0.35">
      <c r="B7" s="52" t="s">
        <v>427</v>
      </c>
      <c r="C7" s="21">
        <v>771</v>
      </c>
      <c r="D7" s="21" t="s">
        <v>428</v>
      </c>
      <c r="E7" s="21">
        <v>184604</v>
      </c>
      <c r="F7" s="16" t="s">
        <v>84</v>
      </c>
      <c r="G7" s="16" t="s">
        <v>174</v>
      </c>
      <c r="H7" s="16" t="s">
        <v>278</v>
      </c>
      <c r="I7" s="16" t="s">
        <v>276</v>
      </c>
      <c r="J7" s="16" t="s">
        <v>86</v>
      </c>
      <c r="K7" s="34" t="s">
        <v>83</v>
      </c>
      <c r="L7" s="60">
        <f t="shared" ref="L7:L36" si="33">IF((S7+Y7+AE7)/3=0,"",(S7+Y7+AE7)/3)</f>
        <v>46.9</v>
      </c>
      <c r="M7" s="97">
        <f t="shared" ref="M7:M36" si="34">IF(IF(S7&gt;0,1,0)+IF(Y7&gt;0,1,0)+IF(AE7&gt;0,1,0)=3,1,0)</f>
        <v>1</v>
      </c>
      <c r="N7" s="43">
        <f t="shared" si="2"/>
        <v>0</v>
      </c>
      <c r="O7" s="60">
        <f>IFERROR(AVERAGEIFS('Base Kpi'!$I:$I,'Base Kpi'!$B:$B,Cliente!$E7,'Base Kpi'!$G:$G,Cliente!O$5),0)</f>
        <v>17.13</v>
      </c>
      <c r="P7" s="92">
        <f>IFERROR(AVERAGEIFS('Base Kpi'!$I:$I,'Base Kpi'!$B:$B,Cliente!$E7,'Base Kpi'!$G:$G,Cliente!P$5),0)</f>
        <v>0</v>
      </c>
      <c r="Q7" s="92">
        <f>IFERROR(AVERAGEIFS('Base Kpi'!$I:$I,'Base Kpi'!$B:$B,Cliente!$E7,'Base Kpi'!$G:$G,Cliente!Q$5),0)</f>
        <v>3.4</v>
      </c>
      <c r="R7" s="92">
        <f>IFERROR(AVERAGEIFS('Base Kpi'!$I:$I,'Base Kpi'!$B:$B,Cliente!$E7,'Base Kpi'!$G:$G,Cliente!R$5),0)</f>
        <v>10.6875</v>
      </c>
      <c r="S7" s="94">
        <f t="shared" ref="S7:S36" si="35">SUM(O7:R7)</f>
        <v>31.217499999999998</v>
      </c>
      <c r="T7" s="95">
        <f t="shared" ref="T7:T36" si="36">IF(S7&gt;=80,1,0)</f>
        <v>0</v>
      </c>
      <c r="U7" s="60">
        <f>IFERROR(AVERAGEIFS('Base Kpi'!$T:$T,'Base Kpi'!$M:$M,Cliente!$E7,'Base Kpi'!$S:$S,Cliente!U$5),0)</f>
        <v>25.71</v>
      </c>
      <c r="V7" s="92">
        <f>IFERROR(AVERAGEIFS('Base Kpi'!$T:$T,'Base Kpi'!$M:$M,Cliente!$E7,'Base Kpi'!$S:$S,Cliente!V$5),0)</f>
        <v>0</v>
      </c>
      <c r="W7" s="92">
        <f>IFERROR(AVERAGEIFS('Base Kpi'!$T:$T,'Base Kpi'!$M:$M,Cliente!$E7,'Base Kpi'!$S:$S,Cliente!W$5),0)</f>
        <v>8.5</v>
      </c>
      <c r="X7" s="92">
        <f>IFERROR(AVERAGEIFS('Base Kpi'!$T:$T,'Base Kpi'!$M:$M,Cliente!$E7,'Base Kpi'!$S:$S,Cliente!X$5),0)</f>
        <v>10.6875</v>
      </c>
      <c r="Y7" s="94">
        <f t="shared" ref="Y7:Y36" si="37">SUM(U7:X7)</f>
        <v>44.897500000000001</v>
      </c>
      <c r="Z7" s="95">
        <f t="shared" ref="Z7:Z36" si="38">IF(Y7&gt;=80,1,0)</f>
        <v>0</v>
      </c>
      <c r="AA7" s="60">
        <f>IFERROR(AVERAGEIFS('Base Kpi'!$AF:$AF,'Base Kpi'!$Y:$Y,Cliente!$E7,'Base Kpi'!$AE:$AE,Cliente!AA$5),0)</f>
        <v>25.71</v>
      </c>
      <c r="AB7" s="92">
        <f>IFERROR(AVERAGEIFS('Base Kpi'!$AF:$AF,'Base Kpi'!$Y:$Y,Cliente!$E7,'Base Kpi'!$AE:$AE,Cliente!AB$5),0)</f>
        <v>0</v>
      </c>
      <c r="AC7" s="92">
        <f>IFERROR(AVERAGEIFS('Base Kpi'!$AF:$AF,'Base Kpi'!$Y:$Y,Cliente!$E7,'Base Kpi'!$AE:$AE,Cliente!AC$5),0)</f>
        <v>8.5</v>
      </c>
      <c r="AD7" s="92">
        <f>IFERROR(AVERAGEIFS('Base Kpi'!$AF:$AF,'Base Kpi'!$Y:$Y,Cliente!$E7,'Base Kpi'!$AE:$AE,Cliente!AD$5),0)</f>
        <v>30.375</v>
      </c>
      <c r="AE7" s="94">
        <f t="shared" ref="AE7:AE36" si="39">SUM(AA7:AD7)</f>
        <v>64.585000000000008</v>
      </c>
      <c r="AF7" s="95">
        <f t="shared" ref="AF7:AF36" si="40">IF(AE7&gt;=80,1,0)</f>
        <v>0</v>
      </c>
      <c r="AG7" s="60">
        <f t="shared" si="9"/>
        <v>21.18</v>
      </c>
      <c r="AH7" s="97">
        <f t="shared" si="10"/>
        <v>0</v>
      </c>
      <c r="AI7" s="88">
        <f t="shared" ref="AI7:AI36" si="41">IF(AH7=0,0,IF(AG7&gt;=7,1,0))</f>
        <v>0</v>
      </c>
      <c r="AJ7" s="92">
        <f>IFERROR(AVERAGEIFS('Base Kpi'!$AR:$AR,'Base Kpi'!$AK:$AK,Cliente!$E7,'Base Kpi'!$AQ:$AQ,AJ$5),0)</f>
        <v>25</v>
      </c>
      <c r="AK7" s="92">
        <f>IFERROR(AVERAGEIFS('Base Kpi'!$AR:$AR,'Base Kpi'!$AK:$AK,Cliente!$E7,'Base Kpi'!$AQ:$AQ,AK$5),0)</f>
        <v>2.5</v>
      </c>
      <c r="AL7" s="92">
        <f>IFERROR(AVERAGEIFS('Base Kpi'!$AR:$AR,'Base Kpi'!$AK:$AK,Cliente!$E7,'Base Kpi'!$AQ:$AQ,AL$5),0)</f>
        <v>3</v>
      </c>
      <c r="AM7" s="92">
        <f>IFERROR(AVERAGEIFS('Base Kpi'!$AR:$AR,'Base Kpi'!$AK:$AK,Cliente!$E7,'Base Kpi'!$AQ:$AQ,AM$5),0)</f>
        <v>33.04</v>
      </c>
      <c r="AN7" s="94">
        <f t="shared" si="12"/>
        <v>63.54</v>
      </c>
      <c r="AO7" s="95">
        <f t="shared" si="13"/>
        <v>0</v>
      </c>
      <c r="AP7" s="60">
        <f>IFERROR(AVERAGEIFS('Base Kpi'!$BD:$BD,'Base Kpi'!$AW:$AW,Cliente!$E7,'Base Kpi'!$BC:$BC,Cliente!AP$5),0)</f>
        <v>0</v>
      </c>
      <c r="AQ7" s="92">
        <f>IFERROR(AVERAGEIFS('Base Kpi'!$BD:$BD,'Base Kpi'!$AW:$AW,Cliente!$E7,'Base Kpi'!$BC:$BC,Cliente!AQ$5),0)</f>
        <v>0</v>
      </c>
      <c r="AR7" s="92">
        <f>IFERROR(AVERAGEIFS('Base Kpi'!$BD:$BD,'Base Kpi'!$AW:$AW,Cliente!$E7,'Base Kpi'!$BC:$BC,Cliente!AR$5),0)</f>
        <v>0</v>
      </c>
      <c r="AS7" s="92">
        <f>IFERROR(AVERAGEIFS('Base Kpi'!$BD:$BD,'Base Kpi'!$AW:$AW,Cliente!$E7,'Base Kpi'!$BC:$BC,Cliente!AS$5),0)</f>
        <v>0</v>
      </c>
      <c r="AT7" s="92">
        <f>IFERROR(AVERAGEIFS('Base Kpi'!$BD:$BD,'Base Kpi'!$AW:$AW,Cliente!$E7,'Base Kpi'!$BC:$BC,Cliente!AT$5),0)</f>
        <v>0</v>
      </c>
      <c r="AU7" s="94">
        <f t="shared" si="14"/>
        <v>0</v>
      </c>
      <c r="AV7" s="95">
        <f t="shared" si="15"/>
        <v>0</v>
      </c>
      <c r="AW7" s="60">
        <f>IFERROR(AVERAGEIFS('Base Kpi'!$BP:$BP,'Base Kpi'!$BI:$BI,Cliente!$E7,'Base Kpi'!$BO:$BO,Cliente!AW$5),0)</f>
        <v>0</v>
      </c>
      <c r="AX7" s="92">
        <f>IFERROR(AVERAGEIFS('Base Kpi'!$BP:$BP,'Base Kpi'!$BI:$BI,Cliente!$E7,'Base Kpi'!$BO:$BO,Cliente!AX$5),0)</f>
        <v>0</v>
      </c>
      <c r="AY7" s="92">
        <f>IFERROR(AVERAGEIFS('Base Kpi'!$BP:$BP,'Base Kpi'!$BI:$BI,Cliente!$E7,'Base Kpi'!$BO:$BO,Cliente!AY$5),0)</f>
        <v>0</v>
      </c>
      <c r="AZ7" s="92">
        <f>IFERROR(AVERAGEIFS('Base Kpi'!$BP:$BP,'Base Kpi'!$BI:$BI,Cliente!$E7,'Base Kpi'!$BO:$BO,Cliente!AZ$5),0)</f>
        <v>0</v>
      </c>
      <c r="BA7" s="92">
        <f>IFERROR(AVERAGEIFS('Base Kpi'!$BP:$BP,'Base Kpi'!$BI:$BI,Cliente!$E7,'Base Kpi'!$BO:$BO,Cliente!BA$5),0)</f>
        <v>0</v>
      </c>
      <c r="BB7" s="94">
        <f t="shared" si="16"/>
        <v>0</v>
      </c>
      <c r="BC7" s="95">
        <f t="shared" si="17"/>
        <v>0</v>
      </c>
      <c r="BD7" s="60">
        <f t="shared" ref="BD7:BD70" si="42">IF((BL7+BS7+BZ7)/3=0,"",(BL7+BS7+BZ7)/3)</f>
        <v>82.141666666666666</v>
      </c>
      <c r="BE7" s="97">
        <f t="shared" si="18"/>
        <v>1</v>
      </c>
      <c r="BF7" s="88">
        <f t="shared" ref="BF7:BF38" si="43">IF(BE7=0,0,IF(BD7&gt;=80,1,0))</f>
        <v>1</v>
      </c>
      <c r="BG7" s="60">
        <f>IFERROR(AVERAGEIFS('Base Kpi'!$CB:$CB,'Base Kpi'!$BU:$BU,Cliente!$E7,'Base Kpi'!$CA:$CA,Cliente!BG$5),0)</f>
        <v>21.425000000000001</v>
      </c>
      <c r="BH7" s="92">
        <f>IFERROR(AVERAGEIFS('Base Kpi'!$CB:$CB,'Base Kpi'!$BU:$BU,Cliente!$E7,'Base Kpi'!$CA:$CA,Cliente!BH$5),0)</f>
        <v>5</v>
      </c>
      <c r="BI7" s="92">
        <f>IFERROR(AVERAGEIFS('Base Kpi'!$CB:$CB,'Base Kpi'!$BU:$BU,Cliente!$E7,'Base Kpi'!$CA:$CA,Cliente!BI$5),0)</f>
        <v>3</v>
      </c>
      <c r="BJ7" s="92">
        <f>IFERROR(AVERAGEIFS('Base Kpi'!$CB:$CB,'Base Kpi'!$BU:$BU,Cliente!$E7,'Base Kpi'!$CA:$CA,Cliente!BJ$5),0)</f>
        <v>31.2</v>
      </c>
      <c r="BK7" s="92">
        <f>IFERROR(AVERAGEIFS('Base Kpi'!$CB:$CB,'Base Kpi'!$BU:$BU,Cliente!$E7,'Base Kpi'!$CA:$CA,Cliente!BK$5),0)</f>
        <v>9</v>
      </c>
      <c r="BL7" s="94">
        <f t="shared" si="19"/>
        <v>69.625</v>
      </c>
      <c r="BM7" s="95">
        <f t="shared" si="20"/>
        <v>0</v>
      </c>
      <c r="BN7" s="60">
        <f>IFERROR(AVERAGEIFS('Base Kpi'!$CN:$CN,'Base Kpi'!$CG:$CG,Cliente!$E7,'Base Kpi'!$CM:$CM,Cliente!BN$5),0)</f>
        <v>25</v>
      </c>
      <c r="BO7" s="92">
        <f>IFERROR(AVERAGEIFS('Base Kpi'!$CN:$CN,'Base Kpi'!$CG:$CG,Cliente!$E7,'Base Kpi'!$CM:$CM,Cliente!BO$5),0)</f>
        <v>5</v>
      </c>
      <c r="BP7" s="92">
        <f>IFERROR(AVERAGEIFS('Base Kpi'!$CN:$CN,'Base Kpi'!$CG:$CG,Cliente!$E7,'Base Kpi'!$CM:$CM,Cliente!BP$5),0)</f>
        <v>12</v>
      </c>
      <c r="BQ7" s="92">
        <f>IFERROR(AVERAGEIFS('Base Kpi'!$CN:$CN,'Base Kpi'!$CG:$CG,Cliente!$E7,'Base Kpi'!$CM:$CM,Cliente!BQ$5),0)</f>
        <v>31.2</v>
      </c>
      <c r="BR7" s="92">
        <f>IFERROR(AVERAGEIFS('Base Kpi'!$CN:$CN,'Base Kpi'!$CG:$CG,Cliente!$E7,'Base Kpi'!$CM:$CM,Cliente!BR$5),0)</f>
        <v>18</v>
      </c>
      <c r="BS7" s="94">
        <f t="shared" si="21"/>
        <v>91.2</v>
      </c>
      <c r="BT7" s="95">
        <f t="shared" si="22"/>
        <v>1</v>
      </c>
      <c r="BU7" s="60">
        <f>IFERROR(AVERAGEIFS('Base Kpi'!$CZ:$CZ,'Base Kpi'!$CS:$CS,Cliente!$E7,'Base Kpi'!$CY:$CY,Cliente!BU$5),0)</f>
        <v>25</v>
      </c>
      <c r="BV7" s="92">
        <f>IFERROR(AVERAGEIFS('Base Kpi'!$CZ:$CZ,'Base Kpi'!$CS:$CS,Cliente!$E7,'Base Kpi'!$CY:$CY,Cliente!BV$5),0)</f>
        <v>5</v>
      </c>
      <c r="BW7" s="92">
        <f>IFERROR(AVERAGEIFS('Base Kpi'!$CZ:$CZ,'Base Kpi'!$CS:$CS,Cliente!$E7,'Base Kpi'!$CY:$CY,Cliente!BW$5),0)</f>
        <v>12</v>
      </c>
      <c r="BX7" s="92">
        <f>IFERROR(AVERAGEIFS('Base Kpi'!$CZ:$CZ,'Base Kpi'!$CS:$CS,Cliente!$E7,'Base Kpi'!$CY:$CY,Cliente!BX$5),0)</f>
        <v>25.6</v>
      </c>
      <c r="BY7" s="92">
        <f>IFERROR(AVERAGEIFS('Base Kpi'!$CZ:$CZ,'Base Kpi'!$CS:$CS,Cliente!$E7,'Base Kpi'!$CY:$CY,Cliente!BY$5),0)</f>
        <v>18</v>
      </c>
      <c r="BZ7" s="94">
        <f t="shared" si="23"/>
        <v>85.6</v>
      </c>
      <c r="CA7" s="95">
        <f t="shared" si="24"/>
        <v>1</v>
      </c>
      <c r="CB7" s="60">
        <f t="shared" ref="CB7:CB36" si="44">IF((CL7+CU7+DD7)/3=0,"",(CL7+CU7+DD7)/3)</f>
        <v>25.95</v>
      </c>
      <c r="CC7" s="97">
        <f t="shared" ref="CC7:CC36" si="45">IF(IF(CL7&gt;0,1,0)+IF(CU7&gt;0,1,0)+IF(DD7&gt;0,1,0)=3,1,0)</f>
        <v>0</v>
      </c>
      <c r="CD7" s="43">
        <f t="shared" ref="CD7:CD36" si="46">IF(CC7=0,0,IF(CB7&gt;=7,1,0))</f>
        <v>0</v>
      </c>
      <c r="CE7" s="60" cm="1">
        <f t="array" ref="CE7">IFERROR(LARGE(_xlfn._xlws.FILTER('Base Kpi'!$DL:$DL,('Base Kpi'!$DK:$DK=$CE$5)*('Base Kpi'!$DE:$DE=Cliente!$E7)),1),0)</f>
        <v>0</v>
      </c>
      <c r="CF7" s="60" cm="1">
        <f t="array" ref="CF7">IFERROR(LARGE(_xlfn._xlws.FILTER('Base Kpi'!$DL:$DL,('Base Kpi'!$DK:$DK=$CF$5)*('Base Kpi'!$DE:$DE=Cliente!$E7)),1),0)</f>
        <v>0</v>
      </c>
      <c r="CG7" s="60" cm="1">
        <f t="array" ref="CG7">IFERROR(LARGE(_xlfn._xlws.FILTER('Base Kpi'!$DL:$DL,('Base Kpi'!$DK:$DK=$CG$5)*('Base Kpi'!$DE:$DE=Cliente!$E7)),1),0)</f>
        <v>0</v>
      </c>
      <c r="CH7" s="60" cm="1">
        <f t="array" ref="CH7">IFERROR(LARGE(_xlfn._xlws.FILTER('Base Kpi'!$DL:$DL,('Base Kpi'!$DK:$DK=$CH$5)*('Base Kpi'!$DE:$DE=Cliente!$E7)),1),0)</f>
        <v>0</v>
      </c>
      <c r="CI7" s="60" cm="1">
        <f t="array" ref="CI7">IFERROR(LARGE(_xlfn._xlws.FILTER('Base Kpi'!$DL:$DL,('Base Kpi'!$DK:$DK=$CI$5)*('Base Kpi'!$DE:$DE=Cliente!$E7)),1),0)</f>
        <v>0</v>
      </c>
      <c r="CJ7" s="60" cm="1">
        <f t="array" ref="CJ7">IFERROR(LARGE(_xlfn._xlws.FILTER('Base Kpi'!$DL:$DL,('Base Kpi'!$DK:$DK=$CJ$5)*('Base Kpi'!$DE:$DE=Cliente!$E7)),1),0)</f>
        <v>0</v>
      </c>
      <c r="CK7" s="60" cm="1">
        <f t="array" ref="CK7">IFERROR(LARGE(_xlfn._xlws.FILTER('Base Kpi'!$DL:$DL,('Base Kpi'!$DK:$DK=$CK$5)*('Base Kpi'!$DE:$DE=Cliente!$E7)),1),0)</f>
        <v>0</v>
      </c>
      <c r="CL7" s="94">
        <f t="shared" si="28"/>
        <v>0</v>
      </c>
      <c r="CM7" s="95">
        <f t="shared" ref="CM7:CM70" si="47">IF(CL7&gt;=80,1,0)</f>
        <v>0</v>
      </c>
      <c r="CN7" s="60">
        <f>IFERROR(AVERAGEIFS('Base Kpi'!$DX:$DX,'Base Kpi'!$DQ:$DQ,Cliente!$E7,'Base Kpi'!$DW:$DW,Cliente!CN$5),0)</f>
        <v>0</v>
      </c>
      <c r="CO7" s="92">
        <f>IFERROR(AVERAGEIFS('Base Kpi'!$DX:$DX,'Base Kpi'!$DQ:$DQ,Cliente!$E7,'Base Kpi'!$DW:$DW,Cliente!CO$5),0)</f>
        <v>0</v>
      </c>
      <c r="CP7" s="92">
        <f>IFERROR(AVERAGEIFS('Base Kpi'!$DX:$DX,'Base Kpi'!$DQ:$DQ,Cliente!$E7,'Base Kpi'!$DW:$DW,Cliente!CP$5),0)</f>
        <v>0</v>
      </c>
      <c r="CQ7" s="92">
        <f>IFERROR(AVERAGEIFS('Base Kpi'!$DX:$DX,'Base Kpi'!$DQ:$DQ,Cliente!$E7,'Base Kpi'!$DW:$DW,Cliente!CQ$5),0)</f>
        <v>0</v>
      </c>
      <c r="CR7" s="92">
        <f>IFERROR(AVERAGEIFS('Base Kpi'!$DX:$DX,'Base Kpi'!$DQ:$DQ,Cliente!$E7,'Base Kpi'!$DW:$DW,Cliente!CR$5),0)</f>
        <v>0</v>
      </c>
      <c r="CS7" s="92">
        <f>IFERROR(AVERAGEIFS('Base Kpi'!$DX:$DX,'Base Kpi'!$DQ:$DQ,Cliente!$E7,'Base Kpi'!$DW:$DW,Cliente!CS$5),0)</f>
        <v>0</v>
      </c>
      <c r="CT7" s="92">
        <f>IFERROR(AVERAGEIFS('Base Kpi'!$DX:$DX,'Base Kpi'!$DQ:$DQ,Cliente!$E7,'Base Kpi'!$DW:$DW,Cliente!CT$5),0)</f>
        <v>0</v>
      </c>
      <c r="CU7" s="94">
        <f t="shared" ref="CU7:CU36" si="48">SUM(CN7:CT7)</f>
        <v>0</v>
      </c>
      <c r="CV7" s="95">
        <f t="shared" ref="CV7:CV36" si="49">IF(CU7&gt;=7,1,0)</f>
        <v>0</v>
      </c>
      <c r="CW7" s="60">
        <f>IFERROR(AVERAGEIFS('Base Kpi'!$EJ:$EJ,'Base Kpi'!$EC:$EC,Cliente!$E7,'Base Kpi'!$EI:$EI,Cliente!CW$5),0)</f>
        <v>28</v>
      </c>
      <c r="CX7" s="92">
        <f>IFERROR(AVERAGEIFS('Base Kpi'!$EJ:$EJ,'Base Kpi'!$EC:$EC,Cliente!$E7,'Base Kpi'!$EI:$EI,Cliente!CX$5),0)</f>
        <v>0</v>
      </c>
      <c r="CY7" s="92">
        <f>IFERROR(AVERAGEIFS('Base Kpi'!$EJ:$EJ,'Base Kpi'!$EC:$EC,Cliente!$E7,'Base Kpi'!$EI:$EI,Cliente!CY$5),0)</f>
        <v>5</v>
      </c>
      <c r="CZ7" s="92">
        <f>IFERROR(AVERAGEIFS('Base Kpi'!$EJ:$EJ,'Base Kpi'!$EC:$EC,Cliente!$E7,'Base Kpi'!$EI:$EI,Cliente!CZ$5),0)</f>
        <v>18</v>
      </c>
      <c r="DA7" s="92">
        <f>IFERROR(AVERAGEIFS('Base Kpi'!$EJ:$EJ,'Base Kpi'!$EC:$EC,Cliente!$E7,'Base Kpi'!$EI:$EI,Cliente!DA$5),0)</f>
        <v>17.850000000000001</v>
      </c>
      <c r="DB7" s="92">
        <f>IFERROR(AVERAGEIFS('Base Kpi'!$EJ:$EJ,'Base Kpi'!$EC:$EC,Cliente!$E7,'Base Kpi'!$EI:$EI,Cliente!DB$5),0)</f>
        <v>9</v>
      </c>
      <c r="DC7" s="92">
        <f>IFERROR(AVERAGEIFS('Base Kpi'!$EJ:$EJ,'Base Kpi'!$EC:$EC,Cliente!$E7,'Base Kpi'!$EI:$EI,Cliente!DC$5),0)</f>
        <v>0</v>
      </c>
      <c r="DD7" s="94">
        <f t="shared" ref="DD7:DD36" si="50">SUM(CW7:DC7)</f>
        <v>77.849999999999994</v>
      </c>
      <c r="DE7" s="95">
        <f t="shared" ref="DE7:DE36" si="51">IF(DD7&gt;=7,1,0)</f>
        <v>1</v>
      </c>
      <c r="DF7" s="120"/>
    </row>
    <row r="8" spans="2:110" x14ac:dyDescent="0.35">
      <c r="B8" s="52" t="s">
        <v>427</v>
      </c>
      <c r="C8" s="21">
        <v>771</v>
      </c>
      <c r="D8" s="21" t="s">
        <v>428</v>
      </c>
      <c r="E8" s="21">
        <v>185710</v>
      </c>
      <c r="F8" s="16" t="s">
        <v>12</v>
      </c>
      <c r="G8" s="16" t="s">
        <v>173</v>
      </c>
      <c r="H8" s="16" t="s">
        <v>279</v>
      </c>
      <c r="I8" s="16" t="s">
        <v>275</v>
      </c>
      <c r="J8" s="16" t="s">
        <v>90</v>
      </c>
      <c r="K8" s="34" t="s">
        <v>83</v>
      </c>
      <c r="L8" s="60">
        <f t="shared" si="33"/>
        <v>50.424166666666672</v>
      </c>
      <c r="M8" s="97">
        <f t="shared" si="34"/>
        <v>1</v>
      </c>
      <c r="N8" s="43">
        <f t="shared" si="2"/>
        <v>0</v>
      </c>
      <c r="O8" s="60">
        <f>IFERROR(AVERAGEIFS('Base Kpi'!$I:$I,'Base Kpi'!$B:$B,Cliente!$E8,'Base Kpi'!$G:$G,Cliente!O$5),0)</f>
        <v>17.13</v>
      </c>
      <c r="P8" s="92">
        <f>IFERROR(AVERAGEIFS('Base Kpi'!$I:$I,'Base Kpi'!$B:$B,Cliente!$E8,'Base Kpi'!$G:$G,Cliente!P$5),0)</f>
        <v>0</v>
      </c>
      <c r="Q8" s="92">
        <f>IFERROR(AVERAGEIFS('Base Kpi'!$I:$I,'Base Kpi'!$B:$B,Cliente!$E8,'Base Kpi'!$G:$G,Cliente!Q$5),0)</f>
        <v>10.199999999999999</v>
      </c>
      <c r="R8" s="92">
        <f>IFERROR(AVERAGEIFS('Base Kpi'!$I:$I,'Base Kpi'!$B:$B,Cliente!$E8,'Base Kpi'!$G:$G,Cliente!R$5),0)</f>
        <v>10.125</v>
      </c>
      <c r="S8" s="94">
        <f t="shared" si="35"/>
        <v>37.454999999999998</v>
      </c>
      <c r="T8" s="95">
        <f t="shared" si="36"/>
        <v>0</v>
      </c>
      <c r="U8" s="60">
        <f>IFERROR(AVERAGEIFS('Base Kpi'!$T:$T,'Base Kpi'!$M:$M,Cliente!$E8,'Base Kpi'!$S:$S,Cliente!U$5),0)</f>
        <v>21.42</v>
      </c>
      <c r="V8" s="92">
        <f>IFERROR(AVERAGEIFS('Base Kpi'!$T:$T,'Base Kpi'!$M:$M,Cliente!$E8,'Base Kpi'!$S:$S,Cliente!V$5),0)</f>
        <v>0</v>
      </c>
      <c r="W8" s="92">
        <f>IFERROR(AVERAGEIFS('Base Kpi'!$T:$T,'Base Kpi'!$M:$M,Cliente!$E8,'Base Kpi'!$S:$S,Cliente!W$5),0)</f>
        <v>8.5</v>
      </c>
      <c r="X8" s="92">
        <f>IFERROR(AVERAGEIFS('Base Kpi'!$T:$T,'Base Kpi'!$M:$M,Cliente!$E8,'Base Kpi'!$S:$S,Cliente!X$5),0)</f>
        <v>8.4375</v>
      </c>
      <c r="Y8" s="94">
        <f t="shared" si="37"/>
        <v>38.357500000000002</v>
      </c>
      <c r="Z8" s="95">
        <f t="shared" si="38"/>
        <v>0</v>
      </c>
      <c r="AA8" s="60">
        <f>IFERROR(AVERAGEIFS('Base Kpi'!$AF:$AF,'Base Kpi'!$Y:$Y,Cliente!$E8,'Base Kpi'!$AE:$AE,Cliente!AA$5),0)</f>
        <v>25.71</v>
      </c>
      <c r="AB8" s="92">
        <f>IFERROR(AVERAGEIFS('Base Kpi'!$AF:$AF,'Base Kpi'!$Y:$Y,Cliente!$E8,'Base Kpi'!$AE:$AE,Cliente!AB$5),0)</f>
        <v>8</v>
      </c>
      <c r="AC8" s="92">
        <f>IFERROR(AVERAGEIFS('Base Kpi'!$AF:$AF,'Base Kpi'!$Y:$Y,Cliente!$E8,'Base Kpi'!$AE:$AE,Cliente!AC$5),0)</f>
        <v>17</v>
      </c>
      <c r="AD8" s="92">
        <f>IFERROR(AVERAGEIFS('Base Kpi'!$AF:$AF,'Base Kpi'!$Y:$Y,Cliente!$E8,'Base Kpi'!$AE:$AE,Cliente!AD$5),0)</f>
        <v>24.75</v>
      </c>
      <c r="AE8" s="94">
        <f t="shared" si="39"/>
        <v>75.460000000000008</v>
      </c>
      <c r="AF8" s="95">
        <f t="shared" si="40"/>
        <v>0</v>
      </c>
      <c r="AG8" s="60" t="str">
        <f t="shared" si="9"/>
        <v/>
      </c>
      <c r="AH8" s="97">
        <f t="shared" si="10"/>
        <v>0</v>
      </c>
      <c r="AI8" s="88">
        <f t="shared" si="41"/>
        <v>0</v>
      </c>
      <c r="AJ8" s="92">
        <f>IFERROR(AVERAGEIFS('Base Kpi'!$AR:$AR,'Base Kpi'!$AK:$AK,Cliente!$E8,'Base Kpi'!$AQ:$AQ,AJ$5),0)</f>
        <v>0</v>
      </c>
      <c r="AK8" s="92">
        <f>IFERROR(AVERAGEIFS('Base Kpi'!$AR:$AR,'Base Kpi'!$AK:$AK,Cliente!$E8,'Base Kpi'!$AQ:$AQ,AK$5),0)</f>
        <v>0</v>
      </c>
      <c r="AL8" s="92">
        <f>IFERROR(AVERAGEIFS('Base Kpi'!$AR:$AR,'Base Kpi'!$AK:$AK,Cliente!$E8,'Base Kpi'!$AQ:$AQ,AL$5),0)</f>
        <v>0</v>
      </c>
      <c r="AM8" s="92">
        <f>IFERROR(AVERAGEIFS('Base Kpi'!$AR:$AR,'Base Kpi'!$AK:$AK,Cliente!$E8,'Base Kpi'!$AQ:$AQ,AM$5),0)</f>
        <v>0</v>
      </c>
      <c r="AN8" s="94">
        <f t="shared" si="12"/>
        <v>0</v>
      </c>
      <c r="AO8" s="95">
        <f t="shared" si="13"/>
        <v>0</v>
      </c>
      <c r="AP8" s="60">
        <f>IFERROR(AVERAGEIFS('Base Kpi'!$BD:$BD,'Base Kpi'!$AW:$AW,Cliente!$E8,'Base Kpi'!$BC:$BC,Cliente!AP$5),0)</f>
        <v>0</v>
      </c>
      <c r="AQ8" s="92">
        <f>IFERROR(AVERAGEIFS('Base Kpi'!$BD:$BD,'Base Kpi'!$AW:$AW,Cliente!$E8,'Base Kpi'!$BC:$BC,Cliente!AQ$5),0)</f>
        <v>0</v>
      </c>
      <c r="AR8" s="92">
        <f>IFERROR(AVERAGEIFS('Base Kpi'!$BD:$BD,'Base Kpi'!$AW:$AW,Cliente!$E8,'Base Kpi'!$BC:$BC,Cliente!AR$5),0)</f>
        <v>0</v>
      </c>
      <c r="AS8" s="92">
        <f>IFERROR(AVERAGEIFS('Base Kpi'!$BD:$BD,'Base Kpi'!$AW:$AW,Cliente!$E8,'Base Kpi'!$BC:$BC,Cliente!AS$5),0)</f>
        <v>0</v>
      </c>
      <c r="AT8" s="92">
        <f>IFERROR(AVERAGEIFS('Base Kpi'!$BD:$BD,'Base Kpi'!$AW:$AW,Cliente!$E8,'Base Kpi'!$BC:$BC,Cliente!AT$5),0)</f>
        <v>0</v>
      </c>
      <c r="AU8" s="94">
        <f t="shared" si="14"/>
        <v>0</v>
      </c>
      <c r="AV8" s="95">
        <f t="shared" si="15"/>
        <v>0</v>
      </c>
      <c r="AW8" s="60">
        <f>IFERROR(AVERAGEIFS('Base Kpi'!$BP:$BP,'Base Kpi'!$BI:$BI,Cliente!$E8,'Base Kpi'!$BO:$BO,Cliente!AW$5),0)</f>
        <v>0</v>
      </c>
      <c r="AX8" s="92">
        <f>IFERROR(AVERAGEIFS('Base Kpi'!$BP:$BP,'Base Kpi'!$BI:$BI,Cliente!$E8,'Base Kpi'!$BO:$BO,Cliente!AX$5),0)</f>
        <v>0</v>
      </c>
      <c r="AY8" s="92">
        <f>IFERROR(AVERAGEIFS('Base Kpi'!$BP:$BP,'Base Kpi'!$BI:$BI,Cliente!$E8,'Base Kpi'!$BO:$BO,Cliente!AY$5),0)</f>
        <v>0</v>
      </c>
      <c r="AZ8" s="92">
        <f>IFERROR(AVERAGEIFS('Base Kpi'!$BP:$BP,'Base Kpi'!$BI:$BI,Cliente!$E8,'Base Kpi'!$BO:$BO,Cliente!AZ$5),0)</f>
        <v>0</v>
      </c>
      <c r="BA8" s="92">
        <f>IFERROR(AVERAGEIFS('Base Kpi'!$BP:$BP,'Base Kpi'!$BI:$BI,Cliente!$E8,'Base Kpi'!$BO:$BO,Cliente!BA$5),0)</f>
        <v>0</v>
      </c>
      <c r="BB8" s="94">
        <f t="shared" si="16"/>
        <v>0</v>
      </c>
      <c r="BC8" s="95">
        <f t="shared" si="17"/>
        <v>0</v>
      </c>
      <c r="BD8" s="60" t="str">
        <f t="shared" si="42"/>
        <v/>
      </c>
      <c r="BE8" s="97">
        <f t="shared" si="18"/>
        <v>0</v>
      </c>
      <c r="BF8" s="88">
        <f t="shared" si="43"/>
        <v>0</v>
      </c>
      <c r="BG8" s="60">
        <f>IFERROR(AVERAGEIFS('Base Kpi'!$CB:$CB,'Base Kpi'!$BU:$BU,Cliente!$E8,'Base Kpi'!$CA:$CA,Cliente!BG$5),0)</f>
        <v>0</v>
      </c>
      <c r="BH8" s="92">
        <f>IFERROR(AVERAGEIFS('Base Kpi'!$CB:$CB,'Base Kpi'!$BU:$BU,Cliente!$E8,'Base Kpi'!$CA:$CA,Cliente!BH$5),0)</f>
        <v>0</v>
      </c>
      <c r="BI8" s="92">
        <f>IFERROR(AVERAGEIFS('Base Kpi'!$CB:$CB,'Base Kpi'!$BU:$BU,Cliente!$E8,'Base Kpi'!$CA:$CA,Cliente!BI$5),0)</f>
        <v>0</v>
      </c>
      <c r="BJ8" s="92">
        <f>IFERROR(AVERAGEIFS('Base Kpi'!$CB:$CB,'Base Kpi'!$BU:$BU,Cliente!$E8,'Base Kpi'!$CA:$CA,Cliente!BJ$5),0)</f>
        <v>0</v>
      </c>
      <c r="BK8" s="92">
        <f>IFERROR(AVERAGEIFS('Base Kpi'!$CB:$CB,'Base Kpi'!$BU:$BU,Cliente!$E8,'Base Kpi'!$CA:$CA,Cliente!BK$5),0)</f>
        <v>0</v>
      </c>
      <c r="BL8" s="94">
        <f t="shared" si="19"/>
        <v>0</v>
      </c>
      <c r="BM8" s="95">
        <f t="shared" si="20"/>
        <v>0</v>
      </c>
      <c r="BN8" s="60">
        <f>IFERROR(AVERAGEIFS('Base Kpi'!$CN:$CN,'Base Kpi'!$CG:$CG,Cliente!$E8,'Base Kpi'!$CM:$CM,Cliente!BN$5),0)</f>
        <v>0</v>
      </c>
      <c r="BO8" s="92">
        <f>IFERROR(AVERAGEIFS('Base Kpi'!$CN:$CN,'Base Kpi'!$CG:$CG,Cliente!$E8,'Base Kpi'!$CM:$CM,Cliente!BO$5),0)</f>
        <v>0</v>
      </c>
      <c r="BP8" s="92">
        <f>IFERROR(AVERAGEIFS('Base Kpi'!$CN:$CN,'Base Kpi'!$CG:$CG,Cliente!$E8,'Base Kpi'!$CM:$CM,Cliente!BP$5),0)</f>
        <v>0</v>
      </c>
      <c r="BQ8" s="92">
        <f>IFERROR(AVERAGEIFS('Base Kpi'!$CN:$CN,'Base Kpi'!$CG:$CG,Cliente!$E8,'Base Kpi'!$CM:$CM,Cliente!BQ$5),0)</f>
        <v>0</v>
      </c>
      <c r="BR8" s="92">
        <f>IFERROR(AVERAGEIFS('Base Kpi'!$CN:$CN,'Base Kpi'!$CG:$CG,Cliente!$E8,'Base Kpi'!$CM:$CM,Cliente!BR$5),0)</f>
        <v>0</v>
      </c>
      <c r="BS8" s="94">
        <f t="shared" si="21"/>
        <v>0</v>
      </c>
      <c r="BT8" s="95">
        <f t="shared" si="22"/>
        <v>0</v>
      </c>
      <c r="BU8" s="60">
        <f>IFERROR(AVERAGEIFS('Base Kpi'!$CZ:$CZ,'Base Kpi'!$CS:$CS,Cliente!$E8,'Base Kpi'!$CY:$CY,Cliente!BU$5),0)</f>
        <v>0</v>
      </c>
      <c r="BV8" s="92">
        <f>IFERROR(AVERAGEIFS('Base Kpi'!$CZ:$CZ,'Base Kpi'!$CS:$CS,Cliente!$E8,'Base Kpi'!$CY:$CY,Cliente!BV$5),0)</f>
        <v>0</v>
      </c>
      <c r="BW8" s="92">
        <f>IFERROR(AVERAGEIFS('Base Kpi'!$CZ:$CZ,'Base Kpi'!$CS:$CS,Cliente!$E8,'Base Kpi'!$CY:$CY,Cliente!BW$5),0)</f>
        <v>0</v>
      </c>
      <c r="BX8" s="92">
        <f>IFERROR(AVERAGEIFS('Base Kpi'!$CZ:$CZ,'Base Kpi'!$CS:$CS,Cliente!$E8,'Base Kpi'!$CY:$CY,Cliente!BX$5),0)</f>
        <v>0</v>
      </c>
      <c r="BY8" s="92">
        <f>IFERROR(AVERAGEIFS('Base Kpi'!$CZ:$CZ,'Base Kpi'!$CS:$CS,Cliente!$E8,'Base Kpi'!$CY:$CY,Cliente!BY$5),0)</f>
        <v>0</v>
      </c>
      <c r="BZ8" s="94">
        <f t="shared" si="23"/>
        <v>0</v>
      </c>
      <c r="CA8" s="95">
        <f t="shared" si="24"/>
        <v>0</v>
      </c>
      <c r="CB8" s="60" t="str">
        <f t="shared" si="44"/>
        <v/>
      </c>
      <c r="CC8" s="97">
        <f t="shared" si="45"/>
        <v>0</v>
      </c>
      <c r="CD8" s="43">
        <f t="shared" si="46"/>
        <v>0</v>
      </c>
      <c r="CE8" s="60" cm="1">
        <f t="array" ref="CE8">IFERROR(LARGE(_xlfn._xlws.FILTER('Base Kpi'!$DL:$DL,('Base Kpi'!$DK:$DK=$CE$5)*('Base Kpi'!$DE:$DE=Cliente!$E8)),1),0)</f>
        <v>0</v>
      </c>
      <c r="CF8" s="60" cm="1">
        <f t="array" ref="CF8">IFERROR(LARGE(_xlfn._xlws.FILTER('Base Kpi'!$DL:$DL,('Base Kpi'!$DK:$DK=$CF$5)*('Base Kpi'!$DE:$DE=Cliente!$E8)),1),0)</f>
        <v>0</v>
      </c>
      <c r="CG8" s="60" cm="1">
        <f t="array" ref="CG8">IFERROR(LARGE(_xlfn._xlws.FILTER('Base Kpi'!$DL:$DL,('Base Kpi'!$DK:$DK=$CG$5)*('Base Kpi'!$DE:$DE=Cliente!$E8)),1),0)</f>
        <v>0</v>
      </c>
      <c r="CH8" s="60" cm="1">
        <f t="array" ref="CH8">IFERROR(LARGE(_xlfn._xlws.FILTER('Base Kpi'!$DL:$DL,('Base Kpi'!$DK:$DK=$CH$5)*('Base Kpi'!$DE:$DE=Cliente!$E8)),1),0)</f>
        <v>0</v>
      </c>
      <c r="CI8" s="60" cm="1">
        <f t="array" ref="CI8">IFERROR(LARGE(_xlfn._xlws.FILTER('Base Kpi'!$DL:$DL,('Base Kpi'!$DK:$DK=$CI$5)*('Base Kpi'!$DE:$DE=Cliente!$E8)),1),0)</f>
        <v>0</v>
      </c>
      <c r="CJ8" s="60" cm="1">
        <f t="array" ref="CJ8">IFERROR(LARGE(_xlfn._xlws.FILTER('Base Kpi'!$DL:$DL,('Base Kpi'!$DK:$DK=$CJ$5)*('Base Kpi'!$DE:$DE=Cliente!$E8)),1),0)</f>
        <v>0</v>
      </c>
      <c r="CK8" s="60" cm="1">
        <f t="array" ref="CK8">IFERROR(LARGE(_xlfn._xlws.FILTER('Base Kpi'!$DL:$DL,('Base Kpi'!$DK:$DK=$CK$5)*('Base Kpi'!$DE:$DE=Cliente!$E8)),1),0)</f>
        <v>0</v>
      </c>
      <c r="CL8" s="94">
        <f t="shared" si="28"/>
        <v>0</v>
      </c>
      <c r="CM8" s="95">
        <f t="shared" si="47"/>
        <v>0</v>
      </c>
      <c r="CN8" s="60">
        <f>IFERROR(AVERAGEIFS('Base Kpi'!$DX:$DX,'Base Kpi'!$DQ:$DQ,Cliente!$E8,'Base Kpi'!$DW:$DW,Cliente!CN$5),0)</f>
        <v>0</v>
      </c>
      <c r="CO8" s="92">
        <f>IFERROR(AVERAGEIFS('Base Kpi'!$DX:$DX,'Base Kpi'!$DQ:$DQ,Cliente!$E8,'Base Kpi'!$DW:$DW,Cliente!CO$5),0)</f>
        <v>0</v>
      </c>
      <c r="CP8" s="92">
        <f>IFERROR(AVERAGEIFS('Base Kpi'!$DX:$DX,'Base Kpi'!$DQ:$DQ,Cliente!$E8,'Base Kpi'!$DW:$DW,Cliente!CP$5),0)</f>
        <v>0</v>
      </c>
      <c r="CQ8" s="92">
        <f>IFERROR(AVERAGEIFS('Base Kpi'!$DX:$DX,'Base Kpi'!$DQ:$DQ,Cliente!$E8,'Base Kpi'!$DW:$DW,Cliente!CQ$5),0)</f>
        <v>0</v>
      </c>
      <c r="CR8" s="92">
        <f>IFERROR(AVERAGEIFS('Base Kpi'!$DX:$DX,'Base Kpi'!$DQ:$DQ,Cliente!$E8,'Base Kpi'!$DW:$DW,Cliente!CR$5),0)</f>
        <v>0</v>
      </c>
      <c r="CS8" s="92">
        <f>IFERROR(AVERAGEIFS('Base Kpi'!$DX:$DX,'Base Kpi'!$DQ:$DQ,Cliente!$E8,'Base Kpi'!$DW:$DW,Cliente!CS$5),0)</f>
        <v>0</v>
      </c>
      <c r="CT8" s="92">
        <f>IFERROR(AVERAGEIFS('Base Kpi'!$DX:$DX,'Base Kpi'!$DQ:$DQ,Cliente!$E8,'Base Kpi'!$DW:$DW,Cliente!CT$5),0)</f>
        <v>0</v>
      </c>
      <c r="CU8" s="94">
        <f t="shared" si="48"/>
        <v>0</v>
      </c>
      <c r="CV8" s="95">
        <f t="shared" si="49"/>
        <v>0</v>
      </c>
      <c r="CW8" s="60">
        <f>IFERROR(AVERAGEIFS('Base Kpi'!$EJ:$EJ,'Base Kpi'!$EC:$EC,Cliente!$E8,'Base Kpi'!$EI:$EI,Cliente!CW$5),0)</f>
        <v>0</v>
      </c>
      <c r="CX8" s="92">
        <f>IFERROR(AVERAGEIFS('Base Kpi'!$EJ:$EJ,'Base Kpi'!$EC:$EC,Cliente!$E8,'Base Kpi'!$EI:$EI,Cliente!CX$5),0)</f>
        <v>0</v>
      </c>
      <c r="CY8" s="92">
        <f>IFERROR(AVERAGEIFS('Base Kpi'!$EJ:$EJ,'Base Kpi'!$EC:$EC,Cliente!$E8,'Base Kpi'!$EI:$EI,Cliente!CY$5),0)</f>
        <v>0</v>
      </c>
      <c r="CZ8" s="92">
        <f>IFERROR(AVERAGEIFS('Base Kpi'!$EJ:$EJ,'Base Kpi'!$EC:$EC,Cliente!$E8,'Base Kpi'!$EI:$EI,Cliente!CZ$5),0)</f>
        <v>0</v>
      </c>
      <c r="DA8" s="92">
        <f>IFERROR(AVERAGEIFS('Base Kpi'!$EJ:$EJ,'Base Kpi'!$EC:$EC,Cliente!$E8,'Base Kpi'!$EI:$EI,Cliente!DA$5),0)</f>
        <v>0</v>
      </c>
      <c r="DB8" s="92">
        <f>IFERROR(AVERAGEIFS('Base Kpi'!$EJ:$EJ,'Base Kpi'!$EC:$EC,Cliente!$E8,'Base Kpi'!$EI:$EI,Cliente!DB$5),0)</f>
        <v>0</v>
      </c>
      <c r="DC8" s="92">
        <f>IFERROR(AVERAGEIFS('Base Kpi'!$EJ:$EJ,'Base Kpi'!$EC:$EC,Cliente!$E8,'Base Kpi'!$EI:$EI,Cliente!DC$5),0)</f>
        <v>0</v>
      </c>
      <c r="DD8" s="94">
        <f t="shared" si="50"/>
        <v>0</v>
      </c>
      <c r="DE8" s="95">
        <f t="shared" si="51"/>
        <v>0</v>
      </c>
      <c r="DF8" s="120"/>
    </row>
    <row r="9" spans="2:110" x14ac:dyDescent="0.35">
      <c r="B9" s="52" t="s">
        <v>427</v>
      </c>
      <c r="C9" s="21">
        <v>3919</v>
      </c>
      <c r="D9" s="21" t="s">
        <v>429</v>
      </c>
      <c r="E9" s="21">
        <v>53405</v>
      </c>
      <c r="F9" s="16" t="s">
        <v>158</v>
      </c>
      <c r="G9" s="16" t="s">
        <v>179</v>
      </c>
      <c r="H9" s="16" t="s">
        <v>308</v>
      </c>
      <c r="I9" s="16" t="s">
        <v>297</v>
      </c>
      <c r="J9" s="16" t="s">
        <v>90</v>
      </c>
      <c r="K9" s="34" t="s">
        <v>156</v>
      </c>
      <c r="L9" s="60">
        <f t="shared" si="33"/>
        <v>62.755000000000003</v>
      </c>
      <c r="M9" s="97">
        <f t="shared" si="34"/>
        <v>1</v>
      </c>
      <c r="N9" s="43">
        <f t="shared" si="2"/>
        <v>0</v>
      </c>
      <c r="O9" s="60">
        <f>IFERROR(AVERAGEIFS('Base Kpi'!$I:$I,'Base Kpi'!$B:$B,Cliente!$E9,'Base Kpi'!$G:$G,Cliente!O$5),0)</f>
        <v>25.71</v>
      </c>
      <c r="P9" s="92">
        <f>IFERROR(AVERAGEIFS('Base Kpi'!$I:$I,'Base Kpi'!$B:$B,Cliente!$E9,'Base Kpi'!$G:$G,Cliente!P$5),0)</f>
        <v>0</v>
      </c>
      <c r="Q9" s="92">
        <f>IFERROR(AVERAGEIFS('Base Kpi'!$I:$I,'Base Kpi'!$B:$B,Cliente!$E9,'Base Kpi'!$G:$G,Cliente!Q$5),0)</f>
        <v>6.8</v>
      </c>
      <c r="R9" s="92">
        <f>IFERROR(AVERAGEIFS('Base Kpi'!$I:$I,'Base Kpi'!$B:$B,Cliente!$E9,'Base Kpi'!$G:$G,Cliente!R$5),0)</f>
        <v>30.375</v>
      </c>
      <c r="S9" s="94">
        <f t="shared" si="35"/>
        <v>62.884999999999998</v>
      </c>
      <c r="T9" s="95">
        <f t="shared" si="36"/>
        <v>0</v>
      </c>
      <c r="U9" s="60">
        <f>IFERROR(AVERAGEIFS('Base Kpi'!$T:$T,'Base Kpi'!$M:$M,Cliente!$E9,'Base Kpi'!$S:$S,Cliente!U$5),0)</f>
        <v>21.42</v>
      </c>
      <c r="V9" s="92">
        <f>IFERROR(AVERAGEIFS('Base Kpi'!$T:$T,'Base Kpi'!$M:$M,Cliente!$E9,'Base Kpi'!$S:$S,Cliente!V$5),0)</f>
        <v>8</v>
      </c>
      <c r="W9" s="92">
        <f>IFERROR(AVERAGEIFS('Base Kpi'!$T:$T,'Base Kpi'!$M:$M,Cliente!$E9,'Base Kpi'!$S:$S,Cliente!W$5),0)</f>
        <v>8.5</v>
      </c>
      <c r="X9" s="92">
        <f>IFERROR(AVERAGEIFS('Base Kpi'!$T:$T,'Base Kpi'!$M:$M,Cliente!$E9,'Base Kpi'!$S:$S,Cliente!X$5),0)</f>
        <v>14.625</v>
      </c>
      <c r="Y9" s="94">
        <f t="shared" si="37"/>
        <v>52.545000000000002</v>
      </c>
      <c r="Z9" s="95">
        <f t="shared" si="38"/>
        <v>0</v>
      </c>
      <c r="AA9" s="60">
        <f>IFERROR(AVERAGEIFS('Base Kpi'!$AF:$AF,'Base Kpi'!$Y:$Y,Cliente!$E9,'Base Kpi'!$AE:$AE,Cliente!AA$5),0)</f>
        <v>25.71</v>
      </c>
      <c r="AB9" s="92">
        <f>IFERROR(AVERAGEIFS('Base Kpi'!$AF:$AF,'Base Kpi'!$Y:$Y,Cliente!$E9,'Base Kpi'!$AE:$AE,Cliente!AB$5),0)</f>
        <v>8</v>
      </c>
      <c r="AC9" s="92">
        <f>IFERROR(AVERAGEIFS('Base Kpi'!$AF:$AF,'Base Kpi'!$Y:$Y,Cliente!$E9,'Base Kpi'!$AE:$AE,Cliente!AC$5),0)</f>
        <v>4.25</v>
      </c>
      <c r="AD9" s="92">
        <f>IFERROR(AVERAGEIFS('Base Kpi'!$AF:$AF,'Base Kpi'!$Y:$Y,Cliente!$E9,'Base Kpi'!$AE:$AE,Cliente!AD$5),0)</f>
        <v>34.875</v>
      </c>
      <c r="AE9" s="94">
        <f t="shared" si="39"/>
        <v>72.835000000000008</v>
      </c>
      <c r="AF9" s="95">
        <f t="shared" si="40"/>
        <v>0</v>
      </c>
      <c r="AG9" s="60">
        <f t="shared" si="9"/>
        <v>45.53</v>
      </c>
      <c r="AH9" s="97">
        <f t="shared" si="10"/>
        <v>0</v>
      </c>
      <c r="AI9" s="88">
        <f t="shared" si="41"/>
        <v>0</v>
      </c>
      <c r="AJ9" s="92">
        <f>IFERROR(AVERAGEIFS('Base Kpi'!$AR:$AR,'Base Kpi'!$AK:$AK,Cliente!$E9,'Base Kpi'!$AQ:$AQ,AJ$5),0)</f>
        <v>21.425000000000001</v>
      </c>
      <c r="AK9" s="92">
        <f>IFERROR(AVERAGEIFS('Base Kpi'!$AR:$AR,'Base Kpi'!$AK:$AK,Cliente!$E9,'Base Kpi'!$AQ:$AQ,AK$5),0)</f>
        <v>2.5</v>
      </c>
      <c r="AL9" s="92">
        <f>IFERROR(AVERAGEIFS('Base Kpi'!$AR:$AR,'Base Kpi'!$AK:$AK,Cliente!$E9,'Base Kpi'!$AQ:$AQ,AL$5),0)</f>
        <v>9</v>
      </c>
      <c r="AM9" s="92">
        <f>IFERROR(AVERAGEIFS('Base Kpi'!$AR:$AR,'Base Kpi'!$AK:$AK,Cliente!$E9,'Base Kpi'!$AQ:$AQ,AM$5),0)</f>
        <v>31.32</v>
      </c>
      <c r="AN9" s="94">
        <f t="shared" si="12"/>
        <v>64.245000000000005</v>
      </c>
      <c r="AO9" s="95">
        <f t="shared" si="13"/>
        <v>0</v>
      </c>
      <c r="AP9" s="60">
        <f>IFERROR(AVERAGEIFS('Base Kpi'!$BD:$BD,'Base Kpi'!$AW:$AW,Cliente!$E9,'Base Kpi'!$BC:$BC,Cliente!AP$5),0)</f>
        <v>0</v>
      </c>
      <c r="AQ9" s="92">
        <f>IFERROR(AVERAGEIFS('Base Kpi'!$BD:$BD,'Base Kpi'!$AW:$AW,Cliente!$E9,'Base Kpi'!$BC:$BC,Cliente!AQ$5),0)</f>
        <v>0</v>
      </c>
      <c r="AR9" s="92">
        <f>IFERROR(AVERAGEIFS('Base Kpi'!$BD:$BD,'Base Kpi'!$AW:$AW,Cliente!$E9,'Base Kpi'!$BC:$BC,Cliente!AR$5),0)</f>
        <v>0</v>
      </c>
      <c r="AS9" s="92">
        <f>IFERROR(AVERAGEIFS('Base Kpi'!$BD:$BD,'Base Kpi'!$AW:$AW,Cliente!$E9,'Base Kpi'!$BC:$BC,Cliente!AS$5),0)</f>
        <v>0</v>
      </c>
      <c r="AT9" s="92">
        <f>IFERROR(AVERAGEIFS('Base Kpi'!$BD:$BD,'Base Kpi'!$AW:$AW,Cliente!$E9,'Base Kpi'!$BC:$BC,Cliente!AT$5),0)</f>
        <v>0</v>
      </c>
      <c r="AU9" s="94">
        <f t="shared" si="14"/>
        <v>0</v>
      </c>
      <c r="AV9" s="95">
        <f t="shared" si="15"/>
        <v>0</v>
      </c>
      <c r="AW9" s="60">
        <f>IFERROR(AVERAGEIFS('Base Kpi'!$BP:$BP,'Base Kpi'!$BI:$BI,Cliente!$E9,'Base Kpi'!$BO:$BO,Cliente!AW$5),0)</f>
        <v>21.425000000000001</v>
      </c>
      <c r="AX9" s="92">
        <f>IFERROR(AVERAGEIFS('Base Kpi'!$BP:$BP,'Base Kpi'!$BI:$BI,Cliente!$E9,'Base Kpi'!$BO:$BO,Cliente!AX$5),0)</f>
        <v>5</v>
      </c>
      <c r="AY9" s="92">
        <f>IFERROR(AVERAGEIFS('Base Kpi'!$BP:$BP,'Base Kpi'!$BI:$BI,Cliente!$E9,'Base Kpi'!$BO:$BO,Cliente!AY$5),0)</f>
        <v>12</v>
      </c>
      <c r="AZ9" s="92">
        <f>IFERROR(AVERAGEIFS('Base Kpi'!$BP:$BP,'Base Kpi'!$BI:$BI,Cliente!$E9,'Base Kpi'!$BO:$BO,Cliente!AZ$5),0)</f>
        <v>33.92</v>
      </c>
      <c r="BA9" s="92">
        <f>IFERROR(AVERAGEIFS('Base Kpi'!$BP:$BP,'Base Kpi'!$BI:$BI,Cliente!$E9,'Base Kpi'!$BO:$BO,Cliente!BA$5),0)</f>
        <v>0</v>
      </c>
      <c r="BB9" s="94">
        <f t="shared" si="16"/>
        <v>72.344999999999999</v>
      </c>
      <c r="BC9" s="95">
        <f t="shared" si="17"/>
        <v>0</v>
      </c>
      <c r="BD9" s="60">
        <f t="shared" si="42"/>
        <v>83.024999999999991</v>
      </c>
      <c r="BE9" s="97">
        <f t="shared" si="18"/>
        <v>1</v>
      </c>
      <c r="BF9" s="88">
        <f t="shared" si="43"/>
        <v>1</v>
      </c>
      <c r="BG9" s="60">
        <f>IFERROR(AVERAGEIFS('Base Kpi'!$CB:$CB,'Base Kpi'!$BU:$BU,Cliente!$E9,'Base Kpi'!$CA:$CA,Cliente!BG$5),0)</f>
        <v>21.425000000000001</v>
      </c>
      <c r="BH9" s="92">
        <f>IFERROR(AVERAGEIFS('Base Kpi'!$CB:$CB,'Base Kpi'!$BU:$BU,Cliente!$E9,'Base Kpi'!$CA:$CA,Cliente!BH$5),0)</f>
        <v>5</v>
      </c>
      <c r="BI9" s="92">
        <f>IFERROR(AVERAGEIFS('Base Kpi'!$CB:$CB,'Base Kpi'!$BU:$BU,Cliente!$E9,'Base Kpi'!$CA:$CA,Cliente!BI$5),0)</f>
        <v>12</v>
      </c>
      <c r="BJ9" s="92">
        <f>IFERROR(AVERAGEIFS('Base Kpi'!$CB:$CB,'Base Kpi'!$BU:$BU,Cliente!$E9,'Base Kpi'!$CA:$CA,Cliente!BJ$5),0)</f>
        <v>28</v>
      </c>
      <c r="BK9" s="92">
        <f>IFERROR(AVERAGEIFS('Base Kpi'!$CB:$CB,'Base Kpi'!$BU:$BU,Cliente!$E9,'Base Kpi'!$CA:$CA,Cliente!BK$5),0)</f>
        <v>9</v>
      </c>
      <c r="BL9" s="94">
        <f t="shared" si="19"/>
        <v>75.424999999999997</v>
      </c>
      <c r="BM9" s="95">
        <f t="shared" si="20"/>
        <v>0</v>
      </c>
      <c r="BN9" s="60">
        <f>IFERROR(AVERAGEIFS('Base Kpi'!$CN:$CN,'Base Kpi'!$CG:$CG,Cliente!$E9,'Base Kpi'!$CM:$CM,Cliente!BN$5),0)</f>
        <v>21.425000000000001</v>
      </c>
      <c r="BO9" s="92">
        <f>IFERROR(AVERAGEIFS('Base Kpi'!$CN:$CN,'Base Kpi'!$CG:$CG,Cliente!$E9,'Base Kpi'!$CM:$CM,Cliente!BO$5),0)</f>
        <v>5</v>
      </c>
      <c r="BP9" s="92">
        <f>IFERROR(AVERAGEIFS('Base Kpi'!$CN:$CN,'Base Kpi'!$CG:$CG,Cliente!$E9,'Base Kpi'!$CM:$CM,Cliente!BP$5),0)</f>
        <v>12</v>
      </c>
      <c r="BQ9" s="92">
        <f>IFERROR(AVERAGEIFS('Base Kpi'!$CN:$CN,'Base Kpi'!$CG:$CG,Cliente!$E9,'Base Kpi'!$CM:$CM,Cliente!BQ$5),0)</f>
        <v>29.6</v>
      </c>
      <c r="BR9" s="92">
        <f>IFERROR(AVERAGEIFS('Base Kpi'!$CN:$CN,'Base Kpi'!$CG:$CG,Cliente!$E9,'Base Kpi'!$CM:$CM,Cliente!BR$5),0)</f>
        <v>18</v>
      </c>
      <c r="BS9" s="94">
        <f t="shared" si="21"/>
        <v>86.025000000000006</v>
      </c>
      <c r="BT9" s="95">
        <f t="shared" si="22"/>
        <v>1</v>
      </c>
      <c r="BU9" s="60">
        <f>IFERROR(AVERAGEIFS('Base Kpi'!$CZ:$CZ,'Base Kpi'!$CS:$CS,Cliente!$E9,'Base Kpi'!$CY:$CY,Cliente!BU$5),0)</f>
        <v>21.425000000000001</v>
      </c>
      <c r="BV9" s="92">
        <f>IFERROR(AVERAGEIFS('Base Kpi'!$CZ:$CZ,'Base Kpi'!$CS:$CS,Cliente!$E9,'Base Kpi'!$CY:$CY,Cliente!BV$5),0)</f>
        <v>5</v>
      </c>
      <c r="BW9" s="92">
        <f>IFERROR(AVERAGEIFS('Base Kpi'!$CZ:$CZ,'Base Kpi'!$CS:$CS,Cliente!$E9,'Base Kpi'!$CY:$CY,Cliente!BW$5),0)</f>
        <v>12</v>
      </c>
      <c r="BX9" s="92">
        <f>IFERROR(AVERAGEIFS('Base Kpi'!$CZ:$CZ,'Base Kpi'!$CS:$CS,Cliente!$E9,'Base Kpi'!$CY:$CY,Cliente!BX$5),0)</f>
        <v>31.2</v>
      </c>
      <c r="BY9" s="92">
        <f>IFERROR(AVERAGEIFS('Base Kpi'!$CZ:$CZ,'Base Kpi'!$CS:$CS,Cliente!$E9,'Base Kpi'!$CY:$CY,Cliente!BY$5),0)</f>
        <v>18</v>
      </c>
      <c r="BZ9" s="94">
        <f t="shared" si="23"/>
        <v>87.625</v>
      </c>
      <c r="CA9" s="95">
        <f t="shared" si="24"/>
        <v>1</v>
      </c>
      <c r="CB9" s="60">
        <f t="shared" si="44"/>
        <v>59.54999999999999</v>
      </c>
      <c r="CC9" s="97">
        <f t="shared" si="45"/>
        <v>0</v>
      </c>
      <c r="CD9" s="43">
        <f t="shared" si="46"/>
        <v>0</v>
      </c>
      <c r="CE9" s="60" cm="1">
        <f t="array" ref="CE9">IFERROR(LARGE(_xlfn._xlws.FILTER('Base Kpi'!$DL:$DL,('Base Kpi'!$DK:$DK=$CE$5)*('Base Kpi'!$DE:$DE=Cliente!$E9)),1),0)</f>
        <v>32.799999999999997</v>
      </c>
      <c r="CF9" s="60" cm="1">
        <f t="array" ref="CF9">IFERROR(LARGE(_xlfn._xlws.FILTER('Base Kpi'!$DL:$DL,('Base Kpi'!$DK:$DK=$CF$5)*('Base Kpi'!$DE:$DE=Cliente!$E9)),1),0)</f>
        <v>5</v>
      </c>
      <c r="CG9" s="60" cm="1">
        <f t="array" ref="CG9">IFERROR(LARGE(_xlfn._xlws.FILTER('Base Kpi'!$DL:$DL,('Base Kpi'!$DK:$DK=$CG$5)*('Base Kpi'!$DE:$DE=Cliente!$E9)),1),0)</f>
        <v>5</v>
      </c>
      <c r="CH9" s="60" cm="1">
        <f t="array" ref="CH9">IFERROR(LARGE(_xlfn._xlws.FILTER('Base Kpi'!$DL:$DL,('Base Kpi'!$DK:$DK=$CH$5)*('Base Kpi'!$DE:$DE=Cliente!$E9)),1),0)</f>
        <v>18</v>
      </c>
      <c r="CI9" s="60" cm="1">
        <f t="array" ref="CI9">IFERROR(LARGE(_xlfn._xlws.FILTER('Base Kpi'!$DL:$DL,('Base Kpi'!$DK:$DK=$CI$5)*('Base Kpi'!$DE:$DE=Cliente!$E9)),1),0)</f>
        <v>21.425000000000001</v>
      </c>
      <c r="CJ9" s="60" cm="1">
        <f t="array" ref="CJ9">IFERROR(LARGE(_xlfn._xlws.FILTER('Base Kpi'!$DL:$DL,('Base Kpi'!$DK:$DK=$CJ$5)*('Base Kpi'!$DE:$DE=Cliente!$E9)),1),0)</f>
        <v>6</v>
      </c>
      <c r="CK9" s="60" cm="1">
        <f t="array" ref="CK9">IFERROR(LARGE(_xlfn._xlws.FILTER('Base Kpi'!$DL:$DL,('Base Kpi'!$DK:$DK=$CK$5)*('Base Kpi'!$DE:$DE=Cliente!$E9)),1),0)</f>
        <v>0</v>
      </c>
      <c r="CL9" s="94">
        <f t="shared" si="28"/>
        <v>88.224999999999994</v>
      </c>
      <c r="CM9" s="95">
        <f t="shared" si="47"/>
        <v>1</v>
      </c>
      <c r="CN9" s="60">
        <f>IFERROR(AVERAGEIFS('Base Kpi'!$DX:$DX,'Base Kpi'!$DQ:$DQ,Cliente!$E9,'Base Kpi'!$DW:$DW,Cliente!CN$5),0)</f>
        <v>32</v>
      </c>
      <c r="CO9" s="92">
        <f>IFERROR(AVERAGEIFS('Base Kpi'!$DX:$DX,'Base Kpi'!$DQ:$DQ,Cliente!$E9,'Base Kpi'!$DW:$DW,Cliente!CO$5),0)</f>
        <v>5</v>
      </c>
      <c r="CP9" s="92">
        <f>IFERROR(AVERAGEIFS('Base Kpi'!$DX:$DX,'Base Kpi'!$DQ:$DQ,Cliente!$E9,'Base Kpi'!$DW:$DW,Cliente!CP$5),0)</f>
        <v>5</v>
      </c>
      <c r="CQ9" s="92">
        <f>IFERROR(AVERAGEIFS('Base Kpi'!$DX:$DX,'Base Kpi'!$DQ:$DQ,Cliente!$E9,'Base Kpi'!$DW:$DW,Cliente!CQ$5),0)</f>
        <v>18</v>
      </c>
      <c r="CR9" s="92">
        <f>IFERROR(AVERAGEIFS('Base Kpi'!$DX:$DX,'Base Kpi'!$DQ:$DQ,Cliente!$E9,'Base Kpi'!$DW:$DW,Cliente!CR$5),0)</f>
        <v>21.425000000000001</v>
      </c>
      <c r="CS9" s="92">
        <f>IFERROR(AVERAGEIFS('Base Kpi'!$DX:$DX,'Base Kpi'!$DQ:$DQ,Cliente!$E9,'Base Kpi'!$DW:$DW,Cliente!CS$5),0)</f>
        <v>9</v>
      </c>
      <c r="CT9" s="92">
        <f>IFERROR(AVERAGEIFS('Base Kpi'!$DX:$DX,'Base Kpi'!$DQ:$DQ,Cliente!$E9,'Base Kpi'!$DW:$DW,Cliente!CT$5),0)</f>
        <v>0</v>
      </c>
      <c r="CU9" s="94">
        <f t="shared" si="48"/>
        <v>90.424999999999997</v>
      </c>
      <c r="CV9" s="95">
        <f t="shared" si="49"/>
        <v>1</v>
      </c>
      <c r="CW9" s="60">
        <f>IFERROR(AVERAGEIFS('Base Kpi'!$EJ:$EJ,'Base Kpi'!$EC:$EC,Cliente!$E9,'Base Kpi'!$EI:$EI,Cliente!CW$5),0)</f>
        <v>0</v>
      </c>
      <c r="CX9" s="92">
        <f>IFERROR(AVERAGEIFS('Base Kpi'!$EJ:$EJ,'Base Kpi'!$EC:$EC,Cliente!$E9,'Base Kpi'!$EI:$EI,Cliente!CX$5),0)</f>
        <v>0</v>
      </c>
      <c r="CY9" s="92">
        <f>IFERROR(AVERAGEIFS('Base Kpi'!$EJ:$EJ,'Base Kpi'!$EC:$EC,Cliente!$E9,'Base Kpi'!$EI:$EI,Cliente!CY$5),0)</f>
        <v>0</v>
      </c>
      <c r="CZ9" s="92">
        <f>IFERROR(AVERAGEIFS('Base Kpi'!$EJ:$EJ,'Base Kpi'!$EC:$EC,Cliente!$E9,'Base Kpi'!$EI:$EI,Cliente!CZ$5),0)</f>
        <v>0</v>
      </c>
      <c r="DA9" s="92">
        <f>IFERROR(AVERAGEIFS('Base Kpi'!$EJ:$EJ,'Base Kpi'!$EC:$EC,Cliente!$E9,'Base Kpi'!$EI:$EI,Cliente!DA$5),0)</f>
        <v>0</v>
      </c>
      <c r="DB9" s="92">
        <f>IFERROR(AVERAGEIFS('Base Kpi'!$EJ:$EJ,'Base Kpi'!$EC:$EC,Cliente!$E9,'Base Kpi'!$EI:$EI,Cliente!DB$5),0)</f>
        <v>0</v>
      </c>
      <c r="DC9" s="92">
        <f>IFERROR(AVERAGEIFS('Base Kpi'!$EJ:$EJ,'Base Kpi'!$EC:$EC,Cliente!$E9,'Base Kpi'!$EI:$EI,Cliente!DC$5),0)</f>
        <v>0</v>
      </c>
      <c r="DD9" s="94">
        <f t="shared" si="50"/>
        <v>0</v>
      </c>
      <c r="DE9" s="95">
        <f t="shared" si="51"/>
        <v>0</v>
      </c>
      <c r="DF9" s="120"/>
    </row>
    <row r="10" spans="2:110" x14ac:dyDescent="0.35">
      <c r="B10" s="52" t="s">
        <v>427</v>
      </c>
      <c r="C10" s="21">
        <v>3919</v>
      </c>
      <c r="D10" s="21" t="s">
        <v>429</v>
      </c>
      <c r="E10" s="21">
        <v>53461</v>
      </c>
      <c r="F10" s="16" t="s">
        <v>22</v>
      </c>
      <c r="G10" s="16" t="s">
        <v>179</v>
      </c>
      <c r="H10" s="16" t="s">
        <v>245</v>
      </c>
      <c r="I10" s="16" t="s">
        <v>246</v>
      </c>
      <c r="J10" s="16" t="s">
        <v>88</v>
      </c>
      <c r="K10" s="34" t="s">
        <v>51</v>
      </c>
      <c r="L10" s="60">
        <f t="shared" si="33"/>
        <v>52.723333333333336</v>
      </c>
      <c r="M10" s="97">
        <f t="shared" si="34"/>
        <v>1</v>
      </c>
      <c r="N10" s="43">
        <f t="shared" si="2"/>
        <v>0</v>
      </c>
      <c r="O10" s="60">
        <f>IFERROR(AVERAGEIFS('Base Kpi'!$I:$I,'Base Kpi'!$B:$B,Cliente!$E10,'Base Kpi'!$G:$G,Cliente!O$5),0)</f>
        <v>21.42</v>
      </c>
      <c r="P10" s="92">
        <f>IFERROR(AVERAGEIFS('Base Kpi'!$I:$I,'Base Kpi'!$B:$B,Cliente!$E10,'Base Kpi'!$G:$G,Cliente!P$5),0)</f>
        <v>0</v>
      </c>
      <c r="Q10" s="92">
        <f>IFERROR(AVERAGEIFS('Base Kpi'!$I:$I,'Base Kpi'!$B:$B,Cliente!$E10,'Base Kpi'!$G:$G,Cliente!Q$5),0)</f>
        <v>10.199999999999999</v>
      </c>
      <c r="R10" s="92">
        <f>IFERROR(AVERAGEIFS('Base Kpi'!$I:$I,'Base Kpi'!$B:$B,Cliente!$E10,'Base Kpi'!$G:$G,Cliente!R$5),0)</f>
        <v>14.625</v>
      </c>
      <c r="S10" s="94">
        <f t="shared" si="35"/>
        <v>46.245000000000005</v>
      </c>
      <c r="T10" s="95">
        <f t="shared" si="36"/>
        <v>0</v>
      </c>
      <c r="U10" s="60">
        <f>IFERROR(AVERAGEIFS('Base Kpi'!$T:$T,'Base Kpi'!$M:$M,Cliente!$E10,'Base Kpi'!$S:$S,Cliente!U$5),0)</f>
        <v>17.13</v>
      </c>
      <c r="V10" s="92">
        <f>IFERROR(AVERAGEIFS('Base Kpi'!$T:$T,'Base Kpi'!$M:$M,Cliente!$E10,'Base Kpi'!$S:$S,Cliente!V$5),0)</f>
        <v>0</v>
      </c>
      <c r="W10" s="92">
        <f>IFERROR(AVERAGEIFS('Base Kpi'!$T:$T,'Base Kpi'!$M:$M,Cliente!$E10,'Base Kpi'!$S:$S,Cliente!W$5),0)</f>
        <v>8.5</v>
      </c>
      <c r="X10" s="92">
        <f>IFERROR(AVERAGEIFS('Base Kpi'!$T:$T,'Base Kpi'!$M:$M,Cliente!$E10,'Base Kpi'!$S:$S,Cliente!X$5),0)</f>
        <v>30.375</v>
      </c>
      <c r="Y10" s="94">
        <f t="shared" si="37"/>
        <v>56.004999999999995</v>
      </c>
      <c r="Z10" s="95">
        <f t="shared" si="38"/>
        <v>0</v>
      </c>
      <c r="AA10" s="60">
        <f>IFERROR(AVERAGEIFS('Base Kpi'!$AF:$AF,'Base Kpi'!$Y:$Y,Cliente!$E10,'Base Kpi'!$AE:$AE,Cliente!AA$5),0)</f>
        <v>21.42</v>
      </c>
      <c r="AB10" s="92">
        <f>IFERROR(AVERAGEIFS('Base Kpi'!$AF:$AF,'Base Kpi'!$Y:$Y,Cliente!$E10,'Base Kpi'!$AE:$AE,Cliente!AB$5),0)</f>
        <v>8</v>
      </c>
      <c r="AC10" s="92">
        <f>IFERROR(AVERAGEIFS('Base Kpi'!$AF:$AF,'Base Kpi'!$Y:$Y,Cliente!$E10,'Base Kpi'!$AE:$AE,Cliente!AC$5),0)</f>
        <v>8.5</v>
      </c>
      <c r="AD10" s="92">
        <f>IFERROR(AVERAGEIFS('Base Kpi'!$AF:$AF,'Base Kpi'!$Y:$Y,Cliente!$E10,'Base Kpi'!$AE:$AE,Cliente!AD$5),0)</f>
        <v>18</v>
      </c>
      <c r="AE10" s="94">
        <f t="shared" si="39"/>
        <v>55.92</v>
      </c>
      <c r="AF10" s="95">
        <f t="shared" si="40"/>
        <v>0</v>
      </c>
      <c r="AG10" s="60">
        <f t="shared" si="9"/>
        <v>63.463333333333338</v>
      </c>
      <c r="AH10" s="97">
        <f t="shared" si="10"/>
        <v>1</v>
      </c>
      <c r="AI10" s="88">
        <f t="shared" si="41"/>
        <v>1</v>
      </c>
      <c r="AJ10" s="92">
        <f>IFERROR(AVERAGEIFS('Base Kpi'!$AR:$AR,'Base Kpi'!$AK:$AK,Cliente!$E10,'Base Kpi'!$AQ:$AQ,AJ$5),0)</f>
        <v>25</v>
      </c>
      <c r="AK10" s="92">
        <f>IFERROR(AVERAGEIFS('Base Kpi'!$AR:$AR,'Base Kpi'!$AK:$AK,Cliente!$E10,'Base Kpi'!$AQ:$AQ,AK$5),0)</f>
        <v>2.5</v>
      </c>
      <c r="AL10" s="92">
        <f>IFERROR(AVERAGEIFS('Base Kpi'!$AR:$AR,'Base Kpi'!$AK:$AK,Cliente!$E10,'Base Kpi'!$AQ:$AQ,AL$5),0)</f>
        <v>9</v>
      </c>
      <c r="AM10" s="92">
        <f>IFERROR(AVERAGEIFS('Base Kpi'!$AR:$AR,'Base Kpi'!$AK:$AK,Cliente!$E10,'Base Kpi'!$AQ:$AQ,AM$5),0)</f>
        <v>30.44</v>
      </c>
      <c r="AN10" s="94">
        <f t="shared" si="12"/>
        <v>66.94</v>
      </c>
      <c r="AO10" s="95">
        <f t="shared" si="13"/>
        <v>0</v>
      </c>
      <c r="AP10" s="60">
        <f>IFERROR(AVERAGEIFS('Base Kpi'!$BD:$BD,'Base Kpi'!$AW:$AW,Cliente!$E10,'Base Kpi'!$BC:$BC,Cliente!AP$5),0)</f>
        <v>25</v>
      </c>
      <c r="AQ10" s="92">
        <f>IFERROR(AVERAGEIFS('Base Kpi'!$BD:$BD,'Base Kpi'!$AW:$AW,Cliente!$E10,'Base Kpi'!$BC:$BC,Cliente!AQ$5),0)</f>
        <v>0</v>
      </c>
      <c r="AR10" s="92">
        <f>IFERROR(AVERAGEIFS('Base Kpi'!$BD:$BD,'Base Kpi'!$AW:$AW,Cliente!$E10,'Base Kpi'!$BC:$BC,Cliente!AR$5),0)</f>
        <v>6</v>
      </c>
      <c r="AS10" s="92">
        <f>IFERROR(AVERAGEIFS('Base Kpi'!$BD:$BD,'Base Kpi'!$AW:$AW,Cliente!$E10,'Base Kpi'!$BC:$BC,Cliente!AS$5),0)</f>
        <v>28.68</v>
      </c>
      <c r="AT10" s="92">
        <f>IFERROR(AVERAGEIFS('Base Kpi'!$BD:$BD,'Base Kpi'!$AW:$AW,Cliente!$E10,'Base Kpi'!$BC:$BC,Cliente!AT$5),0)</f>
        <v>0</v>
      </c>
      <c r="AU10" s="94">
        <f t="shared" si="14"/>
        <v>59.68</v>
      </c>
      <c r="AV10" s="95">
        <f t="shared" si="15"/>
        <v>0</v>
      </c>
      <c r="AW10" s="60">
        <f>IFERROR(AVERAGEIFS('Base Kpi'!$BP:$BP,'Base Kpi'!$BI:$BI,Cliente!$E10,'Base Kpi'!$BO:$BO,Cliente!AW$5),0)</f>
        <v>21.425000000000001</v>
      </c>
      <c r="AX10" s="92">
        <f>IFERROR(AVERAGEIFS('Base Kpi'!$BP:$BP,'Base Kpi'!$BI:$BI,Cliente!$E10,'Base Kpi'!$BO:$BO,Cliente!AX$5),0)</f>
        <v>1.665</v>
      </c>
      <c r="AY10" s="92">
        <f>IFERROR(AVERAGEIFS('Base Kpi'!$BP:$BP,'Base Kpi'!$BI:$BI,Cliente!$E10,'Base Kpi'!$BO:$BO,Cliente!AY$5),0)</f>
        <v>12</v>
      </c>
      <c r="AZ10" s="92">
        <f>IFERROR(AVERAGEIFS('Base Kpi'!$BP:$BP,'Base Kpi'!$BI:$BI,Cliente!$E10,'Base Kpi'!$BO:$BO,Cliente!AZ$5),0)</f>
        <v>28.68</v>
      </c>
      <c r="BA10" s="92">
        <f>IFERROR(AVERAGEIFS('Base Kpi'!$BP:$BP,'Base Kpi'!$BI:$BI,Cliente!$E10,'Base Kpi'!$BO:$BO,Cliente!BA$5),0)</f>
        <v>0</v>
      </c>
      <c r="BB10" s="94">
        <f t="shared" si="16"/>
        <v>63.77</v>
      </c>
      <c r="BC10" s="95">
        <f t="shared" si="17"/>
        <v>0</v>
      </c>
      <c r="BD10" s="60">
        <f t="shared" si="42"/>
        <v>83.600000000000009</v>
      </c>
      <c r="BE10" s="97">
        <f t="shared" si="18"/>
        <v>1</v>
      </c>
      <c r="BF10" s="88">
        <f t="shared" si="43"/>
        <v>1</v>
      </c>
      <c r="BG10" s="60">
        <f>IFERROR(AVERAGEIFS('Base Kpi'!$CB:$CB,'Base Kpi'!$BU:$BU,Cliente!$E10,'Base Kpi'!$CA:$CA,Cliente!BG$5),0)</f>
        <v>25</v>
      </c>
      <c r="BH10" s="92">
        <f>IFERROR(AVERAGEIFS('Base Kpi'!$CB:$CB,'Base Kpi'!$BU:$BU,Cliente!$E10,'Base Kpi'!$CA:$CA,Cliente!BH$5),0)</f>
        <v>5</v>
      </c>
      <c r="BI10" s="92">
        <f>IFERROR(AVERAGEIFS('Base Kpi'!$CB:$CB,'Base Kpi'!$BU:$BU,Cliente!$E10,'Base Kpi'!$CA:$CA,Cliente!BI$5),0)</f>
        <v>12</v>
      </c>
      <c r="BJ10" s="92">
        <f>IFERROR(AVERAGEIFS('Base Kpi'!$CB:$CB,'Base Kpi'!$BU:$BU,Cliente!$E10,'Base Kpi'!$CA:$CA,Cliente!BJ$5),0)</f>
        <v>30.4</v>
      </c>
      <c r="BK10" s="92">
        <f>IFERROR(AVERAGEIFS('Base Kpi'!$CB:$CB,'Base Kpi'!$BU:$BU,Cliente!$E10,'Base Kpi'!$CA:$CA,Cliente!BK$5),0)</f>
        <v>9</v>
      </c>
      <c r="BL10" s="94">
        <f t="shared" si="19"/>
        <v>81.400000000000006</v>
      </c>
      <c r="BM10" s="95">
        <f t="shared" si="20"/>
        <v>1</v>
      </c>
      <c r="BN10" s="60">
        <f>IFERROR(AVERAGEIFS('Base Kpi'!$CN:$CN,'Base Kpi'!$CG:$CG,Cliente!$E10,'Base Kpi'!$CM:$CM,Cliente!BN$5),0)</f>
        <v>25</v>
      </c>
      <c r="BO10" s="92">
        <f>IFERROR(AVERAGEIFS('Base Kpi'!$CN:$CN,'Base Kpi'!$CG:$CG,Cliente!$E10,'Base Kpi'!$CM:$CM,Cliente!BO$5),0)</f>
        <v>5</v>
      </c>
      <c r="BP10" s="92">
        <f>IFERROR(AVERAGEIFS('Base Kpi'!$CN:$CN,'Base Kpi'!$CG:$CG,Cliente!$E10,'Base Kpi'!$CM:$CM,Cliente!BP$5),0)</f>
        <v>12</v>
      </c>
      <c r="BQ10" s="92">
        <f>IFERROR(AVERAGEIFS('Base Kpi'!$CN:$CN,'Base Kpi'!$CG:$CG,Cliente!$E10,'Base Kpi'!$CM:$CM,Cliente!BQ$5),0)</f>
        <v>29.6</v>
      </c>
      <c r="BR10" s="92">
        <f>IFERROR(AVERAGEIFS('Base Kpi'!$CN:$CN,'Base Kpi'!$CG:$CG,Cliente!$E10,'Base Kpi'!$CM:$CM,Cliente!BR$5),0)</f>
        <v>9</v>
      </c>
      <c r="BS10" s="94">
        <f t="shared" si="21"/>
        <v>80.599999999999994</v>
      </c>
      <c r="BT10" s="95">
        <f t="shared" si="22"/>
        <v>1</v>
      </c>
      <c r="BU10" s="60">
        <f>IFERROR(AVERAGEIFS('Base Kpi'!$CZ:$CZ,'Base Kpi'!$CS:$CS,Cliente!$E10,'Base Kpi'!$CY:$CY,Cliente!BU$5),0)</f>
        <v>25</v>
      </c>
      <c r="BV10" s="92">
        <f>IFERROR(AVERAGEIFS('Base Kpi'!$CZ:$CZ,'Base Kpi'!$CS:$CS,Cliente!$E10,'Base Kpi'!$CY:$CY,Cliente!BV$5),0)</f>
        <v>5</v>
      </c>
      <c r="BW10" s="92">
        <f>IFERROR(AVERAGEIFS('Base Kpi'!$CZ:$CZ,'Base Kpi'!$CS:$CS,Cliente!$E10,'Base Kpi'!$CY:$CY,Cliente!BW$5),0)</f>
        <v>12</v>
      </c>
      <c r="BX10" s="92">
        <f>IFERROR(AVERAGEIFS('Base Kpi'!$CZ:$CZ,'Base Kpi'!$CS:$CS,Cliente!$E10,'Base Kpi'!$CY:$CY,Cliente!BX$5),0)</f>
        <v>28.8</v>
      </c>
      <c r="BY10" s="92">
        <f>IFERROR(AVERAGEIFS('Base Kpi'!$CZ:$CZ,'Base Kpi'!$CS:$CS,Cliente!$E10,'Base Kpi'!$CY:$CY,Cliente!BY$5),0)</f>
        <v>18</v>
      </c>
      <c r="BZ10" s="94">
        <f t="shared" si="23"/>
        <v>88.8</v>
      </c>
      <c r="CA10" s="95">
        <f t="shared" si="24"/>
        <v>1</v>
      </c>
      <c r="CB10" s="60">
        <f t="shared" si="44"/>
        <v>94.533333333333346</v>
      </c>
      <c r="CC10" s="97">
        <f t="shared" si="45"/>
        <v>1</v>
      </c>
      <c r="CD10" s="43">
        <f t="shared" si="46"/>
        <v>1</v>
      </c>
      <c r="CE10" s="60" cm="1">
        <f t="array" ref="CE10">IFERROR(LARGE(_xlfn._xlws.FILTER('Base Kpi'!$DL:$DL,('Base Kpi'!$DK:$DK=$CE$5)*('Base Kpi'!$DE:$DE=Cliente!$E10)),1),0)</f>
        <v>32.799999999999997</v>
      </c>
      <c r="CF10" s="60" cm="1">
        <f t="array" ref="CF10">IFERROR(LARGE(_xlfn._xlws.FILTER('Base Kpi'!$DL:$DL,('Base Kpi'!$DK:$DK=$CF$5)*('Base Kpi'!$DE:$DE=Cliente!$E10)),1),0)</f>
        <v>5</v>
      </c>
      <c r="CG10" s="60" cm="1">
        <f t="array" ref="CG10">IFERROR(LARGE(_xlfn._xlws.FILTER('Base Kpi'!$DL:$DL,('Base Kpi'!$DK:$DK=$CG$5)*('Base Kpi'!$DE:$DE=Cliente!$E10)),1),0)</f>
        <v>5</v>
      </c>
      <c r="CH10" s="60" cm="1">
        <f t="array" ref="CH10">IFERROR(LARGE(_xlfn._xlws.FILTER('Base Kpi'!$DL:$DL,('Base Kpi'!$DK:$DK=$CH$5)*('Base Kpi'!$DE:$DE=Cliente!$E10)),1),0)</f>
        <v>9</v>
      </c>
      <c r="CI10" s="60" cm="1">
        <f t="array" ref="CI10">IFERROR(LARGE(_xlfn._xlws.FILTER('Base Kpi'!$DL:$DL,('Base Kpi'!$DK:$DK=$CI$5)*('Base Kpi'!$DE:$DE=Cliente!$E10)),1),0)</f>
        <v>25</v>
      </c>
      <c r="CJ10" s="60" cm="1">
        <f t="array" ref="CJ10">IFERROR(LARGE(_xlfn._xlws.FILTER('Base Kpi'!$DL:$DL,('Base Kpi'!$DK:$DK=$CJ$5)*('Base Kpi'!$DE:$DE=Cliente!$E10)),1),0)</f>
        <v>12</v>
      </c>
      <c r="CK10" s="60" cm="1">
        <f t="array" ref="CK10">IFERROR(LARGE(_xlfn._xlws.FILTER('Base Kpi'!$DL:$DL,('Base Kpi'!$DK:$DK=$CK$5)*('Base Kpi'!$DE:$DE=Cliente!$E10)),1),0)</f>
        <v>0</v>
      </c>
      <c r="CL10" s="94">
        <f t="shared" si="28"/>
        <v>88.8</v>
      </c>
      <c r="CM10" s="95">
        <f t="shared" si="47"/>
        <v>1</v>
      </c>
      <c r="CN10" s="60">
        <f>IFERROR(AVERAGEIFS('Base Kpi'!$DX:$DX,'Base Kpi'!$DQ:$DQ,Cliente!$E10,'Base Kpi'!$DW:$DW,Cliente!CN$5),0)</f>
        <v>31.2</v>
      </c>
      <c r="CO10" s="92">
        <f>IFERROR(AVERAGEIFS('Base Kpi'!$DX:$DX,'Base Kpi'!$DQ:$DQ,Cliente!$E10,'Base Kpi'!$DW:$DW,Cliente!CO$5),0)</f>
        <v>5</v>
      </c>
      <c r="CP10" s="92">
        <f>IFERROR(AVERAGEIFS('Base Kpi'!$DX:$DX,'Base Kpi'!$DQ:$DQ,Cliente!$E10,'Base Kpi'!$DW:$DW,Cliente!CP$5),0)</f>
        <v>5</v>
      </c>
      <c r="CQ10" s="92">
        <f>IFERROR(AVERAGEIFS('Base Kpi'!$DX:$DX,'Base Kpi'!$DQ:$DQ,Cliente!$E10,'Base Kpi'!$DW:$DW,Cliente!CQ$5),0)</f>
        <v>18</v>
      </c>
      <c r="CR10" s="92">
        <f>IFERROR(AVERAGEIFS('Base Kpi'!$DX:$DX,'Base Kpi'!$DQ:$DQ,Cliente!$E10,'Base Kpi'!$DW:$DW,Cliente!CR$5),0)</f>
        <v>25</v>
      </c>
      <c r="CS10" s="92">
        <f>IFERROR(AVERAGEIFS('Base Kpi'!$DX:$DX,'Base Kpi'!$DQ:$DQ,Cliente!$E10,'Base Kpi'!$DW:$DW,Cliente!CS$5),0)</f>
        <v>12</v>
      </c>
      <c r="CT10" s="92">
        <f>IFERROR(AVERAGEIFS('Base Kpi'!$DX:$DX,'Base Kpi'!$DQ:$DQ,Cliente!$E10,'Base Kpi'!$DW:$DW,Cliente!CT$5),0)</f>
        <v>0</v>
      </c>
      <c r="CU10" s="94">
        <f t="shared" si="48"/>
        <v>96.2</v>
      </c>
      <c r="CV10" s="95">
        <f t="shared" si="49"/>
        <v>1</v>
      </c>
      <c r="CW10" s="60">
        <f>IFERROR(AVERAGEIFS('Base Kpi'!$EJ:$EJ,'Base Kpi'!$EC:$EC,Cliente!$E10,'Base Kpi'!$EI:$EI,Cliente!CW$5),0)</f>
        <v>33.6</v>
      </c>
      <c r="CX10" s="92">
        <f>IFERROR(AVERAGEIFS('Base Kpi'!$EJ:$EJ,'Base Kpi'!$EC:$EC,Cliente!$E10,'Base Kpi'!$EI:$EI,Cliente!CX$5),0)</f>
        <v>5</v>
      </c>
      <c r="CY10" s="92">
        <f>IFERROR(AVERAGEIFS('Base Kpi'!$EJ:$EJ,'Base Kpi'!$EC:$EC,Cliente!$E10,'Base Kpi'!$EI:$EI,Cliente!CY$5),0)</f>
        <v>5</v>
      </c>
      <c r="CZ10" s="92">
        <f>IFERROR(AVERAGEIFS('Base Kpi'!$EJ:$EJ,'Base Kpi'!$EC:$EC,Cliente!$E10,'Base Kpi'!$EI:$EI,Cliente!CZ$5),0)</f>
        <v>18</v>
      </c>
      <c r="DA10" s="92">
        <f>IFERROR(AVERAGEIFS('Base Kpi'!$EJ:$EJ,'Base Kpi'!$EC:$EC,Cliente!$E10,'Base Kpi'!$EI:$EI,Cliente!DA$5),0)</f>
        <v>25</v>
      </c>
      <c r="DB10" s="92">
        <f>IFERROR(AVERAGEIFS('Base Kpi'!$EJ:$EJ,'Base Kpi'!$EC:$EC,Cliente!$E10,'Base Kpi'!$EI:$EI,Cliente!DB$5),0)</f>
        <v>12</v>
      </c>
      <c r="DC10" s="92">
        <f>IFERROR(AVERAGEIFS('Base Kpi'!$EJ:$EJ,'Base Kpi'!$EC:$EC,Cliente!$E10,'Base Kpi'!$EI:$EI,Cliente!DC$5),0)</f>
        <v>0</v>
      </c>
      <c r="DD10" s="94">
        <f t="shared" si="50"/>
        <v>98.6</v>
      </c>
      <c r="DE10" s="95">
        <f t="shared" si="51"/>
        <v>1</v>
      </c>
      <c r="DF10" s="120"/>
    </row>
    <row r="11" spans="2:110" x14ac:dyDescent="0.35">
      <c r="B11" s="52" t="s">
        <v>427</v>
      </c>
      <c r="C11" s="21">
        <v>3919</v>
      </c>
      <c r="D11" s="21" t="s">
        <v>429</v>
      </c>
      <c r="E11" s="21">
        <v>56110</v>
      </c>
      <c r="F11" s="16" t="s">
        <v>23</v>
      </c>
      <c r="G11" s="16" t="s">
        <v>179</v>
      </c>
      <c r="H11" s="16" t="s">
        <v>247</v>
      </c>
      <c r="I11" s="16" t="s">
        <v>248</v>
      </c>
      <c r="J11" s="16" t="s">
        <v>88</v>
      </c>
      <c r="K11" s="34" t="s">
        <v>51</v>
      </c>
      <c r="L11" s="60">
        <f t="shared" si="33"/>
        <v>75.774999999999991</v>
      </c>
      <c r="M11" s="97">
        <f t="shared" si="34"/>
        <v>1</v>
      </c>
      <c r="N11" s="43">
        <f t="shared" si="2"/>
        <v>0</v>
      </c>
      <c r="O11" s="60">
        <f>IFERROR(AVERAGEIFS('Base Kpi'!$I:$I,'Base Kpi'!$B:$B,Cliente!$E11,'Base Kpi'!$G:$G,Cliente!O$5),0)</f>
        <v>30</v>
      </c>
      <c r="P11" s="92">
        <f>IFERROR(AVERAGEIFS('Base Kpi'!$I:$I,'Base Kpi'!$B:$B,Cliente!$E11,'Base Kpi'!$G:$G,Cliente!P$5),0)</f>
        <v>0</v>
      </c>
      <c r="Q11" s="92">
        <f>IFERROR(AVERAGEIFS('Base Kpi'!$I:$I,'Base Kpi'!$B:$B,Cliente!$E11,'Base Kpi'!$G:$G,Cliente!Q$5),0)</f>
        <v>10.199999999999999</v>
      </c>
      <c r="R11" s="92">
        <f>IFERROR(AVERAGEIFS('Base Kpi'!$I:$I,'Base Kpi'!$B:$B,Cliente!$E11,'Base Kpi'!$G:$G,Cliente!R$5),0)</f>
        <v>32.625</v>
      </c>
      <c r="S11" s="94">
        <f t="shared" si="35"/>
        <v>72.825000000000003</v>
      </c>
      <c r="T11" s="95">
        <f t="shared" si="36"/>
        <v>0</v>
      </c>
      <c r="U11" s="60">
        <f>IFERROR(AVERAGEIFS('Base Kpi'!$T:$T,'Base Kpi'!$M:$M,Cliente!$E11,'Base Kpi'!$S:$S,Cliente!U$5),0)</f>
        <v>30</v>
      </c>
      <c r="V11" s="92">
        <f>IFERROR(AVERAGEIFS('Base Kpi'!$T:$T,'Base Kpi'!$M:$M,Cliente!$E11,'Base Kpi'!$S:$S,Cliente!V$5),0)</f>
        <v>0</v>
      </c>
      <c r="W11" s="92">
        <f>IFERROR(AVERAGEIFS('Base Kpi'!$T:$T,'Base Kpi'!$M:$M,Cliente!$E11,'Base Kpi'!$S:$S,Cliente!W$5),0)</f>
        <v>12.75</v>
      </c>
      <c r="X11" s="92">
        <f>IFERROR(AVERAGEIFS('Base Kpi'!$T:$T,'Base Kpi'!$M:$M,Cliente!$E11,'Base Kpi'!$S:$S,Cliente!X$5),0)</f>
        <v>32.625</v>
      </c>
      <c r="Y11" s="94">
        <f t="shared" si="37"/>
        <v>75.375</v>
      </c>
      <c r="Z11" s="95">
        <f t="shared" si="38"/>
        <v>0</v>
      </c>
      <c r="AA11" s="60">
        <f>IFERROR(AVERAGEIFS('Base Kpi'!$AF:$AF,'Base Kpi'!$Y:$Y,Cliente!$E11,'Base Kpi'!$AE:$AE,Cliente!AA$5),0)</f>
        <v>30</v>
      </c>
      <c r="AB11" s="92">
        <f>IFERROR(AVERAGEIFS('Base Kpi'!$AF:$AF,'Base Kpi'!$Y:$Y,Cliente!$E11,'Base Kpi'!$AE:$AE,Cliente!AB$5),0)</f>
        <v>8</v>
      </c>
      <c r="AC11" s="92">
        <f>IFERROR(AVERAGEIFS('Base Kpi'!$AF:$AF,'Base Kpi'!$Y:$Y,Cliente!$E11,'Base Kpi'!$AE:$AE,Cliente!AC$5),0)</f>
        <v>8.5</v>
      </c>
      <c r="AD11" s="92">
        <f>IFERROR(AVERAGEIFS('Base Kpi'!$AF:$AF,'Base Kpi'!$Y:$Y,Cliente!$E11,'Base Kpi'!$AE:$AE,Cliente!AD$5),0)</f>
        <v>32.625</v>
      </c>
      <c r="AE11" s="94">
        <f t="shared" si="39"/>
        <v>79.125</v>
      </c>
      <c r="AF11" s="95">
        <f t="shared" si="40"/>
        <v>0</v>
      </c>
      <c r="AG11" s="60">
        <f t="shared" si="9"/>
        <v>43.108333333333341</v>
      </c>
      <c r="AH11" s="97">
        <f t="shared" si="10"/>
        <v>0</v>
      </c>
      <c r="AI11" s="88">
        <f t="shared" si="41"/>
        <v>0</v>
      </c>
      <c r="AJ11" s="92">
        <f>IFERROR(AVERAGEIFS('Base Kpi'!$AR:$AR,'Base Kpi'!$AK:$AK,Cliente!$E11,'Base Kpi'!$AQ:$AQ,AJ$5),0)</f>
        <v>21.425000000000001</v>
      </c>
      <c r="AK11" s="92">
        <f>IFERROR(AVERAGEIFS('Base Kpi'!$AR:$AR,'Base Kpi'!$AK:$AK,Cliente!$E11,'Base Kpi'!$AQ:$AQ,AK$5),0)</f>
        <v>2.5</v>
      </c>
      <c r="AL11" s="92">
        <f>IFERROR(AVERAGEIFS('Base Kpi'!$AR:$AR,'Base Kpi'!$AK:$AK,Cliente!$E11,'Base Kpi'!$AQ:$AQ,AL$5),0)</f>
        <v>6</v>
      </c>
      <c r="AM11" s="92">
        <f>IFERROR(AVERAGEIFS('Base Kpi'!$AR:$AR,'Base Kpi'!$AK:$AK,Cliente!$E11,'Base Kpi'!$AQ:$AQ,AM$5),0)</f>
        <v>30.44</v>
      </c>
      <c r="AN11" s="94">
        <f t="shared" si="12"/>
        <v>60.365000000000002</v>
      </c>
      <c r="AO11" s="95">
        <f t="shared" si="13"/>
        <v>0</v>
      </c>
      <c r="AP11" s="60">
        <f>IFERROR(AVERAGEIFS('Base Kpi'!$BD:$BD,'Base Kpi'!$AW:$AW,Cliente!$E11,'Base Kpi'!$BC:$BC,Cliente!AP$5),0)</f>
        <v>0</v>
      </c>
      <c r="AQ11" s="92">
        <f>IFERROR(AVERAGEIFS('Base Kpi'!$BD:$BD,'Base Kpi'!$AW:$AW,Cliente!$E11,'Base Kpi'!$BC:$BC,Cliente!AQ$5),0)</f>
        <v>0</v>
      </c>
      <c r="AR11" s="92">
        <f>IFERROR(AVERAGEIFS('Base Kpi'!$BD:$BD,'Base Kpi'!$AW:$AW,Cliente!$E11,'Base Kpi'!$BC:$BC,Cliente!AR$5),0)</f>
        <v>0</v>
      </c>
      <c r="AS11" s="92">
        <f>IFERROR(AVERAGEIFS('Base Kpi'!$BD:$BD,'Base Kpi'!$AW:$AW,Cliente!$E11,'Base Kpi'!$BC:$BC,Cliente!AS$5),0)</f>
        <v>0</v>
      </c>
      <c r="AT11" s="92">
        <f>IFERROR(AVERAGEIFS('Base Kpi'!$BD:$BD,'Base Kpi'!$AW:$AW,Cliente!$E11,'Base Kpi'!$BC:$BC,Cliente!AT$5),0)</f>
        <v>0</v>
      </c>
      <c r="AU11" s="94">
        <f t="shared" si="14"/>
        <v>0</v>
      </c>
      <c r="AV11" s="95">
        <f t="shared" si="15"/>
        <v>0</v>
      </c>
      <c r="AW11" s="60">
        <f>IFERROR(AVERAGEIFS('Base Kpi'!$BP:$BP,'Base Kpi'!$BI:$BI,Cliente!$E11,'Base Kpi'!$BO:$BO,Cliente!AW$5),0)</f>
        <v>25</v>
      </c>
      <c r="AX11" s="92">
        <f>IFERROR(AVERAGEIFS('Base Kpi'!$BP:$BP,'Base Kpi'!$BI:$BI,Cliente!$E11,'Base Kpi'!$BO:$BO,Cliente!AX$5),0)</f>
        <v>5</v>
      </c>
      <c r="AY11" s="92">
        <f>IFERROR(AVERAGEIFS('Base Kpi'!$BP:$BP,'Base Kpi'!$BI:$BI,Cliente!$E11,'Base Kpi'!$BO:$BO,Cliente!AY$5),0)</f>
        <v>12</v>
      </c>
      <c r="AZ11" s="92">
        <f>IFERROR(AVERAGEIFS('Base Kpi'!$BP:$BP,'Base Kpi'!$BI:$BI,Cliente!$E11,'Base Kpi'!$BO:$BO,Cliente!AZ$5),0)</f>
        <v>26.96</v>
      </c>
      <c r="BA11" s="92">
        <f>IFERROR(AVERAGEIFS('Base Kpi'!$BP:$BP,'Base Kpi'!$BI:$BI,Cliente!$E11,'Base Kpi'!$BO:$BO,Cliente!BA$5),0)</f>
        <v>0</v>
      </c>
      <c r="BB11" s="94">
        <f t="shared" si="16"/>
        <v>68.960000000000008</v>
      </c>
      <c r="BC11" s="95">
        <f t="shared" si="17"/>
        <v>0</v>
      </c>
      <c r="BD11" s="60">
        <f t="shared" si="42"/>
        <v>75.13333333333334</v>
      </c>
      <c r="BE11" s="97">
        <f t="shared" si="18"/>
        <v>0</v>
      </c>
      <c r="BF11" s="88">
        <f t="shared" si="43"/>
        <v>0</v>
      </c>
      <c r="BG11" s="60">
        <f>IFERROR(AVERAGEIFS('Base Kpi'!$CB:$CB,'Base Kpi'!$BU:$BU,Cliente!$E11,'Base Kpi'!$CA:$CA,Cliente!BG$5),0)</f>
        <v>25</v>
      </c>
      <c r="BH11" s="92">
        <f>IFERROR(AVERAGEIFS('Base Kpi'!$CB:$CB,'Base Kpi'!$BU:$BU,Cliente!$E11,'Base Kpi'!$CA:$CA,Cliente!BH$5),0)</f>
        <v>5</v>
      </c>
      <c r="BI11" s="92">
        <f>IFERROR(AVERAGEIFS('Base Kpi'!$CB:$CB,'Base Kpi'!$BU:$BU,Cliente!$E11,'Base Kpi'!$CA:$CA,Cliente!BI$5),0)</f>
        <v>12</v>
      </c>
      <c r="BJ11" s="92">
        <f>IFERROR(AVERAGEIFS('Base Kpi'!$CB:$CB,'Base Kpi'!$BU:$BU,Cliente!$E11,'Base Kpi'!$CA:$CA,Cliente!BJ$5),0)</f>
        <v>31.2</v>
      </c>
      <c r="BK11" s="92">
        <f>IFERROR(AVERAGEIFS('Base Kpi'!$CB:$CB,'Base Kpi'!$BU:$BU,Cliente!$E11,'Base Kpi'!$CA:$CA,Cliente!BK$5),0)</f>
        <v>0</v>
      </c>
      <c r="BL11" s="94">
        <f t="shared" si="19"/>
        <v>73.2</v>
      </c>
      <c r="BM11" s="95">
        <f t="shared" si="20"/>
        <v>0</v>
      </c>
      <c r="BN11" s="60">
        <f>IFERROR(AVERAGEIFS('Base Kpi'!$CN:$CN,'Base Kpi'!$CG:$CG,Cliente!$E11,'Base Kpi'!$CM:$CM,Cliente!BN$5),0)</f>
        <v>25</v>
      </c>
      <c r="BO11" s="92">
        <f>IFERROR(AVERAGEIFS('Base Kpi'!$CN:$CN,'Base Kpi'!$CG:$CG,Cliente!$E11,'Base Kpi'!$CM:$CM,Cliente!BO$5),0)</f>
        <v>5</v>
      </c>
      <c r="BP11" s="92">
        <f>IFERROR(AVERAGEIFS('Base Kpi'!$CN:$CN,'Base Kpi'!$CG:$CG,Cliente!$E11,'Base Kpi'!$CM:$CM,Cliente!BP$5),0)</f>
        <v>12</v>
      </c>
      <c r="BQ11" s="92">
        <f>IFERROR(AVERAGEIFS('Base Kpi'!$CN:$CN,'Base Kpi'!$CG:$CG,Cliente!$E11,'Base Kpi'!$CM:$CM,Cliente!BQ$5),0)</f>
        <v>28.8</v>
      </c>
      <c r="BR11" s="92">
        <f>IFERROR(AVERAGEIFS('Base Kpi'!$CN:$CN,'Base Kpi'!$CG:$CG,Cliente!$E11,'Base Kpi'!$CM:$CM,Cliente!BR$5),0)</f>
        <v>0</v>
      </c>
      <c r="BS11" s="94">
        <f t="shared" si="21"/>
        <v>70.8</v>
      </c>
      <c r="BT11" s="95">
        <f t="shared" si="22"/>
        <v>0</v>
      </c>
      <c r="BU11" s="60">
        <f>IFERROR(AVERAGEIFS('Base Kpi'!$CZ:$CZ,'Base Kpi'!$CS:$CS,Cliente!$E11,'Base Kpi'!$CY:$CY,Cliente!BU$5),0)</f>
        <v>25</v>
      </c>
      <c r="BV11" s="92">
        <f>IFERROR(AVERAGEIFS('Base Kpi'!$CZ:$CZ,'Base Kpi'!$CS:$CS,Cliente!$E11,'Base Kpi'!$CY:$CY,Cliente!BV$5),0)</f>
        <v>5</v>
      </c>
      <c r="BW11" s="92">
        <f>IFERROR(AVERAGEIFS('Base Kpi'!$CZ:$CZ,'Base Kpi'!$CS:$CS,Cliente!$E11,'Base Kpi'!$CY:$CY,Cliente!BW$5),0)</f>
        <v>12</v>
      </c>
      <c r="BX11" s="92">
        <f>IFERROR(AVERAGEIFS('Base Kpi'!$CZ:$CZ,'Base Kpi'!$CS:$CS,Cliente!$E11,'Base Kpi'!$CY:$CY,Cliente!BX$5),0)</f>
        <v>30.4</v>
      </c>
      <c r="BY11" s="92">
        <f>IFERROR(AVERAGEIFS('Base Kpi'!$CZ:$CZ,'Base Kpi'!$CS:$CS,Cliente!$E11,'Base Kpi'!$CY:$CY,Cliente!BY$5),0)</f>
        <v>9</v>
      </c>
      <c r="BZ11" s="94">
        <f t="shared" si="23"/>
        <v>81.400000000000006</v>
      </c>
      <c r="CA11" s="95">
        <f t="shared" si="24"/>
        <v>1</v>
      </c>
      <c r="CB11" s="60">
        <f t="shared" si="44"/>
        <v>85.533333333333346</v>
      </c>
      <c r="CC11" s="97">
        <f t="shared" si="45"/>
        <v>1</v>
      </c>
      <c r="CD11" s="43">
        <f t="shared" si="46"/>
        <v>1</v>
      </c>
      <c r="CE11" s="60" cm="1">
        <f t="array" ref="CE11">IFERROR(LARGE(_xlfn._xlws.FILTER('Base Kpi'!$DL:$DL,('Base Kpi'!$DK:$DK=$CE$5)*('Base Kpi'!$DE:$DE=Cliente!$E11)),1),0)</f>
        <v>32</v>
      </c>
      <c r="CF11" s="60" cm="1">
        <f t="array" ref="CF11">IFERROR(LARGE(_xlfn._xlws.FILTER('Base Kpi'!$DL:$DL,('Base Kpi'!$DK:$DK=$CF$5)*('Base Kpi'!$DE:$DE=Cliente!$E11)),1),0)</f>
        <v>0</v>
      </c>
      <c r="CG11" s="60" cm="1">
        <f t="array" ref="CG11">IFERROR(LARGE(_xlfn._xlws.FILTER('Base Kpi'!$DL:$DL,('Base Kpi'!$DK:$DK=$CG$5)*('Base Kpi'!$DE:$DE=Cliente!$E11)),1),0)</f>
        <v>5</v>
      </c>
      <c r="CH11" s="60" cm="1">
        <f t="array" ref="CH11">IFERROR(LARGE(_xlfn._xlws.FILTER('Base Kpi'!$DL:$DL,('Base Kpi'!$DK:$DK=$CH$5)*('Base Kpi'!$DE:$DE=Cliente!$E11)),1),0)</f>
        <v>9</v>
      </c>
      <c r="CI11" s="60" cm="1">
        <f t="array" ref="CI11">IFERROR(LARGE(_xlfn._xlws.FILTER('Base Kpi'!$DL:$DL,('Base Kpi'!$DK:$DK=$CI$5)*('Base Kpi'!$DE:$DE=Cliente!$E11)),1),0)</f>
        <v>25</v>
      </c>
      <c r="CJ11" s="60" cm="1">
        <f t="array" ref="CJ11">IFERROR(LARGE(_xlfn._xlws.FILTER('Base Kpi'!$DL:$DL,('Base Kpi'!$DK:$DK=$CJ$5)*('Base Kpi'!$DE:$DE=Cliente!$E11)),1),0)</f>
        <v>12</v>
      </c>
      <c r="CK11" s="60" cm="1">
        <f t="array" ref="CK11">IFERROR(LARGE(_xlfn._xlws.FILTER('Base Kpi'!$DL:$DL,('Base Kpi'!$DK:$DK=$CK$5)*('Base Kpi'!$DE:$DE=Cliente!$E11)),1),0)</f>
        <v>0</v>
      </c>
      <c r="CL11" s="94">
        <f t="shared" si="28"/>
        <v>83</v>
      </c>
      <c r="CM11" s="95">
        <f t="shared" si="47"/>
        <v>1</v>
      </c>
      <c r="CN11" s="60">
        <f>IFERROR(AVERAGEIFS('Base Kpi'!$DX:$DX,'Base Kpi'!$DQ:$DQ,Cliente!$E11,'Base Kpi'!$DW:$DW,Cliente!CN$5),0)</f>
        <v>32.799999999999997</v>
      </c>
      <c r="CO11" s="92">
        <f>IFERROR(AVERAGEIFS('Base Kpi'!$DX:$DX,'Base Kpi'!$DQ:$DQ,Cliente!$E11,'Base Kpi'!$DW:$DW,Cliente!CO$5),0)</f>
        <v>5</v>
      </c>
      <c r="CP11" s="92">
        <f>IFERROR(AVERAGEIFS('Base Kpi'!$DX:$DX,'Base Kpi'!$DQ:$DQ,Cliente!$E11,'Base Kpi'!$DW:$DW,Cliente!CP$5),0)</f>
        <v>5</v>
      </c>
      <c r="CQ11" s="92">
        <f>IFERROR(AVERAGEIFS('Base Kpi'!$DX:$DX,'Base Kpi'!$DQ:$DQ,Cliente!$E11,'Base Kpi'!$DW:$DW,Cliente!CQ$5),0)</f>
        <v>18</v>
      </c>
      <c r="CR11" s="92">
        <f>IFERROR(AVERAGEIFS('Base Kpi'!$DX:$DX,'Base Kpi'!$DQ:$DQ,Cliente!$E11,'Base Kpi'!$DW:$DW,Cliente!CR$5),0)</f>
        <v>25</v>
      </c>
      <c r="CS11" s="92">
        <f>IFERROR(AVERAGEIFS('Base Kpi'!$DX:$DX,'Base Kpi'!$DQ:$DQ,Cliente!$E11,'Base Kpi'!$DW:$DW,Cliente!CS$5),0)</f>
        <v>12</v>
      </c>
      <c r="CT11" s="92">
        <f>IFERROR(AVERAGEIFS('Base Kpi'!$DX:$DX,'Base Kpi'!$DQ:$DQ,Cliente!$E11,'Base Kpi'!$DW:$DW,Cliente!CT$5),0)</f>
        <v>0</v>
      </c>
      <c r="CU11" s="94">
        <f t="shared" si="48"/>
        <v>97.8</v>
      </c>
      <c r="CV11" s="95">
        <f t="shared" si="49"/>
        <v>1</v>
      </c>
      <c r="CW11" s="60">
        <f>IFERROR(AVERAGEIFS('Base Kpi'!$EJ:$EJ,'Base Kpi'!$EC:$EC,Cliente!$E11,'Base Kpi'!$EI:$EI,Cliente!CW$5),0)</f>
        <v>28.8</v>
      </c>
      <c r="CX11" s="92">
        <f>IFERROR(AVERAGEIFS('Base Kpi'!$EJ:$EJ,'Base Kpi'!$EC:$EC,Cliente!$E11,'Base Kpi'!$EI:$EI,Cliente!CX$5),0)</f>
        <v>5</v>
      </c>
      <c r="CY11" s="92">
        <f>IFERROR(AVERAGEIFS('Base Kpi'!$EJ:$EJ,'Base Kpi'!$EC:$EC,Cliente!$E11,'Base Kpi'!$EI:$EI,Cliente!CY$5),0)</f>
        <v>5</v>
      </c>
      <c r="CZ11" s="92">
        <f>IFERROR(AVERAGEIFS('Base Kpi'!$EJ:$EJ,'Base Kpi'!$EC:$EC,Cliente!$E11,'Base Kpi'!$EI:$EI,Cliente!CZ$5),0)</f>
        <v>0</v>
      </c>
      <c r="DA11" s="92">
        <f>IFERROR(AVERAGEIFS('Base Kpi'!$EJ:$EJ,'Base Kpi'!$EC:$EC,Cliente!$E11,'Base Kpi'!$EI:$EI,Cliente!DA$5),0)</f>
        <v>25</v>
      </c>
      <c r="DB11" s="92">
        <f>IFERROR(AVERAGEIFS('Base Kpi'!$EJ:$EJ,'Base Kpi'!$EC:$EC,Cliente!$E11,'Base Kpi'!$EI:$EI,Cliente!DB$5),0)</f>
        <v>12</v>
      </c>
      <c r="DC11" s="92">
        <f>IFERROR(AVERAGEIFS('Base Kpi'!$EJ:$EJ,'Base Kpi'!$EC:$EC,Cliente!$E11,'Base Kpi'!$EI:$EI,Cliente!DC$5),0)</f>
        <v>0</v>
      </c>
      <c r="DD11" s="94">
        <f t="shared" si="50"/>
        <v>75.8</v>
      </c>
      <c r="DE11" s="95">
        <f t="shared" si="51"/>
        <v>1</v>
      </c>
      <c r="DF11" s="120"/>
    </row>
    <row r="12" spans="2:110" x14ac:dyDescent="0.35">
      <c r="B12" s="52" t="s">
        <v>427</v>
      </c>
      <c r="C12" s="21">
        <v>3919</v>
      </c>
      <c r="D12" s="21" t="s">
        <v>429</v>
      </c>
      <c r="E12" s="21">
        <v>73922</v>
      </c>
      <c r="F12" s="16" t="s">
        <v>24</v>
      </c>
      <c r="G12" s="16" t="s">
        <v>179</v>
      </c>
      <c r="H12" s="16" t="s">
        <v>243</v>
      </c>
      <c r="I12" s="16" t="s">
        <v>244</v>
      </c>
      <c r="J12" s="16" t="s">
        <v>88</v>
      </c>
      <c r="K12" s="34" t="s">
        <v>51</v>
      </c>
      <c r="L12" s="60">
        <f t="shared" si="33"/>
        <v>69.805000000000007</v>
      </c>
      <c r="M12" s="97">
        <f t="shared" si="34"/>
        <v>1</v>
      </c>
      <c r="N12" s="43">
        <f t="shared" si="2"/>
        <v>0</v>
      </c>
      <c r="O12" s="60">
        <f>IFERROR(AVERAGEIFS('Base Kpi'!$I:$I,'Base Kpi'!$B:$B,Cliente!$E12,'Base Kpi'!$G:$G,Cliente!O$5),0)</f>
        <v>30</v>
      </c>
      <c r="P12" s="92">
        <f>IFERROR(AVERAGEIFS('Base Kpi'!$I:$I,'Base Kpi'!$B:$B,Cliente!$E12,'Base Kpi'!$G:$G,Cliente!P$5),0)</f>
        <v>0</v>
      </c>
      <c r="Q12" s="92">
        <f>IFERROR(AVERAGEIFS('Base Kpi'!$I:$I,'Base Kpi'!$B:$B,Cliente!$E12,'Base Kpi'!$G:$G,Cliente!Q$5),0)</f>
        <v>10.199999999999999</v>
      </c>
      <c r="R12" s="92">
        <f>IFERROR(AVERAGEIFS('Base Kpi'!$I:$I,'Base Kpi'!$B:$B,Cliente!$E12,'Base Kpi'!$G:$G,Cliente!R$5),0)</f>
        <v>16.875</v>
      </c>
      <c r="S12" s="94">
        <f t="shared" si="35"/>
        <v>57.075000000000003</v>
      </c>
      <c r="T12" s="95">
        <f t="shared" si="36"/>
        <v>0</v>
      </c>
      <c r="U12" s="60">
        <f>IFERROR(AVERAGEIFS('Base Kpi'!$T:$T,'Base Kpi'!$M:$M,Cliente!$E12,'Base Kpi'!$S:$S,Cliente!U$5),0)</f>
        <v>21.42</v>
      </c>
      <c r="V12" s="92">
        <f>IFERROR(AVERAGEIFS('Base Kpi'!$T:$T,'Base Kpi'!$M:$M,Cliente!$E12,'Base Kpi'!$S:$S,Cliente!V$5),0)</f>
        <v>8</v>
      </c>
      <c r="W12" s="92">
        <f>IFERROR(AVERAGEIFS('Base Kpi'!$T:$T,'Base Kpi'!$M:$M,Cliente!$E12,'Base Kpi'!$S:$S,Cliente!W$5),0)</f>
        <v>8.5</v>
      </c>
      <c r="X12" s="92">
        <f>IFERROR(AVERAGEIFS('Base Kpi'!$T:$T,'Base Kpi'!$M:$M,Cliente!$E12,'Base Kpi'!$S:$S,Cliente!X$5),0)</f>
        <v>38.25</v>
      </c>
      <c r="Y12" s="94">
        <f t="shared" si="37"/>
        <v>76.17</v>
      </c>
      <c r="Z12" s="95">
        <f t="shared" si="38"/>
        <v>0</v>
      </c>
      <c r="AA12" s="60">
        <f>IFERROR(AVERAGEIFS('Base Kpi'!$AF:$AF,'Base Kpi'!$Y:$Y,Cliente!$E12,'Base Kpi'!$AE:$AE,Cliente!AA$5),0)</f>
        <v>21.42</v>
      </c>
      <c r="AB12" s="92">
        <f>IFERROR(AVERAGEIFS('Base Kpi'!$AF:$AF,'Base Kpi'!$Y:$Y,Cliente!$E12,'Base Kpi'!$AE:$AE,Cliente!AB$5),0)</f>
        <v>8</v>
      </c>
      <c r="AC12" s="92">
        <f>IFERROR(AVERAGEIFS('Base Kpi'!$AF:$AF,'Base Kpi'!$Y:$Y,Cliente!$E12,'Base Kpi'!$AE:$AE,Cliente!AC$5),0)</f>
        <v>8.5</v>
      </c>
      <c r="AD12" s="92">
        <f>IFERROR(AVERAGEIFS('Base Kpi'!$AF:$AF,'Base Kpi'!$Y:$Y,Cliente!$E12,'Base Kpi'!$AE:$AE,Cliente!AD$5),0)</f>
        <v>38.25</v>
      </c>
      <c r="AE12" s="94">
        <f t="shared" si="39"/>
        <v>76.17</v>
      </c>
      <c r="AF12" s="95">
        <f t="shared" si="40"/>
        <v>0</v>
      </c>
      <c r="AG12" s="60">
        <f t="shared" si="9"/>
        <v>69.375</v>
      </c>
      <c r="AH12" s="97">
        <f t="shared" si="10"/>
        <v>1</v>
      </c>
      <c r="AI12" s="88">
        <f t="shared" si="41"/>
        <v>1</v>
      </c>
      <c r="AJ12" s="92">
        <f>IFERROR(AVERAGEIFS('Base Kpi'!$AR:$AR,'Base Kpi'!$AK:$AK,Cliente!$E12,'Base Kpi'!$AQ:$AQ,AJ$5),0)</f>
        <v>25</v>
      </c>
      <c r="AK12" s="92">
        <f>IFERROR(AVERAGEIFS('Base Kpi'!$AR:$AR,'Base Kpi'!$AK:$AK,Cliente!$E12,'Base Kpi'!$AQ:$AQ,AK$5),0)</f>
        <v>2.5</v>
      </c>
      <c r="AL12" s="92">
        <f>IFERROR(AVERAGEIFS('Base Kpi'!$AR:$AR,'Base Kpi'!$AK:$AK,Cliente!$E12,'Base Kpi'!$AQ:$AQ,AL$5),0)</f>
        <v>9</v>
      </c>
      <c r="AM12" s="92">
        <f>IFERROR(AVERAGEIFS('Base Kpi'!$AR:$AR,'Base Kpi'!$AK:$AK,Cliente!$E12,'Base Kpi'!$AQ:$AQ,AM$5),0)</f>
        <v>31.32</v>
      </c>
      <c r="AN12" s="94">
        <f t="shared" si="12"/>
        <v>67.819999999999993</v>
      </c>
      <c r="AO12" s="95">
        <f t="shared" si="13"/>
        <v>0</v>
      </c>
      <c r="AP12" s="60">
        <f>IFERROR(AVERAGEIFS('Base Kpi'!$BD:$BD,'Base Kpi'!$AW:$AW,Cliente!$E12,'Base Kpi'!$BC:$BC,Cliente!AP$5),0)</f>
        <v>25</v>
      </c>
      <c r="AQ12" s="92">
        <f>IFERROR(AVERAGEIFS('Base Kpi'!$BD:$BD,'Base Kpi'!$AW:$AW,Cliente!$E12,'Base Kpi'!$BC:$BC,Cliente!AQ$5),0)</f>
        <v>1.665</v>
      </c>
      <c r="AR12" s="92">
        <f>IFERROR(AVERAGEIFS('Base Kpi'!$BD:$BD,'Base Kpi'!$AW:$AW,Cliente!$E12,'Base Kpi'!$BC:$BC,Cliente!AR$5),0)</f>
        <v>9</v>
      </c>
      <c r="AS12" s="92">
        <f>IFERROR(AVERAGEIFS('Base Kpi'!$BD:$BD,'Base Kpi'!$AW:$AW,Cliente!$E12,'Base Kpi'!$BC:$BC,Cliente!AS$5),0)</f>
        <v>31.32</v>
      </c>
      <c r="AT12" s="92">
        <f>IFERROR(AVERAGEIFS('Base Kpi'!$BD:$BD,'Base Kpi'!$AW:$AW,Cliente!$E12,'Base Kpi'!$BC:$BC,Cliente!AT$5),0)</f>
        <v>0</v>
      </c>
      <c r="AU12" s="94">
        <f t="shared" si="14"/>
        <v>66.984999999999999</v>
      </c>
      <c r="AV12" s="95">
        <f t="shared" si="15"/>
        <v>0</v>
      </c>
      <c r="AW12" s="60">
        <f>IFERROR(AVERAGEIFS('Base Kpi'!$BP:$BP,'Base Kpi'!$BI:$BI,Cliente!$E12,'Base Kpi'!$BO:$BO,Cliente!AW$5),0)</f>
        <v>25</v>
      </c>
      <c r="AX12" s="92">
        <f>IFERROR(AVERAGEIFS('Base Kpi'!$BP:$BP,'Base Kpi'!$BI:$BI,Cliente!$E12,'Base Kpi'!$BO:$BO,Cliente!AX$5),0)</f>
        <v>5</v>
      </c>
      <c r="AY12" s="92">
        <f>IFERROR(AVERAGEIFS('Base Kpi'!$BP:$BP,'Base Kpi'!$BI:$BI,Cliente!$E12,'Base Kpi'!$BO:$BO,Cliente!AY$5),0)</f>
        <v>12</v>
      </c>
      <c r="AZ12" s="92">
        <f>IFERROR(AVERAGEIFS('Base Kpi'!$BP:$BP,'Base Kpi'!$BI:$BI,Cliente!$E12,'Base Kpi'!$BO:$BO,Cliente!AZ$5),0)</f>
        <v>31.32</v>
      </c>
      <c r="BA12" s="92">
        <f>IFERROR(AVERAGEIFS('Base Kpi'!$BP:$BP,'Base Kpi'!$BI:$BI,Cliente!$E12,'Base Kpi'!$BO:$BO,Cliente!BA$5),0)</f>
        <v>0</v>
      </c>
      <c r="BB12" s="94">
        <f t="shared" si="16"/>
        <v>73.319999999999993</v>
      </c>
      <c r="BC12" s="95">
        <f t="shared" si="17"/>
        <v>0</v>
      </c>
      <c r="BD12" s="60">
        <f t="shared" si="42"/>
        <v>89.533333333333346</v>
      </c>
      <c r="BE12" s="97">
        <f t="shared" si="18"/>
        <v>1</v>
      </c>
      <c r="BF12" s="88">
        <f t="shared" si="43"/>
        <v>1</v>
      </c>
      <c r="BG12" s="60">
        <f>IFERROR(AVERAGEIFS('Base Kpi'!$CB:$CB,'Base Kpi'!$BU:$BU,Cliente!$E12,'Base Kpi'!$CA:$CA,Cliente!BG$5),0)</f>
        <v>25</v>
      </c>
      <c r="BH12" s="92">
        <f>IFERROR(AVERAGEIFS('Base Kpi'!$CB:$CB,'Base Kpi'!$BU:$BU,Cliente!$E12,'Base Kpi'!$CA:$CA,Cliente!BH$5),0)</f>
        <v>5</v>
      </c>
      <c r="BI12" s="92">
        <f>IFERROR(AVERAGEIFS('Base Kpi'!$CB:$CB,'Base Kpi'!$BU:$BU,Cliente!$E12,'Base Kpi'!$CA:$CA,Cliente!BI$5),0)</f>
        <v>12</v>
      </c>
      <c r="BJ12" s="92">
        <f>IFERROR(AVERAGEIFS('Base Kpi'!$CB:$CB,'Base Kpi'!$BU:$BU,Cliente!$E12,'Base Kpi'!$CA:$CA,Cliente!BJ$5),0)</f>
        <v>32</v>
      </c>
      <c r="BK12" s="92">
        <f>IFERROR(AVERAGEIFS('Base Kpi'!$CB:$CB,'Base Kpi'!$BU:$BU,Cliente!$E12,'Base Kpi'!$CA:$CA,Cliente!BK$5),0)</f>
        <v>9</v>
      </c>
      <c r="BL12" s="94">
        <f t="shared" si="19"/>
        <v>83</v>
      </c>
      <c r="BM12" s="95">
        <f t="shared" si="20"/>
        <v>1</v>
      </c>
      <c r="BN12" s="60">
        <f>IFERROR(AVERAGEIFS('Base Kpi'!$CN:$CN,'Base Kpi'!$CG:$CG,Cliente!$E12,'Base Kpi'!$CM:$CM,Cliente!BN$5),0)</f>
        <v>25</v>
      </c>
      <c r="BO12" s="92">
        <f>IFERROR(AVERAGEIFS('Base Kpi'!$CN:$CN,'Base Kpi'!$CG:$CG,Cliente!$E12,'Base Kpi'!$CM:$CM,Cliente!BO$5),0)</f>
        <v>5</v>
      </c>
      <c r="BP12" s="92">
        <f>IFERROR(AVERAGEIFS('Base Kpi'!$CN:$CN,'Base Kpi'!$CG:$CG,Cliente!$E12,'Base Kpi'!$CM:$CM,Cliente!BP$5),0)</f>
        <v>12</v>
      </c>
      <c r="BQ12" s="92">
        <f>IFERROR(AVERAGEIFS('Base Kpi'!$CN:$CN,'Base Kpi'!$CG:$CG,Cliente!$E12,'Base Kpi'!$CM:$CM,Cliente!BQ$5),0)</f>
        <v>32</v>
      </c>
      <c r="BR12" s="92">
        <f>IFERROR(AVERAGEIFS('Base Kpi'!$CN:$CN,'Base Kpi'!$CG:$CG,Cliente!$E12,'Base Kpi'!$CM:$CM,Cliente!BR$5),0)</f>
        <v>18</v>
      </c>
      <c r="BS12" s="94">
        <f t="shared" si="21"/>
        <v>92</v>
      </c>
      <c r="BT12" s="95">
        <f t="shared" si="22"/>
        <v>1</v>
      </c>
      <c r="BU12" s="60">
        <f>IFERROR(AVERAGEIFS('Base Kpi'!$CZ:$CZ,'Base Kpi'!$CS:$CS,Cliente!$E12,'Base Kpi'!$CY:$CY,Cliente!BU$5),0)</f>
        <v>25</v>
      </c>
      <c r="BV12" s="92">
        <f>IFERROR(AVERAGEIFS('Base Kpi'!$CZ:$CZ,'Base Kpi'!$CS:$CS,Cliente!$E12,'Base Kpi'!$CY:$CY,Cliente!BV$5),0)</f>
        <v>5</v>
      </c>
      <c r="BW12" s="92">
        <f>IFERROR(AVERAGEIFS('Base Kpi'!$CZ:$CZ,'Base Kpi'!$CS:$CS,Cliente!$E12,'Base Kpi'!$CY:$CY,Cliente!BW$5),0)</f>
        <v>12</v>
      </c>
      <c r="BX12" s="92">
        <f>IFERROR(AVERAGEIFS('Base Kpi'!$CZ:$CZ,'Base Kpi'!$CS:$CS,Cliente!$E12,'Base Kpi'!$CY:$CY,Cliente!BX$5),0)</f>
        <v>33.6</v>
      </c>
      <c r="BY12" s="92">
        <f>IFERROR(AVERAGEIFS('Base Kpi'!$CZ:$CZ,'Base Kpi'!$CS:$CS,Cliente!$E12,'Base Kpi'!$CY:$CY,Cliente!BY$5),0)</f>
        <v>18</v>
      </c>
      <c r="BZ12" s="94">
        <f t="shared" si="23"/>
        <v>93.6</v>
      </c>
      <c r="CA12" s="95">
        <f t="shared" si="24"/>
        <v>1</v>
      </c>
      <c r="CB12" s="60">
        <f t="shared" si="44"/>
        <v>64.274999999999991</v>
      </c>
      <c r="CC12" s="97">
        <f t="shared" si="45"/>
        <v>0</v>
      </c>
      <c r="CD12" s="43">
        <f t="shared" si="46"/>
        <v>0</v>
      </c>
      <c r="CE12" s="60" cm="1">
        <f t="array" ref="CE12">IFERROR(LARGE(_xlfn._xlws.FILTER('Base Kpi'!$DL:$DL,('Base Kpi'!$DK:$DK=$CE$5)*('Base Kpi'!$DE:$DE=Cliente!$E12)),1),0)</f>
        <v>35.200000000000003</v>
      </c>
      <c r="CF12" s="60" cm="1">
        <f t="array" ref="CF12">IFERROR(LARGE(_xlfn._xlws.FILTER('Base Kpi'!$DL:$DL,('Base Kpi'!$DK:$DK=$CF$5)*('Base Kpi'!$DE:$DE=Cliente!$E12)),1),0)</f>
        <v>5</v>
      </c>
      <c r="CG12" s="60" cm="1">
        <f t="array" ref="CG12">IFERROR(LARGE(_xlfn._xlws.FILTER('Base Kpi'!$DL:$DL,('Base Kpi'!$DK:$DK=$CG$5)*('Base Kpi'!$DE:$DE=Cliente!$E12)),1),0)</f>
        <v>5</v>
      </c>
      <c r="CH12" s="60" cm="1">
        <f t="array" ref="CH12">IFERROR(LARGE(_xlfn._xlws.FILTER('Base Kpi'!$DL:$DL,('Base Kpi'!$DK:$DK=$CH$5)*('Base Kpi'!$DE:$DE=Cliente!$E12)),1),0)</f>
        <v>18</v>
      </c>
      <c r="CI12" s="60" cm="1">
        <f t="array" ref="CI12">IFERROR(LARGE(_xlfn._xlws.FILTER('Base Kpi'!$DL:$DL,('Base Kpi'!$DK:$DK=$CI$5)*('Base Kpi'!$DE:$DE=Cliente!$E12)),1),0)</f>
        <v>21.425000000000001</v>
      </c>
      <c r="CJ12" s="60" cm="1">
        <f t="array" ref="CJ12">IFERROR(LARGE(_xlfn._xlws.FILTER('Base Kpi'!$DL:$DL,('Base Kpi'!$DK:$DK=$CJ$5)*('Base Kpi'!$DE:$DE=Cliente!$E12)),1),0)</f>
        <v>12</v>
      </c>
      <c r="CK12" s="60" cm="1">
        <f t="array" ref="CK12">IFERROR(LARGE(_xlfn._xlws.FILTER('Base Kpi'!$DL:$DL,('Base Kpi'!$DK:$DK=$CK$5)*('Base Kpi'!$DE:$DE=Cliente!$E12)),1),0)</f>
        <v>0</v>
      </c>
      <c r="CL12" s="94">
        <f t="shared" si="28"/>
        <v>96.625</v>
      </c>
      <c r="CM12" s="95">
        <f t="shared" si="47"/>
        <v>1</v>
      </c>
      <c r="CN12" s="60">
        <f>IFERROR(AVERAGEIFS('Base Kpi'!$DX:$DX,'Base Kpi'!$DQ:$DQ,Cliente!$E12,'Base Kpi'!$DW:$DW,Cliente!CN$5),0)</f>
        <v>31.2</v>
      </c>
      <c r="CO12" s="92">
        <f>IFERROR(AVERAGEIFS('Base Kpi'!$DX:$DX,'Base Kpi'!$DQ:$DQ,Cliente!$E12,'Base Kpi'!$DW:$DW,Cliente!CO$5),0)</f>
        <v>5</v>
      </c>
      <c r="CP12" s="92">
        <f>IFERROR(AVERAGEIFS('Base Kpi'!$DX:$DX,'Base Kpi'!$DQ:$DQ,Cliente!$E12,'Base Kpi'!$DW:$DW,Cliente!CP$5),0)</f>
        <v>5</v>
      </c>
      <c r="CQ12" s="92">
        <f>IFERROR(AVERAGEIFS('Base Kpi'!$DX:$DX,'Base Kpi'!$DQ:$DQ,Cliente!$E12,'Base Kpi'!$DW:$DW,Cliente!CQ$5),0)</f>
        <v>18</v>
      </c>
      <c r="CR12" s="92">
        <f>IFERROR(AVERAGEIFS('Base Kpi'!$DX:$DX,'Base Kpi'!$DQ:$DQ,Cliente!$E12,'Base Kpi'!$DW:$DW,Cliente!CR$5),0)</f>
        <v>25</v>
      </c>
      <c r="CS12" s="92">
        <f>IFERROR(AVERAGEIFS('Base Kpi'!$DX:$DX,'Base Kpi'!$DQ:$DQ,Cliente!$E12,'Base Kpi'!$DW:$DW,Cliente!CS$5),0)</f>
        <v>12</v>
      </c>
      <c r="CT12" s="92">
        <f>IFERROR(AVERAGEIFS('Base Kpi'!$DX:$DX,'Base Kpi'!$DQ:$DQ,Cliente!$E12,'Base Kpi'!$DW:$DW,Cliente!CT$5),0)</f>
        <v>0</v>
      </c>
      <c r="CU12" s="94">
        <f t="shared" si="48"/>
        <v>96.2</v>
      </c>
      <c r="CV12" s="95">
        <f t="shared" si="49"/>
        <v>1</v>
      </c>
      <c r="CW12" s="60">
        <f>IFERROR(AVERAGEIFS('Base Kpi'!$EJ:$EJ,'Base Kpi'!$EC:$EC,Cliente!$E12,'Base Kpi'!$EI:$EI,Cliente!CW$5),0)</f>
        <v>0</v>
      </c>
      <c r="CX12" s="92">
        <f>IFERROR(AVERAGEIFS('Base Kpi'!$EJ:$EJ,'Base Kpi'!$EC:$EC,Cliente!$E12,'Base Kpi'!$EI:$EI,Cliente!CX$5),0)</f>
        <v>0</v>
      </c>
      <c r="CY12" s="92">
        <f>IFERROR(AVERAGEIFS('Base Kpi'!$EJ:$EJ,'Base Kpi'!$EC:$EC,Cliente!$E12,'Base Kpi'!$EI:$EI,Cliente!CY$5),0)</f>
        <v>0</v>
      </c>
      <c r="CZ12" s="92">
        <f>IFERROR(AVERAGEIFS('Base Kpi'!$EJ:$EJ,'Base Kpi'!$EC:$EC,Cliente!$E12,'Base Kpi'!$EI:$EI,Cliente!CZ$5),0)</f>
        <v>0</v>
      </c>
      <c r="DA12" s="92">
        <f>IFERROR(AVERAGEIFS('Base Kpi'!$EJ:$EJ,'Base Kpi'!$EC:$EC,Cliente!$E12,'Base Kpi'!$EI:$EI,Cliente!DA$5),0)</f>
        <v>0</v>
      </c>
      <c r="DB12" s="92">
        <f>IFERROR(AVERAGEIFS('Base Kpi'!$EJ:$EJ,'Base Kpi'!$EC:$EC,Cliente!$E12,'Base Kpi'!$EI:$EI,Cliente!DB$5),0)</f>
        <v>0</v>
      </c>
      <c r="DC12" s="92">
        <f>IFERROR(AVERAGEIFS('Base Kpi'!$EJ:$EJ,'Base Kpi'!$EC:$EC,Cliente!$E12,'Base Kpi'!$EI:$EI,Cliente!DC$5),0)</f>
        <v>0</v>
      </c>
      <c r="DD12" s="94">
        <f t="shared" si="50"/>
        <v>0</v>
      </c>
      <c r="DE12" s="95">
        <f t="shared" si="51"/>
        <v>0</v>
      </c>
      <c r="DF12" s="120"/>
    </row>
    <row r="13" spans="2:110" x14ac:dyDescent="0.35">
      <c r="B13" s="52" t="s">
        <v>427</v>
      </c>
      <c r="C13" s="21">
        <v>3919</v>
      </c>
      <c r="D13" s="21" t="s">
        <v>429</v>
      </c>
      <c r="E13" s="21">
        <v>102953</v>
      </c>
      <c r="F13" s="16" t="s">
        <v>25</v>
      </c>
      <c r="G13" s="16" t="s">
        <v>179</v>
      </c>
      <c r="H13" s="16" t="s">
        <v>250</v>
      </c>
      <c r="I13" s="16" t="s">
        <v>251</v>
      </c>
      <c r="J13" s="16" t="s">
        <v>88</v>
      </c>
      <c r="K13" s="34" t="s">
        <v>51</v>
      </c>
      <c r="L13" s="60">
        <f t="shared" si="33"/>
        <v>65.594166666666666</v>
      </c>
      <c r="M13" s="97">
        <f t="shared" si="34"/>
        <v>1</v>
      </c>
      <c r="N13" s="43">
        <f t="shared" si="2"/>
        <v>0</v>
      </c>
      <c r="O13" s="60">
        <f>IFERROR(AVERAGEIFS('Base Kpi'!$I:$I,'Base Kpi'!$B:$B,Cliente!$E13,'Base Kpi'!$G:$G,Cliente!O$5),0)</f>
        <v>25.71</v>
      </c>
      <c r="P13" s="92">
        <f>IFERROR(AVERAGEIFS('Base Kpi'!$I:$I,'Base Kpi'!$B:$B,Cliente!$E13,'Base Kpi'!$G:$G,Cliente!P$5),0)</f>
        <v>0</v>
      </c>
      <c r="Q13" s="92">
        <f>IFERROR(AVERAGEIFS('Base Kpi'!$I:$I,'Base Kpi'!$B:$B,Cliente!$E13,'Base Kpi'!$G:$G,Cliente!Q$5),0)</f>
        <v>6.8</v>
      </c>
      <c r="R13" s="92">
        <f>IFERROR(AVERAGEIFS('Base Kpi'!$I:$I,'Base Kpi'!$B:$B,Cliente!$E13,'Base Kpi'!$G:$G,Cliente!R$5),0)</f>
        <v>11.8125</v>
      </c>
      <c r="S13" s="94">
        <f t="shared" si="35"/>
        <v>44.322499999999998</v>
      </c>
      <c r="T13" s="95">
        <f t="shared" si="36"/>
        <v>0</v>
      </c>
      <c r="U13" s="60">
        <f>IFERROR(AVERAGEIFS('Base Kpi'!$T:$T,'Base Kpi'!$M:$M,Cliente!$E13,'Base Kpi'!$S:$S,Cliente!U$5),0)</f>
        <v>25.71</v>
      </c>
      <c r="V13" s="92">
        <f>IFERROR(AVERAGEIFS('Base Kpi'!$T:$T,'Base Kpi'!$M:$M,Cliente!$E13,'Base Kpi'!$S:$S,Cliente!V$5),0)</f>
        <v>0</v>
      </c>
      <c r="W13" s="92">
        <f>IFERROR(AVERAGEIFS('Base Kpi'!$T:$T,'Base Kpi'!$M:$M,Cliente!$E13,'Base Kpi'!$S:$S,Cliente!W$5),0)</f>
        <v>8.5</v>
      </c>
      <c r="X13" s="92">
        <f>IFERROR(AVERAGEIFS('Base Kpi'!$T:$T,'Base Kpi'!$M:$M,Cliente!$E13,'Base Kpi'!$S:$S,Cliente!X$5),0)</f>
        <v>37.125</v>
      </c>
      <c r="Y13" s="94">
        <f t="shared" si="37"/>
        <v>71.335000000000008</v>
      </c>
      <c r="Z13" s="95">
        <f t="shared" si="38"/>
        <v>0</v>
      </c>
      <c r="AA13" s="60">
        <f>IFERROR(AVERAGEIFS('Base Kpi'!$AF:$AF,'Base Kpi'!$Y:$Y,Cliente!$E13,'Base Kpi'!$AE:$AE,Cliente!AA$5),0)</f>
        <v>30</v>
      </c>
      <c r="AB13" s="92">
        <f>IFERROR(AVERAGEIFS('Base Kpi'!$AF:$AF,'Base Kpi'!$Y:$Y,Cliente!$E13,'Base Kpi'!$AE:$AE,Cliente!AB$5),0)</f>
        <v>8</v>
      </c>
      <c r="AC13" s="92">
        <f>IFERROR(AVERAGEIFS('Base Kpi'!$AF:$AF,'Base Kpi'!$Y:$Y,Cliente!$E13,'Base Kpi'!$AE:$AE,Cliente!AC$5),0)</f>
        <v>12.75</v>
      </c>
      <c r="AD13" s="92">
        <f>IFERROR(AVERAGEIFS('Base Kpi'!$AF:$AF,'Base Kpi'!$Y:$Y,Cliente!$E13,'Base Kpi'!$AE:$AE,Cliente!AD$5),0)</f>
        <v>30.375</v>
      </c>
      <c r="AE13" s="94">
        <f t="shared" si="39"/>
        <v>81.125</v>
      </c>
      <c r="AF13" s="95">
        <f t="shared" si="40"/>
        <v>1</v>
      </c>
      <c r="AG13" s="60">
        <f t="shared" si="9"/>
        <v>67.81</v>
      </c>
      <c r="AH13" s="97">
        <f t="shared" si="10"/>
        <v>1</v>
      </c>
      <c r="AI13" s="88">
        <f t="shared" si="41"/>
        <v>1</v>
      </c>
      <c r="AJ13" s="92">
        <f>IFERROR(AVERAGEIFS('Base Kpi'!$AR:$AR,'Base Kpi'!$AK:$AK,Cliente!$E13,'Base Kpi'!$AQ:$AQ,AJ$5),0)</f>
        <v>25</v>
      </c>
      <c r="AK13" s="92">
        <f>IFERROR(AVERAGEIFS('Base Kpi'!$AR:$AR,'Base Kpi'!$AK:$AK,Cliente!$E13,'Base Kpi'!$AQ:$AQ,AK$5),0)</f>
        <v>2.5</v>
      </c>
      <c r="AL13" s="92">
        <f>IFERROR(AVERAGEIFS('Base Kpi'!$AR:$AR,'Base Kpi'!$AK:$AK,Cliente!$E13,'Base Kpi'!$AQ:$AQ,AL$5),0)</f>
        <v>12</v>
      </c>
      <c r="AM13" s="92">
        <f>IFERROR(AVERAGEIFS('Base Kpi'!$AR:$AR,'Base Kpi'!$AK:$AK,Cliente!$E13,'Base Kpi'!$AQ:$AQ,AM$5),0)</f>
        <v>31.32</v>
      </c>
      <c r="AN13" s="94">
        <f t="shared" si="12"/>
        <v>70.819999999999993</v>
      </c>
      <c r="AO13" s="95">
        <f t="shared" si="13"/>
        <v>0</v>
      </c>
      <c r="AP13" s="60">
        <f>IFERROR(AVERAGEIFS('Base Kpi'!$BD:$BD,'Base Kpi'!$AW:$AW,Cliente!$E13,'Base Kpi'!$BC:$BC,Cliente!AP$5),0)</f>
        <v>25</v>
      </c>
      <c r="AQ13" s="92">
        <f>IFERROR(AVERAGEIFS('Base Kpi'!$BD:$BD,'Base Kpi'!$AW:$AW,Cliente!$E13,'Base Kpi'!$BC:$BC,Cliente!AQ$5),0)</f>
        <v>1.665</v>
      </c>
      <c r="AR13" s="92">
        <f>IFERROR(AVERAGEIFS('Base Kpi'!$BD:$BD,'Base Kpi'!$AW:$AW,Cliente!$E13,'Base Kpi'!$BC:$BC,Cliente!AR$5),0)</f>
        <v>9</v>
      </c>
      <c r="AS13" s="92">
        <f>IFERROR(AVERAGEIFS('Base Kpi'!$BD:$BD,'Base Kpi'!$AW:$AW,Cliente!$E13,'Base Kpi'!$BC:$BC,Cliente!AS$5),0)</f>
        <v>30.44</v>
      </c>
      <c r="AT13" s="92">
        <f>IFERROR(AVERAGEIFS('Base Kpi'!$BD:$BD,'Base Kpi'!$AW:$AW,Cliente!$E13,'Base Kpi'!$BC:$BC,Cliente!AT$5),0)</f>
        <v>0</v>
      </c>
      <c r="AU13" s="94">
        <f t="shared" si="14"/>
        <v>66.105000000000004</v>
      </c>
      <c r="AV13" s="95">
        <f t="shared" si="15"/>
        <v>0</v>
      </c>
      <c r="AW13" s="60">
        <f>IFERROR(AVERAGEIFS('Base Kpi'!$BP:$BP,'Base Kpi'!$BI:$BI,Cliente!$E13,'Base Kpi'!$BO:$BO,Cliente!AW$5),0)</f>
        <v>25</v>
      </c>
      <c r="AX13" s="92">
        <f>IFERROR(AVERAGEIFS('Base Kpi'!$BP:$BP,'Base Kpi'!$BI:$BI,Cliente!$E13,'Base Kpi'!$BO:$BO,Cliente!AX$5),0)</f>
        <v>1.665</v>
      </c>
      <c r="AY13" s="92">
        <f>IFERROR(AVERAGEIFS('Base Kpi'!$BP:$BP,'Base Kpi'!$BI:$BI,Cliente!$E13,'Base Kpi'!$BO:$BO,Cliente!AY$5),0)</f>
        <v>12</v>
      </c>
      <c r="AZ13" s="92">
        <f>IFERROR(AVERAGEIFS('Base Kpi'!$BP:$BP,'Base Kpi'!$BI:$BI,Cliente!$E13,'Base Kpi'!$BO:$BO,Cliente!AZ$5),0)</f>
        <v>27.84</v>
      </c>
      <c r="BA13" s="92">
        <f>IFERROR(AVERAGEIFS('Base Kpi'!$BP:$BP,'Base Kpi'!$BI:$BI,Cliente!$E13,'Base Kpi'!$BO:$BO,Cliente!BA$5),0)</f>
        <v>0</v>
      </c>
      <c r="BB13" s="94">
        <f t="shared" si="16"/>
        <v>66.504999999999995</v>
      </c>
      <c r="BC13" s="95">
        <f t="shared" si="17"/>
        <v>0</v>
      </c>
      <c r="BD13" s="60">
        <f t="shared" si="42"/>
        <v>87.2</v>
      </c>
      <c r="BE13" s="97">
        <f t="shared" si="18"/>
        <v>1</v>
      </c>
      <c r="BF13" s="88">
        <f t="shared" si="43"/>
        <v>1</v>
      </c>
      <c r="BG13" s="60">
        <f>IFERROR(AVERAGEIFS('Base Kpi'!$CB:$CB,'Base Kpi'!$BU:$BU,Cliente!$E13,'Base Kpi'!$CA:$CA,Cliente!BG$5),0)</f>
        <v>25</v>
      </c>
      <c r="BH13" s="92">
        <f>IFERROR(AVERAGEIFS('Base Kpi'!$CB:$CB,'Base Kpi'!$BU:$BU,Cliente!$E13,'Base Kpi'!$CA:$CA,Cliente!BH$5),0)</f>
        <v>5</v>
      </c>
      <c r="BI13" s="92">
        <f>IFERROR(AVERAGEIFS('Base Kpi'!$CB:$CB,'Base Kpi'!$BU:$BU,Cliente!$E13,'Base Kpi'!$CA:$CA,Cliente!BI$5),0)</f>
        <v>12</v>
      </c>
      <c r="BJ13" s="92">
        <f>IFERROR(AVERAGEIFS('Base Kpi'!$CB:$CB,'Base Kpi'!$BU:$BU,Cliente!$E13,'Base Kpi'!$CA:$CA,Cliente!BJ$5),0)</f>
        <v>32</v>
      </c>
      <c r="BK13" s="92">
        <f>IFERROR(AVERAGEIFS('Base Kpi'!$CB:$CB,'Base Kpi'!$BU:$BU,Cliente!$E13,'Base Kpi'!$CA:$CA,Cliente!BK$5),0)</f>
        <v>9</v>
      </c>
      <c r="BL13" s="94">
        <f t="shared" si="19"/>
        <v>83</v>
      </c>
      <c r="BM13" s="95">
        <f t="shared" si="20"/>
        <v>1</v>
      </c>
      <c r="BN13" s="60">
        <f>IFERROR(AVERAGEIFS('Base Kpi'!$CN:$CN,'Base Kpi'!$CG:$CG,Cliente!$E13,'Base Kpi'!$CM:$CM,Cliente!BN$5),0)</f>
        <v>25</v>
      </c>
      <c r="BO13" s="92">
        <f>IFERROR(AVERAGEIFS('Base Kpi'!$CN:$CN,'Base Kpi'!$CG:$CG,Cliente!$E13,'Base Kpi'!$CM:$CM,Cliente!BO$5),0)</f>
        <v>5</v>
      </c>
      <c r="BP13" s="92">
        <f>IFERROR(AVERAGEIFS('Base Kpi'!$CN:$CN,'Base Kpi'!$CG:$CG,Cliente!$E13,'Base Kpi'!$CM:$CM,Cliente!BP$5),0)</f>
        <v>9</v>
      </c>
      <c r="BQ13" s="92">
        <f>IFERROR(AVERAGEIFS('Base Kpi'!$CN:$CN,'Base Kpi'!$CG:$CG,Cliente!$E13,'Base Kpi'!$CM:$CM,Cliente!BQ$5),0)</f>
        <v>32</v>
      </c>
      <c r="BR13" s="92">
        <f>IFERROR(AVERAGEIFS('Base Kpi'!$CN:$CN,'Base Kpi'!$CG:$CG,Cliente!$E13,'Base Kpi'!$CM:$CM,Cliente!BR$5),0)</f>
        <v>18</v>
      </c>
      <c r="BS13" s="94">
        <f t="shared" si="21"/>
        <v>89</v>
      </c>
      <c r="BT13" s="95">
        <f t="shared" si="22"/>
        <v>1</v>
      </c>
      <c r="BU13" s="60">
        <f>IFERROR(AVERAGEIFS('Base Kpi'!$CZ:$CZ,'Base Kpi'!$CS:$CS,Cliente!$E13,'Base Kpi'!$CY:$CY,Cliente!BU$5),0)</f>
        <v>25</v>
      </c>
      <c r="BV13" s="92">
        <f>IFERROR(AVERAGEIFS('Base Kpi'!$CZ:$CZ,'Base Kpi'!$CS:$CS,Cliente!$E13,'Base Kpi'!$CY:$CY,Cliente!BV$5),0)</f>
        <v>5</v>
      </c>
      <c r="BW13" s="92">
        <f>IFERROR(AVERAGEIFS('Base Kpi'!$CZ:$CZ,'Base Kpi'!$CS:$CS,Cliente!$E13,'Base Kpi'!$CY:$CY,Cliente!BW$5),0)</f>
        <v>12</v>
      </c>
      <c r="BX13" s="92">
        <f>IFERROR(AVERAGEIFS('Base Kpi'!$CZ:$CZ,'Base Kpi'!$CS:$CS,Cliente!$E13,'Base Kpi'!$CY:$CY,Cliente!BX$5),0)</f>
        <v>29.6</v>
      </c>
      <c r="BY13" s="92">
        <f>IFERROR(AVERAGEIFS('Base Kpi'!$CZ:$CZ,'Base Kpi'!$CS:$CS,Cliente!$E13,'Base Kpi'!$CY:$CY,Cliente!BY$5),0)</f>
        <v>18</v>
      </c>
      <c r="BZ13" s="94">
        <f t="shared" si="23"/>
        <v>89.6</v>
      </c>
      <c r="CA13" s="95">
        <f t="shared" si="24"/>
        <v>1</v>
      </c>
      <c r="CB13" s="60">
        <f t="shared" si="44"/>
        <v>95.666666666666671</v>
      </c>
      <c r="CC13" s="97">
        <f t="shared" si="45"/>
        <v>1</v>
      </c>
      <c r="CD13" s="43">
        <f t="shared" si="46"/>
        <v>1</v>
      </c>
      <c r="CE13" s="60" cm="1">
        <f t="array" ref="CE13">IFERROR(LARGE(_xlfn._xlws.FILTER('Base Kpi'!$DL:$DL,('Base Kpi'!$DK:$DK=$CE$5)*('Base Kpi'!$DE:$DE=Cliente!$E13)),1),0)</f>
        <v>32.799999999999997</v>
      </c>
      <c r="CF13" s="60" cm="1">
        <f t="array" ref="CF13">IFERROR(LARGE(_xlfn._xlws.FILTER('Base Kpi'!$DL:$DL,('Base Kpi'!$DK:$DK=$CF$5)*('Base Kpi'!$DE:$DE=Cliente!$E13)),1),0)</f>
        <v>5</v>
      </c>
      <c r="CG13" s="60" cm="1">
        <f t="array" ref="CG13">IFERROR(LARGE(_xlfn._xlws.FILTER('Base Kpi'!$DL:$DL,('Base Kpi'!$DK:$DK=$CG$5)*('Base Kpi'!$DE:$DE=Cliente!$E13)),1),0)</f>
        <v>5</v>
      </c>
      <c r="CH13" s="60" cm="1">
        <f t="array" ref="CH13">IFERROR(LARGE(_xlfn._xlws.FILTER('Base Kpi'!$DL:$DL,('Base Kpi'!$DK:$DK=$CH$5)*('Base Kpi'!$DE:$DE=Cliente!$E13)),1),0)</f>
        <v>18</v>
      </c>
      <c r="CI13" s="60" cm="1">
        <f t="array" ref="CI13">IFERROR(LARGE(_xlfn._xlws.FILTER('Base Kpi'!$DL:$DL,('Base Kpi'!$DK:$DK=$CI$5)*('Base Kpi'!$DE:$DE=Cliente!$E13)),1),0)</f>
        <v>25</v>
      </c>
      <c r="CJ13" s="60" cm="1">
        <f t="array" ref="CJ13">IFERROR(LARGE(_xlfn._xlws.FILTER('Base Kpi'!$DL:$DL,('Base Kpi'!$DK:$DK=$CJ$5)*('Base Kpi'!$DE:$DE=Cliente!$E13)),1),0)</f>
        <v>12</v>
      </c>
      <c r="CK13" s="60" cm="1">
        <f t="array" ref="CK13">IFERROR(LARGE(_xlfn._xlws.FILTER('Base Kpi'!$DL:$DL,('Base Kpi'!$DK:$DK=$CK$5)*('Base Kpi'!$DE:$DE=Cliente!$E13)),1),0)</f>
        <v>0</v>
      </c>
      <c r="CL13" s="94">
        <f t="shared" si="28"/>
        <v>97.8</v>
      </c>
      <c r="CM13" s="95">
        <f t="shared" si="47"/>
        <v>1</v>
      </c>
      <c r="CN13" s="60">
        <f>IFERROR(AVERAGEIFS('Base Kpi'!$DX:$DX,'Base Kpi'!$DQ:$DQ,Cliente!$E13,'Base Kpi'!$DW:$DW,Cliente!CN$5),0)</f>
        <v>30.4</v>
      </c>
      <c r="CO13" s="92">
        <f>IFERROR(AVERAGEIFS('Base Kpi'!$DX:$DX,'Base Kpi'!$DQ:$DQ,Cliente!$E13,'Base Kpi'!$DW:$DW,Cliente!CO$5),0)</f>
        <v>5</v>
      </c>
      <c r="CP13" s="92">
        <f>IFERROR(AVERAGEIFS('Base Kpi'!$DX:$DX,'Base Kpi'!$DQ:$DQ,Cliente!$E13,'Base Kpi'!$DW:$DW,Cliente!CP$5),0)</f>
        <v>5</v>
      </c>
      <c r="CQ13" s="92">
        <f>IFERROR(AVERAGEIFS('Base Kpi'!$DX:$DX,'Base Kpi'!$DQ:$DQ,Cliente!$E13,'Base Kpi'!$DW:$DW,Cliente!CQ$5),0)</f>
        <v>18</v>
      </c>
      <c r="CR13" s="92">
        <f>IFERROR(AVERAGEIFS('Base Kpi'!$DX:$DX,'Base Kpi'!$DQ:$DQ,Cliente!$E13,'Base Kpi'!$DW:$DW,Cliente!CR$5),0)</f>
        <v>25</v>
      </c>
      <c r="CS13" s="92">
        <f>IFERROR(AVERAGEIFS('Base Kpi'!$DX:$DX,'Base Kpi'!$DQ:$DQ,Cliente!$E13,'Base Kpi'!$DW:$DW,Cliente!CS$5),0)</f>
        <v>12</v>
      </c>
      <c r="CT13" s="92">
        <f>IFERROR(AVERAGEIFS('Base Kpi'!$DX:$DX,'Base Kpi'!$DQ:$DQ,Cliente!$E13,'Base Kpi'!$DW:$DW,Cliente!CT$5),0)</f>
        <v>0</v>
      </c>
      <c r="CU13" s="94">
        <f t="shared" si="48"/>
        <v>95.4</v>
      </c>
      <c r="CV13" s="95">
        <f t="shared" si="49"/>
        <v>1</v>
      </c>
      <c r="CW13" s="60">
        <f>IFERROR(AVERAGEIFS('Base Kpi'!$EJ:$EJ,'Base Kpi'!$EC:$EC,Cliente!$E13,'Base Kpi'!$EI:$EI,Cliente!CW$5),0)</f>
        <v>28.8</v>
      </c>
      <c r="CX13" s="92">
        <f>IFERROR(AVERAGEIFS('Base Kpi'!$EJ:$EJ,'Base Kpi'!$EC:$EC,Cliente!$E13,'Base Kpi'!$EI:$EI,Cliente!CX$5),0)</f>
        <v>5</v>
      </c>
      <c r="CY13" s="92">
        <f>IFERROR(AVERAGEIFS('Base Kpi'!$EJ:$EJ,'Base Kpi'!$EC:$EC,Cliente!$E13,'Base Kpi'!$EI:$EI,Cliente!CY$5),0)</f>
        <v>5</v>
      </c>
      <c r="CZ13" s="92">
        <f>IFERROR(AVERAGEIFS('Base Kpi'!$EJ:$EJ,'Base Kpi'!$EC:$EC,Cliente!$E13,'Base Kpi'!$EI:$EI,Cliente!CZ$5),0)</f>
        <v>18</v>
      </c>
      <c r="DA13" s="92">
        <f>IFERROR(AVERAGEIFS('Base Kpi'!$EJ:$EJ,'Base Kpi'!$EC:$EC,Cliente!$E13,'Base Kpi'!$EI:$EI,Cliente!DA$5),0)</f>
        <v>25</v>
      </c>
      <c r="DB13" s="92">
        <f>IFERROR(AVERAGEIFS('Base Kpi'!$EJ:$EJ,'Base Kpi'!$EC:$EC,Cliente!$E13,'Base Kpi'!$EI:$EI,Cliente!DB$5),0)</f>
        <v>12</v>
      </c>
      <c r="DC13" s="92">
        <f>IFERROR(AVERAGEIFS('Base Kpi'!$EJ:$EJ,'Base Kpi'!$EC:$EC,Cliente!$E13,'Base Kpi'!$EI:$EI,Cliente!DC$5),0)</f>
        <v>0</v>
      </c>
      <c r="DD13" s="94">
        <f t="shared" si="50"/>
        <v>93.8</v>
      </c>
      <c r="DE13" s="95">
        <f t="shared" si="51"/>
        <v>1</v>
      </c>
      <c r="DF13" s="120"/>
    </row>
    <row r="14" spans="2:110" x14ac:dyDescent="0.35">
      <c r="B14" s="52" t="s">
        <v>427</v>
      </c>
      <c r="C14" s="21">
        <v>3919</v>
      </c>
      <c r="D14" s="21" t="s">
        <v>429</v>
      </c>
      <c r="E14" s="21">
        <v>119456</v>
      </c>
      <c r="F14" s="16" t="s">
        <v>26</v>
      </c>
      <c r="G14" s="16" t="s">
        <v>252</v>
      </c>
      <c r="H14" s="16" t="s">
        <v>253</v>
      </c>
      <c r="I14" s="16" t="s">
        <v>254</v>
      </c>
      <c r="J14" s="16" t="s">
        <v>88</v>
      </c>
      <c r="K14" s="34" t="s">
        <v>51</v>
      </c>
      <c r="L14" s="60">
        <f t="shared" si="33"/>
        <v>53.228333333333332</v>
      </c>
      <c r="M14" s="97">
        <f t="shared" si="34"/>
        <v>1</v>
      </c>
      <c r="N14" s="43">
        <f t="shared" si="2"/>
        <v>0</v>
      </c>
      <c r="O14" s="60">
        <f>IFERROR(AVERAGEIFS('Base Kpi'!$I:$I,'Base Kpi'!$B:$B,Cliente!$E14,'Base Kpi'!$G:$G,Cliente!O$5),0)</f>
        <v>21.42</v>
      </c>
      <c r="P14" s="92">
        <f>IFERROR(AVERAGEIFS('Base Kpi'!$I:$I,'Base Kpi'!$B:$B,Cliente!$E14,'Base Kpi'!$G:$G,Cliente!P$5),0)</f>
        <v>0</v>
      </c>
      <c r="Q14" s="92">
        <f>IFERROR(AVERAGEIFS('Base Kpi'!$I:$I,'Base Kpi'!$B:$B,Cliente!$E14,'Base Kpi'!$G:$G,Cliente!Q$5),0)</f>
        <v>6.8</v>
      </c>
      <c r="R14" s="92">
        <f>IFERROR(AVERAGEIFS('Base Kpi'!$I:$I,'Base Kpi'!$B:$B,Cliente!$E14,'Base Kpi'!$G:$G,Cliente!R$5),0)</f>
        <v>0</v>
      </c>
      <c r="S14" s="94">
        <f t="shared" si="35"/>
        <v>28.220000000000002</v>
      </c>
      <c r="T14" s="95">
        <f t="shared" si="36"/>
        <v>0</v>
      </c>
      <c r="U14" s="60">
        <f>IFERROR(AVERAGEIFS('Base Kpi'!$T:$T,'Base Kpi'!$M:$M,Cliente!$E14,'Base Kpi'!$S:$S,Cliente!U$5),0)</f>
        <v>17.13</v>
      </c>
      <c r="V14" s="92">
        <f>IFERROR(AVERAGEIFS('Base Kpi'!$T:$T,'Base Kpi'!$M:$M,Cliente!$E14,'Base Kpi'!$S:$S,Cliente!V$5),0)</f>
        <v>0</v>
      </c>
      <c r="W14" s="92">
        <f>IFERROR(AVERAGEIFS('Base Kpi'!$T:$T,'Base Kpi'!$M:$M,Cliente!$E14,'Base Kpi'!$S:$S,Cliente!W$5),0)</f>
        <v>8.5</v>
      </c>
      <c r="X14" s="92">
        <f>IFERROR(AVERAGEIFS('Base Kpi'!$T:$T,'Base Kpi'!$M:$M,Cliente!$E14,'Base Kpi'!$S:$S,Cliente!X$5),0)</f>
        <v>18</v>
      </c>
      <c r="Y14" s="94">
        <f t="shared" si="37"/>
        <v>43.629999999999995</v>
      </c>
      <c r="Z14" s="95">
        <f t="shared" si="38"/>
        <v>0</v>
      </c>
      <c r="AA14" s="60">
        <f>IFERROR(AVERAGEIFS('Base Kpi'!$AF:$AF,'Base Kpi'!$Y:$Y,Cliente!$E14,'Base Kpi'!$AE:$AE,Cliente!AA$5),0)</f>
        <v>25.71</v>
      </c>
      <c r="AB14" s="92">
        <f>IFERROR(AVERAGEIFS('Base Kpi'!$AF:$AF,'Base Kpi'!$Y:$Y,Cliente!$E14,'Base Kpi'!$AE:$AE,Cliente!AB$5),0)</f>
        <v>8</v>
      </c>
      <c r="AC14" s="92">
        <f>IFERROR(AVERAGEIFS('Base Kpi'!$AF:$AF,'Base Kpi'!$Y:$Y,Cliente!$E14,'Base Kpi'!$AE:$AE,Cliente!AC$5),0)</f>
        <v>17</v>
      </c>
      <c r="AD14" s="92">
        <f>IFERROR(AVERAGEIFS('Base Kpi'!$AF:$AF,'Base Kpi'!$Y:$Y,Cliente!$E14,'Base Kpi'!$AE:$AE,Cliente!AD$5),0)</f>
        <v>37.125</v>
      </c>
      <c r="AE14" s="94">
        <f t="shared" si="39"/>
        <v>87.835000000000008</v>
      </c>
      <c r="AF14" s="95">
        <f t="shared" si="40"/>
        <v>1</v>
      </c>
      <c r="AG14" s="60">
        <f t="shared" si="9"/>
        <v>21.99666666666667</v>
      </c>
      <c r="AH14" s="97">
        <f t="shared" si="10"/>
        <v>0</v>
      </c>
      <c r="AI14" s="88">
        <f t="shared" si="41"/>
        <v>0</v>
      </c>
      <c r="AJ14" s="92">
        <f>IFERROR(AVERAGEIFS('Base Kpi'!$AR:$AR,'Base Kpi'!$AK:$AK,Cliente!$E14,'Base Kpi'!$AQ:$AQ,AJ$5),0)</f>
        <v>0</v>
      </c>
      <c r="AK14" s="92">
        <f>IFERROR(AVERAGEIFS('Base Kpi'!$AR:$AR,'Base Kpi'!$AK:$AK,Cliente!$E14,'Base Kpi'!$AQ:$AQ,AK$5),0)</f>
        <v>0</v>
      </c>
      <c r="AL14" s="92">
        <f>IFERROR(AVERAGEIFS('Base Kpi'!$AR:$AR,'Base Kpi'!$AK:$AK,Cliente!$E14,'Base Kpi'!$AQ:$AQ,AL$5),0)</f>
        <v>0</v>
      </c>
      <c r="AM14" s="92">
        <f>IFERROR(AVERAGEIFS('Base Kpi'!$AR:$AR,'Base Kpi'!$AK:$AK,Cliente!$E14,'Base Kpi'!$AQ:$AQ,AM$5),0)</f>
        <v>0</v>
      </c>
      <c r="AN14" s="94">
        <f t="shared" si="12"/>
        <v>0</v>
      </c>
      <c r="AO14" s="95">
        <f t="shared" si="13"/>
        <v>0</v>
      </c>
      <c r="AP14" s="60">
        <f>IFERROR(AVERAGEIFS('Base Kpi'!$BD:$BD,'Base Kpi'!$AW:$AW,Cliente!$E14,'Base Kpi'!$BC:$BC,Cliente!AP$5),0)</f>
        <v>25</v>
      </c>
      <c r="AQ14" s="92">
        <f>IFERROR(AVERAGEIFS('Base Kpi'!$BD:$BD,'Base Kpi'!$AW:$AW,Cliente!$E14,'Base Kpi'!$BC:$BC,Cliente!AQ$5),0)</f>
        <v>0</v>
      </c>
      <c r="AR14" s="92">
        <f>IFERROR(AVERAGEIFS('Base Kpi'!$BD:$BD,'Base Kpi'!$AW:$AW,Cliente!$E14,'Base Kpi'!$BC:$BC,Cliente!AR$5),0)</f>
        <v>6</v>
      </c>
      <c r="AS14" s="92">
        <f>IFERROR(AVERAGEIFS('Base Kpi'!$BD:$BD,'Base Kpi'!$AW:$AW,Cliente!$E14,'Base Kpi'!$BC:$BC,Cliente!AS$5),0)</f>
        <v>27.84</v>
      </c>
      <c r="AT14" s="92">
        <f>IFERROR(AVERAGEIFS('Base Kpi'!$BD:$BD,'Base Kpi'!$AW:$AW,Cliente!$E14,'Base Kpi'!$BC:$BC,Cliente!AT$5),0)</f>
        <v>0</v>
      </c>
      <c r="AU14" s="94">
        <f t="shared" si="14"/>
        <v>58.84</v>
      </c>
      <c r="AV14" s="95">
        <f t="shared" si="15"/>
        <v>0</v>
      </c>
      <c r="AW14" s="60">
        <f>IFERROR(AVERAGEIFS('Base Kpi'!$BP:$BP,'Base Kpi'!$BI:$BI,Cliente!$E14,'Base Kpi'!$BO:$BO,Cliente!AW$5),0)</f>
        <v>7.15</v>
      </c>
      <c r="AX14" s="92">
        <f>IFERROR(AVERAGEIFS('Base Kpi'!$BP:$BP,'Base Kpi'!$BI:$BI,Cliente!$E14,'Base Kpi'!$BO:$BO,Cliente!AX$5),0)</f>
        <v>0</v>
      </c>
      <c r="AY14" s="92">
        <f>IFERROR(AVERAGEIFS('Base Kpi'!$BP:$BP,'Base Kpi'!$BI:$BI,Cliente!$E14,'Base Kpi'!$BO:$BO,Cliente!AY$5),0)</f>
        <v>0</v>
      </c>
      <c r="AZ14" s="92">
        <f>IFERROR(AVERAGEIFS('Base Kpi'!$BP:$BP,'Base Kpi'!$BI:$BI,Cliente!$E14,'Base Kpi'!$BO:$BO,Cliente!AZ$5),0)</f>
        <v>0</v>
      </c>
      <c r="BA14" s="92">
        <f>IFERROR(AVERAGEIFS('Base Kpi'!$BP:$BP,'Base Kpi'!$BI:$BI,Cliente!$E14,'Base Kpi'!$BO:$BO,Cliente!BA$5),0)</f>
        <v>0</v>
      </c>
      <c r="BB14" s="94">
        <f t="shared" si="16"/>
        <v>7.15</v>
      </c>
      <c r="BC14" s="95">
        <f t="shared" si="17"/>
        <v>0</v>
      </c>
      <c r="BD14" s="60">
        <f t="shared" si="42"/>
        <v>85.399999999999991</v>
      </c>
      <c r="BE14" s="97">
        <f t="shared" si="18"/>
        <v>1</v>
      </c>
      <c r="BF14" s="88">
        <f t="shared" si="43"/>
        <v>1</v>
      </c>
      <c r="BG14" s="60">
        <f>IFERROR(AVERAGEIFS('Base Kpi'!$CB:$CB,'Base Kpi'!$BU:$BU,Cliente!$E14,'Base Kpi'!$CA:$CA,Cliente!BG$5),0)</f>
        <v>25</v>
      </c>
      <c r="BH14" s="92">
        <f>IFERROR(AVERAGEIFS('Base Kpi'!$CB:$CB,'Base Kpi'!$BU:$BU,Cliente!$E14,'Base Kpi'!$CA:$CA,Cliente!BH$5),0)</f>
        <v>5</v>
      </c>
      <c r="BI14" s="92">
        <f>IFERROR(AVERAGEIFS('Base Kpi'!$CB:$CB,'Base Kpi'!$BU:$BU,Cliente!$E14,'Base Kpi'!$CA:$CA,Cliente!BI$5),0)</f>
        <v>12</v>
      </c>
      <c r="BJ14" s="92">
        <f>IFERROR(AVERAGEIFS('Base Kpi'!$CB:$CB,'Base Kpi'!$BU:$BU,Cliente!$E14,'Base Kpi'!$CA:$CA,Cliente!BJ$5),0)</f>
        <v>32.799999999999997</v>
      </c>
      <c r="BK14" s="92">
        <f>IFERROR(AVERAGEIFS('Base Kpi'!$CB:$CB,'Base Kpi'!$BU:$BU,Cliente!$E14,'Base Kpi'!$CA:$CA,Cliente!BK$5),0)</f>
        <v>9</v>
      </c>
      <c r="BL14" s="94">
        <f t="shared" si="19"/>
        <v>83.8</v>
      </c>
      <c r="BM14" s="95">
        <f t="shared" si="20"/>
        <v>1</v>
      </c>
      <c r="BN14" s="60">
        <f>IFERROR(AVERAGEIFS('Base Kpi'!$CN:$CN,'Base Kpi'!$CG:$CG,Cliente!$E14,'Base Kpi'!$CM:$CM,Cliente!BN$5),0)</f>
        <v>25</v>
      </c>
      <c r="BO14" s="92">
        <f>IFERROR(AVERAGEIFS('Base Kpi'!$CN:$CN,'Base Kpi'!$CG:$CG,Cliente!$E14,'Base Kpi'!$CM:$CM,Cliente!BO$5),0)</f>
        <v>5</v>
      </c>
      <c r="BP14" s="92">
        <f>IFERROR(AVERAGEIFS('Base Kpi'!$CN:$CN,'Base Kpi'!$CG:$CG,Cliente!$E14,'Base Kpi'!$CM:$CM,Cliente!BP$5),0)</f>
        <v>12</v>
      </c>
      <c r="BQ14" s="92">
        <f>IFERROR(AVERAGEIFS('Base Kpi'!$CN:$CN,'Base Kpi'!$CG:$CG,Cliente!$E14,'Base Kpi'!$CM:$CM,Cliente!BQ$5),0)</f>
        <v>35.200000000000003</v>
      </c>
      <c r="BR14" s="92">
        <f>IFERROR(AVERAGEIFS('Base Kpi'!$CN:$CN,'Base Kpi'!$CG:$CG,Cliente!$E14,'Base Kpi'!$CM:$CM,Cliente!BR$5),0)</f>
        <v>9</v>
      </c>
      <c r="BS14" s="94">
        <f t="shared" si="21"/>
        <v>86.2</v>
      </c>
      <c r="BT14" s="95">
        <f t="shared" si="22"/>
        <v>1</v>
      </c>
      <c r="BU14" s="60">
        <f>IFERROR(AVERAGEIFS('Base Kpi'!$CZ:$CZ,'Base Kpi'!$CS:$CS,Cliente!$E14,'Base Kpi'!$CY:$CY,Cliente!BU$5),0)</f>
        <v>25</v>
      </c>
      <c r="BV14" s="92">
        <f>IFERROR(AVERAGEIFS('Base Kpi'!$CZ:$CZ,'Base Kpi'!$CS:$CS,Cliente!$E14,'Base Kpi'!$CY:$CY,Cliente!BV$5),0)</f>
        <v>5</v>
      </c>
      <c r="BW14" s="92">
        <f>IFERROR(AVERAGEIFS('Base Kpi'!$CZ:$CZ,'Base Kpi'!$CS:$CS,Cliente!$E14,'Base Kpi'!$CY:$CY,Cliente!BW$5),0)</f>
        <v>12</v>
      </c>
      <c r="BX14" s="92">
        <f>IFERROR(AVERAGEIFS('Base Kpi'!$CZ:$CZ,'Base Kpi'!$CS:$CS,Cliente!$E14,'Base Kpi'!$CY:$CY,Cliente!BX$5),0)</f>
        <v>35.200000000000003</v>
      </c>
      <c r="BY14" s="92">
        <f>IFERROR(AVERAGEIFS('Base Kpi'!$CZ:$CZ,'Base Kpi'!$CS:$CS,Cliente!$E14,'Base Kpi'!$CY:$CY,Cliente!BY$5),0)</f>
        <v>9</v>
      </c>
      <c r="BZ14" s="94">
        <f t="shared" si="23"/>
        <v>86.2</v>
      </c>
      <c r="CA14" s="95">
        <f t="shared" si="24"/>
        <v>1</v>
      </c>
      <c r="CB14" s="60">
        <f t="shared" si="44"/>
        <v>94.941666666666663</v>
      </c>
      <c r="CC14" s="97">
        <f t="shared" si="45"/>
        <v>1</v>
      </c>
      <c r="CD14" s="43">
        <f t="shared" si="46"/>
        <v>1</v>
      </c>
      <c r="CE14" s="60" cm="1">
        <f t="array" ref="CE14">IFERROR(LARGE(_xlfn._xlws.FILTER('Base Kpi'!$DL:$DL,('Base Kpi'!$DK:$DK=$CE$5)*('Base Kpi'!$DE:$DE=Cliente!$E14)),1),0)</f>
        <v>34.4</v>
      </c>
      <c r="CF14" s="60" cm="1">
        <f t="array" ref="CF14">IFERROR(LARGE(_xlfn._xlws.FILTER('Base Kpi'!$DL:$DL,('Base Kpi'!$DK:$DK=$CF$5)*('Base Kpi'!$DE:$DE=Cliente!$E14)),1),0)</f>
        <v>5</v>
      </c>
      <c r="CG14" s="60" cm="1">
        <f t="array" ref="CG14">IFERROR(LARGE(_xlfn._xlws.FILTER('Base Kpi'!$DL:$DL,('Base Kpi'!$DK:$DK=$CG$5)*('Base Kpi'!$DE:$DE=Cliente!$E14)),1),0)</f>
        <v>5</v>
      </c>
      <c r="CH14" s="60" cm="1">
        <f t="array" ref="CH14">IFERROR(LARGE(_xlfn._xlws.FILTER('Base Kpi'!$DL:$DL,('Base Kpi'!$DK:$DK=$CH$5)*('Base Kpi'!$DE:$DE=Cliente!$E14)),1),0)</f>
        <v>18</v>
      </c>
      <c r="CI14" s="60" cm="1">
        <f t="array" ref="CI14">IFERROR(LARGE(_xlfn._xlws.FILTER('Base Kpi'!$DL:$DL,('Base Kpi'!$DK:$DK=$CI$5)*('Base Kpi'!$DE:$DE=Cliente!$E14)),1),0)</f>
        <v>25</v>
      </c>
      <c r="CJ14" s="60" cm="1">
        <f t="array" ref="CJ14">IFERROR(LARGE(_xlfn._xlws.FILTER('Base Kpi'!$DL:$DL,('Base Kpi'!$DK:$DK=$CJ$5)*('Base Kpi'!$DE:$DE=Cliente!$E14)),1),0)</f>
        <v>12</v>
      </c>
      <c r="CK14" s="60" cm="1">
        <f t="array" ref="CK14">IFERROR(LARGE(_xlfn._xlws.FILTER('Base Kpi'!$DL:$DL,('Base Kpi'!$DK:$DK=$CK$5)*('Base Kpi'!$DE:$DE=Cliente!$E14)),1),0)</f>
        <v>0</v>
      </c>
      <c r="CL14" s="94">
        <f t="shared" si="28"/>
        <v>99.4</v>
      </c>
      <c r="CM14" s="95">
        <f t="shared" si="47"/>
        <v>1</v>
      </c>
      <c r="CN14" s="60">
        <f>IFERROR(AVERAGEIFS('Base Kpi'!$DX:$DX,'Base Kpi'!$DQ:$DQ,Cliente!$E14,'Base Kpi'!$DW:$DW,Cliente!CN$5),0)</f>
        <v>35.200000000000003</v>
      </c>
      <c r="CO14" s="92">
        <f>IFERROR(AVERAGEIFS('Base Kpi'!$DX:$DX,'Base Kpi'!$DQ:$DQ,Cliente!$E14,'Base Kpi'!$DW:$DW,Cliente!CO$5),0)</f>
        <v>5</v>
      </c>
      <c r="CP14" s="92">
        <f>IFERROR(AVERAGEIFS('Base Kpi'!$DX:$DX,'Base Kpi'!$DQ:$DQ,Cliente!$E14,'Base Kpi'!$DW:$DW,Cliente!CP$5),0)</f>
        <v>5</v>
      </c>
      <c r="CQ14" s="92">
        <f>IFERROR(AVERAGEIFS('Base Kpi'!$DX:$DX,'Base Kpi'!$DQ:$DQ,Cliente!$E14,'Base Kpi'!$DW:$DW,Cliente!CQ$5),0)</f>
        <v>18</v>
      </c>
      <c r="CR14" s="92">
        <f>IFERROR(AVERAGEIFS('Base Kpi'!$DX:$DX,'Base Kpi'!$DQ:$DQ,Cliente!$E14,'Base Kpi'!$DW:$DW,Cliente!CR$5),0)</f>
        <v>21.425000000000001</v>
      </c>
      <c r="CS14" s="92">
        <f>IFERROR(AVERAGEIFS('Base Kpi'!$DX:$DX,'Base Kpi'!$DQ:$DQ,Cliente!$E14,'Base Kpi'!$DW:$DW,Cliente!CS$5),0)</f>
        <v>12</v>
      </c>
      <c r="CT14" s="92">
        <f>IFERROR(AVERAGEIFS('Base Kpi'!$DX:$DX,'Base Kpi'!$DQ:$DQ,Cliente!$E14,'Base Kpi'!$DW:$DW,Cliente!CT$5),0)</f>
        <v>0</v>
      </c>
      <c r="CU14" s="94">
        <f t="shared" si="48"/>
        <v>96.625</v>
      </c>
      <c r="CV14" s="95">
        <f t="shared" si="49"/>
        <v>1</v>
      </c>
      <c r="CW14" s="60">
        <f>IFERROR(AVERAGEIFS('Base Kpi'!$EJ:$EJ,'Base Kpi'!$EC:$EC,Cliente!$E14,'Base Kpi'!$EI:$EI,Cliente!CW$5),0)</f>
        <v>32.799999999999997</v>
      </c>
      <c r="CX14" s="92">
        <f>IFERROR(AVERAGEIFS('Base Kpi'!$EJ:$EJ,'Base Kpi'!$EC:$EC,Cliente!$E14,'Base Kpi'!$EI:$EI,Cliente!CX$5),0)</f>
        <v>5</v>
      </c>
      <c r="CY14" s="92">
        <f>IFERROR(AVERAGEIFS('Base Kpi'!$EJ:$EJ,'Base Kpi'!$EC:$EC,Cliente!$E14,'Base Kpi'!$EI:$EI,Cliente!CY$5),0)</f>
        <v>5</v>
      </c>
      <c r="CZ14" s="92">
        <f>IFERROR(AVERAGEIFS('Base Kpi'!$EJ:$EJ,'Base Kpi'!$EC:$EC,Cliente!$E14,'Base Kpi'!$EI:$EI,Cliente!CZ$5),0)</f>
        <v>9</v>
      </c>
      <c r="DA14" s="92">
        <f>IFERROR(AVERAGEIFS('Base Kpi'!$EJ:$EJ,'Base Kpi'!$EC:$EC,Cliente!$E14,'Base Kpi'!$EI:$EI,Cliente!DA$5),0)</f>
        <v>25</v>
      </c>
      <c r="DB14" s="92">
        <f>IFERROR(AVERAGEIFS('Base Kpi'!$EJ:$EJ,'Base Kpi'!$EC:$EC,Cliente!$E14,'Base Kpi'!$EI:$EI,Cliente!DB$5),0)</f>
        <v>12</v>
      </c>
      <c r="DC14" s="92">
        <f>IFERROR(AVERAGEIFS('Base Kpi'!$EJ:$EJ,'Base Kpi'!$EC:$EC,Cliente!$E14,'Base Kpi'!$EI:$EI,Cliente!DC$5),0)</f>
        <v>0</v>
      </c>
      <c r="DD14" s="94">
        <f t="shared" si="50"/>
        <v>88.8</v>
      </c>
      <c r="DE14" s="95">
        <f t="shared" si="51"/>
        <v>1</v>
      </c>
      <c r="DF14" s="120"/>
    </row>
    <row r="15" spans="2:110" x14ac:dyDescent="0.35">
      <c r="B15" s="52" t="s">
        <v>427</v>
      </c>
      <c r="C15" s="21">
        <v>3919</v>
      </c>
      <c r="D15" s="21" t="s">
        <v>429</v>
      </c>
      <c r="E15" s="21">
        <v>150368</v>
      </c>
      <c r="F15" s="16" t="s">
        <v>27</v>
      </c>
      <c r="G15" s="16" t="s">
        <v>263</v>
      </c>
      <c r="H15" s="16" t="s">
        <v>264</v>
      </c>
      <c r="I15" s="16" t="s">
        <v>265</v>
      </c>
      <c r="J15" s="16" t="s">
        <v>90</v>
      </c>
      <c r="K15" s="34" t="s">
        <v>51</v>
      </c>
      <c r="L15" s="60">
        <f t="shared" si="33"/>
        <v>80.11</v>
      </c>
      <c r="M15" s="97">
        <f t="shared" si="34"/>
        <v>1</v>
      </c>
      <c r="N15" s="43">
        <f t="shared" si="2"/>
        <v>1</v>
      </c>
      <c r="O15" s="60">
        <f>IFERROR(AVERAGEIFS('Base Kpi'!$I:$I,'Base Kpi'!$B:$B,Cliente!$E15,'Base Kpi'!$G:$G,Cliente!O$5),0)</f>
        <v>25.71</v>
      </c>
      <c r="P15" s="92">
        <f>IFERROR(AVERAGEIFS('Base Kpi'!$I:$I,'Base Kpi'!$B:$B,Cliente!$E15,'Base Kpi'!$G:$G,Cliente!P$5),0)</f>
        <v>8</v>
      </c>
      <c r="Q15" s="92">
        <f>IFERROR(AVERAGEIFS('Base Kpi'!$I:$I,'Base Kpi'!$B:$B,Cliente!$E15,'Base Kpi'!$G:$G,Cliente!Q$5),0)</f>
        <v>10.199999999999999</v>
      </c>
      <c r="R15" s="92">
        <f>IFERROR(AVERAGEIFS('Base Kpi'!$I:$I,'Base Kpi'!$B:$B,Cliente!$E15,'Base Kpi'!$G:$G,Cliente!R$5),0)</f>
        <v>33.75</v>
      </c>
      <c r="S15" s="94">
        <f t="shared" si="35"/>
        <v>77.66</v>
      </c>
      <c r="T15" s="95">
        <f t="shared" si="36"/>
        <v>0</v>
      </c>
      <c r="U15" s="60">
        <f>IFERROR(AVERAGEIFS('Base Kpi'!$T:$T,'Base Kpi'!$M:$M,Cliente!$E15,'Base Kpi'!$S:$S,Cliente!U$5),0)</f>
        <v>25.71</v>
      </c>
      <c r="V15" s="92">
        <f>IFERROR(AVERAGEIFS('Base Kpi'!$T:$T,'Base Kpi'!$M:$M,Cliente!$E15,'Base Kpi'!$S:$S,Cliente!V$5),0)</f>
        <v>8</v>
      </c>
      <c r="W15" s="92">
        <f>IFERROR(AVERAGEIFS('Base Kpi'!$T:$T,'Base Kpi'!$M:$M,Cliente!$E15,'Base Kpi'!$S:$S,Cliente!W$5),0)</f>
        <v>12.75</v>
      </c>
      <c r="X15" s="92">
        <f>IFERROR(AVERAGEIFS('Base Kpi'!$T:$T,'Base Kpi'!$M:$M,Cliente!$E15,'Base Kpi'!$S:$S,Cliente!X$5),0)</f>
        <v>36</v>
      </c>
      <c r="Y15" s="94">
        <f t="shared" si="37"/>
        <v>82.460000000000008</v>
      </c>
      <c r="Z15" s="95">
        <f t="shared" si="38"/>
        <v>1</v>
      </c>
      <c r="AA15" s="60">
        <f>IFERROR(AVERAGEIFS('Base Kpi'!$AF:$AF,'Base Kpi'!$Y:$Y,Cliente!$E15,'Base Kpi'!$AE:$AE,Cliente!AA$5),0)</f>
        <v>25.71</v>
      </c>
      <c r="AB15" s="92">
        <f>IFERROR(AVERAGEIFS('Base Kpi'!$AF:$AF,'Base Kpi'!$Y:$Y,Cliente!$E15,'Base Kpi'!$AE:$AE,Cliente!AB$5),0)</f>
        <v>8</v>
      </c>
      <c r="AC15" s="92">
        <f>IFERROR(AVERAGEIFS('Base Kpi'!$AF:$AF,'Base Kpi'!$Y:$Y,Cliente!$E15,'Base Kpi'!$AE:$AE,Cliente!AC$5),0)</f>
        <v>12.75</v>
      </c>
      <c r="AD15" s="92">
        <f>IFERROR(AVERAGEIFS('Base Kpi'!$AF:$AF,'Base Kpi'!$Y:$Y,Cliente!$E15,'Base Kpi'!$AE:$AE,Cliente!AD$5),0)</f>
        <v>33.75</v>
      </c>
      <c r="AE15" s="94">
        <f t="shared" si="39"/>
        <v>80.210000000000008</v>
      </c>
      <c r="AF15" s="95">
        <f t="shared" si="40"/>
        <v>1</v>
      </c>
      <c r="AG15" s="60">
        <f t="shared" si="9"/>
        <v>45.17499999999999</v>
      </c>
      <c r="AH15" s="97">
        <f t="shared" si="10"/>
        <v>0</v>
      </c>
      <c r="AI15" s="88">
        <f t="shared" si="41"/>
        <v>0</v>
      </c>
      <c r="AJ15" s="92">
        <f>IFERROR(AVERAGEIFS('Base Kpi'!$AR:$AR,'Base Kpi'!$AK:$AK,Cliente!$E15,'Base Kpi'!$AQ:$AQ,AJ$5),0)</f>
        <v>25</v>
      </c>
      <c r="AK15" s="92">
        <f>IFERROR(AVERAGEIFS('Base Kpi'!$AR:$AR,'Base Kpi'!$AK:$AK,Cliente!$E15,'Base Kpi'!$AQ:$AQ,AK$5),0)</f>
        <v>2.5</v>
      </c>
      <c r="AL15" s="92">
        <f>IFERROR(AVERAGEIFS('Base Kpi'!$AR:$AR,'Base Kpi'!$AK:$AK,Cliente!$E15,'Base Kpi'!$AQ:$AQ,AL$5),0)</f>
        <v>12</v>
      </c>
      <c r="AM15" s="92">
        <f>IFERROR(AVERAGEIFS('Base Kpi'!$AR:$AR,'Base Kpi'!$AK:$AK,Cliente!$E15,'Base Kpi'!$AQ:$AQ,AM$5),0)</f>
        <v>32.159999999999997</v>
      </c>
      <c r="AN15" s="94">
        <f t="shared" si="12"/>
        <v>71.66</v>
      </c>
      <c r="AO15" s="95">
        <f t="shared" si="13"/>
        <v>0</v>
      </c>
      <c r="AP15" s="60">
        <f>IFERROR(AVERAGEIFS('Base Kpi'!$BD:$BD,'Base Kpi'!$AW:$AW,Cliente!$E15,'Base Kpi'!$BC:$BC,Cliente!AP$5),0)</f>
        <v>0</v>
      </c>
      <c r="AQ15" s="92">
        <f>IFERROR(AVERAGEIFS('Base Kpi'!$BD:$BD,'Base Kpi'!$AW:$AW,Cliente!$E15,'Base Kpi'!$BC:$BC,Cliente!AQ$5),0)</f>
        <v>0</v>
      </c>
      <c r="AR15" s="92">
        <f>IFERROR(AVERAGEIFS('Base Kpi'!$BD:$BD,'Base Kpi'!$AW:$AW,Cliente!$E15,'Base Kpi'!$BC:$BC,Cliente!AR$5),0)</f>
        <v>0</v>
      </c>
      <c r="AS15" s="92">
        <f>IFERROR(AVERAGEIFS('Base Kpi'!$BD:$BD,'Base Kpi'!$AW:$AW,Cliente!$E15,'Base Kpi'!$BC:$BC,Cliente!AS$5),0)</f>
        <v>0</v>
      </c>
      <c r="AT15" s="92">
        <f>IFERROR(AVERAGEIFS('Base Kpi'!$BD:$BD,'Base Kpi'!$AW:$AW,Cliente!$E15,'Base Kpi'!$BC:$BC,Cliente!AT$5),0)</f>
        <v>0</v>
      </c>
      <c r="AU15" s="94">
        <f t="shared" si="14"/>
        <v>0</v>
      </c>
      <c r="AV15" s="95">
        <f t="shared" si="15"/>
        <v>0</v>
      </c>
      <c r="AW15" s="60">
        <f>IFERROR(AVERAGEIFS('Base Kpi'!$BP:$BP,'Base Kpi'!$BI:$BI,Cliente!$E15,'Base Kpi'!$BO:$BO,Cliente!AW$5),0)</f>
        <v>25</v>
      </c>
      <c r="AX15" s="92">
        <f>IFERROR(AVERAGEIFS('Base Kpi'!$BP:$BP,'Base Kpi'!$BI:$BI,Cliente!$E15,'Base Kpi'!$BO:$BO,Cliente!AX$5),0)</f>
        <v>1.665</v>
      </c>
      <c r="AY15" s="92">
        <f>IFERROR(AVERAGEIFS('Base Kpi'!$BP:$BP,'Base Kpi'!$BI:$BI,Cliente!$E15,'Base Kpi'!$BO:$BO,Cliente!AY$5),0)</f>
        <v>12</v>
      </c>
      <c r="AZ15" s="92">
        <f>IFERROR(AVERAGEIFS('Base Kpi'!$BP:$BP,'Base Kpi'!$BI:$BI,Cliente!$E15,'Base Kpi'!$BO:$BO,Cliente!AZ$5),0)</f>
        <v>25.2</v>
      </c>
      <c r="BA15" s="92">
        <f>IFERROR(AVERAGEIFS('Base Kpi'!$BP:$BP,'Base Kpi'!$BI:$BI,Cliente!$E15,'Base Kpi'!$BO:$BO,Cliente!BA$5),0)</f>
        <v>0</v>
      </c>
      <c r="BB15" s="94">
        <f t="shared" si="16"/>
        <v>63.864999999999995</v>
      </c>
      <c r="BC15" s="95">
        <f t="shared" si="17"/>
        <v>0</v>
      </c>
      <c r="BD15" s="60">
        <f t="shared" si="42"/>
        <v>84.608333333333334</v>
      </c>
      <c r="BE15" s="97">
        <f t="shared" si="18"/>
        <v>1</v>
      </c>
      <c r="BF15" s="88">
        <f t="shared" si="43"/>
        <v>1</v>
      </c>
      <c r="BG15" s="60">
        <f>IFERROR(AVERAGEIFS('Base Kpi'!$CB:$CB,'Base Kpi'!$BU:$BU,Cliente!$E15,'Base Kpi'!$CA:$CA,Cliente!BG$5),0)</f>
        <v>21.425000000000001</v>
      </c>
      <c r="BH15" s="92">
        <f>IFERROR(AVERAGEIFS('Base Kpi'!$CB:$CB,'Base Kpi'!$BU:$BU,Cliente!$E15,'Base Kpi'!$CA:$CA,Cliente!BH$5),0)</f>
        <v>5</v>
      </c>
      <c r="BI15" s="92">
        <f>IFERROR(AVERAGEIFS('Base Kpi'!$CB:$CB,'Base Kpi'!$BU:$BU,Cliente!$E15,'Base Kpi'!$CA:$CA,Cliente!BI$5),0)</f>
        <v>12</v>
      </c>
      <c r="BJ15" s="92">
        <f>IFERROR(AVERAGEIFS('Base Kpi'!$CB:$CB,'Base Kpi'!$BU:$BU,Cliente!$E15,'Base Kpi'!$CA:$CA,Cliente!BJ$5),0)</f>
        <v>24.8</v>
      </c>
      <c r="BK15" s="92">
        <f>IFERROR(AVERAGEIFS('Base Kpi'!$CB:$CB,'Base Kpi'!$BU:$BU,Cliente!$E15,'Base Kpi'!$CA:$CA,Cliente!BK$5),0)</f>
        <v>9</v>
      </c>
      <c r="BL15" s="94">
        <f t="shared" si="19"/>
        <v>72.224999999999994</v>
      </c>
      <c r="BM15" s="95">
        <f t="shared" si="20"/>
        <v>0</v>
      </c>
      <c r="BN15" s="60">
        <f>IFERROR(AVERAGEIFS('Base Kpi'!$CN:$CN,'Base Kpi'!$CG:$CG,Cliente!$E15,'Base Kpi'!$CM:$CM,Cliente!BN$5),0)</f>
        <v>25</v>
      </c>
      <c r="BO15" s="92">
        <f>IFERROR(AVERAGEIFS('Base Kpi'!$CN:$CN,'Base Kpi'!$CG:$CG,Cliente!$E15,'Base Kpi'!$CM:$CM,Cliente!BO$5),0)</f>
        <v>5</v>
      </c>
      <c r="BP15" s="92">
        <f>IFERROR(AVERAGEIFS('Base Kpi'!$CN:$CN,'Base Kpi'!$CG:$CG,Cliente!$E15,'Base Kpi'!$CM:$CM,Cliente!BP$5),0)</f>
        <v>12</v>
      </c>
      <c r="BQ15" s="92">
        <f>IFERROR(AVERAGEIFS('Base Kpi'!$CN:$CN,'Base Kpi'!$CG:$CG,Cliente!$E15,'Base Kpi'!$CM:$CM,Cliente!BQ$5),0)</f>
        <v>31.2</v>
      </c>
      <c r="BR15" s="92">
        <f>IFERROR(AVERAGEIFS('Base Kpi'!$CN:$CN,'Base Kpi'!$CG:$CG,Cliente!$E15,'Base Kpi'!$CM:$CM,Cliente!BR$5),0)</f>
        <v>18</v>
      </c>
      <c r="BS15" s="94">
        <f t="shared" si="21"/>
        <v>91.2</v>
      </c>
      <c r="BT15" s="95">
        <f t="shared" si="22"/>
        <v>1</v>
      </c>
      <c r="BU15" s="60">
        <f>IFERROR(AVERAGEIFS('Base Kpi'!$CZ:$CZ,'Base Kpi'!$CS:$CS,Cliente!$E15,'Base Kpi'!$CY:$CY,Cliente!BU$5),0)</f>
        <v>25</v>
      </c>
      <c r="BV15" s="92">
        <f>IFERROR(AVERAGEIFS('Base Kpi'!$CZ:$CZ,'Base Kpi'!$CS:$CS,Cliente!$E15,'Base Kpi'!$CY:$CY,Cliente!BV$5),0)</f>
        <v>5</v>
      </c>
      <c r="BW15" s="92">
        <f>IFERROR(AVERAGEIFS('Base Kpi'!$CZ:$CZ,'Base Kpi'!$CS:$CS,Cliente!$E15,'Base Kpi'!$CY:$CY,Cliente!BW$5),0)</f>
        <v>12</v>
      </c>
      <c r="BX15" s="92">
        <f>IFERROR(AVERAGEIFS('Base Kpi'!$CZ:$CZ,'Base Kpi'!$CS:$CS,Cliente!$E15,'Base Kpi'!$CY:$CY,Cliente!BX$5),0)</f>
        <v>30.4</v>
      </c>
      <c r="BY15" s="92">
        <f>IFERROR(AVERAGEIFS('Base Kpi'!$CZ:$CZ,'Base Kpi'!$CS:$CS,Cliente!$E15,'Base Kpi'!$CY:$CY,Cliente!BY$5),0)</f>
        <v>18</v>
      </c>
      <c r="BZ15" s="94">
        <f t="shared" si="23"/>
        <v>90.4</v>
      </c>
      <c r="CA15" s="95">
        <f t="shared" si="24"/>
        <v>1</v>
      </c>
      <c r="CB15" s="60">
        <f t="shared" si="44"/>
        <v>87.399999999999991</v>
      </c>
      <c r="CC15" s="97">
        <f t="shared" si="45"/>
        <v>1</v>
      </c>
      <c r="CD15" s="43">
        <f t="shared" si="46"/>
        <v>1</v>
      </c>
      <c r="CE15" s="60" cm="1">
        <f t="array" ref="CE15">IFERROR(LARGE(_xlfn._xlws.FILTER('Base Kpi'!$DL:$DL,('Base Kpi'!$DK:$DK=$CE$5)*('Base Kpi'!$DE:$DE=Cliente!$E15)),1),0)</f>
        <v>28.8</v>
      </c>
      <c r="CF15" s="60" cm="1">
        <f t="array" ref="CF15">IFERROR(LARGE(_xlfn._xlws.FILTER('Base Kpi'!$DL:$DL,('Base Kpi'!$DK:$DK=$CF$5)*('Base Kpi'!$DE:$DE=Cliente!$E15)),1),0)</f>
        <v>5</v>
      </c>
      <c r="CG15" s="60" cm="1">
        <f t="array" ref="CG15">IFERROR(LARGE(_xlfn._xlws.FILTER('Base Kpi'!$DL:$DL,('Base Kpi'!$DK:$DK=$CG$5)*('Base Kpi'!$DE:$DE=Cliente!$E15)),1),0)</f>
        <v>5</v>
      </c>
      <c r="CH15" s="60" cm="1">
        <f t="array" ref="CH15">IFERROR(LARGE(_xlfn._xlws.FILTER('Base Kpi'!$DL:$DL,('Base Kpi'!$DK:$DK=$CH$5)*('Base Kpi'!$DE:$DE=Cliente!$E15)),1),0)</f>
        <v>9</v>
      </c>
      <c r="CI15" s="60" cm="1">
        <f t="array" ref="CI15">IFERROR(LARGE(_xlfn._xlws.FILTER('Base Kpi'!$DL:$DL,('Base Kpi'!$DK:$DK=$CI$5)*('Base Kpi'!$DE:$DE=Cliente!$E15)),1),0)</f>
        <v>25</v>
      </c>
      <c r="CJ15" s="60" cm="1">
        <f t="array" ref="CJ15">IFERROR(LARGE(_xlfn._xlws.FILTER('Base Kpi'!$DL:$DL,('Base Kpi'!$DK:$DK=$CJ$5)*('Base Kpi'!$DE:$DE=Cliente!$E15)),1),0)</f>
        <v>6</v>
      </c>
      <c r="CK15" s="60" cm="1">
        <f t="array" ref="CK15">IFERROR(LARGE(_xlfn._xlws.FILTER('Base Kpi'!$DL:$DL,('Base Kpi'!$DK:$DK=$CK$5)*('Base Kpi'!$DE:$DE=Cliente!$E15)),1),0)</f>
        <v>0</v>
      </c>
      <c r="CL15" s="94">
        <f t="shared" si="28"/>
        <v>78.8</v>
      </c>
      <c r="CM15" s="95">
        <f t="shared" si="47"/>
        <v>0</v>
      </c>
      <c r="CN15" s="60">
        <f>IFERROR(AVERAGEIFS('Base Kpi'!$DX:$DX,'Base Kpi'!$DQ:$DQ,Cliente!$E15,'Base Kpi'!$DW:$DW,Cliente!CN$5),0)</f>
        <v>31.2</v>
      </c>
      <c r="CO15" s="92">
        <f>IFERROR(AVERAGEIFS('Base Kpi'!$DX:$DX,'Base Kpi'!$DQ:$DQ,Cliente!$E15,'Base Kpi'!$DW:$DW,Cliente!CO$5),0)</f>
        <v>5</v>
      </c>
      <c r="CP15" s="92">
        <f>IFERROR(AVERAGEIFS('Base Kpi'!$DX:$DX,'Base Kpi'!$DQ:$DQ,Cliente!$E15,'Base Kpi'!$DW:$DW,Cliente!CP$5),0)</f>
        <v>5</v>
      </c>
      <c r="CQ15" s="92">
        <f>IFERROR(AVERAGEIFS('Base Kpi'!$DX:$DX,'Base Kpi'!$DQ:$DQ,Cliente!$E15,'Base Kpi'!$DW:$DW,Cliente!CQ$5),0)</f>
        <v>18</v>
      </c>
      <c r="CR15" s="92">
        <f>IFERROR(AVERAGEIFS('Base Kpi'!$DX:$DX,'Base Kpi'!$DQ:$DQ,Cliente!$E15,'Base Kpi'!$DW:$DW,Cliente!CR$5),0)</f>
        <v>25</v>
      </c>
      <c r="CS15" s="92">
        <f>IFERROR(AVERAGEIFS('Base Kpi'!$DX:$DX,'Base Kpi'!$DQ:$DQ,Cliente!$E15,'Base Kpi'!$DW:$DW,Cliente!CS$5),0)</f>
        <v>12</v>
      </c>
      <c r="CT15" s="92">
        <f>IFERROR(AVERAGEIFS('Base Kpi'!$DX:$DX,'Base Kpi'!$DQ:$DQ,Cliente!$E15,'Base Kpi'!$DW:$DW,Cliente!CT$5),0)</f>
        <v>0</v>
      </c>
      <c r="CU15" s="94">
        <f t="shared" si="48"/>
        <v>96.2</v>
      </c>
      <c r="CV15" s="95">
        <f t="shared" si="49"/>
        <v>1</v>
      </c>
      <c r="CW15" s="60">
        <f>IFERROR(AVERAGEIFS('Base Kpi'!$EJ:$EJ,'Base Kpi'!$EC:$EC,Cliente!$E15,'Base Kpi'!$EI:$EI,Cliente!CW$5),0)</f>
        <v>31.2</v>
      </c>
      <c r="CX15" s="92">
        <f>IFERROR(AVERAGEIFS('Base Kpi'!$EJ:$EJ,'Base Kpi'!$EC:$EC,Cliente!$E15,'Base Kpi'!$EI:$EI,Cliente!CX$5),0)</f>
        <v>5</v>
      </c>
      <c r="CY15" s="92">
        <f>IFERROR(AVERAGEIFS('Base Kpi'!$EJ:$EJ,'Base Kpi'!$EC:$EC,Cliente!$E15,'Base Kpi'!$EI:$EI,Cliente!CY$5),0)</f>
        <v>5</v>
      </c>
      <c r="CZ15" s="92">
        <f>IFERROR(AVERAGEIFS('Base Kpi'!$EJ:$EJ,'Base Kpi'!$EC:$EC,Cliente!$E15,'Base Kpi'!$EI:$EI,Cliente!CZ$5),0)</f>
        <v>9</v>
      </c>
      <c r="DA15" s="92">
        <f>IFERROR(AVERAGEIFS('Base Kpi'!$EJ:$EJ,'Base Kpi'!$EC:$EC,Cliente!$E15,'Base Kpi'!$EI:$EI,Cliente!DA$5),0)</f>
        <v>25</v>
      </c>
      <c r="DB15" s="92">
        <f>IFERROR(AVERAGEIFS('Base Kpi'!$EJ:$EJ,'Base Kpi'!$EC:$EC,Cliente!$E15,'Base Kpi'!$EI:$EI,Cliente!DB$5),0)</f>
        <v>12</v>
      </c>
      <c r="DC15" s="92">
        <f>IFERROR(AVERAGEIFS('Base Kpi'!$EJ:$EJ,'Base Kpi'!$EC:$EC,Cliente!$E15,'Base Kpi'!$EI:$EI,Cliente!DC$5),0)</f>
        <v>0</v>
      </c>
      <c r="DD15" s="94">
        <f t="shared" si="50"/>
        <v>87.2</v>
      </c>
      <c r="DE15" s="95">
        <f t="shared" si="51"/>
        <v>1</v>
      </c>
      <c r="DF15" s="120"/>
    </row>
    <row r="16" spans="2:110" x14ac:dyDescent="0.35">
      <c r="B16" s="52" t="s">
        <v>427</v>
      </c>
      <c r="C16" s="21">
        <v>3919</v>
      </c>
      <c r="D16" s="21" t="s">
        <v>429</v>
      </c>
      <c r="E16" s="21">
        <v>152753</v>
      </c>
      <c r="F16" s="16" t="s">
        <v>164</v>
      </c>
      <c r="G16" s="16" t="s">
        <v>272</v>
      </c>
      <c r="H16" s="16" t="s">
        <v>309</v>
      </c>
      <c r="I16" s="16" t="s">
        <v>249</v>
      </c>
      <c r="J16" s="16" t="s">
        <v>90</v>
      </c>
      <c r="K16" s="34" t="s">
        <v>156</v>
      </c>
      <c r="L16" s="60">
        <f t="shared" si="33"/>
        <v>41.21</v>
      </c>
      <c r="M16" s="97">
        <f t="shared" si="34"/>
        <v>0</v>
      </c>
      <c r="N16" s="43">
        <f t="shared" si="2"/>
        <v>0</v>
      </c>
      <c r="O16" s="60">
        <f>IFERROR(AVERAGEIFS('Base Kpi'!$I:$I,'Base Kpi'!$B:$B,Cliente!$E16,'Base Kpi'!$G:$G,Cliente!O$5),0)</f>
        <v>0</v>
      </c>
      <c r="P16" s="92">
        <f>IFERROR(AVERAGEIFS('Base Kpi'!$I:$I,'Base Kpi'!$B:$B,Cliente!$E16,'Base Kpi'!$G:$G,Cliente!P$5),0)</f>
        <v>0</v>
      </c>
      <c r="Q16" s="92">
        <f>IFERROR(AVERAGEIFS('Base Kpi'!$I:$I,'Base Kpi'!$B:$B,Cliente!$E16,'Base Kpi'!$G:$G,Cliente!Q$5),0)</f>
        <v>0</v>
      </c>
      <c r="R16" s="92">
        <f>IFERROR(AVERAGEIFS('Base Kpi'!$I:$I,'Base Kpi'!$B:$B,Cliente!$E16,'Base Kpi'!$G:$G,Cliente!R$5),0)</f>
        <v>0</v>
      </c>
      <c r="S16" s="94">
        <f t="shared" si="35"/>
        <v>0</v>
      </c>
      <c r="T16" s="95">
        <f t="shared" si="36"/>
        <v>0</v>
      </c>
      <c r="U16" s="60">
        <f>IFERROR(AVERAGEIFS('Base Kpi'!$T:$T,'Base Kpi'!$M:$M,Cliente!$E16,'Base Kpi'!$S:$S,Cliente!U$5),0)</f>
        <v>21.42</v>
      </c>
      <c r="V16" s="92">
        <f>IFERROR(AVERAGEIFS('Base Kpi'!$T:$T,'Base Kpi'!$M:$M,Cliente!$E16,'Base Kpi'!$S:$S,Cliente!V$5),0)</f>
        <v>0</v>
      </c>
      <c r="W16" s="92">
        <f>IFERROR(AVERAGEIFS('Base Kpi'!$T:$T,'Base Kpi'!$M:$M,Cliente!$E16,'Base Kpi'!$S:$S,Cliente!W$5),0)</f>
        <v>8.5</v>
      </c>
      <c r="X16" s="92">
        <f>IFERROR(AVERAGEIFS('Base Kpi'!$T:$T,'Base Kpi'!$M:$M,Cliente!$E16,'Base Kpi'!$S:$S,Cliente!X$5),0)</f>
        <v>13.5</v>
      </c>
      <c r="Y16" s="94">
        <f t="shared" si="37"/>
        <v>43.42</v>
      </c>
      <c r="Z16" s="95">
        <f t="shared" si="38"/>
        <v>0</v>
      </c>
      <c r="AA16" s="60">
        <f>IFERROR(AVERAGEIFS('Base Kpi'!$AF:$AF,'Base Kpi'!$Y:$Y,Cliente!$E16,'Base Kpi'!$AE:$AE,Cliente!AA$5),0)</f>
        <v>25.71</v>
      </c>
      <c r="AB16" s="92">
        <f>IFERROR(AVERAGEIFS('Base Kpi'!$AF:$AF,'Base Kpi'!$Y:$Y,Cliente!$E16,'Base Kpi'!$AE:$AE,Cliente!AB$5),0)</f>
        <v>8</v>
      </c>
      <c r="AC16" s="92">
        <f>IFERROR(AVERAGEIFS('Base Kpi'!$AF:$AF,'Base Kpi'!$Y:$Y,Cliente!$E16,'Base Kpi'!$AE:$AE,Cliente!AC$5),0)</f>
        <v>12.75</v>
      </c>
      <c r="AD16" s="92">
        <f>IFERROR(AVERAGEIFS('Base Kpi'!$AF:$AF,'Base Kpi'!$Y:$Y,Cliente!$E16,'Base Kpi'!$AE:$AE,Cliente!AD$5),0)</f>
        <v>33.75</v>
      </c>
      <c r="AE16" s="94">
        <f t="shared" si="39"/>
        <v>80.210000000000008</v>
      </c>
      <c r="AF16" s="95">
        <f t="shared" si="40"/>
        <v>1</v>
      </c>
      <c r="AG16" s="60">
        <f t="shared" si="9"/>
        <v>64.63</v>
      </c>
      <c r="AH16" s="97">
        <f t="shared" si="10"/>
        <v>1</v>
      </c>
      <c r="AI16" s="88">
        <f t="shared" si="41"/>
        <v>1</v>
      </c>
      <c r="AJ16" s="92">
        <f>IFERROR(AVERAGEIFS('Base Kpi'!$AR:$AR,'Base Kpi'!$AK:$AK,Cliente!$E16,'Base Kpi'!$AQ:$AQ,AJ$5),0)</f>
        <v>14.275</v>
      </c>
      <c r="AK16" s="92">
        <f>IFERROR(AVERAGEIFS('Base Kpi'!$AR:$AR,'Base Kpi'!$AK:$AK,Cliente!$E16,'Base Kpi'!$AQ:$AQ,AK$5),0)</f>
        <v>2.5</v>
      </c>
      <c r="AL16" s="92">
        <f>IFERROR(AVERAGEIFS('Base Kpi'!$AR:$AR,'Base Kpi'!$AK:$AK,Cliente!$E16,'Base Kpi'!$AQ:$AQ,AL$5),0)</f>
        <v>6</v>
      </c>
      <c r="AM16" s="92">
        <f>IFERROR(AVERAGEIFS('Base Kpi'!$AR:$AR,'Base Kpi'!$AK:$AK,Cliente!$E16,'Base Kpi'!$AQ:$AQ,AM$5),0)</f>
        <v>25.2</v>
      </c>
      <c r="AN16" s="94">
        <f t="shared" si="12"/>
        <v>47.974999999999994</v>
      </c>
      <c r="AO16" s="95">
        <f t="shared" si="13"/>
        <v>0</v>
      </c>
      <c r="AP16" s="60">
        <f>IFERROR(AVERAGEIFS('Base Kpi'!$BD:$BD,'Base Kpi'!$AW:$AW,Cliente!$E16,'Base Kpi'!$BC:$BC,Cliente!AP$5),0)</f>
        <v>21.425000000000001</v>
      </c>
      <c r="AQ16" s="92">
        <f>IFERROR(AVERAGEIFS('Base Kpi'!$BD:$BD,'Base Kpi'!$AW:$AW,Cliente!$E16,'Base Kpi'!$BC:$BC,Cliente!AQ$5),0)</f>
        <v>1.665</v>
      </c>
      <c r="AR16" s="92">
        <f>IFERROR(AVERAGEIFS('Base Kpi'!$BD:$BD,'Base Kpi'!$AW:$AW,Cliente!$E16,'Base Kpi'!$BC:$BC,Cliente!AR$5),0)</f>
        <v>9</v>
      </c>
      <c r="AS16" s="92">
        <f>IFERROR(AVERAGEIFS('Base Kpi'!$BD:$BD,'Base Kpi'!$AW:$AW,Cliente!$E16,'Base Kpi'!$BC:$BC,Cliente!AS$5),0)</f>
        <v>26.96</v>
      </c>
      <c r="AT16" s="92">
        <f>IFERROR(AVERAGEIFS('Base Kpi'!$BD:$BD,'Base Kpi'!$AW:$AW,Cliente!$E16,'Base Kpi'!$BC:$BC,Cliente!AT$5),0)</f>
        <v>0</v>
      </c>
      <c r="AU16" s="94">
        <f t="shared" si="14"/>
        <v>59.050000000000004</v>
      </c>
      <c r="AV16" s="95">
        <f t="shared" si="15"/>
        <v>0</v>
      </c>
      <c r="AW16" s="60">
        <f>IFERROR(AVERAGEIFS('Base Kpi'!$BP:$BP,'Base Kpi'!$BI:$BI,Cliente!$E16,'Base Kpi'!$BO:$BO,Cliente!AW$5),0)</f>
        <v>21.425000000000001</v>
      </c>
      <c r="AX16" s="92">
        <f>IFERROR(AVERAGEIFS('Base Kpi'!$BP:$BP,'Base Kpi'!$BI:$BI,Cliente!$E16,'Base Kpi'!$BO:$BO,Cliente!AX$5),0)</f>
        <v>5</v>
      </c>
      <c r="AY16" s="92">
        <f>IFERROR(AVERAGEIFS('Base Kpi'!$BP:$BP,'Base Kpi'!$BI:$BI,Cliente!$E16,'Base Kpi'!$BO:$BO,Cliente!AY$5),0)</f>
        <v>12</v>
      </c>
      <c r="AZ16" s="92">
        <f>IFERROR(AVERAGEIFS('Base Kpi'!$BP:$BP,'Base Kpi'!$BI:$BI,Cliente!$E16,'Base Kpi'!$BO:$BO,Cliente!AZ$5),0)</f>
        <v>30.44</v>
      </c>
      <c r="BA16" s="92">
        <f>IFERROR(AVERAGEIFS('Base Kpi'!$BP:$BP,'Base Kpi'!$BI:$BI,Cliente!$E16,'Base Kpi'!$BO:$BO,Cliente!BA$5),0)</f>
        <v>18</v>
      </c>
      <c r="BB16" s="94">
        <f t="shared" si="16"/>
        <v>86.864999999999995</v>
      </c>
      <c r="BC16" s="95">
        <f t="shared" si="17"/>
        <v>1</v>
      </c>
      <c r="BD16" s="60">
        <f t="shared" si="42"/>
        <v>74.196666666666673</v>
      </c>
      <c r="BE16" s="97">
        <f t="shared" si="18"/>
        <v>1</v>
      </c>
      <c r="BF16" s="88">
        <f t="shared" si="43"/>
        <v>0</v>
      </c>
      <c r="BG16" s="60">
        <f>IFERROR(AVERAGEIFS('Base Kpi'!$CB:$CB,'Base Kpi'!$BU:$BU,Cliente!$E16,'Base Kpi'!$CA:$CA,Cliente!BG$5),0)</f>
        <v>17.850000000000001</v>
      </c>
      <c r="BH16" s="92">
        <f>IFERROR(AVERAGEIFS('Base Kpi'!$CB:$CB,'Base Kpi'!$BU:$BU,Cliente!$E16,'Base Kpi'!$CA:$CA,Cliente!BH$5),0)</f>
        <v>5</v>
      </c>
      <c r="BI16" s="92">
        <f>IFERROR(AVERAGEIFS('Base Kpi'!$CB:$CB,'Base Kpi'!$BU:$BU,Cliente!$E16,'Base Kpi'!$CA:$CA,Cliente!BI$5),0)</f>
        <v>3</v>
      </c>
      <c r="BJ16" s="92">
        <f>IFERROR(AVERAGEIFS('Base Kpi'!$CB:$CB,'Base Kpi'!$BU:$BU,Cliente!$E16,'Base Kpi'!$CA:$CA,Cliente!BJ$5),0)</f>
        <v>25.6</v>
      </c>
      <c r="BK16" s="92">
        <f>IFERROR(AVERAGEIFS('Base Kpi'!$CB:$CB,'Base Kpi'!$BU:$BU,Cliente!$E16,'Base Kpi'!$CA:$CA,Cliente!BK$5),0)</f>
        <v>9</v>
      </c>
      <c r="BL16" s="94">
        <f t="shared" si="19"/>
        <v>60.45</v>
      </c>
      <c r="BM16" s="95">
        <f t="shared" si="20"/>
        <v>0</v>
      </c>
      <c r="BN16" s="60">
        <f>IFERROR(AVERAGEIFS('Base Kpi'!$CN:$CN,'Base Kpi'!$CG:$CG,Cliente!$E16,'Base Kpi'!$CM:$CM,Cliente!BN$5),0)</f>
        <v>17.850000000000001</v>
      </c>
      <c r="BO16" s="92">
        <f>IFERROR(AVERAGEIFS('Base Kpi'!$CN:$CN,'Base Kpi'!$CG:$CG,Cliente!$E16,'Base Kpi'!$CM:$CM,Cliente!BO$5),0)</f>
        <v>5</v>
      </c>
      <c r="BP16" s="92">
        <f>IFERROR(AVERAGEIFS('Base Kpi'!$CN:$CN,'Base Kpi'!$CG:$CG,Cliente!$E16,'Base Kpi'!$CM:$CM,Cliente!BP$5),0)</f>
        <v>9</v>
      </c>
      <c r="BQ16" s="92">
        <f>IFERROR(AVERAGEIFS('Base Kpi'!$CN:$CN,'Base Kpi'!$CG:$CG,Cliente!$E16,'Base Kpi'!$CM:$CM,Cliente!BQ$5),0)</f>
        <v>28</v>
      </c>
      <c r="BR16" s="92">
        <f>IFERROR(AVERAGEIFS('Base Kpi'!$CN:$CN,'Base Kpi'!$CG:$CG,Cliente!$E16,'Base Kpi'!$CM:$CM,Cliente!BR$5),0)</f>
        <v>18</v>
      </c>
      <c r="BS16" s="94">
        <f t="shared" si="21"/>
        <v>77.849999999999994</v>
      </c>
      <c r="BT16" s="95">
        <f t="shared" si="22"/>
        <v>0</v>
      </c>
      <c r="BU16" s="60">
        <f>IFERROR(AVERAGEIFS('Base Kpi'!$CZ:$CZ,'Base Kpi'!$CS:$CS,Cliente!$E16,'Base Kpi'!$CY:$CY,Cliente!BU$5),0)</f>
        <v>21.425000000000001</v>
      </c>
      <c r="BV16" s="92">
        <f>IFERROR(AVERAGEIFS('Base Kpi'!$CZ:$CZ,'Base Kpi'!$CS:$CS,Cliente!$E16,'Base Kpi'!$CY:$CY,Cliente!BV$5),0)</f>
        <v>1.665</v>
      </c>
      <c r="BW16" s="92">
        <f>IFERROR(AVERAGEIFS('Base Kpi'!$CZ:$CZ,'Base Kpi'!$CS:$CS,Cliente!$E16,'Base Kpi'!$CY:$CY,Cliente!BW$5),0)</f>
        <v>12</v>
      </c>
      <c r="BX16" s="92">
        <f>IFERROR(AVERAGEIFS('Base Kpi'!$CZ:$CZ,'Base Kpi'!$CS:$CS,Cliente!$E16,'Base Kpi'!$CY:$CY,Cliente!BX$5),0)</f>
        <v>31.2</v>
      </c>
      <c r="BY16" s="92">
        <f>IFERROR(AVERAGEIFS('Base Kpi'!$CZ:$CZ,'Base Kpi'!$CS:$CS,Cliente!$E16,'Base Kpi'!$CY:$CY,Cliente!BY$5),0)</f>
        <v>18</v>
      </c>
      <c r="BZ16" s="94">
        <f t="shared" si="23"/>
        <v>84.29</v>
      </c>
      <c r="CA16" s="95">
        <f t="shared" si="24"/>
        <v>1</v>
      </c>
      <c r="CB16" s="60">
        <f t="shared" si="44"/>
        <v>88.75833333333334</v>
      </c>
      <c r="CC16" s="97">
        <f t="shared" si="45"/>
        <v>1</v>
      </c>
      <c r="CD16" s="43">
        <f t="shared" si="46"/>
        <v>1</v>
      </c>
      <c r="CE16" s="60" cm="1">
        <f t="array" ref="CE16">IFERROR(LARGE(_xlfn._xlws.FILTER('Base Kpi'!$DL:$DL,('Base Kpi'!$DK:$DK=$CE$5)*('Base Kpi'!$DE:$DE=Cliente!$E16)),1),0)</f>
        <v>29.6</v>
      </c>
      <c r="CF16" s="60" cm="1">
        <f t="array" ref="CF16">IFERROR(LARGE(_xlfn._xlws.FILTER('Base Kpi'!$DL:$DL,('Base Kpi'!$DK:$DK=$CF$5)*('Base Kpi'!$DE:$DE=Cliente!$E16)),1),0)</f>
        <v>5</v>
      </c>
      <c r="CG16" s="60" cm="1">
        <f t="array" ref="CG16">IFERROR(LARGE(_xlfn._xlws.FILTER('Base Kpi'!$DL:$DL,('Base Kpi'!$DK:$DK=$CG$5)*('Base Kpi'!$DE:$DE=Cliente!$E16)),1),0)</f>
        <v>5</v>
      </c>
      <c r="CH16" s="60" cm="1">
        <f t="array" ref="CH16">IFERROR(LARGE(_xlfn._xlws.FILTER('Base Kpi'!$DL:$DL,('Base Kpi'!$DK:$DK=$CH$5)*('Base Kpi'!$DE:$DE=Cliente!$E16)),1),0)</f>
        <v>18</v>
      </c>
      <c r="CI16" s="60" cm="1">
        <f t="array" ref="CI16">IFERROR(LARGE(_xlfn._xlws.FILTER('Base Kpi'!$DL:$DL,('Base Kpi'!$DK:$DK=$CI$5)*('Base Kpi'!$DE:$DE=Cliente!$E16)),1),0)</f>
        <v>21.425000000000001</v>
      </c>
      <c r="CJ16" s="60" cm="1">
        <f t="array" ref="CJ16">IFERROR(LARGE(_xlfn._xlws.FILTER('Base Kpi'!$DL:$DL,('Base Kpi'!$DK:$DK=$CJ$5)*('Base Kpi'!$DE:$DE=Cliente!$E16)),1),0)</f>
        <v>12</v>
      </c>
      <c r="CK16" s="60" cm="1">
        <f t="array" ref="CK16">IFERROR(LARGE(_xlfn._xlws.FILTER('Base Kpi'!$DL:$DL,('Base Kpi'!$DK:$DK=$CK$5)*('Base Kpi'!$DE:$DE=Cliente!$E16)),1),0)</f>
        <v>0</v>
      </c>
      <c r="CL16" s="94">
        <f t="shared" si="28"/>
        <v>91.025000000000006</v>
      </c>
      <c r="CM16" s="95">
        <f t="shared" si="47"/>
        <v>1</v>
      </c>
      <c r="CN16" s="60">
        <f>IFERROR(AVERAGEIFS('Base Kpi'!$DX:$DX,'Base Kpi'!$DQ:$DQ,Cliente!$E16,'Base Kpi'!$DW:$DW,Cliente!CN$5),0)</f>
        <v>30.4</v>
      </c>
      <c r="CO16" s="92">
        <f>IFERROR(AVERAGEIFS('Base Kpi'!$DX:$DX,'Base Kpi'!$DQ:$DQ,Cliente!$E16,'Base Kpi'!$DW:$DW,Cliente!CO$5),0)</f>
        <v>5</v>
      </c>
      <c r="CP16" s="92">
        <f>IFERROR(AVERAGEIFS('Base Kpi'!$DX:$DX,'Base Kpi'!$DQ:$DQ,Cliente!$E16,'Base Kpi'!$DW:$DW,Cliente!CP$5),0)</f>
        <v>5</v>
      </c>
      <c r="CQ16" s="92">
        <f>IFERROR(AVERAGEIFS('Base Kpi'!$DX:$DX,'Base Kpi'!$DQ:$DQ,Cliente!$E16,'Base Kpi'!$DW:$DW,Cliente!CQ$5),0)</f>
        <v>18</v>
      </c>
      <c r="CR16" s="92">
        <f>IFERROR(AVERAGEIFS('Base Kpi'!$DX:$DX,'Base Kpi'!$DQ:$DQ,Cliente!$E16,'Base Kpi'!$DW:$DW,Cliente!CR$5),0)</f>
        <v>21.425000000000001</v>
      </c>
      <c r="CS16" s="92">
        <f>IFERROR(AVERAGEIFS('Base Kpi'!$DX:$DX,'Base Kpi'!$DQ:$DQ,Cliente!$E16,'Base Kpi'!$DW:$DW,Cliente!CS$5),0)</f>
        <v>12</v>
      </c>
      <c r="CT16" s="92">
        <f>IFERROR(AVERAGEIFS('Base Kpi'!$DX:$DX,'Base Kpi'!$DQ:$DQ,Cliente!$E16,'Base Kpi'!$DW:$DW,Cliente!CT$5),0)</f>
        <v>0</v>
      </c>
      <c r="CU16" s="94">
        <f t="shared" si="48"/>
        <v>91.825000000000003</v>
      </c>
      <c r="CV16" s="95">
        <f t="shared" si="49"/>
        <v>1</v>
      </c>
      <c r="CW16" s="60">
        <f>IFERROR(AVERAGEIFS('Base Kpi'!$EJ:$EJ,'Base Kpi'!$EC:$EC,Cliente!$E16,'Base Kpi'!$EI:$EI,Cliente!CW$5),0)</f>
        <v>28</v>
      </c>
      <c r="CX16" s="92">
        <f>IFERROR(AVERAGEIFS('Base Kpi'!$EJ:$EJ,'Base Kpi'!$EC:$EC,Cliente!$E16,'Base Kpi'!$EI:$EI,Cliente!CX$5),0)</f>
        <v>5</v>
      </c>
      <c r="CY16" s="92">
        <f>IFERROR(AVERAGEIFS('Base Kpi'!$EJ:$EJ,'Base Kpi'!$EC:$EC,Cliente!$E16,'Base Kpi'!$EI:$EI,Cliente!CY$5),0)</f>
        <v>5</v>
      </c>
      <c r="CZ16" s="92">
        <f>IFERROR(AVERAGEIFS('Base Kpi'!$EJ:$EJ,'Base Kpi'!$EC:$EC,Cliente!$E16,'Base Kpi'!$EI:$EI,Cliente!CZ$5),0)</f>
        <v>18</v>
      </c>
      <c r="DA16" s="92">
        <f>IFERROR(AVERAGEIFS('Base Kpi'!$EJ:$EJ,'Base Kpi'!$EC:$EC,Cliente!$E16,'Base Kpi'!$EI:$EI,Cliente!DA$5),0)</f>
        <v>21.425000000000001</v>
      </c>
      <c r="DB16" s="92">
        <f>IFERROR(AVERAGEIFS('Base Kpi'!$EJ:$EJ,'Base Kpi'!$EC:$EC,Cliente!$E16,'Base Kpi'!$EI:$EI,Cliente!DB$5),0)</f>
        <v>6</v>
      </c>
      <c r="DC16" s="92">
        <f>IFERROR(AVERAGEIFS('Base Kpi'!$EJ:$EJ,'Base Kpi'!$EC:$EC,Cliente!$E16,'Base Kpi'!$EI:$EI,Cliente!DC$5),0)</f>
        <v>0</v>
      </c>
      <c r="DD16" s="94">
        <f t="shared" si="50"/>
        <v>83.424999999999997</v>
      </c>
      <c r="DE16" s="95">
        <f t="shared" si="51"/>
        <v>1</v>
      </c>
      <c r="DF16" s="120"/>
    </row>
    <row r="17" spans="2:110" x14ac:dyDescent="0.35">
      <c r="B17" s="52" t="s">
        <v>427</v>
      </c>
      <c r="C17" s="21">
        <v>3919</v>
      </c>
      <c r="D17" s="21" t="s">
        <v>429</v>
      </c>
      <c r="E17" s="21">
        <v>164006</v>
      </c>
      <c r="F17" s="16" t="s">
        <v>28</v>
      </c>
      <c r="G17" s="16" t="s">
        <v>266</v>
      </c>
      <c r="H17" s="16" t="s">
        <v>267</v>
      </c>
      <c r="I17" s="16" t="s">
        <v>176</v>
      </c>
      <c r="J17" s="16" t="s">
        <v>88</v>
      </c>
      <c r="K17" s="34" t="s">
        <v>51</v>
      </c>
      <c r="L17" s="60">
        <f t="shared" si="33"/>
        <v>36.837499999999999</v>
      </c>
      <c r="M17" s="97">
        <f t="shared" si="34"/>
        <v>0</v>
      </c>
      <c r="N17" s="43">
        <f t="shared" si="2"/>
        <v>0</v>
      </c>
      <c r="O17" s="60">
        <f>IFERROR(AVERAGEIFS('Base Kpi'!$I:$I,'Base Kpi'!$B:$B,Cliente!$E17,'Base Kpi'!$G:$G,Cliente!O$5),0)</f>
        <v>17.13</v>
      </c>
      <c r="P17" s="92">
        <f>IFERROR(AVERAGEIFS('Base Kpi'!$I:$I,'Base Kpi'!$B:$B,Cliente!$E17,'Base Kpi'!$G:$G,Cliente!P$5),0)</f>
        <v>0</v>
      </c>
      <c r="Q17" s="92">
        <f>IFERROR(AVERAGEIFS('Base Kpi'!$I:$I,'Base Kpi'!$B:$B,Cliente!$E17,'Base Kpi'!$G:$G,Cliente!Q$5),0)</f>
        <v>3.4</v>
      </c>
      <c r="R17" s="92">
        <f>IFERROR(AVERAGEIFS('Base Kpi'!$I:$I,'Base Kpi'!$B:$B,Cliente!$E17,'Base Kpi'!$G:$G,Cliente!R$5),0)</f>
        <v>14.0625</v>
      </c>
      <c r="S17" s="94">
        <f t="shared" si="35"/>
        <v>34.592500000000001</v>
      </c>
      <c r="T17" s="95">
        <f t="shared" si="36"/>
        <v>0</v>
      </c>
      <c r="U17" s="60">
        <f>IFERROR(AVERAGEIFS('Base Kpi'!$T:$T,'Base Kpi'!$M:$M,Cliente!$E17,'Base Kpi'!$S:$S,Cliente!U$5),0)</f>
        <v>21.42</v>
      </c>
      <c r="V17" s="92">
        <f>IFERROR(AVERAGEIFS('Base Kpi'!$T:$T,'Base Kpi'!$M:$M,Cliente!$E17,'Base Kpi'!$S:$S,Cliente!V$5),0)</f>
        <v>8</v>
      </c>
      <c r="W17" s="92">
        <f>IFERROR(AVERAGEIFS('Base Kpi'!$T:$T,'Base Kpi'!$M:$M,Cliente!$E17,'Base Kpi'!$S:$S,Cliente!W$5),0)</f>
        <v>12.75</v>
      </c>
      <c r="X17" s="92">
        <f>IFERROR(AVERAGEIFS('Base Kpi'!$T:$T,'Base Kpi'!$M:$M,Cliente!$E17,'Base Kpi'!$S:$S,Cliente!X$5),0)</f>
        <v>33.75</v>
      </c>
      <c r="Y17" s="94">
        <f t="shared" si="37"/>
        <v>75.92</v>
      </c>
      <c r="Z17" s="95">
        <f t="shared" si="38"/>
        <v>0</v>
      </c>
      <c r="AA17" s="60">
        <f>IFERROR(AVERAGEIFS('Base Kpi'!$AF:$AF,'Base Kpi'!$Y:$Y,Cliente!$E17,'Base Kpi'!$AE:$AE,Cliente!AA$5),0)</f>
        <v>0</v>
      </c>
      <c r="AB17" s="92">
        <f>IFERROR(AVERAGEIFS('Base Kpi'!$AF:$AF,'Base Kpi'!$Y:$Y,Cliente!$E17,'Base Kpi'!$AE:$AE,Cliente!AB$5),0)</f>
        <v>0</v>
      </c>
      <c r="AC17" s="92">
        <f>IFERROR(AVERAGEIFS('Base Kpi'!$AF:$AF,'Base Kpi'!$Y:$Y,Cliente!$E17,'Base Kpi'!$AE:$AE,Cliente!AC$5),0)</f>
        <v>0</v>
      </c>
      <c r="AD17" s="92">
        <f>IFERROR(AVERAGEIFS('Base Kpi'!$AF:$AF,'Base Kpi'!$Y:$Y,Cliente!$E17,'Base Kpi'!$AE:$AE,Cliente!AD$5),0)</f>
        <v>0</v>
      </c>
      <c r="AE17" s="94">
        <f t="shared" si="39"/>
        <v>0</v>
      </c>
      <c r="AF17" s="95">
        <f t="shared" si="40"/>
        <v>0</v>
      </c>
      <c r="AG17" s="60">
        <f t="shared" si="9"/>
        <v>18.816666666666666</v>
      </c>
      <c r="AH17" s="97">
        <f t="shared" si="10"/>
        <v>0</v>
      </c>
      <c r="AI17" s="88">
        <f t="shared" si="41"/>
        <v>0</v>
      </c>
      <c r="AJ17" s="92">
        <f>IFERROR(AVERAGEIFS('Base Kpi'!$AR:$AR,'Base Kpi'!$AK:$AK,Cliente!$E17,'Base Kpi'!$AQ:$AQ,AJ$5),0)</f>
        <v>0</v>
      </c>
      <c r="AK17" s="92">
        <f>IFERROR(AVERAGEIFS('Base Kpi'!$AR:$AR,'Base Kpi'!$AK:$AK,Cliente!$E17,'Base Kpi'!$AQ:$AQ,AK$5),0)</f>
        <v>0</v>
      </c>
      <c r="AL17" s="92">
        <f>IFERROR(AVERAGEIFS('Base Kpi'!$AR:$AR,'Base Kpi'!$AK:$AK,Cliente!$E17,'Base Kpi'!$AQ:$AQ,AL$5),0)</f>
        <v>0</v>
      </c>
      <c r="AM17" s="92">
        <f>IFERROR(AVERAGEIFS('Base Kpi'!$AR:$AR,'Base Kpi'!$AK:$AK,Cliente!$E17,'Base Kpi'!$AQ:$AQ,AM$5),0)</f>
        <v>0</v>
      </c>
      <c r="AN17" s="94">
        <f t="shared" si="12"/>
        <v>0</v>
      </c>
      <c r="AO17" s="95">
        <f t="shared" si="13"/>
        <v>0</v>
      </c>
      <c r="AP17" s="60">
        <f>IFERROR(AVERAGEIFS('Base Kpi'!$BD:$BD,'Base Kpi'!$AW:$AW,Cliente!$E17,'Base Kpi'!$BC:$BC,Cliente!AP$5),0)</f>
        <v>0</v>
      </c>
      <c r="AQ17" s="92">
        <f>IFERROR(AVERAGEIFS('Base Kpi'!$BD:$BD,'Base Kpi'!$AW:$AW,Cliente!$E17,'Base Kpi'!$BC:$BC,Cliente!AQ$5),0)</f>
        <v>0</v>
      </c>
      <c r="AR17" s="92">
        <f>IFERROR(AVERAGEIFS('Base Kpi'!$BD:$BD,'Base Kpi'!$AW:$AW,Cliente!$E17,'Base Kpi'!$BC:$BC,Cliente!AR$5),0)</f>
        <v>0</v>
      </c>
      <c r="AS17" s="92">
        <f>IFERROR(AVERAGEIFS('Base Kpi'!$BD:$BD,'Base Kpi'!$AW:$AW,Cliente!$E17,'Base Kpi'!$BC:$BC,Cliente!AS$5),0)</f>
        <v>0</v>
      </c>
      <c r="AT17" s="92">
        <f>IFERROR(AVERAGEIFS('Base Kpi'!$BD:$BD,'Base Kpi'!$AW:$AW,Cliente!$E17,'Base Kpi'!$BC:$BC,Cliente!AT$5),0)</f>
        <v>0</v>
      </c>
      <c r="AU17" s="94">
        <f t="shared" si="14"/>
        <v>0</v>
      </c>
      <c r="AV17" s="95">
        <f t="shared" si="15"/>
        <v>0</v>
      </c>
      <c r="AW17" s="60">
        <f>IFERROR(AVERAGEIFS('Base Kpi'!$BP:$BP,'Base Kpi'!$BI:$BI,Cliente!$E17,'Base Kpi'!$BO:$BO,Cliente!AW$5),0)</f>
        <v>21.425000000000001</v>
      </c>
      <c r="AX17" s="92">
        <f>IFERROR(AVERAGEIFS('Base Kpi'!$BP:$BP,'Base Kpi'!$BI:$BI,Cliente!$E17,'Base Kpi'!$BO:$BO,Cliente!AX$5),0)</f>
        <v>1.665</v>
      </c>
      <c r="AY17" s="92">
        <f>IFERROR(AVERAGEIFS('Base Kpi'!$BP:$BP,'Base Kpi'!$BI:$BI,Cliente!$E17,'Base Kpi'!$BO:$BO,Cliente!AY$5),0)</f>
        <v>9</v>
      </c>
      <c r="AZ17" s="92">
        <f>IFERROR(AVERAGEIFS('Base Kpi'!$BP:$BP,'Base Kpi'!$BI:$BI,Cliente!$E17,'Base Kpi'!$BO:$BO,Cliente!AZ$5),0)</f>
        <v>24.36</v>
      </c>
      <c r="BA17" s="92">
        <f>IFERROR(AVERAGEIFS('Base Kpi'!$BP:$BP,'Base Kpi'!$BI:$BI,Cliente!$E17,'Base Kpi'!$BO:$BO,Cliente!BA$5),0)</f>
        <v>0</v>
      </c>
      <c r="BB17" s="94">
        <f t="shared" si="16"/>
        <v>56.45</v>
      </c>
      <c r="BC17" s="95">
        <f t="shared" si="17"/>
        <v>0</v>
      </c>
      <c r="BD17" s="60">
        <f t="shared" si="42"/>
        <v>84.2</v>
      </c>
      <c r="BE17" s="97">
        <f t="shared" si="18"/>
        <v>1</v>
      </c>
      <c r="BF17" s="88">
        <f t="shared" si="43"/>
        <v>1</v>
      </c>
      <c r="BG17" s="60">
        <f>IFERROR(AVERAGEIFS('Base Kpi'!$CB:$CB,'Base Kpi'!$BU:$BU,Cliente!$E17,'Base Kpi'!$CA:$CA,Cliente!BG$5),0)</f>
        <v>25</v>
      </c>
      <c r="BH17" s="92">
        <f>IFERROR(AVERAGEIFS('Base Kpi'!$CB:$CB,'Base Kpi'!$BU:$BU,Cliente!$E17,'Base Kpi'!$CA:$CA,Cliente!BH$5),0)</f>
        <v>5</v>
      </c>
      <c r="BI17" s="92">
        <f>IFERROR(AVERAGEIFS('Base Kpi'!$CB:$CB,'Base Kpi'!$BU:$BU,Cliente!$E17,'Base Kpi'!$CA:$CA,Cliente!BI$5),0)</f>
        <v>12</v>
      </c>
      <c r="BJ17" s="92">
        <f>IFERROR(AVERAGEIFS('Base Kpi'!$CB:$CB,'Base Kpi'!$BU:$BU,Cliente!$E17,'Base Kpi'!$CA:$CA,Cliente!BJ$5),0)</f>
        <v>26.4</v>
      </c>
      <c r="BK17" s="92">
        <f>IFERROR(AVERAGEIFS('Base Kpi'!$CB:$CB,'Base Kpi'!$BU:$BU,Cliente!$E17,'Base Kpi'!$CA:$CA,Cliente!BK$5),0)</f>
        <v>9</v>
      </c>
      <c r="BL17" s="94">
        <f t="shared" si="19"/>
        <v>77.400000000000006</v>
      </c>
      <c r="BM17" s="95">
        <f t="shared" si="20"/>
        <v>0</v>
      </c>
      <c r="BN17" s="60">
        <f>IFERROR(AVERAGEIFS('Base Kpi'!$CN:$CN,'Base Kpi'!$CG:$CG,Cliente!$E17,'Base Kpi'!$CM:$CM,Cliente!BN$5),0)</f>
        <v>25</v>
      </c>
      <c r="BO17" s="92">
        <f>IFERROR(AVERAGEIFS('Base Kpi'!$CN:$CN,'Base Kpi'!$CG:$CG,Cliente!$E17,'Base Kpi'!$CM:$CM,Cliente!BO$5),0)</f>
        <v>5</v>
      </c>
      <c r="BP17" s="92">
        <f>IFERROR(AVERAGEIFS('Base Kpi'!$CN:$CN,'Base Kpi'!$CG:$CG,Cliente!$E17,'Base Kpi'!$CM:$CM,Cliente!BP$5),0)</f>
        <v>12</v>
      </c>
      <c r="BQ17" s="92">
        <f>IFERROR(AVERAGEIFS('Base Kpi'!$CN:$CN,'Base Kpi'!$CG:$CG,Cliente!$E17,'Base Kpi'!$CM:$CM,Cliente!BQ$5),0)</f>
        <v>30.4</v>
      </c>
      <c r="BR17" s="92">
        <f>IFERROR(AVERAGEIFS('Base Kpi'!$CN:$CN,'Base Kpi'!$CG:$CG,Cliente!$E17,'Base Kpi'!$CM:$CM,Cliente!BR$5),0)</f>
        <v>18</v>
      </c>
      <c r="BS17" s="94">
        <f t="shared" si="21"/>
        <v>90.4</v>
      </c>
      <c r="BT17" s="95">
        <f t="shared" si="22"/>
        <v>1</v>
      </c>
      <c r="BU17" s="60">
        <f>IFERROR(AVERAGEIFS('Base Kpi'!$CZ:$CZ,'Base Kpi'!$CS:$CS,Cliente!$E17,'Base Kpi'!$CY:$CY,Cliente!BU$5),0)</f>
        <v>25</v>
      </c>
      <c r="BV17" s="92">
        <f>IFERROR(AVERAGEIFS('Base Kpi'!$CZ:$CZ,'Base Kpi'!$CS:$CS,Cliente!$E17,'Base Kpi'!$CY:$CY,Cliente!BV$5),0)</f>
        <v>5</v>
      </c>
      <c r="BW17" s="92">
        <f>IFERROR(AVERAGEIFS('Base Kpi'!$CZ:$CZ,'Base Kpi'!$CS:$CS,Cliente!$E17,'Base Kpi'!$CY:$CY,Cliente!BW$5),0)</f>
        <v>12</v>
      </c>
      <c r="BX17" s="92">
        <f>IFERROR(AVERAGEIFS('Base Kpi'!$CZ:$CZ,'Base Kpi'!$CS:$CS,Cliente!$E17,'Base Kpi'!$CY:$CY,Cliente!BX$5),0)</f>
        <v>24.8</v>
      </c>
      <c r="BY17" s="92">
        <f>IFERROR(AVERAGEIFS('Base Kpi'!$CZ:$CZ,'Base Kpi'!$CS:$CS,Cliente!$E17,'Base Kpi'!$CY:$CY,Cliente!BY$5),0)</f>
        <v>18</v>
      </c>
      <c r="BZ17" s="94">
        <f t="shared" si="23"/>
        <v>84.8</v>
      </c>
      <c r="CA17" s="95">
        <f t="shared" si="24"/>
        <v>1</v>
      </c>
      <c r="CB17" s="60">
        <f t="shared" si="44"/>
        <v>89.016666666666666</v>
      </c>
      <c r="CC17" s="97">
        <f t="shared" si="45"/>
        <v>1</v>
      </c>
      <c r="CD17" s="43">
        <f t="shared" si="46"/>
        <v>1</v>
      </c>
      <c r="CE17" s="60" cm="1">
        <f t="array" ref="CE17">IFERROR(LARGE(_xlfn._xlws.FILTER('Base Kpi'!$DL:$DL,('Base Kpi'!$DK:$DK=$CE$5)*('Base Kpi'!$DE:$DE=Cliente!$E17)),1),0)</f>
        <v>27.2</v>
      </c>
      <c r="CF17" s="60" cm="1">
        <f t="array" ref="CF17">IFERROR(LARGE(_xlfn._xlws.FILTER('Base Kpi'!$DL:$DL,('Base Kpi'!$DK:$DK=$CF$5)*('Base Kpi'!$DE:$DE=Cliente!$E17)),1),0)</f>
        <v>5</v>
      </c>
      <c r="CG17" s="60" cm="1">
        <f t="array" ref="CG17">IFERROR(LARGE(_xlfn._xlws.FILTER('Base Kpi'!$DL:$DL,('Base Kpi'!$DK:$DK=$CG$5)*('Base Kpi'!$DE:$DE=Cliente!$E17)),1),0)</f>
        <v>5</v>
      </c>
      <c r="CH17" s="60" cm="1">
        <f t="array" ref="CH17">IFERROR(LARGE(_xlfn._xlws.FILTER('Base Kpi'!$DL:$DL,('Base Kpi'!$DK:$DK=$CH$5)*('Base Kpi'!$DE:$DE=Cliente!$E17)),1),0)</f>
        <v>18</v>
      </c>
      <c r="CI17" s="60" cm="1">
        <f t="array" ref="CI17">IFERROR(LARGE(_xlfn._xlws.FILTER('Base Kpi'!$DL:$DL,('Base Kpi'!$DK:$DK=$CI$5)*('Base Kpi'!$DE:$DE=Cliente!$E17)),1),0)</f>
        <v>25</v>
      </c>
      <c r="CJ17" s="60" cm="1">
        <f t="array" ref="CJ17">IFERROR(LARGE(_xlfn._xlws.FILTER('Base Kpi'!$DL:$DL,('Base Kpi'!$DK:$DK=$CJ$5)*('Base Kpi'!$DE:$DE=Cliente!$E17)),1),0)</f>
        <v>12</v>
      </c>
      <c r="CK17" s="60" cm="1">
        <f t="array" ref="CK17">IFERROR(LARGE(_xlfn._xlws.FILTER('Base Kpi'!$DL:$DL,('Base Kpi'!$DK:$DK=$CK$5)*('Base Kpi'!$DE:$DE=Cliente!$E17)),1),0)</f>
        <v>0</v>
      </c>
      <c r="CL17" s="94">
        <f t="shared" si="28"/>
        <v>92.2</v>
      </c>
      <c r="CM17" s="95">
        <f t="shared" si="47"/>
        <v>1</v>
      </c>
      <c r="CN17" s="60">
        <f>IFERROR(AVERAGEIFS('Base Kpi'!$DX:$DX,'Base Kpi'!$DQ:$DQ,Cliente!$E17,'Base Kpi'!$DW:$DW,Cliente!CN$5),0)</f>
        <v>27.2</v>
      </c>
      <c r="CO17" s="92">
        <f>IFERROR(AVERAGEIFS('Base Kpi'!$DX:$DX,'Base Kpi'!$DQ:$DQ,Cliente!$E17,'Base Kpi'!$DW:$DW,Cliente!CO$5),0)</f>
        <v>5</v>
      </c>
      <c r="CP17" s="92">
        <f>IFERROR(AVERAGEIFS('Base Kpi'!$DX:$DX,'Base Kpi'!$DQ:$DQ,Cliente!$E17,'Base Kpi'!$DW:$DW,Cliente!CP$5),0)</f>
        <v>5</v>
      </c>
      <c r="CQ17" s="92">
        <f>IFERROR(AVERAGEIFS('Base Kpi'!$DX:$DX,'Base Kpi'!$DQ:$DQ,Cliente!$E17,'Base Kpi'!$DW:$DW,Cliente!CQ$5),0)</f>
        <v>18</v>
      </c>
      <c r="CR17" s="92">
        <f>IFERROR(AVERAGEIFS('Base Kpi'!$DX:$DX,'Base Kpi'!$DQ:$DQ,Cliente!$E17,'Base Kpi'!$DW:$DW,Cliente!CR$5),0)</f>
        <v>17.850000000000001</v>
      </c>
      <c r="CS17" s="92">
        <f>IFERROR(AVERAGEIFS('Base Kpi'!$DX:$DX,'Base Kpi'!$DQ:$DQ,Cliente!$E17,'Base Kpi'!$DW:$DW,Cliente!CS$5),0)</f>
        <v>12</v>
      </c>
      <c r="CT17" s="92">
        <f>IFERROR(AVERAGEIFS('Base Kpi'!$DX:$DX,'Base Kpi'!$DQ:$DQ,Cliente!$E17,'Base Kpi'!$DW:$DW,Cliente!CT$5),0)</f>
        <v>0</v>
      </c>
      <c r="CU17" s="94">
        <f t="shared" si="48"/>
        <v>85.050000000000011</v>
      </c>
      <c r="CV17" s="95">
        <f t="shared" si="49"/>
        <v>1</v>
      </c>
      <c r="CW17" s="60">
        <f>IFERROR(AVERAGEIFS('Base Kpi'!$EJ:$EJ,'Base Kpi'!$EC:$EC,Cliente!$E17,'Base Kpi'!$EI:$EI,Cliente!CW$5),0)</f>
        <v>24.8</v>
      </c>
      <c r="CX17" s="92">
        <f>IFERROR(AVERAGEIFS('Base Kpi'!$EJ:$EJ,'Base Kpi'!$EC:$EC,Cliente!$E17,'Base Kpi'!$EI:$EI,Cliente!CX$5),0)</f>
        <v>5</v>
      </c>
      <c r="CY17" s="92">
        <f>IFERROR(AVERAGEIFS('Base Kpi'!$EJ:$EJ,'Base Kpi'!$EC:$EC,Cliente!$E17,'Base Kpi'!$EI:$EI,Cliente!CY$5),0)</f>
        <v>5</v>
      </c>
      <c r="CZ17" s="92">
        <f>IFERROR(AVERAGEIFS('Base Kpi'!$EJ:$EJ,'Base Kpi'!$EC:$EC,Cliente!$E17,'Base Kpi'!$EI:$EI,Cliente!CZ$5),0)</f>
        <v>18</v>
      </c>
      <c r="DA17" s="92">
        <f>IFERROR(AVERAGEIFS('Base Kpi'!$EJ:$EJ,'Base Kpi'!$EC:$EC,Cliente!$E17,'Base Kpi'!$EI:$EI,Cliente!DA$5),0)</f>
        <v>25</v>
      </c>
      <c r="DB17" s="92">
        <f>IFERROR(AVERAGEIFS('Base Kpi'!$EJ:$EJ,'Base Kpi'!$EC:$EC,Cliente!$E17,'Base Kpi'!$EI:$EI,Cliente!DB$5),0)</f>
        <v>12</v>
      </c>
      <c r="DC17" s="92">
        <f>IFERROR(AVERAGEIFS('Base Kpi'!$EJ:$EJ,'Base Kpi'!$EC:$EC,Cliente!$E17,'Base Kpi'!$EI:$EI,Cliente!DC$5),0)</f>
        <v>0</v>
      </c>
      <c r="DD17" s="94">
        <f t="shared" si="50"/>
        <v>89.8</v>
      </c>
      <c r="DE17" s="95">
        <f t="shared" si="51"/>
        <v>1</v>
      </c>
      <c r="DF17" s="120"/>
    </row>
    <row r="18" spans="2:110" x14ac:dyDescent="0.35">
      <c r="B18" s="52" t="s">
        <v>427</v>
      </c>
      <c r="C18" s="21">
        <v>3919</v>
      </c>
      <c r="D18" s="21" t="s">
        <v>429</v>
      </c>
      <c r="E18" s="21">
        <v>167265</v>
      </c>
      <c r="F18" s="16" t="s">
        <v>29</v>
      </c>
      <c r="G18" s="16" t="s">
        <v>239</v>
      </c>
      <c r="H18" s="16" t="s">
        <v>240</v>
      </c>
      <c r="I18" s="16" t="s">
        <v>176</v>
      </c>
      <c r="J18" s="16" t="s">
        <v>90</v>
      </c>
      <c r="K18" s="34" t="s">
        <v>51</v>
      </c>
      <c r="L18" s="60">
        <f t="shared" si="33"/>
        <v>37.177500000000002</v>
      </c>
      <c r="M18" s="97">
        <f t="shared" si="34"/>
        <v>0</v>
      </c>
      <c r="N18" s="43">
        <f t="shared" si="2"/>
        <v>0</v>
      </c>
      <c r="O18" s="60">
        <f>IFERROR(AVERAGEIFS('Base Kpi'!$I:$I,'Base Kpi'!$B:$B,Cliente!$E18,'Base Kpi'!$G:$G,Cliente!O$5),0)</f>
        <v>21.42</v>
      </c>
      <c r="P18" s="92">
        <f>IFERROR(AVERAGEIFS('Base Kpi'!$I:$I,'Base Kpi'!$B:$B,Cliente!$E18,'Base Kpi'!$G:$G,Cliente!P$5),0)</f>
        <v>0</v>
      </c>
      <c r="Q18" s="92">
        <f>IFERROR(AVERAGEIFS('Base Kpi'!$I:$I,'Base Kpi'!$B:$B,Cliente!$E18,'Base Kpi'!$G:$G,Cliente!Q$5),0)</f>
        <v>6.8</v>
      </c>
      <c r="R18" s="92">
        <f>IFERROR(AVERAGEIFS('Base Kpi'!$I:$I,'Base Kpi'!$B:$B,Cliente!$E18,'Base Kpi'!$G:$G,Cliente!R$5),0)</f>
        <v>24.75</v>
      </c>
      <c r="S18" s="94">
        <f t="shared" si="35"/>
        <v>52.97</v>
      </c>
      <c r="T18" s="95">
        <f t="shared" si="36"/>
        <v>0</v>
      </c>
      <c r="U18" s="60">
        <f>IFERROR(AVERAGEIFS('Base Kpi'!$T:$T,'Base Kpi'!$M:$M,Cliente!$E18,'Base Kpi'!$S:$S,Cliente!U$5),0)</f>
        <v>30</v>
      </c>
      <c r="V18" s="92">
        <f>IFERROR(AVERAGEIFS('Base Kpi'!$T:$T,'Base Kpi'!$M:$M,Cliente!$E18,'Base Kpi'!$S:$S,Cliente!V$5),0)</f>
        <v>8</v>
      </c>
      <c r="W18" s="92">
        <f>IFERROR(AVERAGEIFS('Base Kpi'!$T:$T,'Base Kpi'!$M:$M,Cliente!$E18,'Base Kpi'!$S:$S,Cliente!W$5),0)</f>
        <v>4.25</v>
      </c>
      <c r="X18" s="92">
        <f>IFERROR(AVERAGEIFS('Base Kpi'!$T:$T,'Base Kpi'!$M:$M,Cliente!$E18,'Base Kpi'!$S:$S,Cliente!X$5),0)</f>
        <v>16.3125</v>
      </c>
      <c r="Y18" s="94">
        <f t="shared" si="37"/>
        <v>58.5625</v>
      </c>
      <c r="Z18" s="95">
        <f t="shared" si="38"/>
        <v>0</v>
      </c>
      <c r="AA18" s="60">
        <f>IFERROR(AVERAGEIFS('Base Kpi'!$AF:$AF,'Base Kpi'!$Y:$Y,Cliente!$E18,'Base Kpi'!$AE:$AE,Cliente!AA$5),0)</f>
        <v>0</v>
      </c>
      <c r="AB18" s="92">
        <f>IFERROR(AVERAGEIFS('Base Kpi'!$AF:$AF,'Base Kpi'!$Y:$Y,Cliente!$E18,'Base Kpi'!$AE:$AE,Cliente!AB$5),0)</f>
        <v>0</v>
      </c>
      <c r="AC18" s="92">
        <f>IFERROR(AVERAGEIFS('Base Kpi'!$AF:$AF,'Base Kpi'!$Y:$Y,Cliente!$E18,'Base Kpi'!$AE:$AE,Cliente!AC$5),0)</f>
        <v>0</v>
      </c>
      <c r="AD18" s="92">
        <f>IFERROR(AVERAGEIFS('Base Kpi'!$AF:$AF,'Base Kpi'!$Y:$Y,Cliente!$E18,'Base Kpi'!$AE:$AE,Cliente!AD$5),0)</f>
        <v>0</v>
      </c>
      <c r="AE18" s="94">
        <f t="shared" si="39"/>
        <v>0</v>
      </c>
      <c r="AF18" s="95">
        <f t="shared" si="40"/>
        <v>0</v>
      </c>
      <c r="AG18" s="60">
        <f t="shared" si="9"/>
        <v>65.578333333333333</v>
      </c>
      <c r="AH18" s="97">
        <f t="shared" si="10"/>
        <v>1</v>
      </c>
      <c r="AI18" s="88">
        <f t="shared" si="41"/>
        <v>1</v>
      </c>
      <c r="AJ18" s="92">
        <f>IFERROR(AVERAGEIFS('Base Kpi'!$AR:$AR,'Base Kpi'!$AK:$AK,Cliente!$E18,'Base Kpi'!$AQ:$AQ,AJ$5),0)</f>
        <v>25</v>
      </c>
      <c r="AK18" s="92">
        <f>IFERROR(AVERAGEIFS('Base Kpi'!$AR:$AR,'Base Kpi'!$AK:$AK,Cliente!$E18,'Base Kpi'!$AQ:$AQ,AK$5),0)</f>
        <v>2.5</v>
      </c>
      <c r="AL18" s="92">
        <f>IFERROR(AVERAGEIFS('Base Kpi'!$AR:$AR,'Base Kpi'!$AK:$AK,Cliente!$E18,'Base Kpi'!$AQ:$AQ,AL$5),0)</f>
        <v>12</v>
      </c>
      <c r="AM18" s="92">
        <f>IFERROR(AVERAGEIFS('Base Kpi'!$AR:$AR,'Base Kpi'!$AK:$AK,Cliente!$E18,'Base Kpi'!$AQ:$AQ,AM$5),0)</f>
        <v>31.32</v>
      </c>
      <c r="AN18" s="94">
        <f t="shared" si="12"/>
        <v>70.819999999999993</v>
      </c>
      <c r="AO18" s="95">
        <f t="shared" si="13"/>
        <v>0</v>
      </c>
      <c r="AP18" s="60">
        <f>IFERROR(AVERAGEIFS('Base Kpi'!$BD:$BD,'Base Kpi'!$AW:$AW,Cliente!$E18,'Base Kpi'!$BC:$BC,Cliente!AP$5),0)</f>
        <v>25</v>
      </c>
      <c r="AQ18" s="92">
        <f>IFERROR(AVERAGEIFS('Base Kpi'!$BD:$BD,'Base Kpi'!$AW:$AW,Cliente!$E18,'Base Kpi'!$BC:$BC,Cliente!AQ$5),0)</f>
        <v>1.665</v>
      </c>
      <c r="AR18" s="92">
        <f>IFERROR(AVERAGEIFS('Base Kpi'!$BD:$BD,'Base Kpi'!$AW:$AW,Cliente!$E18,'Base Kpi'!$BC:$BC,Cliente!AR$5),0)</f>
        <v>12</v>
      </c>
      <c r="AS18" s="92">
        <f>IFERROR(AVERAGEIFS('Base Kpi'!$BD:$BD,'Base Kpi'!$AW:$AW,Cliente!$E18,'Base Kpi'!$BC:$BC,Cliente!AS$5),0)</f>
        <v>28.68</v>
      </c>
      <c r="AT18" s="92">
        <f>IFERROR(AVERAGEIFS('Base Kpi'!$BD:$BD,'Base Kpi'!$AW:$AW,Cliente!$E18,'Base Kpi'!$BC:$BC,Cliente!AT$5),0)</f>
        <v>0</v>
      </c>
      <c r="AU18" s="94">
        <f t="shared" si="14"/>
        <v>67.344999999999999</v>
      </c>
      <c r="AV18" s="95">
        <f t="shared" si="15"/>
        <v>0</v>
      </c>
      <c r="AW18" s="60">
        <f>IFERROR(AVERAGEIFS('Base Kpi'!$BP:$BP,'Base Kpi'!$BI:$BI,Cliente!$E18,'Base Kpi'!$BO:$BO,Cliente!AW$5),0)</f>
        <v>21.425000000000001</v>
      </c>
      <c r="AX18" s="92">
        <f>IFERROR(AVERAGEIFS('Base Kpi'!$BP:$BP,'Base Kpi'!$BI:$BI,Cliente!$E18,'Base Kpi'!$BO:$BO,Cliente!AX$5),0)</f>
        <v>1.665</v>
      </c>
      <c r="AY18" s="92">
        <f>IFERROR(AVERAGEIFS('Base Kpi'!$BP:$BP,'Base Kpi'!$BI:$BI,Cliente!$E18,'Base Kpi'!$BO:$BO,Cliente!AY$5),0)</f>
        <v>12</v>
      </c>
      <c r="AZ18" s="92">
        <f>IFERROR(AVERAGEIFS('Base Kpi'!$BP:$BP,'Base Kpi'!$BI:$BI,Cliente!$E18,'Base Kpi'!$BO:$BO,Cliente!AZ$5),0)</f>
        <v>23.48</v>
      </c>
      <c r="BA18" s="92">
        <f>IFERROR(AVERAGEIFS('Base Kpi'!$BP:$BP,'Base Kpi'!$BI:$BI,Cliente!$E18,'Base Kpi'!$BO:$BO,Cliente!BA$5),0)</f>
        <v>0</v>
      </c>
      <c r="BB18" s="94">
        <f t="shared" si="16"/>
        <v>58.570000000000007</v>
      </c>
      <c r="BC18" s="95">
        <f t="shared" si="17"/>
        <v>0</v>
      </c>
      <c r="BD18" s="60">
        <f t="shared" si="42"/>
        <v>77.350000000000009</v>
      </c>
      <c r="BE18" s="97">
        <f t="shared" si="18"/>
        <v>1</v>
      </c>
      <c r="BF18" s="88">
        <f t="shared" si="43"/>
        <v>0</v>
      </c>
      <c r="BG18" s="60">
        <f>IFERROR(AVERAGEIFS('Base Kpi'!$CB:$CB,'Base Kpi'!$BU:$BU,Cliente!$E18,'Base Kpi'!$CA:$CA,Cliente!BG$5),0)</f>
        <v>21.425000000000001</v>
      </c>
      <c r="BH18" s="92">
        <f>IFERROR(AVERAGEIFS('Base Kpi'!$CB:$CB,'Base Kpi'!$BU:$BU,Cliente!$E18,'Base Kpi'!$CA:$CA,Cliente!BH$5),0)</f>
        <v>5</v>
      </c>
      <c r="BI18" s="92">
        <f>IFERROR(AVERAGEIFS('Base Kpi'!$CB:$CB,'Base Kpi'!$BU:$BU,Cliente!$E18,'Base Kpi'!$CA:$CA,Cliente!BI$5),0)</f>
        <v>12</v>
      </c>
      <c r="BJ18" s="92">
        <f>IFERROR(AVERAGEIFS('Base Kpi'!$CB:$CB,'Base Kpi'!$BU:$BU,Cliente!$E18,'Base Kpi'!$CA:$CA,Cliente!BJ$5),0)</f>
        <v>25.6</v>
      </c>
      <c r="BK18" s="92">
        <f>IFERROR(AVERAGEIFS('Base Kpi'!$CB:$CB,'Base Kpi'!$BU:$BU,Cliente!$E18,'Base Kpi'!$CA:$CA,Cliente!BK$5),0)</f>
        <v>9</v>
      </c>
      <c r="BL18" s="94">
        <f t="shared" si="19"/>
        <v>73.025000000000006</v>
      </c>
      <c r="BM18" s="95">
        <f t="shared" si="20"/>
        <v>0</v>
      </c>
      <c r="BN18" s="60">
        <f>IFERROR(AVERAGEIFS('Base Kpi'!$CN:$CN,'Base Kpi'!$CG:$CG,Cliente!$E18,'Base Kpi'!$CM:$CM,Cliente!BN$5),0)</f>
        <v>21.425000000000001</v>
      </c>
      <c r="BO18" s="92">
        <f>IFERROR(AVERAGEIFS('Base Kpi'!$CN:$CN,'Base Kpi'!$CG:$CG,Cliente!$E18,'Base Kpi'!$CM:$CM,Cliente!BO$5),0)</f>
        <v>5</v>
      </c>
      <c r="BP18" s="92">
        <f>IFERROR(AVERAGEIFS('Base Kpi'!$CN:$CN,'Base Kpi'!$CG:$CG,Cliente!$E18,'Base Kpi'!$CM:$CM,Cliente!BP$5),0)</f>
        <v>12</v>
      </c>
      <c r="BQ18" s="92">
        <f>IFERROR(AVERAGEIFS('Base Kpi'!$CN:$CN,'Base Kpi'!$CG:$CG,Cliente!$E18,'Base Kpi'!$CM:$CM,Cliente!BQ$5),0)</f>
        <v>31.2</v>
      </c>
      <c r="BR18" s="92">
        <f>IFERROR(AVERAGEIFS('Base Kpi'!$CN:$CN,'Base Kpi'!$CG:$CG,Cliente!$E18,'Base Kpi'!$CM:$CM,Cliente!BR$5),0)</f>
        <v>18</v>
      </c>
      <c r="BS18" s="94">
        <f t="shared" si="21"/>
        <v>87.625</v>
      </c>
      <c r="BT18" s="95">
        <f t="shared" si="22"/>
        <v>1</v>
      </c>
      <c r="BU18" s="60">
        <f>IFERROR(AVERAGEIFS('Base Kpi'!$CZ:$CZ,'Base Kpi'!$CS:$CS,Cliente!$E18,'Base Kpi'!$CY:$CY,Cliente!BU$5),0)</f>
        <v>25</v>
      </c>
      <c r="BV18" s="92">
        <f>IFERROR(AVERAGEIFS('Base Kpi'!$CZ:$CZ,'Base Kpi'!$CS:$CS,Cliente!$E18,'Base Kpi'!$CY:$CY,Cliente!BV$5),0)</f>
        <v>5</v>
      </c>
      <c r="BW18" s="92">
        <f>IFERROR(AVERAGEIFS('Base Kpi'!$CZ:$CZ,'Base Kpi'!$CS:$CS,Cliente!$E18,'Base Kpi'!$CY:$CY,Cliente!BW$5),0)</f>
        <v>9</v>
      </c>
      <c r="BX18" s="92">
        <f>IFERROR(AVERAGEIFS('Base Kpi'!$CZ:$CZ,'Base Kpi'!$CS:$CS,Cliente!$E18,'Base Kpi'!$CY:$CY,Cliente!BX$5),0)</f>
        <v>14.4</v>
      </c>
      <c r="BY18" s="92">
        <f>IFERROR(AVERAGEIFS('Base Kpi'!$CZ:$CZ,'Base Kpi'!$CS:$CS,Cliente!$E18,'Base Kpi'!$CY:$CY,Cliente!BY$5),0)</f>
        <v>18</v>
      </c>
      <c r="BZ18" s="94">
        <f t="shared" si="23"/>
        <v>71.400000000000006</v>
      </c>
      <c r="CA18" s="95">
        <f t="shared" si="24"/>
        <v>0</v>
      </c>
      <c r="CB18" s="60">
        <f t="shared" si="44"/>
        <v>90.083333333333329</v>
      </c>
      <c r="CC18" s="97">
        <f t="shared" si="45"/>
        <v>1</v>
      </c>
      <c r="CD18" s="43">
        <f t="shared" si="46"/>
        <v>1</v>
      </c>
      <c r="CE18" s="60" cm="1">
        <f t="array" ref="CE18">IFERROR(LARGE(_xlfn._xlws.FILTER('Base Kpi'!$DL:$DL,('Base Kpi'!$DK:$DK=$CE$5)*('Base Kpi'!$DE:$DE=Cliente!$E18)),1),0)</f>
        <v>29.6</v>
      </c>
      <c r="CF18" s="60" cm="1">
        <f t="array" ref="CF18">IFERROR(LARGE(_xlfn._xlws.FILTER('Base Kpi'!$DL:$DL,('Base Kpi'!$DK:$DK=$CF$5)*('Base Kpi'!$DE:$DE=Cliente!$E18)),1),0)</f>
        <v>5</v>
      </c>
      <c r="CG18" s="60" cm="1">
        <f t="array" ref="CG18">IFERROR(LARGE(_xlfn._xlws.FILTER('Base Kpi'!$DL:$DL,('Base Kpi'!$DK:$DK=$CG$5)*('Base Kpi'!$DE:$DE=Cliente!$E18)),1),0)</f>
        <v>5</v>
      </c>
      <c r="CH18" s="60" cm="1">
        <f t="array" ref="CH18">IFERROR(LARGE(_xlfn._xlws.FILTER('Base Kpi'!$DL:$DL,('Base Kpi'!$DK:$DK=$CH$5)*('Base Kpi'!$DE:$DE=Cliente!$E18)),1),0)</f>
        <v>18</v>
      </c>
      <c r="CI18" s="60" cm="1">
        <f t="array" ref="CI18">IFERROR(LARGE(_xlfn._xlws.FILTER('Base Kpi'!$DL:$DL,('Base Kpi'!$DK:$DK=$CI$5)*('Base Kpi'!$DE:$DE=Cliente!$E18)),1),0)</f>
        <v>25</v>
      </c>
      <c r="CJ18" s="60" cm="1">
        <f t="array" ref="CJ18">IFERROR(LARGE(_xlfn._xlws.FILTER('Base Kpi'!$DL:$DL,('Base Kpi'!$DK:$DK=$CJ$5)*('Base Kpi'!$DE:$DE=Cliente!$E18)),1),0)</f>
        <v>12</v>
      </c>
      <c r="CK18" s="60" cm="1">
        <f t="array" ref="CK18">IFERROR(LARGE(_xlfn._xlws.FILTER('Base Kpi'!$DL:$DL,('Base Kpi'!$DK:$DK=$CK$5)*('Base Kpi'!$DE:$DE=Cliente!$E18)),1),0)</f>
        <v>0</v>
      </c>
      <c r="CL18" s="94">
        <f t="shared" si="28"/>
        <v>94.6</v>
      </c>
      <c r="CM18" s="95">
        <f t="shared" si="47"/>
        <v>1</v>
      </c>
      <c r="CN18" s="60">
        <f>IFERROR(AVERAGEIFS('Base Kpi'!$DX:$DX,'Base Kpi'!$DQ:$DQ,Cliente!$E18,'Base Kpi'!$DW:$DW,Cliente!CN$5),0)</f>
        <v>26.4</v>
      </c>
      <c r="CO18" s="92">
        <f>IFERROR(AVERAGEIFS('Base Kpi'!$DX:$DX,'Base Kpi'!$DQ:$DQ,Cliente!$E18,'Base Kpi'!$DW:$DW,Cliente!CO$5),0)</f>
        <v>5</v>
      </c>
      <c r="CP18" s="92">
        <f>IFERROR(AVERAGEIFS('Base Kpi'!$DX:$DX,'Base Kpi'!$DQ:$DQ,Cliente!$E18,'Base Kpi'!$DW:$DW,Cliente!CP$5),0)</f>
        <v>5</v>
      </c>
      <c r="CQ18" s="92">
        <f>IFERROR(AVERAGEIFS('Base Kpi'!$DX:$DX,'Base Kpi'!$DQ:$DQ,Cliente!$E18,'Base Kpi'!$DW:$DW,Cliente!CQ$5),0)</f>
        <v>18</v>
      </c>
      <c r="CR18" s="92">
        <f>IFERROR(AVERAGEIFS('Base Kpi'!$DX:$DX,'Base Kpi'!$DQ:$DQ,Cliente!$E18,'Base Kpi'!$DW:$DW,Cliente!CR$5),0)</f>
        <v>21.425000000000001</v>
      </c>
      <c r="CS18" s="92">
        <f>IFERROR(AVERAGEIFS('Base Kpi'!$DX:$DX,'Base Kpi'!$DQ:$DQ,Cliente!$E18,'Base Kpi'!$DW:$DW,Cliente!CS$5),0)</f>
        <v>12</v>
      </c>
      <c r="CT18" s="92">
        <f>IFERROR(AVERAGEIFS('Base Kpi'!$DX:$DX,'Base Kpi'!$DQ:$DQ,Cliente!$E18,'Base Kpi'!$DW:$DW,Cliente!CT$5),0)</f>
        <v>0</v>
      </c>
      <c r="CU18" s="94">
        <f t="shared" si="48"/>
        <v>87.825000000000003</v>
      </c>
      <c r="CV18" s="95">
        <f t="shared" si="49"/>
        <v>1</v>
      </c>
      <c r="CW18" s="60">
        <f>IFERROR(AVERAGEIFS('Base Kpi'!$EJ:$EJ,'Base Kpi'!$EC:$EC,Cliente!$E18,'Base Kpi'!$EI:$EI,Cliente!CW$5),0)</f>
        <v>26.4</v>
      </c>
      <c r="CX18" s="92">
        <f>IFERROR(AVERAGEIFS('Base Kpi'!$EJ:$EJ,'Base Kpi'!$EC:$EC,Cliente!$E18,'Base Kpi'!$EI:$EI,Cliente!CX$5),0)</f>
        <v>5</v>
      </c>
      <c r="CY18" s="92">
        <f>IFERROR(AVERAGEIFS('Base Kpi'!$EJ:$EJ,'Base Kpi'!$EC:$EC,Cliente!$E18,'Base Kpi'!$EI:$EI,Cliente!CY$5),0)</f>
        <v>5</v>
      </c>
      <c r="CZ18" s="92">
        <f>IFERROR(AVERAGEIFS('Base Kpi'!$EJ:$EJ,'Base Kpi'!$EC:$EC,Cliente!$E18,'Base Kpi'!$EI:$EI,Cliente!CZ$5),0)</f>
        <v>18</v>
      </c>
      <c r="DA18" s="92">
        <f>IFERROR(AVERAGEIFS('Base Kpi'!$EJ:$EJ,'Base Kpi'!$EC:$EC,Cliente!$E18,'Base Kpi'!$EI:$EI,Cliente!DA$5),0)</f>
        <v>21.425000000000001</v>
      </c>
      <c r="DB18" s="92">
        <f>IFERROR(AVERAGEIFS('Base Kpi'!$EJ:$EJ,'Base Kpi'!$EC:$EC,Cliente!$E18,'Base Kpi'!$EI:$EI,Cliente!DB$5),0)</f>
        <v>12</v>
      </c>
      <c r="DC18" s="92">
        <f>IFERROR(AVERAGEIFS('Base Kpi'!$EJ:$EJ,'Base Kpi'!$EC:$EC,Cliente!$E18,'Base Kpi'!$EI:$EI,Cliente!DC$5),0)</f>
        <v>0</v>
      </c>
      <c r="DD18" s="94">
        <f t="shared" si="50"/>
        <v>87.825000000000003</v>
      </c>
      <c r="DE18" s="95">
        <f t="shared" si="51"/>
        <v>1</v>
      </c>
      <c r="DF18" s="120"/>
    </row>
    <row r="19" spans="2:110" x14ac:dyDescent="0.35">
      <c r="B19" s="52" t="s">
        <v>427</v>
      </c>
      <c r="C19" s="21">
        <v>3919</v>
      </c>
      <c r="D19" s="21" t="s">
        <v>429</v>
      </c>
      <c r="E19" s="21">
        <v>182592</v>
      </c>
      <c r="F19" s="16" t="s">
        <v>159</v>
      </c>
      <c r="G19" s="16" t="s">
        <v>179</v>
      </c>
      <c r="H19" s="16" t="s">
        <v>310</v>
      </c>
      <c r="I19" s="16" t="s">
        <v>306</v>
      </c>
      <c r="J19" s="16" t="s">
        <v>90</v>
      </c>
      <c r="K19" s="34" t="s">
        <v>156</v>
      </c>
      <c r="L19" s="60">
        <f t="shared" si="33"/>
        <v>58.330833333333338</v>
      </c>
      <c r="M19" s="97">
        <f t="shared" si="34"/>
        <v>1</v>
      </c>
      <c r="N19" s="43">
        <f t="shared" si="2"/>
        <v>0</v>
      </c>
      <c r="O19" s="60">
        <f>IFERROR(AVERAGEIFS('Base Kpi'!$I:$I,'Base Kpi'!$B:$B,Cliente!$E19,'Base Kpi'!$G:$G,Cliente!O$5),0)</f>
        <v>25.71</v>
      </c>
      <c r="P19" s="92">
        <f>IFERROR(AVERAGEIFS('Base Kpi'!$I:$I,'Base Kpi'!$B:$B,Cliente!$E19,'Base Kpi'!$G:$G,Cliente!P$5),0)</f>
        <v>0</v>
      </c>
      <c r="Q19" s="92">
        <f>IFERROR(AVERAGEIFS('Base Kpi'!$I:$I,'Base Kpi'!$B:$B,Cliente!$E19,'Base Kpi'!$G:$G,Cliente!Q$5),0)</f>
        <v>6.8</v>
      </c>
      <c r="R19" s="92">
        <f>IFERROR(AVERAGEIFS('Base Kpi'!$I:$I,'Base Kpi'!$B:$B,Cliente!$E19,'Base Kpi'!$G:$G,Cliente!R$5),0)</f>
        <v>16.3125</v>
      </c>
      <c r="S19" s="94">
        <f t="shared" si="35"/>
        <v>48.822499999999998</v>
      </c>
      <c r="T19" s="95">
        <f t="shared" si="36"/>
        <v>0</v>
      </c>
      <c r="U19" s="60">
        <f>IFERROR(AVERAGEIFS('Base Kpi'!$T:$T,'Base Kpi'!$M:$M,Cliente!$E19,'Base Kpi'!$S:$S,Cliente!U$5),0)</f>
        <v>25.71</v>
      </c>
      <c r="V19" s="92">
        <f>IFERROR(AVERAGEIFS('Base Kpi'!$T:$T,'Base Kpi'!$M:$M,Cliente!$E19,'Base Kpi'!$S:$S,Cliente!V$5),0)</f>
        <v>0</v>
      </c>
      <c r="W19" s="92">
        <f>IFERROR(AVERAGEIFS('Base Kpi'!$T:$T,'Base Kpi'!$M:$M,Cliente!$E19,'Base Kpi'!$S:$S,Cliente!W$5),0)</f>
        <v>4.25</v>
      </c>
      <c r="X19" s="92">
        <f>IFERROR(AVERAGEIFS('Base Kpi'!$T:$T,'Base Kpi'!$M:$M,Cliente!$E19,'Base Kpi'!$S:$S,Cliente!X$5),0)</f>
        <v>16.875</v>
      </c>
      <c r="Y19" s="94">
        <f t="shared" si="37"/>
        <v>46.835000000000001</v>
      </c>
      <c r="Z19" s="95">
        <f t="shared" si="38"/>
        <v>0</v>
      </c>
      <c r="AA19" s="60">
        <f>IFERROR(AVERAGEIFS('Base Kpi'!$AF:$AF,'Base Kpi'!$Y:$Y,Cliente!$E19,'Base Kpi'!$AE:$AE,Cliente!AA$5),0)</f>
        <v>25.71</v>
      </c>
      <c r="AB19" s="92">
        <f>IFERROR(AVERAGEIFS('Base Kpi'!$AF:$AF,'Base Kpi'!$Y:$Y,Cliente!$E19,'Base Kpi'!$AE:$AE,Cliente!AB$5),0)</f>
        <v>8</v>
      </c>
      <c r="AC19" s="92">
        <f>IFERROR(AVERAGEIFS('Base Kpi'!$AF:$AF,'Base Kpi'!$Y:$Y,Cliente!$E19,'Base Kpi'!$AE:$AE,Cliente!AC$5),0)</f>
        <v>8.5</v>
      </c>
      <c r="AD19" s="92">
        <f>IFERROR(AVERAGEIFS('Base Kpi'!$AF:$AF,'Base Kpi'!$Y:$Y,Cliente!$E19,'Base Kpi'!$AE:$AE,Cliente!AD$5),0)</f>
        <v>37.125</v>
      </c>
      <c r="AE19" s="94">
        <f t="shared" si="39"/>
        <v>79.335000000000008</v>
      </c>
      <c r="AF19" s="95">
        <f t="shared" si="40"/>
        <v>0</v>
      </c>
      <c r="AG19" s="60">
        <f t="shared" si="9"/>
        <v>62.03</v>
      </c>
      <c r="AH19" s="97">
        <f t="shared" si="10"/>
        <v>1</v>
      </c>
      <c r="AI19" s="88">
        <f t="shared" si="41"/>
        <v>1</v>
      </c>
      <c r="AJ19" s="92">
        <f>IFERROR(AVERAGEIFS('Base Kpi'!$AR:$AR,'Base Kpi'!$AK:$AK,Cliente!$E19,'Base Kpi'!$AQ:$AQ,AJ$5),0)</f>
        <v>21.425000000000001</v>
      </c>
      <c r="AK19" s="92">
        <f>IFERROR(AVERAGEIFS('Base Kpi'!$AR:$AR,'Base Kpi'!$AK:$AK,Cliente!$E19,'Base Kpi'!$AQ:$AQ,AK$5),0)</f>
        <v>2.5</v>
      </c>
      <c r="AL19" s="92">
        <f>IFERROR(AVERAGEIFS('Base Kpi'!$AR:$AR,'Base Kpi'!$AK:$AK,Cliente!$E19,'Base Kpi'!$AQ:$AQ,AL$5),0)</f>
        <v>9</v>
      </c>
      <c r="AM19" s="92">
        <f>IFERROR(AVERAGEIFS('Base Kpi'!$AR:$AR,'Base Kpi'!$AK:$AK,Cliente!$E19,'Base Kpi'!$AQ:$AQ,AM$5),0)</f>
        <v>30.44</v>
      </c>
      <c r="AN19" s="94">
        <f t="shared" si="12"/>
        <v>63.364999999999995</v>
      </c>
      <c r="AO19" s="95">
        <f t="shared" si="13"/>
        <v>0</v>
      </c>
      <c r="AP19" s="60">
        <f>IFERROR(AVERAGEIFS('Base Kpi'!$BD:$BD,'Base Kpi'!$AW:$AW,Cliente!$E19,'Base Kpi'!$BC:$BC,Cliente!AP$5),0)</f>
        <v>21.425000000000001</v>
      </c>
      <c r="AQ19" s="92">
        <f>IFERROR(AVERAGEIFS('Base Kpi'!$BD:$BD,'Base Kpi'!$AW:$AW,Cliente!$E19,'Base Kpi'!$BC:$BC,Cliente!AQ$5),0)</f>
        <v>1.665</v>
      </c>
      <c r="AR19" s="92">
        <f>IFERROR(AVERAGEIFS('Base Kpi'!$BD:$BD,'Base Kpi'!$AW:$AW,Cliente!$E19,'Base Kpi'!$BC:$BC,Cliente!AR$5),0)</f>
        <v>9</v>
      </c>
      <c r="AS19" s="92">
        <f>IFERROR(AVERAGEIFS('Base Kpi'!$BD:$BD,'Base Kpi'!$AW:$AW,Cliente!$E19,'Base Kpi'!$BC:$BC,Cliente!AS$5),0)</f>
        <v>32.159999999999997</v>
      </c>
      <c r="AT19" s="92">
        <f>IFERROR(AVERAGEIFS('Base Kpi'!$BD:$BD,'Base Kpi'!$AW:$AW,Cliente!$E19,'Base Kpi'!$BC:$BC,Cliente!AT$5),0)</f>
        <v>0</v>
      </c>
      <c r="AU19" s="94">
        <f t="shared" si="14"/>
        <v>64.25</v>
      </c>
      <c r="AV19" s="95">
        <f t="shared" si="15"/>
        <v>0</v>
      </c>
      <c r="AW19" s="60">
        <f>IFERROR(AVERAGEIFS('Base Kpi'!$BP:$BP,'Base Kpi'!$BI:$BI,Cliente!$E19,'Base Kpi'!$BO:$BO,Cliente!AW$5),0)</f>
        <v>17.850000000000001</v>
      </c>
      <c r="AX19" s="92">
        <f>IFERROR(AVERAGEIFS('Base Kpi'!$BP:$BP,'Base Kpi'!$BI:$BI,Cliente!$E19,'Base Kpi'!$BO:$BO,Cliente!AX$5),0)</f>
        <v>1.665</v>
      </c>
      <c r="AY19" s="92">
        <f>IFERROR(AVERAGEIFS('Base Kpi'!$BP:$BP,'Base Kpi'!$BI:$BI,Cliente!$E19,'Base Kpi'!$BO:$BO,Cliente!AY$5),0)</f>
        <v>12</v>
      </c>
      <c r="AZ19" s="92">
        <f>IFERROR(AVERAGEIFS('Base Kpi'!$BP:$BP,'Base Kpi'!$BI:$BI,Cliente!$E19,'Base Kpi'!$BO:$BO,Cliente!AZ$5),0)</f>
        <v>26.96</v>
      </c>
      <c r="BA19" s="92">
        <f>IFERROR(AVERAGEIFS('Base Kpi'!$BP:$BP,'Base Kpi'!$BI:$BI,Cliente!$E19,'Base Kpi'!$BO:$BO,Cliente!BA$5),0)</f>
        <v>0</v>
      </c>
      <c r="BB19" s="94">
        <f t="shared" si="16"/>
        <v>58.475000000000001</v>
      </c>
      <c r="BC19" s="95">
        <f t="shared" si="17"/>
        <v>0</v>
      </c>
      <c r="BD19" s="60">
        <f t="shared" si="42"/>
        <v>77.158333333333346</v>
      </c>
      <c r="BE19" s="97">
        <f t="shared" si="18"/>
        <v>1</v>
      </c>
      <c r="BF19" s="88">
        <f t="shared" si="43"/>
        <v>0</v>
      </c>
      <c r="BG19" s="60">
        <f>IFERROR(AVERAGEIFS('Base Kpi'!$CB:$CB,'Base Kpi'!$BU:$BU,Cliente!$E19,'Base Kpi'!$CA:$CA,Cliente!BG$5),0)</f>
        <v>21.425000000000001</v>
      </c>
      <c r="BH19" s="92">
        <f>IFERROR(AVERAGEIFS('Base Kpi'!$CB:$CB,'Base Kpi'!$BU:$BU,Cliente!$E19,'Base Kpi'!$CA:$CA,Cliente!BH$5),0)</f>
        <v>5</v>
      </c>
      <c r="BI19" s="92">
        <f>IFERROR(AVERAGEIFS('Base Kpi'!$CB:$CB,'Base Kpi'!$BU:$BU,Cliente!$E19,'Base Kpi'!$CA:$CA,Cliente!BI$5),0)</f>
        <v>12</v>
      </c>
      <c r="BJ19" s="92">
        <f>IFERROR(AVERAGEIFS('Base Kpi'!$CB:$CB,'Base Kpi'!$BU:$BU,Cliente!$E19,'Base Kpi'!$CA:$CA,Cliente!BJ$5),0)</f>
        <v>29.6</v>
      </c>
      <c r="BK19" s="92">
        <f>IFERROR(AVERAGEIFS('Base Kpi'!$CB:$CB,'Base Kpi'!$BU:$BU,Cliente!$E19,'Base Kpi'!$CA:$CA,Cliente!BK$5),0)</f>
        <v>9</v>
      </c>
      <c r="BL19" s="94">
        <f t="shared" si="19"/>
        <v>77.025000000000006</v>
      </c>
      <c r="BM19" s="95">
        <f t="shared" si="20"/>
        <v>0</v>
      </c>
      <c r="BN19" s="60">
        <f>IFERROR(AVERAGEIFS('Base Kpi'!$CN:$CN,'Base Kpi'!$CG:$CG,Cliente!$E19,'Base Kpi'!$CM:$CM,Cliente!BN$5),0)</f>
        <v>21.425000000000001</v>
      </c>
      <c r="BO19" s="92">
        <f>IFERROR(AVERAGEIFS('Base Kpi'!$CN:$CN,'Base Kpi'!$CG:$CG,Cliente!$E19,'Base Kpi'!$CM:$CM,Cliente!BO$5),0)</f>
        <v>5</v>
      </c>
      <c r="BP19" s="92">
        <f>IFERROR(AVERAGEIFS('Base Kpi'!$CN:$CN,'Base Kpi'!$CG:$CG,Cliente!$E19,'Base Kpi'!$CM:$CM,Cliente!BP$5),0)</f>
        <v>9</v>
      </c>
      <c r="BQ19" s="92">
        <f>IFERROR(AVERAGEIFS('Base Kpi'!$CN:$CN,'Base Kpi'!$CG:$CG,Cliente!$E19,'Base Kpi'!$CM:$CM,Cliente!BQ$5),0)</f>
        <v>25.6</v>
      </c>
      <c r="BR19" s="92">
        <f>IFERROR(AVERAGEIFS('Base Kpi'!$CN:$CN,'Base Kpi'!$CG:$CG,Cliente!$E19,'Base Kpi'!$CM:$CM,Cliente!BR$5),0)</f>
        <v>18</v>
      </c>
      <c r="BS19" s="94">
        <f t="shared" si="21"/>
        <v>79.025000000000006</v>
      </c>
      <c r="BT19" s="95">
        <f t="shared" si="22"/>
        <v>0</v>
      </c>
      <c r="BU19" s="60">
        <f>IFERROR(AVERAGEIFS('Base Kpi'!$CZ:$CZ,'Base Kpi'!$CS:$CS,Cliente!$E19,'Base Kpi'!$CY:$CY,Cliente!BU$5),0)</f>
        <v>21.425000000000001</v>
      </c>
      <c r="BV19" s="92">
        <f>IFERROR(AVERAGEIFS('Base Kpi'!$CZ:$CZ,'Base Kpi'!$CS:$CS,Cliente!$E19,'Base Kpi'!$CY:$CY,Cliente!BV$5),0)</f>
        <v>5</v>
      </c>
      <c r="BW19" s="92">
        <f>IFERROR(AVERAGEIFS('Base Kpi'!$CZ:$CZ,'Base Kpi'!$CS:$CS,Cliente!$E19,'Base Kpi'!$CY:$CY,Cliente!BW$5),0)</f>
        <v>12</v>
      </c>
      <c r="BX19" s="92">
        <f>IFERROR(AVERAGEIFS('Base Kpi'!$CZ:$CZ,'Base Kpi'!$CS:$CS,Cliente!$E19,'Base Kpi'!$CY:$CY,Cliente!BX$5),0)</f>
        <v>28</v>
      </c>
      <c r="BY19" s="92">
        <f>IFERROR(AVERAGEIFS('Base Kpi'!$CZ:$CZ,'Base Kpi'!$CS:$CS,Cliente!$E19,'Base Kpi'!$CY:$CY,Cliente!BY$5),0)</f>
        <v>9</v>
      </c>
      <c r="BZ19" s="94">
        <f t="shared" si="23"/>
        <v>75.424999999999997</v>
      </c>
      <c r="CA19" s="95">
        <f t="shared" si="24"/>
        <v>0</v>
      </c>
      <c r="CB19" s="60">
        <f t="shared" si="44"/>
        <v>86.046666666666667</v>
      </c>
      <c r="CC19" s="97">
        <f t="shared" si="45"/>
        <v>1</v>
      </c>
      <c r="CD19" s="43">
        <f t="shared" si="46"/>
        <v>1</v>
      </c>
      <c r="CE19" s="60" cm="1">
        <f t="array" ref="CE19">IFERROR(LARGE(_xlfn._xlws.FILTER('Base Kpi'!$DL:$DL,('Base Kpi'!$DK:$DK=$CE$5)*('Base Kpi'!$DE:$DE=Cliente!$E19)),1),0)</f>
        <v>29.6</v>
      </c>
      <c r="CF19" s="60" cm="1">
        <f t="array" ref="CF19">IFERROR(LARGE(_xlfn._xlws.FILTER('Base Kpi'!$DL:$DL,('Base Kpi'!$DK:$DK=$CF$5)*('Base Kpi'!$DE:$DE=Cliente!$E19)),1),0)</f>
        <v>5</v>
      </c>
      <c r="CG19" s="60" cm="1">
        <f t="array" ref="CG19">IFERROR(LARGE(_xlfn._xlws.FILTER('Base Kpi'!$DL:$DL,('Base Kpi'!$DK:$DK=$CG$5)*('Base Kpi'!$DE:$DE=Cliente!$E19)),1),0)</f>
        <v>1.665</v>
      </c>
      <c r="CH19" s="60" cm="1">
        <f t="array" ref="CH19">IFERROR(LARGE(_xlfn._xlws.FILTER('Base Kpi'!$DL:$DL,('Base Kpi'!$DK:$DK=$CH$5)*('Base Kpi'!$DE:$DE=Cliente!$E19)),1),0)</f>
        <v>0</v>
      </c>
      <c r="CI19" s="60" cm="1">
        <f t="array" ref="CI19">IFERROR(LARGE(_xlfn._xlws.FILTER('Base Kpi'!$DL:$DL,('Base Kpi'!$DK:$DK=$CI$5)*('Base Kpi'!$DE:$DE=Cliente!$E19)),1),0)</f>
        <v>21.425000000000001</v>
      </c>
      <c r="CJ19" s="60" cm="1">
        <f t="array" ref="CJ19">IFERROR(LARGE(_xlfn._xlws.FILTER('Base Kpi'!$DL:$DL,('Base Kpi'!$DK:$DK=$CJ$5)*('Base Kpi'!$DE:$DE=Cliente!$E19)),1),0)</f>
        <v>12</v>
      </c>
      <c r="CK19" s="60" cm="1">
        <f t="array" ref="CK19">IFERROR(LARGE(_xlfn._xlws.FILTER('Base Kpi'!$DL:$DL,('Base Kpi'!$DK:$DK=$CK$5)*('Base Kpi'!$DE:$DE=Cliente!$E19)),1),0)</f>
        <v>0</v>
      </c>
      <c r="CL19" s="94">
        <f t="shared" si="28"/>
        <v>69.69</v>
      </c>
      <c r="CM19" s="95">
        <f t="shared" si="47"/>
        <v>0</v>
      </c>
      <c r="CN19" s="60">
        <f>IFERROR(AVERAGEIFS('Base Kpi'!$DX:$DX,'Base Kpi'!$DQ:$DQ,Cliente!$E19,'Base Kpi'!$DW:$DW,Cliente!CN$5),0)</f>
        <v>32.799999999999997</v>
      </c>
      <c r="CO19" s="92">
        <f>IFERROR(AVERAGEIFS('Base Kpi'!$DX:$DX,'Base Kpi'!$DQ:$DQ,Cliente!$E19,'Base Kpi'!$DW:$DW,Cliente!CO$5),0)</f>
        <v>5</v>
      </c>
      <c r="CP19" s="92">
        <f>IFERROR(AVERAGEIFS('Base Kpi'!$DX:$DX,'Base Kpi'!$DQ:$DQ,Cliente!$E19,'Base Kpi'!$DW:$DW,Cliente!CP$5),0)</f>
        <v>5</v>
      </c>
      <c r="CQ19" s="92">
        <f>IFERROR(AVERAGEIFS('Base Kpi'!$DX:$DX,'Base Kpi'!$DQ:$DQ,Cliente!$E19,'Base Kpi'!$DW:$DW,Cliente!CQ$5),0)</f>
        <v>18</v>
      </c>
      <c r="CR19" s="92">
        <f>IFERROR(AVERAGEIFS('Base Kpi'!$DX:$DX,'Base Kpi'!$DQ:$DQ,Cliente!$E19,'Base Kpi'!$DW:$DW,Cliente!CR$5),0)</f>
        <v>21.425000000000001</v>
      </c>
      <c r="CS19" s="92">
        <f>IFERROR(AVERAGEIFS('Base Kpi'!$DX:$DX,'Base Kpi'!$DQ:$DQ,Cliente!$E19,'Base Kpi'!$DW:$DW,Cliente!CS$5),0)</f>
        <v>12</v>
      </c>
      <c r="CT19" s="92">
        <f>IFERROR(AVERAGEIFS('Base Kpi'!$DX:$DX,'Base Kpi'!$DQ:$DQ,Cliente!$E19,'Base Kpi'!$DW:$DW,Cliente!CT$5),0)</f>
        <v>0</v>
      </c>
      <c r="CU19" s="94">
        <f t="shared" si="48"/>
        <v>94.224999999999994</v>
      </c>
      <c r="CV19" s="95">
        <f t="shared" si="49"/>
        <v>1</v>
      </c>
      <c r="CW19" s="60">
        <f>IFERROR(AVERAGEIFS('Base Kpi'!$EJ:$EJ,'Base Kpi'!$EC:$EC,Cliente!$E19,'Base Kpi'!$EI:$EI,Cliente!CW$5),0)</f>
        <v>32.799999999999997</v>
      </c>
      <c r="CX19" s="92">
        <f>IFERROR(AVERAGEIFS('Base Kpi'!$EJ:$EJ,'Base Kpi'!$EC:$EC,Cliente!$E19,'Base Kpi'!$EI:$EI,Cliente!CX$5),0)</f>
        <v>5</v>
      </c>
      <c r="CY19" s="92">
        <f>IFERROR(AVERAGEIFS('Base Kpi'!$EJ:$EJ,'Base Kpi'!$EC:$EC,Cliente!$E19,'Base Kpi'!$EI:$EI,Cliente!CY$5),0)</f>
        <v>5</v>
      </c>
      <c r="CZ19" s="92">
        <f>IFERROR(AVERAGEIFS('Base Kpi'!$EJ:$EJ,'Base Kpi'!$EC:$EC,Cliente!$E19,'Base Kpi'!$EI:$EI,Cliente!CZ$5),0)</f>
        <v>18</v>
      </c>
      <c r="DA19" s="92">
        <f>IFERROR(AVERAGEIFS('Base Kpi'!$EJ:$EJ,'Base Kpi'!$EC:$EC,Cliente!$E19,'Base Kpi'!$EI:$EI,Cliente!DA$5),0)</f>
        <v>21.425000000000001</v>
      </c>
      <c r="DB19" s="92">
        <f>IFERROR(AVERAGEIFS('Base Kpi'!$EJ:$EJ,'Base Kpi'!$EC:$EC,Cliente!$E19,'Base Kpi'!$EI:$EI,Cliente!DB$5),0)</f>
        <v>12</v>
      </c>
      <c r="DC19" s="92">
        <f>IFERROR(AVERAGEIFS('Base Kpi'!$EJ:$EJ,'Base Kpi'!$EC:$EC,Cliente!$E19,'Base Kpi'!$EI:$EI,Cliente!DC$5),0)</f>
        <v>0</v>
      </c>
      <c r="DD19" s="94">
        <f t="shared" si="50"/>
        <v>94.224999999999994</v>
      </c>
      <c r="DE19" s="95">
        <f t="shared" si="51"/>
        <v>1</v>
      </c>
      <c r="DF19" s="120"/>
    </row>
    <row r="20" spans="2:110" x14ac:dyDescent="0.35">
      <c r="B20" s="52" t="s">
        <v>427</v>
      </c>
      <c r="C20" s="21">
        <v>3919</v>
      </c>
      <c r="D20" s="21" t="s">
        <v>429</v>
      </c>
      <c r="E20" s="21">
        <v>184214</v>
      </c>
      <c r="F20" s="16" t="s">
        <v>158</v>
      </c>
      <c r="G20" s="16" t="s">
        <v>179</v>
      </c>
      <c r="H20" s="16" t="s">
        <v>311</v>
      </c>
      <c r="I20" s="16" t="s">
        <v>307</v>
      </c>
      <c r="J20" s="16" t="s">
        <v>90</v>
      </c>
      <c r="K20" s="34" t="s">
        <v>156</v>
      </c>
      <c r="L20" s="60">
        <f t="shared" si="33"/>
        <v>71.88000000000001</v>
      </c>
      <c r="M20" s="97">
        <f t="shared" si="34"/>
        <v>1</v>
      </c>
      <c r="N20" s="43">
        <f t="shared" si="2"/>
        <v>0</v>
      </c>
      <c r="O20" s="60">
        <f>IFERROR(AVERAGEIFS('Base Kpi'!$I:$I,'Base Kpi'!$B:$B,Cliente!$E20,'Base Kpi'!$G:$G,Cliente!O$5),0)</f>
        <v>25.71</v>
      </c>
      <c r="P20" s="92">
        <f>IFERROR(AVERAGEIFS('Base Kpi'!$I:$I,'Base Kpi'!$B:$B,Cliente!$E20,'Base Kpi'!$G:$G,Cliente!P$5),0)</f>
        <v>0</v>
      </c>
      <c r="Q20" s="92">
        <f>IFERROR(AVERAGEIFS('Base Kpi'!$I:$I,'Base Kpi'!$B:$B,Cliente!$E20,'Base Kpi'!$G:$G,Cliente!Q$5),0)</f>
        <v>6.8</v>
      </c>
      <c r="R20" s="92">
        <f>IFERROR(AVERAGEIFS('Base Kpi'!$I:$I,'Base Kpi'!$B:$B,Cliente!$E20,'Base Kpi'!$G:$G,Cliente!R$5),0)</f>
        <v>22.5</v>
      </c>
      <c r="S20" s="94">
        <f t="shared" si="35"/>
        <v>55.01</v>
      </c>
      <c r="T20" s="95">
        <f t="shared" si="36"/>
        <v>0</v>
      </c>
      <c r="U20" s="60">
        <f>IFERROR(AVERAGEIFS('Base Kpi'!$T:$T,'Base Kpi'!$M:$M,Cliente!$E20,'Base Kpi'!$S:$S,Cliente!U$5),0)</f>
        <v>21.42</v>
      </c>
      <c r="V20" s="92">
        <f>IFERROR(AVERAGEIFS('Base Kpi'!$T:$T,'Base Kpi'!$M:$M,Cliente!$E20,'Base Kpi'!$S:$S,Cliente!V$5),0)</f>
        <v>8</v>
      </c>
      <c r="W20" s="92">
        <f>IFERROR(AVERAGEIFS('Base Kpi'!$T:$T,'Base Kpi'!$M:$M,Cliente!$E20,'Base Kpi'!$S:$S,Cliente!W$5),0)</f>
        <v>8.5</v>
      </c>
      <c r="X20" s="92">
        <f>IFERROR(AVERAGEIFS('Base Kpi'!$T:$T,'Base Kpi'!$M:$M,Cliente!$E20,'Base Kpi'!$S:$S,Cliente!X$5),0)</f>
        <v>33.75</v>
      </c>
      <c r="Y20" s="94">
        <f t="shared" si="37"/>
        <v>71.67</v>
      </c>
      <c r="Z20" s="95">
        <f t="shared" si="38"/>
        <v>0</v>
      </c>
      <c r="AA20" s="60">
        <f>IFERROR(AVERAGEIFS('Base Kpi'!$AF:$AF,'Base Kpi'!$Y:$Y,Cliente!$E20,'Base Kpi'!$AE:$AE,Cliente!AA$5),0)</f>
        <v>25.71</v>
      </c>
      <c r="AB20" s="92">
        <f>IFERROR(AVERAGEIFS('Base Kpi'!$AF:$AF,'Base Kpi'!$Y:$Y,Cliente!$E20,'Base Kpi'!$AE:$AE,Cliente!AB$5),0)</f>
        <v>8</v>
      </c>
      <c r="AC20" s="92">
        <f>IFERROR(AVERAGEIFS('Base Kpi'!$AF:$AF,'Base Kpi'!$Y:$Y,Cliente!$E20,'Base Kpi'!$AE:$AE,Cliente!AC$5),0)</f>
        <v>17</v>
      </c>
      <c r="AD20" s="92">
        <f>IFERROR(AVERAGEIFS('Base Kpi'!$AF:$AF,'Base Kpi'!$Y:$Y,Cliente!$E20,'Base Kpi'!$AE:$AE,Cliente!AD$5),0)</f>
        <v>38.25</v>
      </c>
      <c r="AE20" s="94">
        <f t="shared" si="39"/>
        <v>88.960000000000008</v>
      </c>
      <c r="AF20" s="95">
        <f t="shared" si="40"/>
        <v>1</v>
      </c>
      <c r="AG20" s="60">
        <f t="shared" si="9"/>
        <v>66.33</v>
      </c>
      <c r="AH20" s="97">
        <f t="shared" si="10"/>
        <v>1</v>
      </c>
      <c r="AI20" s="88">
        <f t="shared" si="41"/>
        <v>1</v>
      </c>
      <c r="AJ20" s="92">
        <f>IFERROR(AVERAGEIFS('Base Kpi'!$AR:$AR,'Base Kpi'!$AK:$AK,Cliente!$E20,'Base Kpi'!$AQ:$AQ,AJ$5),0)</f>
        <v>21.425000000000001</v>
      </c>
      <c r="AK20" s="92">
        <f>IFERROR(AVERAGEIFS('Base Kpi'!$AR:$AR,'Base Kpi'!$AK:$AK,Cliente!$E20,'Base Kpi'!$AQ:$AQ,AK$5),0)</f>
        <v>2.5</v>
      </c>
      <c r="AL20" s="92">
        <f>IFERROR(AVERAGEIFS('Base Kpi'!$AR:$AR,'Base Kpi'!$AK:$AK,Cliente!$E20,'Base Kpi'!$AQ:$AQ,AL$5),0)</f>
        <v>6</v>
      </c>
      <c r="AM20" s="92">
        <f>IFERROR(AVERAGEIFS('Base Kpi'!$AR:$AR,'Base Kpi'!$AK:$AK,Cliente!$E20,'Base Kpi'!$AQ:$AQ,AM$5),0)</f>
        <v>28.68</v>
      </c>
      <c r="AN20" s="94">
        <f t="shared" si="12"/>
        <v>58.605000000000004</v>
      </c>
      <c r="AO20" s="95">
        <f t="shared" si="13"/>
        <v>0</v>
      </c>
      <c r="AP20" s="60">
        <f>IFERROR(AVERAGEIFS('Base Kpi'!$BD:$BD,'Base Kpi'!$AW:$AW,Cliente!$E20,'Base Kpi'!$BC:$BC,Cliente!AP$5),0)</f>
        <v>21.425000000000001</v>
      </c>
      <c r="AQ20" s="92">
        <f>IFERROR(AVERAGEIFS('Base Kpi'!$BD:$BD,'Base Kpi'!$AW:$AW,Cliente!$E20,'Base Kpi'!$BC:$BC,Cliente!AQ$5),0)</f>
        <v>3.335</v>
      </c>
      <c r="AR20" s="92">
        <f>IFERROR(AVERAGEIFS('Base Kpi'!$BD:$BD,'Base Kpi'!$AW:$AW,Cliente!$E20,'Base Kpi'!$BC:$BC,Cliente!AR$5),0)</f>
        <v>12</v>
      </c>
      <c r="AS20" s="92">
        <f>IFERROR(AVERAGEIFS('Base Kpi'!$BD:$BD,'Base Kpi'!$AW:$AW,Cliente!$E20,'Base Kpi'!$BC:$BC,Cliente!AS$5),0)</f>
        <v>33.04</v>
      </c>
      <c r="AT20" s="92">
        <f>IFERROR(AVERAGEIFS('Base Kpi'!$BD:$BD,'Base Kpi'!$AW:$AW,Cliente!$E20,'Base Kpi'!$BC:$BC,Cliente!AT$5),0)</f>
        <v>0</v>
      </c>
      <c r="AU20" s="94">
        <f t="shared" si="14"/>
        <v>69.800000000000011</v>
      </c>
      <c r="AV20" s="95">
        <f t="shared" si="15"/>
        <v>0</v>
      </c>
      <c r="AW20" s="60">
        <f>IFERROR(AVERAGEIFS('Base Kpi'!$BP:$BP,'Base Kpi'!$BI:$BI,Cliente!$E20,'Base Kpi'!$BO:$BO,Cliente!AW$5),0)</f>
        <v>21.425000000000001</v>
      </c>
      <c r="AX20" s="92">
        <f>IFERROR(AVERAGEIFS('Base Kpi'!$BP:$BP,'Base Kpi'!$BI:$BI,Cliente!$E20,'Base Kpi'!$BO:$BO,Cliente!AX$5),0)</f>
        <v>5</v>
      </c>
      <c r="AY20" s="92">
        <f>IFERROR(AVERAGEIFS('Base Kpi'!$BP:$BP,'Base Kpi'!$BI:$BI,Cliente!$E20,'Base Kpi'!$BO:$BO,Cliente!AY$5),0)</f>
        <v>12</v>
      </c>
      <c r="AZ20" s="92">
        <f>IFERROR(AVERAGEIFS('Base Kpi'!$BP:$BP,'Base Kpi'!$BI:$BI,Cliente!$E20,'Base Kpi'!$BO:$BO,Cliente!AZ$5),0)</f>
        <v>32.159999999999997</v>
      </c>
      <c r="BA20" s="92">
        <f>IFERROR(AVERAGEIFS('Base Kpi'!$BP:$BP,'Base Kpi'!$BI:$BI,Cliente!$E20,'Base Kpi'!$BO:$BO,Cliente!BA$5),0)</f>
        <v>0</v>
      </c>
      <c r="BB20" s="94">
        <f t="shared" si="16"/>
        <v>70.584999999999994</v>
      </c>
      <c r="BC20" s="95">
        <f t="shared" si="17"/>
        <v>0</v>
      </c>
      <c r="BD20" s="60">
        <f t="shared" si="42"/>
        <v>79.49166666666666</v>
      </c>
      <c r="BE20" s="97">
        <f t="shared" si="18"/>
        <v>1</v>
      </c>
      <c r="BF20" s="88">
        <f t="shared" si="43"/>
        <v>0</v>
      </c>
      <c r="BG20" s="60">
        <f>IFERROR(AVERAGEIFS('Base Kpi'!$CB:$CB,'Base Kpi'!$BU:$BU,Cliente!$E20,'Base Kpi'!$CA:$CA,Cliente!BG$5),0)</f>
        <v>21.425000000000001</v>
      </c>
      <c r="BH20" s="92">
        <f>IFERROR(AVERAGEIFS('Base Kpi'!$CB:$CB,'Base Kpi'!$BU:$BU,Cliente!$E20,'Base Kpi'!$CA:$CA,Cliente!BH$5),0)</f>
        <v>5</v>
      </c>
      <c r="BI20" s="92">
        <f>IFERROR(AVERAGEIFS('Base Kpi'!$CB:$CB,'Base Kpi'!$BU:$BU,Cliente!$E20,'Base Kpi'!$CA:$CA,Cliente!BI$5),0)</f>
        <v>12</v>
      </c>
      <c r="BJ20" s="92">
        <f>IFERROR(AVERAGEIFS('Base Kpi'!$CB:$CB,'Base Kpi'!$BU:$BU,Cliente!$E20,'Base Kpi'!$CA:$CA,Cliente!BJ$5),0)</f>
        <v>28</v>
      </c>
      <c r="BK20" s="92">
        <f>IFERROR(AVERAGEIFS('Base Kpi'!$CB:$CB,'Base Kpi'!$BU:$BU,Cliente!$E20,'Base Kpi'!$CA:$CA,Cliente!BK$5),0)</f>
        <v>9</v>
      </c>
      <c r="BL20" s="94">
        <f t="shared" si="19"/>
        <v>75.424999999999997</v>
      </c>
      <c r="BM20" s="95">
        <f t="shared" si="20"/>
        <v>0</v>
      </c>
      <c r="BN20" s="60">
        <f>IFERROR(AVERAGEIFS('Base Kpi'!$CN:$CN,'Base Kpi'!$CG:$CG,Cliente!$E20,'Base Kpi'!$CM:$CM,Cliente!BN$5),0)</f>
        <v>21.425000000000001</v>
      </c>
      <c r="BO20" s="92">
        <f>IFERROR(AVERAGEIFS('Base Kpi'!$CN:$CN,'Base Kpi'!$CG:$CG,Cliente!$E20,'Base Kpi'!$CM:$CM,Cliente!BO$5),0)</f>
        <v>5</v>
      </c>
      <c r="BP20" s="92">
        <f>IFERROR(AVERAGEIFS('Base Kpi'!$CN:$CN,'Base Kpi'!$CG:$CG,Cliente!$E20,'Base Kpi'!$CM:$CM,Cliente!BP$5),0)</f>
        <v>3</v>
      </c>
      <c r="BQ20" s="92">
        <f>IFERROR(AVERAGEIFS('Base Kpi'!$CN:$CN,'Base Kpi'!$CG:$CG,Cliente!$E20,'Base Kpi'!$CM:$CM,Cliente!BQ$5),0)</f>
        <v>29.6</v>
      </c>
      <c r="BR20" s="92">
        <f>IFERROR(AVERAGEIFS('Base Kpi'!$CN:$CN,'Base Kpi'!$CG:$CG,Cliente!$E20,'Base Kpi'!$CM:$CM,Cliente!BR$5),0)</f>
        <v>18</v>
      </c>
      <c r="BS20" s="94">
        <f t="shared" si="21"/>
        <v>77.025000000000006</v>
      </c>
      <c r="BT20" s="95">
        <f t="shared" si="22"/>
        <v>0</v>
      </c>
      <c r="BU20" s="60">
        <f>IFERROR(AVERAGEIFS('Base Kpi'!$CZ:$CZ,'Base Kpi'!$CS:$CS,Cliente!$E20,'Base Kpi'!$CY:$CY,Cliente!BU$5),0)</f>
        <v>21.425000000000001</v>
      </c>
      <c r="BV20" s="92">
        <f>IFERROR(AVERAGEIFS('Base Kpi'!$CZ:$CZ,'Base Kpi'!$CS:$CS,Cliente!$E20,'Base Kpi'!$CY:$CY,Cliente!BV$5),0)</f>
        <v>5</v>
      </c>
      <c r="BW20" s="92">
        <f>IFERROR(AVERAGEIFS('Base Kpi'!$CZ:$CZ,'Base Kpi'!$CS:$CS,Cliente!$E20,'Base Kpi'!$CY:$CY,Cliente!BW$5),0)</f>
        <v>12</v>
      </c>
      <c r="BX20" s="92">
        <f>IFERROR(AVERAGEIFS('Base Kpi'!$CZ:$CZ,'Base Kpi'!$CS:$CS,Cliente!$E20,'Base Kpi'!$CY:$CY,Cliente!BX$5),0)</f>
        <v>29.6</v>
      </c>
      <c r="BY20" s="92">
        <f>IFERROR(AVERAGEIFS('Base Kpi'!$CZ:$CZ,'Base Kpi'!$CS:$CS,Cliente!$E20,'Base Kpi'!$CY:$CY,Cliente!BY$5),0)</f>
        <v>18</v>
      </c>
      <c r="BZ20" s="94">
        <f t="shared" si="23"/>
        <v>86.025000000000006</v>
      </c>
      <c r="CA20" s="95">
        <f t="shared" si="24"/>
        <v>1</v>
      </c>
      <c r="CB20" s="60">
        <f t="shared" si="44"/>
        <v>53.35</v>
      </c>
      <c r="CC20" s="97">
        <f t="shared" si="45"/>
        <v>0</v>
      </c>
      <c r="CD20" s="43">
        <f t="shared" si="46"/>
        <v>0</v>
      </c>
      <c r="CE20" s="60" cm="1">
        <f t="array" ref="CE20">IFERROR(LARGE(_xlfn._xlws.FILTER('Base Kpi'!$DL:$DL,('Base Kpi'!$DK:$DK=$CE$5)*('Base Kpi'!$DE:$DE=Cliente!$E20)),1),0)</f>
        <v>26.4</v>
      </c>
      <c r="CF20" s="60" cm="1">
        <f t="array" ref="CF20">IFERROR(LARGE(_xlfn._xlws.FILTER('Base Kpi'!$DL:$DL,('Base Kpi'!$DK:$DK=$CF$5)*('Base Kpi'!$DE:$DE=Cliente!$E20)),1),0)</f>
        <v>5</v>
      </c>
      <c r="CG20" s="60" cm="1">
        <f t="array" ref="CG20">IFERROR(LARGE(_xlfn._xlws.FILTER('Base Kpi'!$DL:$DL,('Base Kpi'!$DK:$DK=$CG$5)*('Base Kpi'!$DE:$DE=Cliente!$E20)),1),0)</f>
        <v>5</v>
      </c>
      <c r="CH20" s="60" cm="1">
        <f t="array" ref="CH20">IFERROR(LARGE(_xlfn._xlws.FILTER('Base Kpi'!$DL:$DL,('Base Kpi'!$DK:$DK=$CH$5)*('Base Kpi'!$DE:$DE=Cliente!$E20)),1),0)</f>
        <v>9</v>
      </c>
      <c r="CI20" s="60" cm="1">
        <f t="array" ref="CI20">IFERROR(LARGE(_xlfn._xlws.FILTER('Base Kpi'!$DL:$DL,('Base Kpi'!$DK:$DK=$CI$5)*('Base Kpi'!$DE:$DE=Cliente!$E20)),1),0)</f>
        <v>21.425000000000001</v>
      </c>
      <c r="CJ20" s="60" cm="1">
        <f t="array" ref="CJ20">IFERROR(LARGE(_xlfn._xlws.FILTER('Base Kpi'!$DL:$DL,('Base Kpi'!$DK:$DK=$CJ$5)*('Base Kpi'!$DE:$DE=Cliente!$E20)),1),0)</f>
        <v>9</v>
      </c>
      <c r="CK20" s="60" cm="1">
        <f t="array" ref="CK20">IFERROR(LARGE(_xlfn._xlws.FILTER('Base Kpi'!$DL:$DL,('Base Kpi'!$DK:$DK=$CK$5)*('Base Kpi'!$DE:$DE=Cliente!$E20)),1),0)</f>
        <v>0</v>
      </c>
      <c r="CL20" s="94">
        <f t="shared" si="28"/>
        <v>75.825000000000003</v>
      </c>
      <c r="CM20" s="95">
        <f t="shared" si="47"/>
        <v>0</v>
      </c>
      <c r="CN20" s="60">
        <f>IFERROR(AVERAGEIFS('Base Kpi'!$DX:$DX,'Base Kpi'!$DQ:$DQ,Cliente!$E20,'Base Kpi'!$DW:$DW,Cliente!CN$5),0)</f>
        <v>28.8</v>
      </c>
      <c r="CO20" s="92">
        <f>IFERROR(AVERAGEIFS('Base Kpi'!$DX:$DX,'Base Kpi'!$DQ:$DQ,Cliente!$E20,'Base Kpi'!$DW:$DW,Cliente!CO$5),0)</f>
        <v>5</v>
      </c>
      <c r="CP20" s="92">
        <f>IFERROR(AVERAGEIFS('Base Kpi'!$DX:$DX,'Base Kpi'!$DQ:$DQ,Cliente!$E20,'Base Kpi'!$DW:$DW,Cliente!CP$5),0)</f>
        <v>5</v>
      </c>
      <c r="CQ20" s="92">
        <f>IFERROR(AVERAGEIFS('Base Kpi'!$DX:$DX,'Base Kpi'!$DQ:$DQ,Cliente!$E20,'Base Kpi'!$DW:$DW,Cliente!CQ$5),0)</f>
        <v>18</v>
      </c>
      <c r="CR20" s="92">
        <f>IFERROR(AVERAGEIFS('Base Kpi'!$DX:$DX,'Base Kpi'!$DQ:$DQ,Cliente!$E20,'Base Kpi'!$DW:$DW,Cliente!CR$5),0)</f>
        <v>21.425000000000001</v>
      </c>
      <c r="CS20" s="92">
        <f>IFERROR(AVERAGEIFS('Base Kpi'!$DX:$DX,'Base Kpi'!$DQ:$DQ,Cliente!$E20,'Base Kpi'!$DW:$DW,Cliente!CS$5),0)</f>
        <v>6</v>
      </c>
      <c r="CT20" s="92">
        <f>IFERROR(AVERAGEIFS('Base Kpi'!$DX:$DX,'Base Kpi'!$DQ:$DQ,Cliente!$E20,'Base Kpi'!$DW:$DW,Cliente!CT$5),0)</f>
        <v>0</v>
      </c>
      <c r="CU20" s="94">
        <f t="shared" si="48"/>
        <v>84.224999999999994</v>
      </c>
      <c r="CV20" s="95">
        <f t="shared" si="49"/>
        <v>1</v>
      </c>
      <c r="CW20" s="60">
        <f>IFERROR(AVERAGEIFS('Base Kpi'!$EJ:$EJ,'Base Kpi'!$EC:$EC,Cliente!$E20,'Base Kpi'!$EI:$EI,Cliente!CW$5),0)</f>
        <v>0</v>
      </c>
      <c r="CX20" s="92">
        <f>IFERROR(AVERAGEIFS('Base Kpi'!$EJ:$EJ,'Base Kpi'!$EC:$EC,Cliente!$E20,'Base Kpi'!$EI:$EI,Cliente!CX$5),0)</f>
        <v>0</v>
      </c>
      <c r="CY20" s="92">
        <f>IFERROR(AVERAGEIFS('Base Kpi'!$EJ:$EJ,'Base Kpi'!$EC:$EC,Cliente!$E20,'Base Kpi'!$EI:$EI,Cliente!CY$5),0)</f>
        <v>0</v>
      </c>
      <c r="CZ20" s="92">
        <f>IFERROR(AVERAGEIFS('Base Kpi'!$EJ:$EJ,'Base Kpi'!$EC:$EC,Cliente!$E20,'Base Kpi'!$EI:$EI,Cliente!CZ$5),0)</f>
        <v>0</v>
      </c>
      <c r="DA20" s="92">
        <f>IFERROR(AVERAGEIFS('Base Kpi'!$EJ:$EJ,'Base Kpi'!$EC:$EC,Cliente!$E20,'Base Kpi'!$EI:$EI,Cliente!DA$5),0)</f>
        <v>0</v>
      </c>
      <c r="DB20" s="92">
        <f>IFERROR(AVERAGEIFS('Base Kpi'!$EJ:$EJ,'Base Kpi'!$EC:$EC,Cliente!$E20,'Base Kpi'!$EI:$EI,Cliente!DB$5),0)</f>
        <v>0</v>
      </c>
      <c r="DC20" s="92">
        <f>IFERROR(AVERAGEIFS('Base Kpi'!$EJ:$EJ,'Base Kpi'!$EC:$EC,Cliente!$E20,'Base Kpi'!$EI:$EI,Cliente!DC$5),0)</f>
        <v>0</v>
      </c>
      <c r="DD20" s="94">
        <f t="shared" si="50"/>
        <v>0</v>
      </c>
      <c r="DE20" s="95">
        <f t="shared" si="51"/>
        <v>0</v>
      </c>
      <c r="DF20" s="120"/>
    </row>
    <row r="21" spans="2:110" x14ac:dyDescent="0.35">
      <c r="B21" s="52" t="s">
        <v>427</v>
      </c>
      <c r="C21" s="21">
        <v>3919</v>
      </c>
      <c r="D21" s="21" t="s">
        <v>429</v>
      </c>
      <c r="E21" s="21">
        <v>184215</v>
      </c>
      <c r="F21" s="16" t="s">
        <v>430</v>
      </c>
      <c r="G21" s="16" t="s">
        <v>305</v>
      </c>
      <c r="H21" s="16" t="s">
        <v>312</v>
      </c>
      <c r="I21" s="16" t="s">
        <v>176</v>
      </c>
      <c r="J21" s="16" t="s">
        <v>90</v>
      </c>
      <c r="K21" s="34" t="s">
        <v>156</v>
      </c>
      <c r="L21" s="60">
        <f t="shared" si="33"/>
        <v>66.88</v>
      </c>
      <c r="M21" s="97">
        <f t="shared" si="34"/>
        <v>1</v>
      </c>
      <c r="N21" s="43">
        <f t="shared" si="2"/>
        <v>0</v>
      </c>
      <c r="O21" s="60">
        <f>IFERROR(AVERAGEIFS('Base Kpi'!$I:$I,'Base Kpi'!$B:$B,Cliente!$E21,'Base Kpi'!$G:$G,Cliente!O$5),0)</f>
        <v>25.71</v>
      </c>
      <c r="P21" s="92">
        <f>IFERROR(AVERAGEIFS('Base Kpi'!$I:$I,'Base Kpi'!$B:$B,Cliente!$E21,'Base Kpi'!$G:$G,Cliente!P$5),0)</f>
        <v>0</v>
      </c>
      <c r="Q21" s="92">
        <f>IFERROR(AVERAGEIFS('Base Kpi'!$I:$I,'Base Kpi'!$B:$B,Cliente!$E21,'Base Kpi'!$G:$G,Cliente!Q$5),0)</f>
        <v>6.8</v>
      </c>
      <c r="R21" s="92">
        <f>IFERROR(AVERAGEIFS('Base Kpi'!$I:$I,'Base Kpi'!$B:$B,Cliente!$E21,'Base Kpi'!$G:$G,Cliente!R$5),0)</f>
        <v>29.25</v>
      </c>
      <c r="S21" s="94">
        <f t="shared" si="35"/>
        <v>61.76</v>
      </c>
      <c r="T21" s="95">
        <f t="shared" si="36"/>
        <v>0</v>
      </c>
      <c r="U21" s="60">
        <f>IFERROR(AVERAGEIFS('Base Kpi'!$T:$T,'Base Kpi'!$M:$M,Cliente!$E21,'Base Kpi'!$S:$S,Cliente!U$5),0)</f>
        <v>25.71</v>
      </c>
      <c r="V21" s="92">
        <f>IFERROR(AVERAGEIFS('Base Kpi'!$T:$T,'Base Kpi'!$M:$M,Cliente!$E21,'Base Kpi'!$S:$S,Cliente!V$5),0)</f>
        <v>8</v>
      </c>
      <c r="W21" s="92">
        <f>IFERROR(AVERAGEIFS('Base Kpi'!$T:$T,'Base Kpi'!$M:$M,Cliente!$E21,'Base Kpi'!$S:$S,Cliente!W$5),0)</f>
        <v>8.5</v>
      </c>
      <c r="X21" s="92">
        <f>IFERROR(AVERAGEIFS('Base Kpi'!$T:$T,'Base Kpi'!$M:$M,Cliente!$E21,'Base Kpi'!$S:$S,Cliente!X$5),0)</f>
        <v>30.375</v>
      </c>
      <c r="Y21" s="94">
        <f t="shared" si="37"/>
        <v>72.585000000000008</v>
      </c>
      <c r="Z21" s="95">
        <f t="shared" si="38"/>
        <v>0</v>
      </c>
      <c r="AA21" s="60">
        <f>IFERROR(AVERAGEIFS('Base Kpi'!$AF:$AF,'Base Kpi'!$Y:$Y,Cliente!$E21,'Base Kpi'!$AE:$AE,Cliente!AA$5),0)</f>
        <v>21.42</v>
      </c>
      <c r="AB21" s="92">
        <f>IFERROR(AVERAGEIFS('Base Kpi'!$AF:$AF,'Base Kpi'!$Y:$Y,Cliente!$E21,'Base Kpi'!$AE:$AE,Cliente!AB$5),0)</f>
        <v>8</v>
      </c>
      <c r="AC21" s="92">
        <f>IFERROR(AVERAGEIFS('Base Kpi'!$AF:$AF,'Base Kpi'!$Y:$Y,Cliente!$E21,'Base Kpi'!$AE:$AE,Cliente!AC$5),0)</f>
        <v>4.25</v>
      </c>
      <c r="AD21" s="92">
        <f>IFERROR(AVERAGEIFS('Base Kpi'!$AF:$AF,'Base Kpi'!$Y:$Y,Cliente!$E21,'Base Kpi'!$AE:$AE,Cliente!AD$5),0)</f>
        <v>32.625</v>
      </c>
      <c r="AE21" s="94">
        <f t="shared" si="39"/>
        <v>66.295000000000002</v>
      </c>
      <c r="AF21" s="95">
        <f t="shared" si="40"/>
        <v>0</v>
      </c>
      <c r="AG21" s="60">
        <f t="shared" si="9"/>
        <v>61.45000000000001</v>
      </c>
      <c r="AH21" s="97">
        <f t="shared" si="10"/>
        <v>1</v>
      </c>
      <c r="AI21" s="88">
        <f t="shared" si="41"/>
        <v>1</v>
      </c>
      <c r="AJ21" s="92">
        <f>IFERROR(AVERAGEIFS('Base Kpi'!$AR:$AR,'Base Kpi'!$AK:$AK,Cliente!$E21,'Base Kpi'!$AQ:$AQ,AJ$5),0)</f>
        <v>21.425000000000001</v>
      </c>
      <c r="AK21" s="92">
        <f>IFERROR(AVERAGEIFS('Base Kpi'!$AR:$AR,'Base Kpi'!$AK:$AK,Cliente!$E21,'Base Kpi'!$AQ:$AQ,AK$5),0)</f>
        <v>2.5</v>
      </c>
      <c r="AL21" s="92">
        <f>IFERROR(AVERAGEIFS('Base Kpi'!$AR:$AR,'Base Kpi'!$AK:$AK,Cliente!$E21,'Base Kpi'!$AQ:$AQ,AL$5),0)</f>
        <v>3</v>
      </c>
      <c r="AM21" s="92">
        <f>IFERROR(AVERAGEIFS('Base Kpi'!$AR:$AR,'Base Kpi'!$AK:$AK,Cliente!$E21,'Base Kpi'!$AQ:$AQ,AM$5),0)</f>
        <v>24.36</v>
      </c>
      <c r="AN21" s="94">
        <f t="shared" si="12"/>
        <v>51.284999999999997</v>
      </c>
      <c r="AO21" s="95">
        <f t="shared" si="13"/>
        <v>0</v>
      </c>
      <c r="AP21" s="60">
        <f>IFERROR(AVERAGEIFS('Base Kpi'!$BD:$BD,'Base Kpi'!$AW:$AW,Cliente!$E21,'Base Kpi'!$BC:$BC,Cliente!AP$5),0)</f>
        <v>21.425000000000001</v>
      </c>
      <c r="AQ21" s="92">
        <f>IFERROR(AVERAGEIFS('Base Kpi'!$BD:$BD,'Base Kpi'!$AW:$AW,Cliente!$E21,'Base Kpi'!$BC:$BC,Cliente!AQ$5),0)</f>
        <v>3.335</v>
      </c>
      <c r="AR21" s="92">
        <f>IFERROR(AVERAGEIFS('Base Kpi'!$BD:$BD,'Base Kpi'!$AW:$AW,Cliente!$E21,'Base Kpi'!$BC:$BC,Cliente!AR$5),0)</f>
        <v>12</v>
      </c>
      <c r="AS21" s="92">
        <f>IFERROR(AVERAGEIFS('Base Kpi'!$BD:$BD,'Base Kpi'!$AW:$AW,Cliente!$E21,'Base Kpi'!$BC:$BC,Cliente!AS$5),0)</f>
        <v>33.04</v>
      </c>
      <c r="AT21" s="92">
        <f>IFERROR(AVERAGEIFS('Base Kpi'!$BD:$BD,'Base Kpi'!$AW:$AW,Cliente!$E21,'Base Kpi'!$BC:$BC,Cliente!AT$5),0)</f>
        <v>0</v>
      </c>
      <c r="AU21" s="94">
        <f t="shared" si="14"/>
        <v>69.800000000000011</v>
      </c>
      <c r="AV21" s="95">
        <f t="shared" si="15"/>
        <v>0</v>
      </c>
      <c r="AW21" s="60">
        <f>IFERROR(AVERAGEIFS('Base Kpi'!$BP:$BP,'Base Kpi'!$BI:$BI,Cliente!$E21,'Base Kpi'!$BO:$BO,Cliente!AW$5),0)</f>
        <v>21.425000000000001</v>
      </c>
      <c r="AX21" s="92">
        <f>IFERROR(AVERAGEIFS('Base Kpi'!$BP:$BP,'Base Kpi'!$BI:$BI,Cliente!$E21,'Base Kpi'!$BO:$BO,Cliente!AX$5),0)</f>
        <v>5</v>
      </c>
      <c r="AY21" s="92">
        <f>IFERROR(AVERAGEIFS('Base Kpi'!$BP:$BP,'Base Kpi'!$BI:$BI,Cliente!$E21,'Base Kpi'!$BO:$BO,Cliente!AY$5),0)</f>
        <v>9</v>
      </c>
      <c r="AZ21" s="92">
        <f>IFERROR(AVERAGEIFS('Base Kpi'!$BP:$BP,'Base Kpi'!$BI:$BI,Cliente!$E21,'Base Kpi'!$BO:$BO,Cliente!AZ$5),0)</f>
        <v>27.84</v>
      </c>
      <c r="BA21" s="92">
        <f>IFERROR(AVERAGEIFS('Base Kpi'!$BP:$BP,'Base Kpi'!$BI:$BI,Cliente!$E21,'Base Kpi'!$BO:$BO,Cliente!BA$5),0)</f>
        <v>0</v>
      </c>
      <c r="BB21" s="94">
        <f t="shared" si="16"/>
        <v>63.265000000000001</v>
      </c>
      <c r="BC21" s="95">
        <f t="shared" si="17"/>
        <v>0</v>
      </c>
      <c r="BD21" s="60">
        <f t="shared" si="42"/>
        <v>72.158333333333331</v>
      </c>
      <c r="BE21" s="97">
        <f t="shared" si="18"/>
        <v>1</v>
      </c>
      <c r="BF21" s="88">
        <f t="shared" si="43"/>
        <v>0</v>
      </c>
      <c r="BG21" s="60">
        <f>IFERROR(AVERAGEIFS('Base Kpi'!$CB:$CB,'Base Kpi'!$BU:$BU,Cliente!$E21,'Base Kpi'!$CA:$CA,Cliente!BG$5),0)</f>
        <v>21.425000000000001</v>
      </c>
      <c r="BH21" s="92">
        <f>IFERROR(AVERAGEIFS('Base Kpi'!$CB:$CB,'Base Kpi'!$BU:$BU,Cliente!$E21,'Base Kpi'!$CA:$CA,Cliente!BH$5),0)</f>
        <v>5</v>
      </c>
      <c r="BI21" s="92">
        <f>IFERROR(AVERAGEIFS('Base Kpi'!$CB:$CB,'Base Kpi'!$BU:$BU,Cliente!$E21,'Base Kpi'!$CA:$CA,Cliente!BI$5),0)</f>
        <v>12</v>
      </c>
      <c r="BJ21" s="92">
        <f>IFERROR(AVERAGEIFS('Base Kpi'!$CB:$CB,'Base Kpi'!$BU:$BU,Cliente!$E21,'Base Kpi'!$CA:$CA,Cliente!BJ$5),0)</f>
        <v>24</v>
      </c>
      <c r="BK21" s="92">
        <f>IFERROR(AVERAGEIFS('Base Kpi'!$CB:$CB,'Base Kpi'!$BU:$BU,Cliente!$E21,'Base Kpi'!$CA:$CA,Cliente!BK$5),0)</f>
        <v>9</v>
      </c>
      <c r="BL21" s="94">
        <f t="shared" si="19"/>
        <v>71.424999999999997</v>
      </c>
      <c r="BM21" s="95">
        <f t="shared" si="20"/>
        <v>0</v>
      </c>
      <c r="BN21" s="60">
        <f>IFERROR(AVERAGEIFS('Base Kpi'!$CN:$CN,'Base Kpi'!$CG:$CG,Cliente!$E21,'Base Kpi'!$CM:$CM,Cliente!BN$5),0)</f>
        <v>21.425000000000001</v>
      </c>
      <c r="BO21" s="92">
        <f>IFERROR(AVERAGEIFS('Base Kpi'!$CN:$CN,'Base Kpi'!$CG:$CG,Cliente!$E21,'Base Kpi'!$CM:$CM,Cliente!BO$5),0)</f>
        <v>5</v>
      </c>
      <c r="BP21" s="92">
        <f>IFERROR(AVERAGEIFS('Base Kpi'!$CN:$CN,'Base Kpi'!$CG:$CG,Cliente!$E21,'Base Kpi'!$CM:$CM,Cliente!BP$5),0)</f>
        <v>12</v>
      </c>
      <c r="BQ21" s="92">
        <f>IFERROR(AVERAGEIFS('Base Kpi'!$CN:$CN,'Base Kpi'!$CG:$CG,Cliente!$E21,'Base Kpi'!$CM:$CM,Cliente!BQ$5),0)</f>
        <v>30.4</v>
      </c>
      <c r="BR21" s="92">
        <f>IFERROR(AVERAGEIFS('Base Kpi'!$CN:$CN,'Base Kpi'!$CG:$CG,Cliente!$E21,'Base Kpi'!$CM:$CM,Cliente!BR$5),0)</f>
        <v>9</v>
      </c>
      <c r="BS21" s="94">
        <f t="shared" si="21"/>
        <v>77.824999999999989</v>
      </c>
      <c r="BT21" s="95">
        <f t="shared" si="22"/>
        <v>0</v>
      </c>
      <c r="BU21" s="60">
        <f>IFERROR(AVERAGEIFS('Base Kpi'!$CZ:$CZ,'Base Kpi'!$CS:$CS,Cliente!$E21,'Base Kpi'!$CY:$CY,Cliente!BU$5),0)</f>
        <v>21.425000000000001</v>
      </c>
      <c r="BV21" s="92">
        <f>IFERROR(AVERAGEIFS('Base Kpi'!$CZ:$CZ,'Base Kpi'!$CS:$CS,Cliente!$E21,'Base Kpi'!$CY:$CY,Cliente!BV$5),0)</f>
        <v>5</v>
      </c>
      <c r="BW21" s="92">
        <f>IFERROR(AVERAGEIFS('Base Kpi'!$CZ:$CZ,'Base Kpi'!$CS:$CS,Cliente!$E21,'Base Kpi'!$CY:$CY,Cliente!BW$5),0)</f>
        <v>12</v>
      </c>
      <c r="BX21" s="92">
        <f>IFERROR(AVERAGEIFS('Base Kpi'!$CZ:$CZ,'Base Kpi'!$CS:$CS,Cliente!$E21,'Base Kpi'!$CY:$CY,Cliente!BX$5),0)</f>
        <v>28.8</v>
      </c>
      <c r="BY21" s="92">
        <f>IFERROR(AVERAGEIFS('Base Kpi'!$CZ:$CZ,'Base Kpi'!$CS:$CS,Cliente!$E21,'Base Kpi'!$CY:$CY,Cliente!BY$5),0)</f>
        <v>0</v>
      </c>
      <c r="BZ21" s="94">
        <f t="shared" si="23"/>
        <v>67.224999999999994</v>
      </c>
      <c r="CA21" s="95">
        <f t="shared" si="24"/>
        <v>0</v>
      </c>
      <c r="CB21" s="60">
        <f t="shared" si="44"/>
        <v>79.766666666666666</v>
      </c>
      <c r="CC21" s="97">
        <f t="shared" si="45"/>
        <v>1</v>
      </c>
      <c r="CD21" s="43">
        <f t="shared" si="46"/>
        <v>1</v>
      </c>
      <c r="CE21" s="60" cm="1">
        <f t="array" ref="CE21">IFERROR(LARGE(_xlfn._xlws.FILTER('Base Kpi'!$DL:$DL,('Base Kpi'!$DK:$DK=$CE$5)*('Base Kpi'!$DE:$DE=Cliente!$E21)),1),0)</f>
        <v>27.2</v>
      </c>
      <c r="CF21" s="60" cm="1">
        <f t="array" ref="CF21">IFERROR(LARGE(_xlfn._xlws.FILTER('Base Kpi'!$DL:$DL,('Base Kpi'!$DK:$DK=$CF$5)*('Base Kpi'!$DE:$DE=Cliente!$E21)),1),0)</f>
        <v>5</v>
      </c>
      <c r="CG21" s="60" cm="1">
        <f t="array" ref="CG21">IFERROR(LARGE(_xlfn._xlws.FILTER('Base Kpi'!$DL:$DL,('Base Kpi'!$DK:$DK=$CG$5)*('Base Kpi'!$DE:$DE=Cliente!$E21)),1),0)</f>
        <v>5</v>
      </c>
      <c r="CH21" s="60" cm="1">
        <f t="array" ref="CH21">IFERROR(LARGE(_xlfn._xlws.FILTER('Base Kpi'!$DL:$DL,('Base Kpi'!$DK:$DK=$CH$5)*('Base Kpi'!$DE:$DE=Cliente!$E21)),1),0)</f>
        <v>9</v>
      </c>
      <c r="CI21" s="60" cm="1">
        <f t="array" ref="CI21">IFERROR(LARGE(_xlfn._xlws.FILTER('Base Kpi'!$DL:$DL,('Base Kpi'!$DK:$DK=$CI$5)*('Base Kpi'!$DE:$DE=Cliente!$E21)),1),0)</f>
        <v>17.850000000000001</v>
      </c>
      <c r="CJ21" s="60" cm="1">
        <f t="array" ref="CJ21">IFERROR(LARGE(_xlfn._xlws.FILTER('Base Kpi'!$DL:$DL,('Base Kpi'!$DK:$DK=$CJ$5)*('Base Kpi'!$DE:$DE=Cliente!$E21)),1),0)</f>
        <v>12</v>
      </c>
      <c r="CK21" s="60" cm="1">
        <f t="array" ref="CK21">IFERROR(LARGE(_xlfn._xlws.FILTER('Base Kpi'!$DL:$DL,('Base Kpi'!$DK:$DK=$CK$5)*('Base Kpi'!$DE:$DE=Cliente!$E21)),1),0)</f>
        <v>0</v>
      </c>
      <c r="CL21" s="94">
        <f t="shared" si="28"/>
        <v>76.050000000000011</v>
      </c>
      <c r="CM21" s="95">
        <f t="shared" si="47"/>
        <v>0</v>
      </c>
      <c r="CN21" s="60">
        <f>IFERROR(AVERAGEIFS('Base Kpi'!$DX:$DX,'Base Kpi'!$DQ:$DQ,Cliente!$E21,'Base Kpi'!$DW:$DW,Cliente!CN$5),0)</f>
        <v>28.8</v>
      </c>
      <c r="CO21" s="92">
        <f>IFERROR(AVERAGEIFS('Base Kpi'!$DX:$DX,'Base Kpi'!$DQ:$DQ,Cliente!$E21,'Base Kpi'!$DW:$DW,Cliente!CO$5),0)</f>
        <v>5</v>
      </c>
      <c r="CP21" s="92">
        <f>IFERROR(AVERAGEIFS('Base Kpi'!$DX:$DX,'Base Kpi'!$DQ:$DQ,Cliente!$E21,'Base Kpi'!$DW:$DW,Cliente!CP$5),0)</f>
        <v>5</v>
      </c>
      <c r="CQ21" s="92">
        <f>IFERROR(AVERAGEIFS('Base Kpi'!$DX:$DX,'Base Kpi'!$DQ:$DQ,Cliente!$E21,'Base Kpi'!$DW:$DW,Cliente!CQ$5),0)</f>
        <v>9</v>
      </c>
      <c r="CR21" s="92">
        <f>IFERROR(AVERAGEIFS('Base Kpi'!$DX:$DX,'Base Kpi'!$DQ:$DQ,Cliente!$E21,'Base Kpi'!$DW:$DW,Cliente!CR$5),0)</f>
        <v>21.425000000000001</v>
      </c>
      <c r="CS21" s="92">
        <f>IFERROR(AVERAGEIFS('Base Kpi'!$DX:$DX,'Base Kpi'!$DQ:$DQ,Cliente!$E21,'Base Kpi'!$DW:$DW,Cliente!CS$5),0)</f>
        <v>12</v>
      </c>
      <c r="CT21" s="92">
        <f>IFERROR(AVERAGEIFS('Base Kpi'!$DX:$DX,'Base Kpi'!$DQ:$DQ,Cliente!$E21,'Base Kpi'!$DW:$DW,Cliente!CT$5),0)</f>
        <v>0</v>
      </c>
      <c r="CU21" s="94">
        <f t="shared" si="48"/>
        <v>81.224999999999994</v>
      </c>
      <c r="CV21" s="95">
        <f t="shared" si="49"/>
        <v>1</v>
      </c>
      <c r="CW21" s="60">
        <f>IFERROR(AVERAGEIFS('Base Kpi'!$EJ:$EJ,'Base Kpi'!$EC:$EC,Cliente!$E21,'Base Kpi'!$EI:$EI,Cliente!CW$5),0)</f>
        <v>29.6</v>
      </c>
      <c r="CX21" s="92">
        <f>IFERROR(AVERAGEIFS('Base Kpi'!$EJ:$EJ,'Base Kpi'!$EC:$EC,Cliente!$E21,'Base Kpi'!$EI:$EI,Cliente!CX$5),0)</f>
        <v>5</v>
      </c>
      <c r="CY21" s="92">
        <f>IFERROR(AVERAGEIFS('Base Kpi'!$EJ:$EJ,'Base Kpi'!$EC:$EC,Cliente!$E21,'Base Kpi'!$EI:$EI,Cliente!CY$5),0)</f>
        <v>5</v>
      </c>
      <c r="CZ21" s="92">
        <f>IFERROR(AVERAGEIFS('Base Kpi'!$EJ:$EJ,'Base Kpi'!$EC:$EC,Cliente!$E21,'Base Kpi'!$EI:$EI,Cliente!CZ$5),0)</f>
        <v>9</v>
      </c>
      <c r="DA21" s="92">
        <f>IFERROR(AVERAGEIFS('Base Kpi'!$EJ:$EJ,'Base Kpi'!$EC:$EC,Cliente!$E21,'Base Kpi'!$EI:$EI,Cliente!DA$5),0)</f>
        <v>21.425000000000001</v>
      </c>
      <c r="DB21" s="92">
        <f>IFERROR(AVERAGEIFS('Base Kpi'!$EJ:$EJ,'Base Kpi'!$EC:$EC,Cliente!$E21,'Base Kpi'!$EI:$EI,Cliente!DB$5),0)</f>
        <v>12</v>
      </c>
      <c r="DC21" s="92">
        <f>IFERROR(AVERAGEIFS('Base Kpi'!$EJ:$EJ,'Base Kpi'!$EC:$EC,Cliente!$E21,'Base Kpi'!$EI:$EI,Cliente!DC$5),0)</f>
        <v>0</v>
      </c>
      <c r="DD21" s="94">
        <f t="shared" si="50"/>
        <v>82.025000000000006</v>
      </c>
      <c r="DE21" s="95">
        <f t="shared" si="51"/>
        <v>1</v>
      </c>
      <c r="DF21" s="120"/>
    </row>
    <row r="22" spans="2:110" x14ac:dyDescent="0.35">
      <c r="B22" s="52" t="s">
        <v>427</v>
      </c>
      <c r="C22" s="21">
        <v>3919</v>
      </c>
      <c r="D22" s="21" t="s">
        <v>429</v>
      </c>
      <c r="E22" s="21">
        <v>48374</v>
      </c>
      <c r="F22" s="16" t="s">
        <v>21</v>
      </c>
      <c r="G22" s="16" t="s">
        <v>270</v>
      </c>
      <c r="H22" s="16" t="s">
        <v>313</v>
      </c>
      <c r="I22" s="16" t="s">
        <v>271</v>
      </c>
      <c r="J22" s="16" t="s">
        <v>90</v>
      </c>
      <c r="K22" s="34" t="s">
        <v>54</v>
      </c>
      <c r="L22" s="60">
        <f t="shared" si="33"/>
        <v>72.59</v>
      </c>
      <c r="M22" s="97">
        <f t="shared" si="34"/>
        <v>1</v>
      </c>
      <c r="N22" s="43">
        <f t="shared" si="2"/>
        <v>0</v>
      </c>
      <c r="O22" s="60">
        <f>IFERROR(AVERAGEIFS('Base Kpi'!$I:$I,'Base Kpi'!$B:$B,Cliente!$E22,'Base Kpi'!$G:$G,Cliente!O$5),0)</f>
        <v>17.13</v>
      </c>
      <c r="P22" s="92">
        <f>IFERROR(AVERAGEIFS('Base Kpi'!$I:$I,'Base Kpi'!$B:$B,Cliente!$E22,'Base Kpi'!$G:$G,Cliente!P$5),0)</f>
        <v>8</v>
      </c>
      <c r="Q22" s="92">
        <f>IFERROR(AVERAGEIFS('Base Kpi'!$I:$I,'Base Kpi'!$B:$B,Cliente!$E22,'Base Kpi'!$G:$G,Cliente!Q$5),0)</f>
        <v>6.8</v>
      </c>
      <c r="R22" s="92">
        <f>IFERROR(AVERAGEIFS('Base Kpi'!$I:$I,'Base Kpi'!$B:$B,Cliente!$E22,'Base Kpi'!$G:$G,Cliente!R$5),0)</f>
        <v>36</v>
      </c>
      <c r="S22" s="94">
        <f t="shared" si="35"/>
        <v>67.930000000000007</v>
      </c>
      <c r="T22" s="95">
        <f t="shared" si="36"/>
        <v>0</v>
      </c>
      <c r="U22" s="60">
        <f>IFERROR(AVERAGEIFS('Base Kpi'!$T:$T,'Base Kpi'!$M:$M,Cliente!$E22,'Base Kpi'!$S:$S,Cliente!U$5),0)</f>
        <v>17.13</v>
      </c>
      <c r="V22" s="92">
        <f>IFERROR(AVERAGEIFS('Base Kpi'!$T:$T,'Base Kpi'!$M:$M,Cliente!$E22,'Base Kpi'!$S:$S,Cliente!V$5),0)</f>
        <v>8</v>
      </c>
      <c r="W22" s="92">
        <f>IFERROR(AVERAGEIFS('Base Kpi'!$T:$T,'Base Kpi'!$M:$M,Cliente!$E22,'Base Kpi'!$S:$S,Cliente!W$5),0)</f>
        <v>8.5</v>
      </c>
      <c r="X22" s="92">
        <f>IFERROR(AVERAGEIFS('Base Kpi'!$T:$T,'Base Kpi'!$M:$M,Cliente!$E22,'Base Kpi'!$S:$S,Cliente!X$5),0)</f>
        <v>36</v>
      </c>
      <c r="Y22" s="94">
        <f t="shared" si="37"/>
        <v>69.63</v>
      </c>
      <c r="Z22" s="95">
        <f t="shared" si="38"/>
        <v>0</v>
      </c>
      <c r="AA22" s="60">
        <f>IFERROR(AVERAGEIFS('Base Kpi'!$AF:$AF,'Base Kpi'!$Y:$Y,Cliente!$E22,'Base Kpi'!$AE:$AE,Cliente!AA$5),0)</f>
        <v>25.71</v>
      </c>
      <c r="AB22" s="92">
        <f>IFERROR(AVERAGEIFS('Base Kpi'!$AF:$AF,'Base Kpi'!$Y:$Y,Cliente!$E22,'Base Kpi'!$AE:$AE,Cliente!AB$5),0)</f>
        <v>8</v>
      </c>
      <c r="AC22" s="92">
        <f>IFERROR(AVERAGEIFS('Base Kpi'!$AF:$AF,'Base Kpi'!$Y:$Y,Cliente!$E22,'Base Kpi'!$AE:$AE,Cliente!AC$5),0)</f>
        <v>12.75</v>
      </c>
      <c r="AD22" s="92">
        <f>IFERROR(AVERAGEIFS('Base Kpi'!$AF:$AF,'Base Kpi'!$Y:$Y,Cliente!$E22,'Base Kpi'!$AE:$AE,Cliente!AD$5),0)</f>
        <v>33.75</v>
      </c>
      <c r="AE22" s="94">
        <f t="shared" si="39"/>
        <v>80.210000000000008</v>
      </c>
      <c r="AF22" s="95">
        <f t="shared" si="40"/>
        <v>1</v>
      </c>
      <c r="AG22" s="60">
        <f t="shared" si="9"/>
        <v>41.811666666666667</v>
      </c>
      <c r="AH22" s="97">
        <f t="shared" si="10"/>
        <v>0</v>
      </c>
      <c r="AI22" s="88">
        <f t="shared" si="41"/>
        <v>0</v>
      </c>
      <c r="AJ22" s="92">
        <f>IFERROR(AVERAGEIFS('Base Kpi'!$AR:$AR,'Base Kpi'!$AK:$AK,Cliente!$E22,'Base Kpi'!$AQ:$AQ,AJ$5),0)</f>
        <v>0</v>
      </c>
      <c r="AK22" s="92">
        <f>IFERROR(AVERAGEIFS('Base Kpi'!$AR:$AR,'Base Kpi'!$AK:$AK,Cliente!$E22,'Base Kpi'!$AQ:$AQ,AK$5),0)</f>
        <v>0</v>
      </c>
      <c r="AL22" s="92">
        <f>IFERROR(AVERAGEIFS('Base Kpi'!$AR:$AR,'Base Kpi'!$AK:$AK,Cliente!$E22,'Base Kpi'!$AQ:$AQ,AL$5),0)</f>
        <v>0</v>
      </c>
      <c r="AM22" s="92">
        <f>IFERROR(AVERAGEIFS('Base Kpi'!$AR:$AR,'Base Kpi'!$AK:$AK,Cliente!$E22,'Base Kpi'!$AQ:$AQ,AM$5),0)</f>
        <v>0</v>
      </c>
      <c r="AN22" s="94">
        <f t="shared" si="12"/>
        <v>0</v>
      </c>
      <c r="AO22" s="95">
        <f t="shared" si="13"/>
        <v>0</v>
      </c>
      <c r="AP22" s="60">
        <f>IFERROR(AVERAGEIFS('Base Kpi'!$BD:$BD,'Base Kpi'!$AW:$AW,Cliente!$E22,'Base Kpi'!$BC:$BC,Cliente!AP$5),0)</f>
        <v>14.275</v>
      </c>
      <c r="AQ22" s="92">
        <f>IFERROR(AVERAGEIFS('Base Kpi'!$BD:$BD,'Base Kpi'!$AW:$AW,Cliente!$E22,'Base Kpi'!$BC:$BC,Cliente!AQ$5),0)</f>
        <v>3.335</v>
      </c>
      <c r="AR22" s="92">
        <f>IFERROR(AVERAGEIFS('Base Kpi'!$BD:$BD,'Base Kpi'!$AW:$AW,Cliente!$E22,'Base Kpi'!$BC:$BC,Cliente!AR$5),0)</f>
        <v>12</v>
      </c>
      <c r="AS22" s="92">
        <f>IFERROR(AVERAGEIFS('Base Kpi'!$BD:$BD,'Base Kpi'!$AW:$AW,Cliente!$E22,'Base Kpi'!$BC:$BC,Cliente!AS$5),0)</f>
        <v>27.84</v>
      </c>
      <c r="AT22" s="92">
        <f>IFERROR(AVERAGEIFS('Base Kpi'!$BD:$BD,'Base Kpi'!$AW:$AW,Cliente!$E22,'Base Kpi'!$BC:$BC,Cliente!AT$5),0)</f>
        <v>0</v>
      </c>
      <c r="AU22" s="94">
        <f t="shared" si="14"/>
        <v>57.45</v>
      </c>
      <c r="AV22" s="95">
        <f t="shared" si="15"/>
        <v>0</v>
      </c>
      <c r="AW22" s="60">
        <f>IFERROR(AVERAGEIFS('Base Kpi'!$BP:$BP,'Base Kpi'!$BI:$BI,Cliente!$E22,'Base Kpi'!$BO:$BO,Cliente!AW$5),0)</f>
        <v>21.425000000000001</v>
      </c>
      <c r="AX22" s="92">
        <f>IFERROR(AVERAGEIFS('Base Kpi'!$BP:$BP,'Base Kpi'!$BI:$BI,Cliente!$E22,'Base Kpi'!$BO:$BO,Cliente!AX$5),0)</f>
        <v>5</v>
      </c>
      <c r="AY22" s="92">
        <f>IFERROR(AVERAGEIFS('Base Kpi'!$BP:$BP,'Base Kpi'!$BI:$BI,Cliente!$E22,'Base Kpi'!$BO:$BO,Cliente!AY$5),0)</f>
        <v>12</v>
      </c>
      <c r="AZ22" s="92">
        <f>IFERROR(AVERAGEIFS('Base Kpi'!$BP:$BP,'Base Kpi'!$BI:$BI,Cliente!$E22,'Base Kpi'!$BO:$BO,Cliente!AZ$5),0)</f>
        <v>29.56</v>
      </c>
      <c r="BA22" s="92">
        <f>IFERROR(AVERAGEIFS('Base Kpi'!$BP:$BP,'Base Kpi'!$BI:$BI,Cliente!$E22,'Base Kpi'!$BO:$BO,Cliente!BA$5),0)</f>
        <v>0</v>
      </c>
      <c r="BB22" s="94">
        <f t="shared" si="16"/>
        <v>67.984999999999999</v>
      </c>
      <c r="BC22" s="95">
        <f t="shared" si="17"/>
        <v>0</v>
      </c>
      <c r="BD22" s="60">
        <f t="shared" si="42"/>
        <v>49.544999999999995</v>
      </c>
      <c r="BE22" s="97">
        <f t="shared" si="18"/>
        <v>0</v>
      </c>
      <c r="BF22" s="88">
        <f t="shared" si="43"/>
        <v>0</v>
      </c>
      <c r="BG22" s="60">
        <f>IFERROR(AVERAGEIFS('Base Kpi'!$CB:$CB,'Base Kpi'!$BU:$BU,Cliente!$E22,'Base Kpi'!$CA:$CA,Cliente!BG$5),0)</f>
        <v>17.850000000000001</v>
      </c>
      <c r="BH22" s="92">
        <f>IFERROR(AVERAGEIFS('Base Kpi'!$CB:$CB,'Base Kpi'!$BU:$BU,Cliente!$E22,'Base Kpi'!$CA:$CA,Cliente!BH$5),0)</f>
        <v>3.335</v>
      </c>
      <c r="BI22" s="92">
        <f>IFERROR(AVERAGEIFS('Base Kpi'!$CB:$CB,'Base Kpi'!$BU:$BU,Cliente!$E22,'Base Kpi'!$CA:$CA,Cliente!BI$5),0)</f>
        <v>12</v>
      </c>
      <c r="BJ22" s="92">
        <f>IFERROR(AVERAGEIFS('Base Kpi'!$CB:$CB,'Base Kpi'!$BU:$BU,Cliente!$E22,'Base Kpi'!$CA:$CA,Cliente!BJ$5),0)</f>
        <v>23.2</v>
      </c>
      <c r="BK22" s="92">
        <f>IFERROR(AVERAGEIFS('Base Kpi'!$CB:$CB,'Base Kpi'!$BU:$BU,Cliente!$E22,'Base Kpi'!$CA:$CA,Cliente!BK$5),0)</f>
        <v>9</v>
      </c>
      <c r="BL22" s="94">
        <f t="shared" si="19"/>
        <v>65.385000000000005</v>
      </c>
      <c r="BM22" s="95">
        <f t="shared" si="20"/>
        <v>0</v>
      </c>
      <c r="BN22" s="60">
        <f>IFERROR(AVERAGEIFS('Base Kpi'!$CN:$CN,'Base Kpi'!$CG:$CG,Cliente!$E22,'Base Kpi'!$CM:$CM,Cliente!BN$5),0)</f>
        <v>17.850000000000001</v>
      </c>
      <c r="BO22" s="92">
        <f>IFERROR(AVERAGEIFS('Base Kpi'!$CN:$CN,'Base Kpi'!$CG:$CG,Cliente!$E22,'Base Kpi'!$CM:$CM,Cliente!BO$5),0)</f>
        <v>5</v>
      </c>
      <c r="BP22" s="92">
        <f>IFERROR(AVERAGEIFS('Base Kpi'!$CN:$CN,'Base Kpi'!$CG:$CG,Cliente!$E22,'Base Kpi'!$CM:$CM,Cliente!BP$5),0)</f>
        <v>12</v>
      </c>
      <c r="BQ22" s="92">
        <f>IFERROR(AVERAGEIFS('Base Kpi'!$CN:$CN,'Base Kpi'!$CG:$CG,Cliente!$E22,'Base Kpi'!$CM:$CM,Cliente!BQ$5),0)</f>
        <v>30.4</v>
      </c>
      <c r="BR22" s="92">
        <f>IFERROR(AVERAGEIFS('Base Kpi'!$CN:$CN,'Base Kpi'!$CG:$CG,Cliente!$E22,'Base Kpi'!$CM:$CM,Cliente!BR$5),0)</f>
        <v>18</v>
      </c>
      <c r="BS22" s="94">
        <f t="shared" si="21"/>
        <v>83.25</v>
      </c>
      <c r="BT22" s="95">
        <f t="shared" si="22"/>
        <v>1</v>
      </c>
      <c r="BU22" s="60">
        <f>IFERROR(AVERAGEIFS('Base Kpi'!$CZ:$CZ,'Base Kpi'!$CS:$CS,Cliente!$E22,'Base Kpi'!$CY:$CY,Cliente!BU$5),0)</f>
        <v>0</v>
      </c>
      <c r="BV22" s="92">
        <f>IFERROR(AVERAGEIFS('Base Kpi'!$CZ:$CZ,'Base Kpi'!$CS:$CS,Cliente!$E22,'Base Kpi'!$CY:$CY,Cliente!BV$5),0)</f>
        <v>0</v>
      </c>
      <c r="BW22" s="92">
        <f>IFERROR(AVERAGEIFS('Base Kpi'!$CZ:$CZ,'Base Kpi'!$CS:$CS,Cliente!$E22,'Base Kpi'!$CY:$CY,Cliente!BW$5),0)</f>
        <v>0</v>
      </c>
      <c r="BX22" s="92">
        <f>IFERROR(AVERAGEIFS('Base Kpi'!$CZ:$CZ,'Base Kpi'!$CS:$CS,Cliente!$E22,'Base Kpi'!$CY:$CY,Cliente!BX$5),0)</f>
        <v>0</v>
      </c>
      <c r="BY22" s="92">
        <f>IFERROR(AVERAGEIFS('Base Kpi'!$CZ:$CZ,'Base Kpi'!$CS:$CS,Cliente!$E22,'Base Kpi'!$CY:$CY,Cliente!BY$5),0)</f>
        <v>0</v>
      </c>
      <c r="BZ22" s="94">
        <f t="shared" si="23"/>
        <v>0</v>
      </c>
      <c r="CA22" s="95">
        <f t="shared" si="24"/>
        <v>0</v>
      </c>
      <c r="CB22" s="60">
        <f t="shared" si="44"/>
        <v>80.325000000000003</v>
      </c>
      <c r="CC22" s="97">
        <f t="shared" si="45"/>
        <v>1</v>
      </c>
      <c r="CD22" s="43">
        <f t="shared" si="46"/>
        <v>1</v>
      </c>
      <c r="CE22" s="60" cm="1">
        <f t="array" ref="CE22">IFERROR(LARGE(_xlfn._xlws.FILTER('Base Kpi'!$DL:$DL,('Base Kpi'!$DK:$DK=$CE$5)*('Base Kpi'!$DE:$DE=Cliente!$E22)),1),0)</f>
        <v>30.4</v>
      </c>
      <c r="CF22" s="60" cm="1">
        <f t="array" ref="CF22">IFERROR(LARGE(_xlfn._xlws.FILTER('Base Kpi'!$DL:$DL,('Base Kpi'!$DK:$DK=$CF$5)*('Base Kpi'!$DE:$DE=Cliente!$E22)),1),0)</f>
        <v>5</v>
      </c>
      <c r="CG22" s="60" cm="1">
        <f t="array" ref="CG22">IFERROR(LARGE(_xlfn._xlws.FILTER('Base Kpi'!$DL:$DL,('Base Kpi'!$DK:$DK=$CG$5)*('Base Kpi'!$DE:$DE=Cliente!$E22)),1),0)</f>
        <v>5</v>
      </c>
      <c r="CH22" s="60" cm="1">
        <f t="array" ref="CH22">IFERROR(LARGE(_xlfn._xlws.FILTER('Base Kpi'!$DL:$DL,('Base Kpi'!$DK:$DK=$CH$5)*('Base Kpi'!$DE:$DE=Cliente!$E22)),1),0)</f>
        <v>18</v>
      </c>
      <c r="CI22" s="60" cm="1">
        <f t="array" ref="CI22">IFERROR(LARGE(_xlfn._xlws.FILTER('Base Kpi'!$DL:$DL,('Base Kpi'!$DK:$DK=$CI$5)*('Base Kpi'!$DE:$DE=Cliente!$E22)),1),0)</f>
        <v>17.850000000000001</v>
      </c>
      <c r="CJ22" s="60" cm="1">
        <f t="array" ref="CJ22">IFERROR(LARGE(_xlfn._xlws.FILTER('Base Kpi'!$DL:$DL,('Base Kpi'!$DK:$DK=$CJ$5)*('Base Kpi'!$DE:$DE=Cliente!$E22)),1),0)</f>
        <v>9</v>
      </c>
      <c r="CK22" s="60" cm="1">
        <f t="array" ref="CK22">IFERROR(LARGE(_xlfn._xlws.FILTER('Base Kpi'!$DL:$DL,('Base Kpi'!$DK:$DK=$CK$5)*('Base Kpi'!$DE:$DE=Cliente!$E22)),1),0)</f>
        <v>0</v>
      </c>
      <c r="CL22" s="94">
        <f t="shared" si="28"/>
        <v>85.25</v>
      </c>
      <c r="CM22" s="95">
        <f t="shared" si="47"/>
        <v>1</v>
      </c>
      <c r="CN22" s="60">
        <f>IFERROR(AVERAGEIFS('Base Kpi'!$DX:$DX,'Base Kpi'!$DQ:$DQ,Cliente!$E22,'Base Kpi'!$DW:$DW,Cliente!CN$5),0)</f>
        <v>25.6</v>
      </c>
      <c r="CO22" s="92">
        <f>IFERROR(AVERAGEIFS('Base Kpi'!$DX:$DX,'Base Kpi'!$DQ:$DQ,Cliente!$E22,'Base Kpi'!$DW:$DW,Cliente!CO$5),0)</f>
        <v>5</v>
      </c>
      <c r="CP22" s="92">
        <f>IFERROR(AVERAGEIFS('Base Kpi'!$DX:$DX,'Base Kpi'!$DQ:$DQ,Cliente!$E22,'Base Kpi'!$DW:$DW,Cliente!CP$5),0)</f>
        <v>5</v>
      </c>
      <c r="CQ22" s="92">
        <f>IFERROR(AVERAGEIFS('Base Kpi'!$DX:$DX,'Base Kpi'!$DQ:$DQ,Cliente!$E22,'Base Kpi'!$DW:$DW,Cliente!CQ$5),0)</f>
        <v>18</v>
      </c>
      <c r="CR22" s="92">
        <f>IFERROR(AVERAGEIFS('Base Kpi'!$DX:$DX,'Base Kpi'!$DQ:$DQ,Cliente!$E22,'Base Kpi'!$DW:$DW,Cliente!CR$5),0)</f>
        <v>14.275</v>
      </c>
      <c r="CS22" s="92">
        <f>IFERROR(AVERAGEIFS('Base Kpi'!$DX:$DX,'Base Kpi'!$DQ:$DQ,Cliente!$E22,'Base Kpi'!$DW:$DW,Cliente!CS$5),0)</f>
        <v>9</v>
      </c>
      <c r="CT22" s="92">
        <f>IFERROR(AVERAGEIFS('Base Kpi'!$DX:$DX,'Base Kpi'!$DQ:$DQ,Cliente!$E22,'Base Kpi'!$DW:$DW,Cliente!CT$5),0)</f>
        <v>0</v>
      </c>
      <c r="CU22" s="94">
        <f t="shared" si="48"/>
        <v>76.875</v>
      </c>
      <c r="CV22" s="95">
        <f t="shared" si="49"/>
        <v>1</v>
      </c>
      <c r="CW22" s="60">
        <f>IFERROR(AVERAGEIFS('Base Kpi'!$EJ:$EJ,'Base Kpi'!$EC:$EC,Cliente!$E22,'Base Kpi'!$EI:$EI,Cliente!CW$5),0)</f>
        <v>24</v>
      </c>
      <c r="CX22" s="92">
        <f>IFERROR(AVERAGEIFS('Base Kpi'!$EJ:$EJ,'Base Kpi'!$EC:$EC,Cliente!$E22,'Base Kpi'!$EI:$EI,Cliente!CX$5),0)</f>
        <v>5</v>
      </c>
      <c r="CY22" s="92">
        <f>IFERROR(AVERAGEIFS('Base Kpi'!$EJ:$EJ,'Base Kpi'!$EC:$EC,Cliente!$E22,'Base Kpi'!$EI:$EI,Cliente!CY$5),0)</f>
        <v>5</v>
      </c>
      <c r="CZ22" s="92">
        <f>IFERROR(AVERAGEIFS('Base Kpi'!$EJ:$EJ,'Base Kpi'!$EC:$EC,Cliente!$E22,'Base Kpi'!$EI:$EI,Cliente!CZ$5),0)</f>
        <v>18</v>
      </c>
      <c r="DA22" s="92">
        <f>IFERROR(AVERAGEIFS('Base Kpi'!$EJ:$EJ,'Base Kpi'!$EC:$EC,Cliente!$E22,'Base Kpi'!$EI:$EI,Cliente!DA$5),0)</f>
        <v>17.850000000000001</v>
      </c>
      <c r="DB22" s="92">
        <f>IFERROR(AVERAGEIFS('Base Kpi'!$EJ:$EJ,'Base Kpi'!$EC:$EC,Cliente!$E22,'Base Kpi'!$EI:$EI,Cliente!DB$5),0)</f>
        <v>9</v>
      </c>
      <c r="DC22" s="92">
        <f>IFERROR(AVERAGEIFS('Base Kpi'!$EJ:$EJ,'Base Kpi'!$EC:$EC,Cliente!$E22,'Base Kpi'!$EI:$EI,Cliente!DC$5),0)</f>
        <v>0</v>
      </c>
      <c r="DD22" s="94">
        <f t="shared" si="50"/>
        <v>78.849999999999994</v>
      </c>
      <c r="DE22" s="95">
        <f t="shared" si="51"/>
        <v>1</v>
      </c>
      <c r="DF22" s="120"/>
    </row>
    <row r="23" spans="2:110" x14ac:dyDescent="0.35">
      <c r="B23" s="52" t="s">
        <v>427</v>
      </c>
      <c r="C23" s="21">
        <v>3919</v>
      </c>
      <c r="D23" s="21" t="s">
        <v>429</v>
      </c>
      <c r="E23" s="21">
        <v>54675</v>
      </c>
      <c r="F23" s="16" t="s">
        <v>10</v>
      </c>
      <c r="G23" s="16" t="s">
        <v>237</v>
      </c>
      <c r="H23" s="16" t="s">
        <v>241</v>
      </c>
      <c r="I23" s="16" t="s">
        <v>238</v>
      </c>
      <c r="J23" s="16" t="s">
        <v>90</v>
      </c>
      <c r="K23" s="34" t="s">
        <v>48</v>
      </c>
      <c r="L23" s="60">
        <f t="shared" si="33"/>
        <v>61.674166666666672</v>
      </c>
      <c r="M23" s="97">
        <f t="shared" si="34"/>
        <v>1</v>
      </c>
      <c r="N23" s="43">
        <f t="shared" si="2"/>
        <v>0</v>
      </c>
      <c r="O23" s="60">
        <f>IFERROR(AVERAGEIFS('Base Kpi'!$I:$I,'Base Kpi'!$B:$B,Cliente!$E23,'Base Kpi'!$G:$G,Cliente!O$5),0)</f>
        <v>21.42</v>
      </c>
      <c r="P23" s="92">
        <f>IFERROR(AVERAGEIFS('Base Kpi'!$I:$I,'Base Kpi'!$B:$B,Cliente!$E23,'Base Kpi'!$G:$G,Cliente!P$5),0)</f>
        <v>0</v>
      </c>
      <c r="Q23" s="92">
        <f>IFERROR(AVERAGEIFS('Base Kpi'!$I:$I,'Base Kpi'!$B:$B,Cliente!$E23,'Base Kpi'!$G:$G,Cliente!Q$5),0)</f>
        <v>10.199999999999999</v>
      </c>
      <c r="R23" s="92">
        <f>IFERROR(AVERAGEIFS('Base Kpi'!$I:$I,'Base Kpi'!$B:$B,Cliente!$E23,'Base Kpi'!$G:$G,Cliente!R$5),0)</f>
        <v>31.5</v>
      </c>
      <c r="S23" s="94">
        <f t="shared" si="35"/>
        <v>63.120000000000005</v>
      </c>
      <c r="T23" s="95">
        <f t="shared" si="36"/>
        <v>0</v>
      </c>
      <c r="U23" s="60">
        <f>IFERROR(AVERAGEIFS('Base Kpi'!$T:$T,'Base Kpi'!$M:$M,Cliente!$E23,'Base Kpi'!$S:$S,Cliente!U$5),0)</f>
        <v>17.13</v>
      </c>
      <c r="V23" s="92">
        <f>IFERROR(AVERAGEIFS('Base Kpi'!$T:$T,'Base Kpi'!$M:$M,Cliente!$E23,'Base Kpi'!$S:$S,Cliente!V$5),0)</f>
        <v>0</v>
      </c>
      <c r="W23" s="92">
        <f>IFERROR(AVERAGEIFS('Base Kpi'!$T:$T,'Base Kpi'!$M:$M,Cliente!$E23,'Base Kpi'!$S:$S,Cliente!W$5),0)</f>
        <v>12.75</v>
      </c>
      <c r="X23" s="92">
        <f>IFERROR(AVERAGEIFS('Base Kpi'!$T:$T,'Base Kpi'!$M:$M,Cliente!$E23,'Base Kpi'!$S:$S,Cliente!X$5),0)</f>
        <v>12.9375</v>
      </c>
      <c r="Y23" s="94">
        <f t="shared" si="37"/>
        <v>42.817499999999995</v>
      </c>
      <c r="Z23" s="95">
        <f t="shared" si="38"/>
        <v>0</v>
      </c>
      <c r="AA23" s="60">
        <f>IFERROR(AVERAGEIFS('Base Kpi'!$AF:$AF,'Base Kpi'!$Y:$Y,Cliente!$E23,'Base Kpi'!$AE:$AE,Cliente!AA$5),0)</f>
        <v>25.71</v>
      </c>
      <c r="AB23" s="92">
        <f>IFERROR(AVERAGEIFS('Base Kpi'!$AF:$AF,'Base Kpi'!$Y:$Y,Cliente!$E23,'Base Kpi'!$AE:$AE,Cliente!AB$5),0)</f>
        <v>8</v>
      </c>
      <c r="AC23" s="92">
        <f>IFERROR(AVERAGEIFS('Base Kpi'!$AF:$AF,'Base Kpi'!$Y:$Y,Cliente!$E23,'Base Kpi'!$AE:$AE,Cliente!AC$5),0)</f>
        <v>12.75</v>
      </c>
      <c r="AD23" s="92">
        <f>IFERROR(AVERAGEIFS('Base Kpi'!$AF:$AF,'Base Kpi'!$Y:$Y,Cliente!$E23,'Base Kpi'!$AE:$AE,Cliente!AD$5),0)</f>
        <v>32.625</v>
      </c>
      <c r="AE23" s="94">
        <f t="shared" si="39"/>
        <v>79.085000000000008</v>
      </c>
      <c r="AF23" s="95">
        <f t="shared" si="40"/>
        <v>0</v>
      </c>
      <c r="AG23" s="60">
        <f t="shared" si="9"/>
        <v>43.228333333333332</v>
      </c>
      <c r="AH23" s="97">
        <f t="shared" si="10"/>
        <v>0</v>
      </c>
      <c r="AI23" s="88">
        <f t="shared" si="41"/>
        <v>0</v>
      </c>
      <c r="AJ23" s="92">
        <f>IFERROR(AVERAGEIFS('Base Kpi'!$AR:$AR,'Base Kpi'!$AK:$AK,Cliente!$E23,'Base Kpi'!$AQ:$AQ,AJ$5),0)</f>
        <v>21.425000000000001</v>
      </c>
      <c r="AK23" s="92">
        <f>IFERROR(AVERAGEIFS('Base Kpi'!$AR:$AR,'Base Kpi'!$AK:$AK,Cliente!$E23,'Base Kpi'!$AQ:$AQ,AK$5),0)</f>
        <v>2.5</v>
      </c>
      <c r="AL23" s="92">
        <f>IFERROR(AVERAGEIFS('Base Kpi'!$AR:$AR,'Base Kpi'!$AK:$AK,Cliente!$E23,'Base Kpi'!$AQ:$AQ,AL$5),0)</f>
        <v>9</v>
      </c>
      <c r="AM23" s="92">
        <f>IFERROR(AVERAGEIFS('Base Kpi'!$AR:$AR,'Base Kpi'!$AK:$AK,Cliente!$E23,'Base Kpi'!$AQ:$AQ,AM$5),0)</f>
        <v>29.56</v>
      </c>
      <c r="AN23" s="94">
        <f t="shared" si="12"/>
        <v>62.484999999999999</v>
      </c>
      <c r="AO23" s="95">
        <f t="shared" si="13"/>
        <v>0</v>
      </c>
      <c r="AP23" s="60">
        <f>IFERROR(AVERAGEIFS('Base Kpi'!$BD:$BD,'Base Kpi'!$AW:$AW,Cliente!$E23,'Base Kpi'!$BC:$BC,Cliente!AP$5),0)</f>
        <v>0</v>
      </c>
      <c r="AQ23" s="92">
        <f>IFERROR(AVERAGEIFS('Base Kpi'!$BD:$BD,'Base Kpi'!$AW:$AW,Cliente!$E23,'Base Kpi'!$BC:$BC,Cliente!AQ$5),0)</f>
        <v>0</v>
      </c>
      <c r="AR23" s="92">
        <f>IFERROR(AVERAGEIFS('Base Kpi'!$BD:$BD,'Base Kpi'!$AW:$AW,Cliente!$E23,'Base Kpi'!$BC:$BC,Cliente!AR$5),0)</f>
        <v>0</v>
      </c>
      <c r="AS23" s="92">
        <f>IFERROR(AVERAGEIFS('Base Kpi'!$BD:$BD,'Base Kpi'!$AW:$AW,Cliente!$E23,'Base Kpi'!$BC:$BC,Cliente!AS$5),0)</f>
        <v>0</v>
      </c>
      <c r="AT23" s="92">
        <f>IFERROR(AVERAGEIFS('Base Kpi'!$BD:$BD,'Base Kpi'!$AW:$AW,Cliente!$E23,'Base Kpi'!$BC:$BC,Cliente!AT$5),0)</f>
        <v>0</v>
      </c>
      <c r="AU23" s="94">
        <f t="shared" si="14"/>
        <v>0</v>
      </c>
      <c r="AV23" s="95">
        <f t="shared" si="15"/>
        <v>0</v>
      </c>
      <c r="AW23" s="60">
        <f>IFERROR(AVERAGEIFS('Base Kpi'!$BP:$BP,'Base Kpi'!$BI:$BI,Cliente!$E23,'Base Kpi'!$BO:$BO,Cliente!AW$5),0)</f>
        <v>21.425000000000001</v>
      </c>
      <c r="AX23" s="92">
        <f>IFERROR(AVERAGEIFS('Base Kpi'!$BP:$BP,'Base Kpi'!$BI:$BI,Cliente!$E23,'Base Kpi'!$BO:$BO,Cliente!AX$5),0)</f>
        <v>3.335</v>
      </c>
      <c r="AY23" s="92">
        <f>IFERROR(AVERAGEIFS('Base Kpi'!$BP:$BP,'Base Kpi'!$BI:$BI,Cliente!$E23,'Base Kpi'!$BO:$BO,Cliente!AY$5),0)</f>
        <v>12</v>
      </c>
      <c r="AZ23" s="92">
        <f>IFERROR(AVERAGEIFS('Base Kpi'!$BP:$BP,'Base Kpi'!$BI:$BI,Cliente!$E23,'Base Kpi'!$BO:$BO,Cliente!AZ$5),0)</f>
        <v>30.44</v>
      </c>
      <c r="BA23" s="92">
        <f>IFERROR(AVERAGEIFS('Base Kpi'!$BP:$BP,'Base Kpi'!$BI:$BI,Cliente!$E23,'Base Kpi'!$BO:$BO,Cliente!BA$5),0)</f>
        <v>0</v>
      </c>
      <c r="BB23" s="94">
        <f t="shared" si="16"/>
        <v>67.2</v>
      </c>
      <c r="BC23" s="95">
        <f t="shared" si="17"/>
        <v>0</v>
      </c>
      <c r="BD23" s="60">
        <f t="shared" si="42"/>
        <v>83.666666666666671</v>
      </c>
      <c r="BE23" s="97">
        <f t="shared" si="18"/>
        <v>1</v>
      </c>
      <c r="BF23" s="88">
        <f t="shared" si="43"/>
        <v>1</v>
      </c>
      <c r="BG23" s="60">
        <f>IFERROR(AVERAGEIFS('Base Kpi'!$CB:$CB,'Base Kpi'!$BU:$BU,Cliente!$E23,'Base Kpi'!$CA:$CA,Cliente!BG$5),0)</f>
        <v>25</v>
      </c>
      <c r="BH23" s="92">
        <f>IFERROR(AVERAGEIFS('Base Kpi'!$CB:$CB,'Base Kpi'!$BU:$BU,Cliente!$E23,'Base Kpi'!$CA:$CA,Cliente!BH$5),0)</f>
        <v>5</v>
      </c>
      <c r="BI23" s="92">
        <f>IFERROR(AVERAGEIFS('Base Kpi'!$CB:$CB,'Base Kpi'!$BU:$BU,Cliente!$E23,'Base Kpi'!$CA:$CA,Cliente!BI$5),0)</f>
        <v>12</v>
      </c>
      <c r="BJ23" s="92">
        <f>IFERROR(AVERAGEIFS('Base Kpi'!$CB:$CB,'Base Kpi'!$BU:$BU,Cliente!$E23,'Base Kpi'!$CA:$CA,Cliente!BJ$5),0)</f>
        <v>26.4</v>
      </c>
      <c r="BK23" s="92">
        <f>IFERROR(AVERAGEIFS('Base Kpi'!$CB:$CB,'Base Kpi'!$BU:$BU,Cliente!$E23,'Base Kpi'!$CA:$CA,Cliente!BK$5),0)</f>
        <v>9</v>
      </c>
      <c r="BL23" s="94">
        <f t="shared" si="19"/>
        <v>77.400000000000006</v>
      </c>
      <c r="BM23" s="95">
        <f t="shared" si="20"/>
        <v>0</v>
      </c>
      <c r="BN23" s="60">
        <f>IFERROR(AVERAGEIFS('Base Kpi'!$CN:$CN,'Base Kpi'!$CG:$CG,Cliente!$E23,'Base Kpi'!$CM:$CM,Cliente!BN$5),0)</f>
        <v>25</v>
      </c>
      <c r="BO23" s="92">
        <f>IFERROR(AVERAGEIFS('Base Kpi'!$CN:$CN,'Base Kpi'!$CG:$CG,Cliente!$E23,'Base Kpi'!$CM:$CM,Cliente!BO$5),0)</f>
        <v>5</v>
      </c>
      <c r="BP23" s="92">
        <f>IFERROR(AVERAGEIFS('Base Kpi'!$CN:$CN,'Base Kpi'!$CG:$CG,Cliente!$E23,'Base Kpi'!$CM:$CM,Cliente!BP$5),0)</f>
        <v>12</v>
      </c>
      <c r="BQ23" s="92">
        <f>IFERROR(AVERAGEIFS('Base Kpi'!$CN:$CN,'Base Kpi'!$CG:$CG,Cliente!$E23,'Base Kpi'!$CM:$CM,Cliente!BQ$5),0)</f>
        <v>25.6</v>
      </c>
      <c r="BR23" s="92">
        <f>IFERROR(AVERAGEIFS('Base Kpi'!$CN:$CN,'Base Kpi'!$CG:$CG,Cliente!$E23,'Base Kpi'!$CM:$CM,Cliente!BR$5),0)</f>
        <v>18</v>
      </c>
      <c r="BS23" s="94">
        <f t="shared" si="21"/>
        <v>85.6</v>
      </c>
      <c r="BT23" s="95">
        <f t="shared" si="22"/>
        <v>1</v>
      </c>
      <c r="BU23" s="60">
        <f>IFERROR(AVERAGEIFS('Base Kpi'!$CZ:$CZ,'Base Kpi'!$CS:$CS,Cliente!$E23,'Base Kpi'!$CY:$CY,Cliente!BU$5),0)</f>
        <v>25</v>
      </c>
      <c r="BV23" s="92">
        <f>IFERROR(AVERAGEIFS('Base Kpi'!$CZ:$CZ,'Base Kpi'!$CS:$CS,Cliente!$E23,'Base Kpi'!$CY:$CY,Cliente!BV$5),0)</f>
        <v>5</v>
      </c>
      <c r="BW23" s="92">
        <f>IFERROR(AVERAGEIFS('Base Kpi'!$CZ:$CZ,'Base Kpi'!$CS:$CS,Cliente!$E23,'Base Kpi'!$CY:$CY,Cliente!BW$5),0)</f>
        <v>12</v>
      </c>
      <c r="BX23" s="92">
        <f>IFERROR(AVERAGEIFS('Base Kpi'!$CZ:$CZ,'Base Kpi'!$CS:$CS,Cliente!$E23,'Base Kpi'!$CY:$CY,Cliente!BX$5),0)</f>
        <v>28</v>
      </c>
      <c r="BY23" s="92">
        <f>IFERROR(AVERAGEIFS('Base Kpi'!$CZ:$CZ,'Base Kpi'!$CS:$CS,Cliente!$E23,'Base Kpi'!$CY:$CY,Cliente!BY$5),0)</f>
        <v>18</v>
      </c>
      <c r="BZ23" s="94">
        <f t="shared" si="23"/>
        <v>88</v>
      </c>
      <c r="CA23" s="95">
        <f t="shared" si="24"/>
        <v>1</v>
      </c>
      <c r="CB23" s="60">
        <f t="shared" si="44"/>
        <v>55.35</v>
      </c>
      <c r="CC23" s="97">
        <f t="shared" si="45"/>
        <v>0</v>
      </c>
      <c r="CD23" s="43">
        <f t="shared" si="46"/>
        <v>0</v>
      </c>
      <c r="CE23" s="60" cm="1">
        <f t="array" ref="CE23">IFERROR(LARGE(_xlfn._xlws.FILTER('Base Kpi'!$DL:$DL,('Base Kpi'!$DK:$DK=$CE$5)*('Base Kpi'!$DE:$DE=Cliente!$E23)),1),0)</f>
        <v>27.2</v>
      </c>
      <c r="CF23" s="60" cm="1">
        <f t="array" ref="CF23">IFERROR(LARGE(_xlfn._xlws.FILTER('Base Kpi'!$DL:$DL,('Base Kpi'!$DK:$DK=$CF$5)*('Base Kpi'!$DE:$DE=Cliente!$E23)),1),0)</f>
        <v>5</v>
      </c>
      <c r="CG23" s="60" cm="1">
        <f t="array" ref="CG23">IFERROR(LARGE(_xlfn._xlws.FILTER('Base Kpi'!$DL:$DL,('Base Kpi'!$DK:$DK=$CG$5)*('Base Kpi'!$DE:$DE=Cliente!$E23)),1),0)</f>
        <v>5</v>
      </c>
      <c r="CH23" s="60" cm="1">
        <f t="array" ref="CH23">IFERROR(LARGE(_xlfn._xlws.FILTER('Base Kpi'!$DL:$DL,('Base Kpi'!$DK:$DK=$CH$5)*('Base Kpi'!$DE:$DE=Cliente!$E23)),1),0)</f>
        <v>9</v>
      </c>
      <c r="CI23" s="60" cm="1">
        <f t="array" ref="CI23">IFERROR(LARGE(_xlfn._xlws.FILTER('Base Kpi'!$DL:$DL,('Base Kpi'!$DK:$DK=$CI$5)*('Base Kpi'!$DE:$DE=Cliente!$E23)),1),0)</f>
        <v>21.425000000000001</v>
      </c>
      <c r="CJ23" s="60" cm="1">
        <f t="array" ref="CJ23">IFERROR(LARGE(_xlfn._xlws.FILTER('Base Kpi'!$DL:$DL,('Base Kpi'!$DK:$DK=$CJ$5)*('Base Kpi'!$DE:$DE=Cliente!$E23)),1),0)</f>
        <v>12</v>
      </c>
      <c r="CK23" s="60" cm="1">
        <f t="array" ref="CK23">IFERROR(LARGE(_xlfn._xlws.FILTER('Base Kpi'!$DL:$DL,('Base Kpi'!$DK:$DK=$CK$5)*('Base Kpi'!$DE:$DE=Cliente!$E23)),1),0)</f>
        <v>0</v>
      </c>
      <c r="CL23" s="94">
        <f t="shared" si="28"/>
        <v>79.625</v>
      </c>
      <c r="CM23" s="95">
        <f t="shared" si="47"/>
        <v>0</v>
      </c>
      <c r="CN23" s="60">
        <f>IFERROR(AVERAGEIFS('Base Kpi'!$DX:$DX,'Base Kpi'!$DQ:$DQ,Cliente!$E23,'Base Kpi'!$DW:$DW,Cliente!CN$5),0)</f>
        <v>28</v>
      </c>
      <c r="CO23" s="92">
        <f>IFERROR(AVERAGEIFS('Base Kpi'!$DX:$DX,'Base Kpi'!$DQ:$DQ,Cliente!$E23,'Base Kpi'!$DW:$DW,Cliente!CO$5),0)</f>
        <v>5</v>
      </c>
      <c r="CP23" s="92">
        <f>IFERROR(AVERAGEIFS('Base Kpi'!$DX:$DX,'Base Kpi'!$DQ:$DQ,Cliente!$E23,'Base Kpi'!$DW:$DW,Cliente!CP$5),0)</f>
        <v>5</v>
      </c>
      <c r="CQ23" s="92">
        <f>IFERROR(AVERAGEIFS('Base Kpi'!$DX:$DX,'Base Kpi'!$DQ:$DQ,Cliente!$E23,'Base Kpi'!$DW:$DW,Cliente!CQ$5),0)</f>
        <v>18</v>
      </c>
      <c r="CR23" s="92">
        <f>IFERROR(AVERAGEIFS('Base Kpi'!$DX:$DX,'Base Kpi'!$DQ:$DQ,Cliente!$E23,'Base Kpi'!$DW:$DW,Cliente!CR$5),0)</f>
        <v>21.425000000000001</v>
      </c>
      <c r="CS23" s="92">
        <f>IFERROR(AVERAGEIFS('Base Kpi'!$DX:$DX,'Base Kpi'!$DQ:$DQ,Cliente!$E23,'Base Kpi'!$DW:$DW,Cliente!CS$5),0)</f>
        <v>9</v>
      </c>
      <c r="CT23" s="92">
        <f>IFERROR(AVERAGEIFS('Base Kpi'!$DX:$DX,'Base Kpi'!$DQ:$DQ,Cliente!$E23,'Base Kpi'!$DW:$DW,Cliente!CT$5),0)</f>
        <v>0</v>
      </c>
      <c r="CU23" s="94">
        <f t="shared" si="48"/>
        <v>86.424999999999997</v>
      </c>
      <c r="CV23" s="95">
        <f t="shared" si="49"/>
        <v>1</v>
      </c>
      <c r="CW23" s="60">
        <f>IFERROR(AVERAGEIFS('Base Kpi'!$EJ:$EJ,'Base Kpi'!$EC:$EC,Cliente!$E23,'Base Kpi'!$EI:$EI,Cliente!CW$5),0)</f>
        <v>0</v>
      </c>
      <c r="CX23" s="92">
        <f>IFERROR(AVERAGEIFS('Base Kpi'!$EJ:$EJ,'Base Kpi'!$EC:$EC,Cliente!$E23,'Base Kpi'!$EI:$EI,Cliente!CX$5),0)</f>
        <v>0</v>
      </c>
      <c r="CY23" s="92">
        <f>IFERROR(AVERAGEIFS('Base Kpi'!$EJ:$EJ,'Base Kpi'!$EC:$EC,Cliente!$E23,'Base Kpi'!$EI:$EI,Cliente!CY$5),0)</f>
        <v>0</v>
      </c>
      <c r="CZ23" s="92">
        <f>IFERROR(AVERAGEIFS('Base Kpi'!$EJ:$EJ,'Base Kpi'!$EC:$EC,Cliente!$E23,'Base Kpi'!$EI:$EI,Cliente!CZ$5),0)</f>
        <v>0</v>
      </c>
      <c r="DA23" s="92">
        <f>IFERROR(AVERAGEIFS('Base Kpi'!$EJ:$EJ,'Base Kpi'!$EC:$EC,Cliente!$E23,'Base Kpi'!$EI:$EI,Cliente!DA$5),0)</f>
        <v>0</v>
      </c>
      <c r="DB23" s="92">
        <f>IFERROR(AVERAGEIFS('Base Kpi'!$EJ:$EJ,'Base Kpi'!$EC:$EC,Cliente!$E23,'Base Kpi'!$EI:$EI,Cliente!DB$5),0)</f>
        <v>0</v>
      </c>
      <c r="DC23" s="92">
        <f>IFERROR(AVERAGEIFS('Base Kpi'!$EJ:$EJ,'Base Kpi'!$EC:$EC,Cliente!$E23,'Base Kpi'!$EI:$EI,Cliente!DC$5),0)</f>
        <v>0</v>
      </c>
      <c r="DD23" s="94">
        <f t="shared" si="50"/>
        <v>0</v>
      </c>
      <c r="DE23" s="95">
        <f t="shared" si="51"/>
        <v>0</v>
      </c>
      <c r="DF23" s="120"/>
    </row>
    <row r="24" spans="2:110" x14ac:dyDescent="0.35">
      <c r="B24" s="52" t="s">
        <v>427</v>
      </c>
      <c r="C24" s="21">
        <v>3919</v>
      </c>
      <c r="D24" s="21" t="s">
        <v>429</v>
      </c>
      <c r="E24" s="21">
        <v>69667</v>
      </c>
      <c r="F24" s="16" t="s">
        <v>16</v>
      </c>
      <c r="G24" s="16" t="s">
        <v>178</v>
      </c>
      <c r="H24" s="16" t="s">
        <v>242</v>
      </c>
      <c r="I24" s="16" t="s">
        <v>176</v>
      </c>
      <c r="J24" s="16" t="s">
        <v>90</v>
      </c>
      <c r="K24" s="34" t="s">
        <v>48</v>
      </c>
      <c r="L24" s="60">
        <f t="shared" si="33"/>
        <v>28.478333333333335</v>
      </c>
      <c r="M24" s="97">
        <f t="shared" si="34"/>
        <v>0</v>
      </c>
      <c r="N24" s="43">
        <f t="shared" si="2"/>
        <v>0</v>
      </c>
      <c r="O24" s="60">
        <f>IFERROR(AVERAGEIFS('Base Kpi'!$I:$I,'Base Kpi'!$B:$B,Cliente!$E24,'Base Kpi'!$G:$G,Cliente!O$5),0)</f>
        <v>17.13</v>
      </c>
      <c r="P24" s="92">
        <f>IFERROR(AVERAGEIFS('Base Kpi'!$I:$I,'Base Kpi'!$B:$B,Cliente!$E24,'Base Kpi'!$G:$G,Cliente!P$5),0)</f>
        <v>0</v>
      </c>
      <c r="Q24" s="92">
        <f>IFERROR(AVERAGEIFS('Base Kpi'!$I:$I,'Base Kpi'!$B:$B,Cliente!$E24,'Base Kpi'!$G:$G,Cliente!Q$5),0)</f>
        <v>6.8</v>
      </c>
      <c r="R24" s="92">
        <f>IFERROR(AVERAGEIFS('Base Kpi'!$I:$I,'Base Kpi'!$B:$B,Cliente!$E24,'Base Kpi'!$G:$G,Cliente!R$5),0)</f>
        <v>0</v>
      </c>
      <c r="S24" s="94">
        <f t="shared" si="35"/>
        <v>23.93</v>
      </c>
      <c r="T24" s="95">
        <f t="shared" si="36"/>
        <v>0</v>
      </c>
      <c r="U24" s="60">
        <f>IFERROR(AVERAGEIFS('Base Kpi'!$T:$T,'Base Kpi'!$M:$M,Cliente!$E24,'Base Kpi'!$S:$S,Cliente!U$5),0)</f>
        <v>17.13</v>
      </c>
      <c r="V24" s="92">
        <f>IFERROR(AVERAGEIFS('Base Kpi'!$T:$T,'Base Kpi'!$M:$M,Cliente!$E24,'Base Kpi'!$S:$S,Cliente!V$5),0)</f>
        <v>8</v>
      </c>
      <c r="W24" s="92">
        <f>IFERROR(AVERAGEIFS('Base Kpi'!$T:$T,'Base Kpi'!$M:$M,Cliente!$E24,'Base Kpi'!$S:$S,Cliente!W$5),0)</f>
        <v>12.75</v>
      </c>
      <c r="X24" s="92">
        <f>IFERROR(AVERAGEIFS('Base Kpi'!$T:$T,'Base Kpi'!$M:$M,Cliente!$E24,'Base Kpi'!$S:$S,Cliente!X$5),0)</f>
        <v>23.625</v>
      </c>
      <c r="Y24" s="94">
        <f t="shared" si="37"/>
        <v>61.504999999999995</v>
      </c>
      <c r="Z24" s="95">
        <f t="shared" si="38"/>
        <v>0</v>
      </c>
      <c r="AA24" s="60">
        <f>IFERROR(AVERAGEIFS('Base Kpi'!$AF:$AF,'Base Kpi'!$Y:$Y,Cliente!$E24,'Base Kpi'!$AE:$AE,Cliente!AA$5),0)</f>
        <v>0</v>
      </c>
      <c r="AB24" s="92">
        <f>IFERROR(AVERAGEIFS('Base Kpi'!$AF:$AF,'Base Kpi'!$Y:$Y,Cliente!$E24,'Base Kpi'!$AE:$AE,Cliente!AB$5),0)</f>
        <v>0</v>
      </c>
      <c r="AC24" s="92">
        <f>IFERROR(AVERAGEIFS('Base Kpi'!$AF:$AF,'Base Kpi'!$Y:$Y,Cliente!$E24,'Base Kpi'!$AE:$AE,Cliente!AC$5),0)</f>
        <v>0</v>
      </c>
      <c r="AD24" s="92">
        <f>IFERROR(AVERAGEIFS('Base Kpi'!$AF:$AF,'Base Kpi'!$Y:$Y,Cliente!$E24,'Base Kpi'!$AE:$AE,Cliente!AD$5),0)</f>
        <v>0</v>
      </c>
      <c r="AE24" s="94">
        <f t="shared" si="39"/>
        <v>0</v>
      </c>
      <c r="AF24" s="95">
        <f t="shared" si="40"/>
        <v>0</v>
      </c>
      <c r="AG24" s="60">
        <f t="shared" si="9"/>
        <v>25.928333333333331</v>
      </c>
      <c r="AH24" s="97">
        <f t="shared" si="10"/>
        <v>0</v>
      </c>
      <c r="AI24" s="88">
        <f t="shared" si="41"/>
        <v>0</v>
      </c>
      <c r="AJ24" s="92">
        <f>IFERROR(AVERAGEIFS('Base Kpi'!$AR:$AR,'Base Kpi'!$AK:$AK,Cliente!$E24,'Base Kpi'!$AQ:$AQ,AJ$5),0)</f>
        <v>0</v>
      </c>
      <c r="AK24" s="92">
        <f>IFERROR(AVERAGEIFS('Base Kpi'!$AR:$AR,'Base Kpi'!$AK:$AK,Cliente!$E24,'Base Kpi'!$AQ:$AQ,AK$5),0)</f>
        <v>0</v>
      </c>
      <c r="AL24" s="92">
        <f>IFERROR(AVERAGEIFS('Base Kpi'!$AR:$AR,'Base Kpi'!$AK:$AK,Cliente!$E24,'Base Kpi'!$AQ:$AQ,AL$5),0)</f>
        <v>0</v>
      </c>
      <c r="AM24" s="92">
        <f>IFERROR(AVERAGEIFS('Base Kpi'!$AR:$AR,'Base Kpi'!$AK:$AK,Cliente!$E24,'Base Kpi'!$AQ:$AQ,AM$5),0)</f>
        <v>0</v>
      </c>
      <c r="AN24" s="94">
        <f t="shared" si="12"/>
        <v>0</v>
      </c>
      <c r="AO24" s="95">
        <f t="shared" si="13"/>
        <v>0</v>
      </c>
      <c r="AP24" s="60">
        <f>IFERROR(AVERAGEIFS('Base Kpi'!$BD:$BD,'Base Kpi'!$AW:$AW,Cliente!$E24,'Base Kpi'!$BC:$BC,Cliente!AP$5),0)</f>
        <v>0</v>
      </c>
      <c r="AQ24" s="92">
        <f>IFERROR(AVERAGEIFS('Base Kpi'!$BD:$BD,'Base Kpi'!$AW:$AW,Cliente!$E24,'Base Kpi'!$BC:$BC,Cliente!AQ$5),0)</f>
        <v>0</v>
      </c>
      <c r="AR24" s="92">
        <f>IFERROR(AVERAGEIFS('Base Kpi'!$BD:$BD,'Base Kpi'!$AW:$AW,Cliente!$E24,'Base Kpi'!$BC:$BC,Cliente!AR$5),0)</f>
        <v>0</v>
      </c>
      <c r="AS24" s="92">
        <f>IFERROR(AVERAGEIFS('Base Kpi'!$BD:$BD,'Base Kpi'!$AW:$AW,Cliente!$E24,'Base Kpi'!$BC:$BC,Cliente!AS$5),0)</f>
        <v>0</v>
      </c>
      <c r="AT24" s="92">
        <f>IFERROR(AVERAGEIFS('Base Kpi'!$BD:$BD,'Base Kpi'!$AW:$AW,Cliente!$E24,'Base Kpi'!$BC:$BC,Cliente!AT$5),0)</f>
        <v>0</v>
      </c>
      <c r="AU24" s="94">
        <f t="shared" si="14"/>
        <v>0</v>
      </c>
      <c r="AV24" s="95">
        <f t="shared" si="15"/>
        <v>0</v>
      </c>
      <c r="AW24" s="60">
        <f>IFERROR(AVERAGEIFS('Base Kpi'!$BP:$BP,'Base Kpi'!$BI:$BI,Cliente!$E24,'Base Kpi'!$BO:$BO,Cliente!AW$5),0)</f>
        <v>21.425000000000001</v>
      </c>
      <c r="AX24" s="92">
        <f>IFERROR(AVERAGEIFS('Base Kpi'!$BP:$BP,'Base Kpi'!$BI:$BI,Cliente!$E24,'Base Kpi'!$BO:$BO,Cliente!AX$5),0)</f>
        <v>5</v>
      </c>
      <c r="AY24" s="92">
        <f>IFERROR(AVERAGEIFS('Base Kpi'!$BP:$BP,'Base Kpi'!$BI:$BI,Cliente!$E24,'Base Kpi'!$BO:$BO,Cliente!AY$5),0)</f>
        <v>9</v>
      </c>
      <c r="AZ24" s="92">
        <f>IFERROR(AVERAGEIFS('Base Kpi'!$BP:$BP,'Base Kpi'!$BI:$BI,Cliente!$E24,'Base Kpi'!$BO:$BO,Cliente!AZ$5),0)</f>
        <v>24.36</v>
      </c>
      <c r="BA24" s="92">
        <f>IFERROR(AVERAGEIFS('Base Kpi'!$BP:$BP,'Base Kpi'!$BI:$BI,Cliente!$E24,'Base Kpi'!$BO:$BO,Cliente!BA$5),0)</f>
        <v>18</v>
      </c>
      <c r="BB24" s="94">
        <f t="shared" si="16"/>
        <v>77.784999999999997</v>
      </c>
      <c r="BC24" s="95">
        <f t="shared" si="17"/>
        <v>0</v>
      </c>
      <c r="BD24" s="60">
        <f t="shared" si="42"/>
        <v>77.091666666666654</v>
      </c>
      <c r="BE24" s="97">
        <f t="shared" si="18"/>
        <v>1</v>
      </c>
      <c r="BF24" s="88">
        <f t="shared" si="43"/>
        <v>0</v>
      </c>
      <c r="BG24" s="60">
        <f>IFERROR(AVERAGEIFS('Base Kpi'!$CB:$CB,'Base Kpi'!$BU:$BU,Cliente!$E24,'Base Kpi'!$CA:$CA,Cliente!BG$5),0)</f>
        <v>21.425000000000001</v>
      </c>
      <c r="BH24" s="92">
        <f>IFERROR(AVERAGEIFS('Base Kpi'!$CB:$CB,'Base Kpi'!$BU:$BU,Cliente!$E24,'Base Kpi'!$CA:$CA,Cliente!BH$5),0)</f>
        <v>5</v>
      </c>
      <c r="BI24" s="92">
        <f>IFERROR(AVERAGEIFS('Base Kpi'!$CB:$CB,'Base Kpi'!$BU:$BU,Cliente!$E24,'Base Kpi'!$CA:$CA,Cliente!BI$5),0)</f>
        <v>12</v>
      </c>
      <c r="BJ24" s="92">
        <f>IFERROR(AVERAGEIFS('Base Kpi'!$CB:$CB,'Base Kpi'!$BU:$BU,Cliente!$E24,'Base Kpi'!$CA:$CA,Cliente!BJ$5),0)</f>
        <v>26.4</v>
      </c>
      <c r="BK24" s="92">
        <f>IFERROR(AVERAGEIFS('Base Kpi'!$CB:$CB,'Base Kpi'!$BU:$BU,Cliente!$E24,'Base Kpi'!$CA:$CA,Cliente!BK$5),0)</f>
        <v>9</v>
      </c>
      <c r="BL24" s="94">
        <f t="shared" si="19"/>
        <v>73.824999999999989</v>
      </c>
      <c r="BM24" s="95">
        <f t="shared" si="20"/>
        <v>0</v>
      </c>
      <c r="BN24" s="60">
        <f>IFERROR(AVERAGEIFS('Base Kpi'!$CN:$CN,'Base Kpi'!$CG:$CG,Cliente!$E24,'Base Kpi'!$CM:$CM,Cliente!BN$5),0)</f>
        <v>21.425000000000001</v>
      </c>
      <c r="BO24" s="92">
        <f>IFERROR(AVERAGEIFS('Base Kpi'!$CN:$CN,'Base Kpi'!$CG:$CG,Cliente!$E24,'Base Kpi'!$CM:$CM,Cliente!BO$5),0)</f>
        <v>5</v>
      </c>
      <c r="BP24" s="92">
        <f>IFERROR(AVERAGEIFS('Base Kpi'!$CN:$CN,'Base Kpi'!$CG:$CG,Cliente!$E24,'Base Kpi'!$CM:$CM,Cliente!BP$5),0)</f>
        <v>12</v>
      </c>
      <c r="BQ24" s="92">
        <f>IFERROR(AVERAGEIFS('Base Kpi'!$CN:$CN,'Base Kpi'!$CG:$CG,Cliente!$E24,'Base Kpi'!$CM:$CM,Cliente!BQ$5),0)</f>
        <v>27.2</v>
      </c>
      <c r="BR24" s="92">
        <f>IFERROR(AVERAGEIFS('Base Kpi'!$CN:$CN,'Base Kpi'!$CG:$CG,Cliente!$E24,'Base Kpi'!$CM:$CM,Cliente!BR$5),0)</f>
        <v>18</v>
      </c>
      <c r="BS24" s="94">
        <f t="shared" si="21"/>
        <v>83.625</v>
      </c>
      <c r="BT24" s="95">
        <f t="shared" si="22"/>
        <v>1</v>
      </c>
      <c r="BU24" s="60">
        <f>IFERROR(AVERAGEIFS('Base Kpi'!$CZ:$CZ,'Base Kpi'!$CS:$CS,Cliente!$E24,'Base Kpi'!$CY:$CY,Cliente!BU$5),0)</f>
        <v>21.425000000000001</v>
      </c>
      <c r="BV24" s="92">
        <f>IFERROR(AVERAGEIFS('Base Kpi'!$CZ:$CZ,'Base Kpi'!$CS:$CS,Cliente!$E24,'Base Kpi'!$CY:$CY,Cliente!BV$5),0)</f>
        <v>5</v>
      </c>
      <c r="BW24" s="92">
        <f>IFERROR(AVERAGEIFS('Base Kpi'!$CZ:$CZ,'Base Kpi'!$CS:$CS,Cliente!$E24,'Base Kpi'!$CY:$CY,Cliente!BW$5),0)</f>
        <v>12</v>
      </c>
      <c r="BX24" s="92">
        <f>IFERROR(AVERAGEIFS('Base Kpi'!$CZ:$CZ,'Base Kpi'!$CS:$CS,Cliente!$E24,'Base Kpi'!$CY:$CY,Cliente!BX$5),0)</f>
        <v>26.4</v>
      </c>
      <c r="BY24" s="92">
        <f>IFERROR(AVERAGEIFS('Base Kpi'!$CZ:$CZ,'Base Kpi'!$CS:$CS,Cliente!$E24,'Base Kpi'!$CY:$CY,Cliente!BY$5),0)</f>
        <v>9</v>
      </c>
      <c r="BZ24" s="94">
        <f t="shared" si="23"/>
        <v>73.824999999999989</v>
      </c>
      <c r="CA24" s="95">
        <f t="shared" si="24"/>
        <v>0</v>
      </c>
      <c r="CB24" s="60">
        <f t="shared" si="44"/>
        <v>59.866666666666667</v>
      </c>
      <c r="CC24" s="97">
        <f t="shared" si="45"/>
        <v>0</v>
      </c>
      <c r="CD24" s="43">
        <f t="shared" si="46"/>
        <v>0</v>
      </c>
      <c r="CE24" s="60" cm="1">
        <f t="array" ref="CE24">IFERROR(LARGE(_xlfn._xlws.FILTER('Base Kpi'!$DL:$DL,('Base Kpi'!$DK:$DK=$CE$5)*('Base Kpi'!$DE:$DE=Cliente!$E24)),1),0)</f>
        <v>25.6</v>
      </c>
      <c r="CF24" s="60" cm="1">
        <f t="array" ref="CF24">IFERROR(LARGE(_xlfn._xlws.FILTER('Base Kpi'!$DL:$DL,('Base Kpi'!$DK:$DK=$CF$5)*('Base Kpi'!$DE:$DE=Cliente!$E24)),1),0)</f>
        <v>5</v>
      </c>
      <c r="CG24" s="60" cm="1">
        <f t="array" ref="CG24">IFERROR(LARGE(_xlfn._xlws.FILTER('Base Kpi'!$DL:$DL,('Base Kpi'!$DK:$DK=$CG$5)*('Base Kpi'!$DE:$DE=Cliente!$E24)),1),0)</f>
        <v>5</v>
      </c>
      <c r="CH24" s="60" cm="1">
        <f t="array" ref="CH24">IFERROR(LARGE(_xlfn._xlws.FILTER('Base Kpi'!$DL:$DL,('Base Kpi'!$DK:$DK=$CH$5)*('Base Kpi'!$DE:$DE=Cliente!$E24)),1),0)</f>
        <v>18</v>
      </c>
      <c r="CI24" s="60" cm="1">
        <f t="array" ref="CI24">IFERROR(LARGE(_xlfn._xlws.FILTER('Base Kpi'!$DL:$DL,('Base Kpi'!$DK:$DK=$CI$5)*('Base Kpi'!$DE:$DE=Cliente!$E24)),1),0)</f>
        <v>25</v>
      </c>
      <c r="CJ24" s="60" cm="1">
        <f t="array" ref="CJ24">IFERROR(LARGE(_xlfn._xlws.FILTER('Base Kpi'!$DL:$DL,('Base Kpi'!$DK:$DK=$CJ$5)*('Base Kpi'!$DE:$DE=Cliente!$E24)),1),0)</f>
        <v>12</v>
      </c>
      <c r="CK24" s="60" cm="1">
        <f t="array" ref="CK24">IFERROR(LARGE(_xlfn._xlws.FILTER('Base Kpi'!$DL:$DL,('Base Kpi'!$DK:$DK=$CK$5)*('Base Kpi'!$DE:$DE=Cliente!$E24)),1),0)</f>
        <v>0</v>
      </c>
      <c r="CL24" s="94">
        <f t="shared" si="28"/>
        <v>90.6</v>
      </c>
      <c r="CM24" s="95">
        <f t="shared" si="47"/>
        <v>1</v>
      </c>
      <c r="CN24" s="60">
        <f>IFERROR(AVERAGEIFS('Base Kpi'!$DX:$DX,'Base Kpi'!$DQ:$DQ,Cliente!$E24,'Base Kpi'!$DW:$DW,Cliente!CN$5),0)</f>
        <v>24</v>
      </c>
      <c r="CO24" s="92">
        <f>IFERROR(AVERAGEIFS('Base Kpi'!$DX:$DX,'Base Kpi'!$DQ:$DQ,Cliente!$E24,'Base Kpi'!$DW:$DW,Cliente!CO$5),0)</f>
        <v>5</v>
      </c>
      <c r="CP24" s="92">
        <f>IFERROR(AVERAGEIFS('Base Kpi'!$DX:$DX,'Base Kpi'!$DQ:$DQ,Cliente!$E24,'Base Kpi'!$DW:$DW,Cliente!CP$5),0)</f>
        <v>5</v>
      </c>
      <c r="CQ24" s="92">
        <f>IFERROR(AVERAGEIFS('Base Kpi'!$DX:$DX,'Base Kpi'!$DQ:$DQ,Cliente!$E24,'Base Kpi'!$DW:$DW,Cliente!CQ$5),0)</f>
        <v>18</v>
      </c>
      <c r="CR24" s="92">
        <f>IFERROR(AVERAGEIFS('Base Kpi'!$DX:$DX,'Base Kpi'!$DQ:$DQ,Cliente!$E24,'Base Kpi'!$DW:$DW,Cliente!CR$5),0)</f>
        <v>25</v>
      </c>
      <c r="CS24" s="92">
        <f>IFERROR(AVERAGEIFS('Base Kpi'!$DX:$DX,'Base Kpi'!$DQ:$DQ,Cliente!$E24,'Base Kpi'!$DW:$DW,Cliente!CS$5),0)</f>
        <v>12</v>
      </c>
      <c r="CT24" s="92">
        <f>IFERROR(AVERAGEIFS('Base Kpi'!$DX:$DX,'Base Kpi'!$DQ:$DQ,Cliente!$E24,'Base Kpi'!$DW:$DW,Cliente!CT$5),0)</f>
        <v>0</v>
      </c>
      <c r="CU24" s="94">
        <f t="shared" si="48"/>
        <v>89</v>
      </c>
      <c r="CV24" s="95">
        <f t="shared" si="49"/>
        <v>1</v>
      </c>
      <c r="CW24" s="60">
        <f>IFERROR(AVERAGEIFS('Base Kpi'!$EJ:$EJ,'Base Kpi'!$EC:$EC,Cliente!$E24,'Base Kpi'!$EI:$EI,Cliente!CW$5),0)</f>
        <v>0</v>
      </c>
      <c r="CX24" s="92">
        <f>IFERROR(AVERAGEIFS('Base Kpi'!$EJ:$EJ,'Base Kpi'!$EC:$EC,Cliente!$E24,'Base Kpi'!$EI:$EI,Cliente!CX$5),0)</f>
        <v>0</v>
      </c>
      <c r="CY24" s="92">
        <f>IFERROR(AVERAGEIFS('Base Kpi'!$EJ:$EJ,'Base Kpi'!$EC:$EC,Cliente!$E24,'Base Kpi'!$EI:$EI,Cliente!CY$5),0)</f>
        <v>0</v>
      </c>
      <c r="CZ24" s="92">
        <f>IFERROR(AVERAGEIFS('Base Kpi'!$EJ:$EJ,'Base Kpi'!$EC:$EC,Cliente!$E24,'Base Kpi'!$EI:$EI,Cliente!CZ$5),0)</f>
        <v>0</v>
      </c>
      <c r="DA24" s="92">
        <f>IFERROR(AVERAGEIFS('Base Kpi'!$EJ:$EJ,'Base Kpi'!$EC:$EC,Cliente!$E24,'Base Kpi'!$EI:$EI,Cliente!DA$5),0)</f>
        <v>0</v>
      </c>
      <c r="DB24" s="92">
        <f>IFERROR(AVERAGEIFS('Base Kpi'!$EJ:$EJ,'Base Kpi'!$EC:$EC,Cliente!$E24,'Base Kpi'!$EI:$EI,Cliente!DB$5),0)</f>
        <v>0</v>
      </c>
      <c r="DC24" s="92">
        <f>IFERROR(AVERAGEIFS('Base Kpi'!$EJ:$EJ,'Base Kpi'!$EC:$EC,Cliente!$E24,'Base Kpi'!$EI:$EI,Cliente!DC$5),0)</f>
        <v>0</v>
      </c>
      <c r="DD24" s="94">
        <f t="shared" si="50"/>
        <v>0</v>
      </c>
      <c r="DE24" s="95">
        <f t="shared" si="51"/>
        <v>0</v>
      </c>
      <c r="DF24" s="120"/>
    </row>
    <row r="25" spans="2:110" x14ac:dyDescent="0.35">
      <c r="B25" s="52" t="s">
        <v>427</v>
      </c>
      <c r="C25" s="21">
        <v>3919</v>
      </c>
      <c r="D25" s="21" t="s">
        <v>429</v>
      </c>
      <c r="E25" s="21">
        <v>159620</v>
      </c>
      <c r="F25" s="16" t="s">
        <v>11</v>
      </c>
      <c r="G25" s="16" t="s">
        <v>180</v>
      </c>
      <c r="H25" s="16" t="s">
        <v>255</v>
      </c>
      <c r="I25" s="16" t="s">
        <v>176</v>
      </c>
      <c r="J25" s="16" t="s">
        <v>88</v>
      </c>
      <c r="K25" s="34" t="s">
        <v>48</v>
      </c>
      <c r="L25" s="60">
        <f t="shared" si="33"/>
        <v>47.890000000000008</v>
      </c>
      <c r="M25" s="97">
        <f t="shared" si="34"/>
        <v>0</v>
      </c>
      <c r="N25" s="43">
        <f t="shared" si="2"/>
        <v>0</v>
      </c>
      <c r="O25" s="60">
        <f>IFERROR(AVERAGEIFS('Base Kpi'!$I:$I,'Base Kpi'!$B:$B,Cliente!$E25,'Base Kpi'!$G:$G,Cliente!O$5),0)</f>
        <v>0</v>
      </c>
      <c r="P25" s="92">
        <f>IFERROR(AVERAGEIFS('Base Kpi'!$I:$I,'Base Kpi'!$B:$B,Cliente!$E25,'Base Kpi'!$G:$G,Cliente!P$5),0)</f>
        <v>0</v>
      </c>
      <c r="Q25" s="92">
        <f>IFERROR(AVERAGEIFS('Base Kpi'!$I:$I,'Base Kpi'!$B:$B,Cliente!$E25,'Base Kpi'!$G:$G,Cliente!Q$5),0)</f>
        <v>0</v>
      </c>
      <c r="R25" s="92">
        <f>IFERROR(AVERAGEIFS('Base Kpi'!$I:$I,'Base Kpi'!$B:$B,Cliente!$E25,'Base Kpi'!$G:$G,Cliente!R$5),0)</f>
        <v>0</v>
      </c>
      <c r="S25" s="94">
        <f t="shared" si="35"/>
        <v>0</v>
      </c>
      <c r="T25" s="95">
        <f t="shared" si="36"/>
        <v>0</v>
      </c>
      <c r="U25" s="60">
        <f>IFERROR(AVERAGEIFS('Base Kpi'!$T:$T,'Base Kpi'!$M:$M,Cliente!$E25,'Base Kpi'!$S:$S,Cliente!U$5),0)</f>
        <v>25.71</v>
      </c>
      <c r="V25" s="92">
        <f>IFERROR(AVERAGEIFS('Base Kpi'!$T:$T,'Base Kpi'!$M:$M,Cliente!$E25,'Base Kpi'!$S:$S,Cliente!V$5),0)</f>
        <v>0</v>
      </c>
      <c r="W25" s="92">
        <f>IFERROR(AVERAGEIFS('Base Kpi'!$T:$T,'Base Kpi'!$M:$M,Cliente!$E25,'Base Kpi'!$S:$S,Cliente!W$5),0)</f>
        <v>8.5</v>
      </c>
      <c r="X25" s="92">
        <f>IFERROR(AVERAGEIFS('Base Kpi'!$T:$T,'Base Kpi'!$M:$M,Cliente!$E25,'Base Kpi'!$S:$S,Cliente!X$5),0)</f>
        <v>31.5</v>
      </c>
      <c r="Y25" s="94">
        <f t="shared" si="37"/>
        <v>65.710000000000008</v>
      </c>
      <c r="Z25" s="95">
        <f t="shared" si="38"/>
        <v>0</v>
      </c>
      <c r="AA25" s="60">
        <f>IFERROR(AVERAGEIFS('Base Kpi'!$AF:$AF,'Base Kpi'!$Y:$Y,Cliente!$E25,'Base Kpi'!$AE:$AE,Cliente!AA$5),0)</f>
        <v>25.71</v>
      </c>
      <c r="AB25" s="92">
        <f>IFERROR(AVERAGEIFS('Base Kpi'!$AF:$AF,'Base Kpi'!$Y:$Y,Cliente!$E25,'Base Kpi'!$AE:$AE,Cliente!AB$5),0)</f>
        <v>8</v>
      </c>
      <c r="AC25" s="92">
        <f>IFERROR(AVERAGEIFS('Base Kpi'!$AF:$AF,'Base Kpi'!$Y:$Y,Cliente!$E25,'Base Kpi'!$AE:$AE,Cliente!AC$5),0)</f>
        <v>12.75</v>
      </c>
      <c r="AD25" s="92">
        <f>IFERROR(AVERAGEIFS('Base Kpi'!$AF:$AF,'Base Kpi'!$Y:$Y,Cliente!$E25,'Base Kpi'!$AE:$AE,Cliente!AD$5),0)</f>
        <v>31.5</v>
      </c>
      <c r="AE25" s="94">
        <f t="shared" si="39"/>
        <v>77.960000000000008</v>
      </c>
      <c r="AF25" s="95">
        <f t="shared" si="40"/>
        <v>0</v>
      </c>
      <c r="AG25" s="60">
        <f t="shared" si="9"/>
        <v>62.6</v>
      </c>
      <c r="AH25" s="97">
        <f t="shared" si="10"/>
        <v>1</v>
      </c>
      <c r="AI25" s="88">
        <f t="shared" si="41"/>
        <v>1</v>
      </c>
      <c r="AJ25" s="92">
        <f>IFERROR(AVERAGEIFS('Base Kpi'!$AR:$AR,'Base Kpi'!$AK:$AK,Cliente!$E25,'Base Kpi'!$AQ:$AQ,AJ$5),0)</f>
        <v>21.425000000000001</v>
      </c>
      <c r="AK25" s="92">
        <f>IFERROR(AVERAGEIFS('Base Kpi'!$AR:$AR,'Base Kpi'!$AK:$AK,Cliente!$E25,'Base Kpi'!$AQ:$AQ,AK$5),0)</f>
        <v>2.5</v>
      </c>
      <c r="AL25" s="92">
        <f>IFERROR(AVERAGEIFS('Base Kpi'!$AR:$AR,'Base Kpi'!$AK:$AK,Cliente!$E25,'Base Kpi'!$AQ:$AQ,AL$5),0)</f>
        <v>12</v>
      </c>
      <c r="AM25" s="92">
        <f>IFERROR(AVERAGEIFS('Base Kpi'!$AR:$AR,'Base Kpi'!$AK:$AK,Cliente!$E25,'Base Kpi'!$AQ:$AQ,AM$5),0)</f>
        <v>30.44</v>
      </c>
      <c r="AN25" s="94">
        <f t="shared" si="12"/>
        <v>66.364999999999995</v>
      </c>
      <c r="AO25" s="95">
        <f t="shared" si="13"/>
        <v>0</v>
      </c>
      <c r="AP25" s="60">
        <f>IFERROR(AVERAGEIFS('Base Kpi'!$BD:$BD,'Base Kpi'!$AW:$AW,Cliente!$E25,'Base Kpi'!$BC:$BC,Cliente!AP$5),0)</f>
        <v>25</v>
      </c>
      <c r="AQ25" s="92">
        <f>IFERROR(AVERAGEIFS('Base Kpi'!$BD:$BD,'Base Kpi'!$AW:$AW,Cliente!$E25,'Base Kpi'!$BC:$BC,Cliente!AQ$5),0)</f>
        <v>1.665</v>
      </c>
      <c r="AR25" s="92">
        <f>IFERROR(AVERAGEIFS('Base Kpi'!$BD:$BD,'Base Kpi'!$AW:$AW,Cliente!$E25,'Base Kpi'!$BC:$BC,Cliente!AR$5),0)</f>
        <v>9</v>
      </c>
      <c r="AS25" s="92">
        <f>IFERROR(AVERAGEIFS('Base Kpi'!$BD:$BD,'Base Kpi'!$AW:$AW,Cliente!$E25,'Base Kpi'!$BC:$BC,Cliente!AS$5),0)</f>
        <v>30.44</v>
      </c>
      <c r="AT25" s="92">
        <f>IFERROR(AVERAGEIFS('Base Kpi'!$BD:$BD,'Base Kpi'!$AW:$AW,Cliente!$E25,'Base Kpi'!$BC:$BC,Cliente!AT$5),0)</f>
        <v>0</v>
      </c>
      <c r="AU25" s="94">
        <f t="shared" si="14"/>
        <v>66.105000000000004</v>
      </c>
      <c r="AV25" s="95">
        <f t="shared" si="15"/>
        <v>0</v>
      </c>
      <c r="AW25" s="60">
        <f>IFERROR(AVERAGEIFS('Base Kpi'!$BP:$BP,'Base Kpi'!$BI:$BI,Cliente!$E25,'Base Kpi'!$BO:$BO,Cliente!AW$5),0)</f>
        <v>17.850000000000001</v>
      </c>
      <c r="AX25" s="92">
        <f>IFERROR(AVERAGEIFS('Base Kpi'!$BP:$BP,'Base Kpi'!$BI:$BI,Cliente!$E25,'Base Kpi'!$BO:$BO,Cliente!AX$5),0)</f>
        <v>5</v>
      </c>
      <c r="AY25" s="92">
        <f>IFERROR(AVERAGEIFS('Base Kpi'!$BP:$BP,'Base Kpi'!$BI:$BI,Cliente!$E25,'Base Kpi'!$BO:$BO,Cliente!AY$5),0)</f>
        <v>9</v>
      </c>
      <c r="AZ25" s="92">
        <f>IFERROR(AVERAGEIFS('Base Kpi'!$BP:$BP,'Base Kpi'!$BI:$BI,Cliente!$E25,'Base Kpi'!$BO:$BO,Cliente!AZ$5),0)</f>
        <v>23.48</v>
      </c>
      <c r="BA25" s="92">
        <f>IFERROR(AVERAGEIFS('Base Kpi'!$BP:$BP,'Base Kpi'!$BI:$BI,Cliente!$E25,'Base Kpi'!$BO:$BO,Cliente!BA$5),0)</f>
        <v>0</v>
      </c>
      <c r="BB25" s="94">
        <f t="shared" si="16"/>
        <v>55.33</v>
      </c>
      <c r="BC25" s="95">
        <f t="shared" si="17"/>
        <v>0</v>
      </c>
      <c r="BD25" s="60">
        <f t="shared" si="42"/>
        <v>75.075000000000003</v>
      </c>
      <c r="BE25" s="97">
        <f t="shared" si="18"/>
        <v>0</v>
      </c>
      <c r="BF25" s="88">
        <f t="shared" si="43"/>
        <v>0</v>
      </c>
      <c r="BG25" s="60">
        <f>IFERROR(AVERAGEIFS('Base Kpi'!$CB:$CB,'Base Kpi'!$BU:$BU,Cliente!$E25,'Base Kpi'!$CA:$CA,Cliente!BG$5),0)</f>
        <v>21.425000000000001</v>
      </c>
      <c r="BH25" s="92">
        <f>IFERROR(AVERAGEIFS('Base Kpi'!$CB:$CB,'Base Kpi'!$BU:$BU,Cliente!$E25,'Base Kpi'!$CA:$CA,Cliente!BH$5),0)</f>
        <v>5</v>
      </c>
      <c r="BI25" s="92">
        <f>IFERROR(AVERAGEIFS('Base Kpi'!$CB:$CB,'Base Kpi'!$BU:$BU,Cliente!$E25,'Base Kpi'!$CA:$CA,Cliente!BI$5),0)</f>
        <v>12</v>
      </c>
      <c r="BJ25" s="92">
        <f>IFERROR(AVERAGEIFS('Base Kpi'!$CB:$CB,'Base Kpi'!$BU:$BU,Cliente!$E25,'Base Kpi'!$CA:$CA,Cliente!BJ$5),0)</f>
        <v>26.4</v>
      </c>
      <c r="BK25" s="92">
        <f>IFERROR(AVERAGEIFS('Base Kpi'!$CB:$CB,'Base Kpi'!$BU:$BU,Cliente!$E25,'Base Kpi'!$CA:$CA,Cliente!BK$5),0)</f>
        <v>0</v>
      </c>
      <c r="BL25" s="94">
        <f t="shared" si="19"/>
        <v>64.824999999999989</v>
      </c>
      <c r="BM25" s="95">
        <f t="shared" si="20"/>
        <v>0</v>
      </c>
      <c r="BN25" s="60">
        <f>IFERROR(AVERAGEIFS('Base Kpi'!$CN:$CN,'Base Kpi'!$CG:$CG,Cliente!$E25,'Base Kpi'!$CM:$CM,Cliente!BN$5),0)</f>
        <v>25</v>
      </c>
      <c r="BO25" s="92">
        <f>IFERROR(AVERAGEIFS('Base Kpi'!$CN:$CN,'Base Kpi'!$CG:$CG,Cliente!$E25,'Base Kpi'!$CM:$CM,Cliente!BO$5),0)</f>
        <v>5</v>
      </c>
      <c r="BP25" s="92">
        <f>IFERROR(AVERAGEIFS('Base Kpi'!$CN:$CN,'Base Kpi'!$CG:$CG,Cliente!$E25,'Base Kpi'!$CM:$CM,Cliente!BP$5),0)</f>
        <v>12</v>
      </c>
      <c r="BQ25" s="92">
        <f>IFERROR(AVERAGEIFS('Base Kpi'!$CN:$CN,'Base Kpi'!$CG:$CG,Cliente!$E25,'Base Kpi'!$CM:$CM,Cliente!BQ$5),0)</f>
        <v>28.8</v>
      </c>
      <c r="BR25" s="92">
        <f>IFERROR(AVERAGEIFS('Base Kpi'!$CN:$CN,'Base Kpi'!$CG:$CG,Cliente!$E25,'Base Kpi'!$CM:$CM,Cliente!BR$5),0)</f>
        <v>18</v>
      </c>
      <c r="BS25" s="94">
        <f t="shared" si="21"/>
        <v>88.8</v>
      </c>
      <c r="BT25" s="95">
        <f t="shared" si="22"/>
        <v>1</v>
      </c>
      <c r="BU25" s="60">
        <f>IFERROR(AVERAGEIFS('Base Kpi'!$CZ:$CZ,'Base Kpi'!$CS:$CS,Cliente!$E25,'Base Kpi'!$CY:$CY,Cliente!BU$5),0)</f>
        <v>25</v>
      </c>
      <c r="BV25" s="92">
        <f>IFERROR(AVERAGEIFS('Base Kpi'!$CZ:$CZ,'Base Kpi'!$CS:$CS,Cliente!$E25,'Base Kpi'!$CY:$CY,Cliente!BV$5),0)</f>
        <v>5</v>
      </c>
      <c r="BW25" s="92">
        <f>IFERROR(AVERAGEIFS('Base Kpi'!$CZ:$CZ,'Base Kpi'!$CS:$CS,Cliente!$E25,'Base Kpi'!$CY:$CY,Cliente!BW$5),0)</f>
        <v>12</v>
      </c>
      <c r="BX25" s="92">
        <f>IFERROR(AVERAGEIFS('Base Kpi'!$CZ:$CZ,'Base Kpi'!$CS:$CS,Cliente!$E25,'Base Kpi'!$CY:$CY,Cliente!BX$5),0)</f>
        <v>29.6</v>
      </c>
      <c r="BY25" s="92">
        <f>IFERROR(AVERAGEIFS('Base Kpi'!$CZ:$CZ,'Base Kpi'!$CS:$CS,Cliente!$E25,'Base Kpi'!$CY:$CY,Cliente!BY$5),0)</f>
        <v>0</v>
      </c>
      <c r="BZ25" s="94">
        <f t="shared" si="23"/>
        <v>71.599999999999994</v>
      </c>
      <c r="CA25" s="95">
        <f t="shared" si="24"/>
        <v>0</v>
      </c>
      <c r="CB25" s="60">
        <f t="shared" si="44"/>
        <v>86.358333333333334</v>
      </c>
      <c r="CC25" s="97">
        <f t="shared" si="45"/>
        <v>1</v>
      </c>
      <c r="CD25" s="43">
        <f t="shared" si="46"/>
        <v>1</v>
      </c>
      <c r="CE25" s="60" cm="1">
        <f t="array" ref="CE25">IFERROR(LARGE(_xlfn._xlws.FILTER('Base Kpi'!$DL:$DL,('Base Kpi'!$DK:$DK=$CE$5)*('Base Kpi'!$DE:$DE=Cliente!$E25)),1),0)</f>
        <v>31.2</v>
      </c>
      <c r="CF25" s="60" cm="1">
        <f t="array" ref="CF25">IFERROR(LARGE(_xlfn._xlws.FILTER('Base Kpi'!$DL:$DL,('Base Kpi'!$DK:$DK=$CF$5)*('Base Kpi'!$DE:$DE=Cliente!$E25)),1),0)</f>
        <v>5</v>
      </c>
      <c r="CG25" s="60" cm="1">
        <f t="array" ref="CG25">IFERROR(LARGE(_xlfn._xlws.FILTER('Base Kpi'!$DL:$DL,('Base Kpi'!$DK:$DK=$CG$5)*('Base Kpi'!$DE:$DE=Cliente!$E25)),1),0)</f>
        <v>5</v>
      </c>
      <c r="CH25" s="60" cm="1">
        <f t="array" ref="CH25">IFERROR(LARGE(_xlfn._xlws.FILTER('Base Kpi'!$DL:$DL,('Base Kpi'!$DK:$DK=$CH$5)*('Base Kpi'!$DE:$DE=Cliente!$E25)),1),0)</f>
        <v>18</v>
      </c>
      <c r="CI25" s="60" cm="1">
        <f t="array" ref="CI25">IFERROR(LARGE(_xlfn._xlws.FILTER('Base Kpi'!$DL:$DL,('Base Kpi'!$DK:$DK=$CI$5)*('Base Kpi'!$DE:$DE=Cliente!$E25)),1),0)</f>
        <v>21.425000000000001</v>
      </c>
      <c r="CJ25" s="60" cm="1">
        <f t="array" ref="CJ25">IFERROR(LARGE(_xlfn._xlws.FILTER('Base Kpi'!$DL:$DL,('Base Kpi'!$DK:$DK=$CJ$5)*('Base Kpi'!$DE:$DE=Cliente!$E25)),1),0)</f>
        <v>12</v>
      </c>
      <c r="CK25" s="60" cm="1">
        <f t="array" ref="CK25">IFERROR(LARGE(_xlfn._xlws.FILTER('Base Kpi'!$DL:$DL,('Base Kpi'!$DK:$DK=$CK$5)*('Base Kpi'!$DE:$DE=Cliente!$E25)),1),0)</f>
        <v>0</v>
      </c>
      <c r="CL25" s="94">
        <f t="shared" si="28"/>
        <v>92.625</v>
      </c>
      <c r="CM25" s="95">
        <f t="shared" si="47"/>
        <v>1</v>
      </c>
      <c r="CN25" s="60">
        <f>IFERROR(AVERAGEIFS('Base Kpi'!$DX:$DX,'Base Kpi'!$DQ:$DQ,Cliente!$E25,'Base Kpi'!$DW:$DW,Cliente!CN$5),0)</f>
        <v>30.4</v>
      </c>
      <c r="CO25" s="92">
        <f>IFERROR(AVERAGEIFS('Base Kpi'!$DX:$DX,'Base Kpi'!$DQ:$DQ,Cliente!$E25,'Base Kpi'!$DW:$DW,Cliente!CO$5),0)</f>
        <v>5</v>
      </c>
      <c r="CP25" s="92">
        <f>IFERROR(AVERAGEIFS('Base Kpi'!$DX:$DX,'Base Kpi'!$DQ:$DQ,Cliente!$E25,'Base Kpi'!$DW:$DW,Cliente!CP$5),0)</f>
        <v>5</v>
      </c>
      <c r="CQ25" s="92">
        <f>IFERROR(AVERAGEIFS('Base Kpi'!$DX:$DX,'Base Kpi'!$DQ:$DQ,Cliente!$E25,'Base Kpi'!$DW:$DW,Cliente!CQ$5),0)</f>
        <v>9</v>
      </c>
      <c r="CR25" s="92">
        <f>IFERROR(AVERAGEIFS('Base Kpi'!$DX:$DX,'Base Kpi'!$DQ:$DQ,Cliente!$E25,'Base Kpi'!$DW:$DW,Cliente!CR$5),0)</f>
        <v>21.425000000000001</v>
      </c>
      <c r="CS25" s="92">
        <f>IFERROR(AVERAGEIFS('Base Kpi'!$DX:$DX,'Base Kpi'!$DQ:$DQ,Cliente!$E25,'Base Kpi'!$DW:$DW,Cliente!CS$5),0)</f>
        <v>12</v>
      </c>
      <c r="CT25" s="92">
        <f>IFERROR(AVERAGEIFS('Base Kpi'!$DX:$DX,'Base Kpi'!$DQ:$DQ,Cliente!$E25,'Base Kpi'!$DW:$DW,Cliente!CT$5),0)</f>
        <v>0</v>
      </c>
      <c r="CU25" s="94">
        <f t="shared" si="48"/>
        <v>82.825000000000003</v>
      </c>
      <c r="CV25" s="95">
        <f t="shared" si="49"/>
        <v>1</v>
      </c>
      <c r="CW25" s="60">
        <f>IFERROR(AVERAGEIFS('Base Kpi'!$EJ:$EJ,'Base Kpi'!$EC:$EC,Cliente!$E25,'Base Kpi'!$EI:$EI,Cliente!CW$5),0)</f>
        <v>31.2</v>
      </c>
      <c r="CX25" s="92">
        <f>IFERROR(AVERAGEIFS('Base Kpi'!$EJ:$EJ,'Base Kpi'!$EC:$EC,Cliente!$E25,'Base Kpi'!$EI:$EI,Cliente!CX$5),0)</f>
        <v>5</v>
      </c>
      <c r="CY25" s="92">
        <f>IFERROR(AVERAGEIFS('Base Kpi'!$EJ:$EJ,'Base Kpi'!$EC:$EC,Cliente!$E25,'Base Kpi'!$EI:$EI,Cliente!CY$5),0)</f>
        <v>5</v>
      </c>
      <c r="CZ25" s="92">
        <f>IFERROR(AVERAGEIFS('Base Kpi'!$EJ:$EJ,'Base Kpi'!$EC:$EC,Cliente!$E25,'Base Kpi'!$EI:$EI,Cliente!CZ$5),0)</f>
        <v>9</v>
      </c>
      <c r="DA25" s="92">
        <f>IFERROR(AVERAGEIFS('Base Kpi'!$EJ:$EJ,'Base Kpi'!$EC:$EC,Cliente!$E25,'Base Kpi'!$EI:$EI,Cliente!DA$5),0)</f>
        <v>21.425000000000001</v>
      </c>
      <c r="DB25" s="92">
        <f>IFERROR(AVERAGEIFS('Base Kpi'!$EJ:$EJ,'Base Kpi'!$EC:$EC,Cliente!$E25,'Base Kpi'!$EI:$EI,Cliente!DB$5),0)</f>
        <v>12</v>
      </c>
      <c r="DC25" s="92">
        <f>IFERROR(AVERAGEIFS('Base Kpi'!$EJ:$EJ,'Base Kpi'!$EC:$EC,Cliente!$E25,'Base Kpi'!$EI:$EI,Cliente!DC$5),0)</f>
        <v>0</v>
      </c>
      <c r="DD25" s="94">
        <f t="shared" si="50"/>
        <v>83.625</v>
      </c>
      <c r="DE25" s="95">
        <f t="shared" si="51"/>
        <v>1</v>
      </c>
      <c r="DF25" s="120"/>
    </row>
    <row r="26" spans="2:110" x14ac:dyDescent="0.35">
      <c r="B26" s="52" t="s">
        <v>427</v>
      </c>
      <c r="C26" s="21">
        <v>3919</v>
      </c>
      <c r="D26" s="21" t="s">
        <v>429</v>
      </c>
      <c r="E26" s="21">
        <v>184217</v>
      </c>
      <c r="F26" s="16" t="s">
        <v>50</v>
      </c>
      <c r="G26" s="16" t="s">
        <v>252</v>
      </c>
      <c r="H26" s="16" t="s">
        <v>257</v>
      </c>
      <c r="I26" s="16" t="s">
        <v>176</v>
      </c>
      <c r="J26" s="16" t="s">
        <v>90</v>
      </c>
      <c r="K26" s="34" t="s">
        <v>51</v>
      </c>
      <c r="L26" s="60">
        <f t="shared" si="33"/>
        <v>73.713333333333324</v>
      </c>
      <c r="M26" s="97">
        <f t="shared" si="34"/>
        <v>1</v>
      </c>
      <c r="N26" s="43">
        <f t="shared" si="2"/>
        <v>0</v>
      </c>
      <c r="O26" s="60">
        <f>IFERROR(AVERAGEIFS('Base Kpi'!$I:$I,'Base Kpi'!$B:$B,Cliente!$E26,'Base Kpi'!$G:$G,Cliente!O$5),0)</f>
        <v>21.42</v>
      </c>
      <c r="P26" s="92">
        <f>IFERROR(AVERAGEIFS('Base Kpi'!$I:$I,'Base Kpi'!$B:$B,Cliente!$E26,'Base Kpi'!$G:$G,Cliente!P$5),0)</f>
        <v>0</v>
      </c>
      <c r="Q26" s="92">
        <f>IFERROR(AVERAGEIFS('Base Kpi'!$I:$I,'Base Kpi'!$B:$B,Cliente!$E26,'Base Kpi'!$G:$G,Cliente!Q$5),0)</f>
        <v>6.8</v>
      </c>
      <c r="R26" s="92">
        <f>IFERROR(AVERAGEIFS('Base Kpi'!$I:$I,'Base Kpi'!$B:$B,Cliente!$E26,'Base Kpi'!$G:$G,Cliente!R$5),0)</f>
        <v>32.625</v>
      </c>
      <c r="S26" s="94">
        <f t="shared" si="35"/>
        <v>60.844999999999999</v>
      </c>
      <c r="T26" s="95">
        <f t="shared" si="36"/>
        <v>0</v>
      </c>
      <c r="U26" s="60">
        <f>IFERROR(AVERAGEIFS('Base Kpi'!$T:$T,'Base Kpi'!$M:$M,Cliente!$E26,'Base Kpi'!$S:$S,Cliente!U$5),0)</f>
        <v>21.42</v>
      </c>
      <c r="V26" s="92">
        <f>IFERROR(AVERAGEIFS('Base Kpi'!$T:$T,'Base Kpi'!$M:$M,Cliente!$E26,'Base Kpi'!$S:$S,Cliente!V$5),0)</f>
        <v>0</v>
      </c>
      <c r="W26" s="92">
        <f>IFERROR(AVERAGEIFS('Base Kpi'!$T:$T,'Base Kpi'!$M:$M,Cliente!$E26,'Base Kpi'!$S:$S,Cliente!W$5),0)</f>
        <v>12.75</v>
      </c>
      <c r="X26" s="92">
        <f>IFERROR(AVERAGEIFS('Base Kpi'!$T:$T,'Base Kpi'!$M:$M,Cliente!$E26,'Base Kpi'!$S:$S,Cliente!X$5),0)</f>
        <v>38.25</v>
      </c>
      <c r="Y26" s="94">
        <f t="shared" si="37"/>
        <v>72.42</v>
      </c>
      <c r="Z26" s="95">
        <f t="shared" si="38"/>
        <v>0</v>
      </c>
      <c r="AA26" s="60">
        <f>IFERROR(AVERAGEIFS('Base Kpi'!$AF:$AF,'Base Kpi'!$Y:$Y,Cliente!$E26,'Base Kpi'!$AE:$AE,Cliente!AA$5),0)</f>
        <v>30</v>
      </c>
      <c r="AB26" s="92">
        <f>IFERROR(AVERAGEIFS('Base Kpi'!$AF:$AF,'Base Kpi'!$Y:$Y,Cliente!$E26,'Base Kpi'!$AE:$AE,Cliente!AB$5),0)</f>
        <v>8</v>
      </c>
      <c r="AC26" s="92">
        <f>IFERROR(AVERAGEIFS('Base Kpi'!$AF:$AF,'Base Kpi'!$Y:$Y,Cliente!$E26,'Base Kpi'!$AE:$AE,Cliente!AC$5),0)</f>
        <v>12.75</v>
      </c>
      <c r="AD26" s="92">
        <f>IFERROR(AVERAGEIFS('Base Kpi'!$AF:$AF,'Base Kpi'!$Y:$Y,Cliente!$E26,'Base Kpi'!$AE:$AE,Cliente!AD$5),0)</f>
        <v>37.125</v>
      </c>
      <c r="AE26" s="94">
        <f t="shared" si="39"/>
        <v>87.875</v>
      </c>
      <c r="AF26" s="95">
        <f t="shared" si="40"/>
        <v>1</v>
      </c>
      <c r="AG26" s="60">
        <f t="shared" si="9"/>
        <v>38.366666666666667</v>
      </c>
      <c r="AH26" s="97">
        <f t="shared" si="10"/>
        <v>0</v>
      </c>
      <c r="AI26" s="88">
        <f t="shared" si="41"/>
        <v>0</v>
      </c>
      <c r="AJ26" s="92">
        <f>IFERROR(AVERAGEIFS('Base Kpi'!$AR:$AR,'Base Kpi'!$AK:$AK,Cliente!$E26,'Base Kpi'!$AQ:$AQ,AJ$5),0)</f>
        <v>0</v>
      </c>
      <c r="AK26" s="92">
        <f>IFERROR(AVERAGEIFS('Base Kpi'!$AR:$AR,'Base Kpi'!$AK:$AK,Cliente!$E26,'Base Kpi'!$AQ:$AQ,AK$5),0)</f>
        <v>0</v>
      </c>
      <c r="AL26" s="92">
        <f>IFERROR(AVERAGEIFS('Base Kpi'!$AR:$AR,'Base Kpi'!$AK:$AK,Cliente!$E26,'Base Kpi'!$AQ:$AQ,AL$5),0)</f>
        <v>0</v>
      </c>
      <c r="AM26" s="92">
        <f>IFERROR(AVERAGEIFS('Base Kpi'!$AR:$AR,'Base Kpi'!$AK:$AK,Cliente!$E26,'Base Kpi'!$AQ:$AQ,AM$5),0)</f>
        <v>0</v>
      </c>
      <c r="AN26" s="94">
        <f t="shared" si="12"/>
        <v>0</v>
      </c>
      <c r="AO26" s="95">
        <f t="shared" si="13"/>
        <v>0</v>
      </c>
      <c r="AP26" s="60">
        <f>IFERROR(AVERAGEIFS('Base Kpi'!$BD:$BD,'Base Kpi'!$AW:$AW,Cliente!$E26,'Base Kpi'!$BC:$BC,Cliente!AP$5),0)</f>
        <v>21.425000000000001</v>
      </c>
      <c r="AQ26" s="92">
        <f>IFERROR(AVERAGEIFS('Base Kpi'!$BD:$BD,'Base Kpi'!$AW:$AW,Cliente!$E26,'Base Kpi'!$BC:$BC,Cliente!AQ$5),0)</f>
        <v>1.665</v>
      </c>
      <c r="AR26" s="92">
        <f>IFERROR(AVERAGEIFS('Base Kpi'!$BD:$BD,'Base Kpi'!$AW:$AW,Cliente!$E26,'Base Kpi'!$BC:$BC,Cliente!AR$5),0)</f>
        <v>6</v>
      </c>
      <c r="AS26" s="92">
        <f>IFERROR(AVERAGEIFS('Base Kpi'!$BD:$BD,'Base Kpi'!$AW:$AW,Cliente!$E26,'Base Kpi'!$BC:$BC,Cliente!AS$5),0)</f>
        <v>26.96</v>
      </c>
      <c r="AT26" s="92">
        <f>IFERROR(AVERAGEIFS('Base Kpi'!$BD:$BD,'Base Kpi'!$AW:$AW,Cliente!$E26,'Base Kpi'!$BC:$BC,Cliente!AT$5),0)</f>
        <v>0</v>
      </c>
      <c r="AU26" s="94">
        <f t="shared" si="14"/>
        <v>56.05</v>
      </c>
      <c r="AV26" s="95">
        <f t="shared" si="15"/>
        <v>0</v>
      </c>
      <c r="AW26" s="60">
        <f>IFERROR(AVERAGEIFS('Base Kpi'!$BP:$BP,'Base Kpi'!$BI:$BI,Cliente!$E26,'Base Kpi'!$BO:$BO,Cliente!AW$5),0)</f>
        <v>21.425000000000001</v>
      </c>
      <c r="AX26" s="92">
        <f>IFERROR(AVERAGEIFS('Base Kpi'!$BP:$BP,'Base Kpi'!$BI:$BI,Cliente!$E26,'Base Kpi'!$BO:$BO,Cliente!AX$5),0)</f>
        <v>1.665</v>
      </c>
      <c r="AY26" s="92">
        <f>IFERROR(AVERAGEIFS('Base Kpi'!$BP:$BP,'Base Kpi'!$BI:$BI,Cliente!$E26,'Base Kpi'!$BO:$BO,Cliente!AY$5),0)</f>
        <v>9</v>
      </c>
      <c r="AZ26" s="92">
        <f>IFERROR(AVERAGEIFS('Base Kpi'!$BP:$BP,'Base Kpi'!$BI:$BI,Cliente!$E26,'Base Kpi'!$BO:$BO,Cliente!AZ$5),0)</f>
        <v>26.96</v>
      </c>
      <c r="BA26" s="92">
        <f>IFERROR(AVERAGEIFS('Base Kpi'!$BP:$BP,'Base Kpi'!$BI:$BI,Cliente!$E26,'Base Kpi'!$BO:$BO,Cliente!BA$5),0)</f>
        <v>0</v>
      </c>
      <c r="BB26" s="94">
        <f t="shared" si="16"/>
        <v>59.050000000000004</v>
      </c>
      <c r="BC26" s="95">
        <f t="shared" si="17"/>
        <v>0</v>
      </c>
      <c r="BD26" s="60">
        <f t="shared" si="42"/>
        <v>78.008333333333326</v>
      </c>
      <c r="BE26" s="97">
        <f t="shared" si="18"/>
        <v>0</v>
      </c>
      <c r="BF26" s="88">
        <f t="shared" si="43"/>
        <v>0</v>
      </c>
      <c r="BG26" s="60">
        <f>IFERROR(AVERAGEIFS('Base Kpi'!$CB:$CB,'Base Kpi'!$BU:$BU,Cliente!$E26,'Base Kpi'!$CA:$CA,Cliente!BG$5),0)</f>
        <v>21.425000000000001</v>
      </c>
      <c r="BH26" s="92">
        <f>IFERROR(AVERAGEIFS('Base Kpi'!$CB:$CB,'Base Kpi'!$BU:$BU,Cliente!$E26,'Base Kpi'!$CA:$CA,Cliente!BH$5),0)</f>
        <v>5</v>
      </c>
      <c r="BI26" s="92">
        <f>IFERROR(AVERAGEIFS('Base Kpi'!$CB:$CB,'Base Kpi'!$BU:$BU,Cliente!$E26,'Base Kpi'!$CA:$CA,Cliente!BI$5),0)</f>
        <v>12</v>
      </c>
      <c r="BJ26" s="92">
        <f>IFERROR(AVERAGEIFS('Base Kpi'!$CB:$CB,'Base Kpi'!$BU:$BU,Cliente!$E26,'Base Kpi'!$CA:$CA,Cliente!BJ$5),0)</f>
        <v>28.8</v>
      </c>
      <c r="BK26" s="92">
        <f>IFERROR(AVERAGEIFS('Base Kpi'!$CB:$CB,'Base Kpi'!$BU:$BU,Cliente!$E26,'Base Kpi'!$CA:$CA,Cliente!BK$5),0)</f>
        <v>0</v>
      </c>
      <c r="BL26" s="94">
        <f t="shared" si="19"/>
        <v>67.224999999999994</v>
      </c>
      <c r="BM26" s="95">
        <f t="shared" si="20"/>
        <v>0</v>
      </c>
      <c r="BN26" s="60">
        <f>IFERROR(AVERAGEIFS('Base Kpi'!$CN:$CN,'Base Kpi'!$CG:$CG,Cliente!$E26,'Base Kpi'!$CM:$CM,Cliente!BN$5),0)</f>
        <v>25</v>
      </c>
      <c r="BO26" s="92">
        <f>IFERROR(AVERAGEIFS('Base Kpi'!$CN:$CN,'Base Kpi'!$CG:$CG,Cliente!$E26,'Base Kpi'!$CM:$CM,Cliente!BO$5),0)</f>
        <v>5</v>
      </c>
      <c r="BP26" s="92">
        <f>IFERROR(AVERAGEIFS('Base Kpi'!$CN:$CN,'Base Kpi'!$CG:$CG,Cliente!$E26,'Base Kpi'!$CM:$CM,Cliente!BP$5),0)</f>
        <v>12</v>
      </c>
      <c r="BQ26" s="92">
        <f>IFERROR(AVERAGEIFS('Base Kpi'!$CN:$CN,'Base Kpi'!$CG:$CG,Cliente!$E26,'Base Kpi'!$CM:$CM,Cliente!BQ$5),0)</f>
        <v>32.799999999999997</v>
      </c>
      <c r="BR26" s="92">
        <f>IFERROR(AVERAGEIFS('Base Kpi'!$CN:$CN,'Base Kpi'!$CG:$CG,Cliente!$E26,'Base Kpi'!$CM:$CM,Cliente!BR$5),0)</f>
        <v>9</v>
      </c>
      <c r="BS26" s="94">
        <f t="shared" si="21"/>
        <v>83.8</v>
      </c>
      <c r="BT26" s="95">
        <f t="shared" si="22"/>
        <v>1</v>
      </c>
      <c r="BU26" s="60">
        <f>IFERROR(AVERAGEIFS('Base Kpi'!$CZ:$CZ,'Base Kpi'!$CS:$CS,Cliente!$E26,'Base Kpi'!$CY:$CY,Cliente!BU$5),0)</f>
        <v>25</v>
      </c>
      <c r="BV26" s="92">
        <f>IFERROR(AVERAGEIFS('Base Kpi'!$CZ:$CZ,'Base Kpi'!$CS:$CS,Cliente!$E26,'Base Kpi'!$CY:$CY,Cliente!BV$5),0)</f>
        <v>5</v>
      </c>
      <c r="BW26" s="92">
        <f>IFERROR(AVERAGEIFS('Base Kpi'!$CZ:$CZ,'Base Kpi'!$CS:$CS,Cliente!$E26,'Base Kpi'!$CY:$CY,Cliente!BW$5),0)</f>
        <v>12</v>
      </c>
      <c r="BX26" s="92">
        <f>IFERROR(AVERAGEIFS('Base Kpi'!$CZ:$CZ,'Base Kpi'!$CS:$CS,Cliente!$E26,'Base Kpi'!$CY:$CY,Cliente!BX$5),0)</f>
        <v>32</v>
      </c>
      <c r="BY26" s="92">
        <f>IFERROR(AVERAGEIFS('Base Kpi'!$CZ:$CZ,'Base Kpi'!$CS:$CS,Cliente!$E26,'Base Kpi'!$CY:$CY,Cliente!BY$5),0)</f>
        <v>9</v>
      </c>
      <c r="BZ26" s="94">
        <f t="shared" si="23"/>
        <v>83</v>
      </c>
      <c r="CA26" s="95">
        <f t="shared" si="24"/>
        <v>1</v>
      </c>
      <c r="CB26" s="60">
        <f t="shared" si="44"/>
        <v>89.066666666666663</v>
      </c>
      <c r="CC26" s="97">
        <f t="shared" si="45"/>
        <v>1</v>
      </c>
      <c r="CD26" s="43">
        <f t="shared" si="46"/>
        <v>1</v>
      </c>
      <c r="CE26" s="60" cm="1">
        <f t="array" ref="CE26">IFERROR(LARGE(_xlfn._xlws.FILTER('Base Kpi'!$DL:$DL,('Base Kpi'!$DK:$DK=$CE$5)*('Base Kpi'!$DE:$DE=Cliente!$E26)),1),0)</f>
        <v>31.2</v>
      </c>
      <c r="CF26" s="60" cm="1">
        <f t="array" ref="CF26">IFERROR(LARGE(_xlfn._xlws.FILTER('Base Kpi'!$DL:$DL,('Base Kpi'!$DK:$DK=$CF$5)*('Base Kpi'!$DE:$DE=Cliente!$E26)),1),0)</f>
        <v>5</v>
      </c>
      <c r="CG26" s="60" cm="1">
        <f t="array" ref="CG26">IFERROR(LARGE(_xlfn._xlws.FILTER('Base Kpi'!$DL:$DL,('Base Kpi'!$DK:$DK=$CG$5)*('Base Kpi'!$DE:$DE=Cliente!$E26)),1),0)</f>
        <v>5</v>
      </c>
      <c r="CH26" s="60" cm="1">
        <f t="array" ref="CH26">IFERROR(LARGE(_xlfn._xlws.FILTER('Base Kpi'!$DL:$DL,('Base Kpi'!$DK:$DK=$CH$5)*('Base Kpi'!$DE:$DE=Cliente!$E26)),1),0)</f>
        <v>9</v>
      </c>
      <c r="CI26" s="60" cm="1">
        <f t="array" ref="CI26">IFERROR(LARGE(_xlfn._xlws.FILTER('Base Kpi'!$DL:$DL,('Base Kpi'!$DK:$DK=$CI$5)*('Base Kpi'!$DE:$DE=Cliente!$E26)),1),0)</f>
        <v>25</v>
      </c>
      <c r="CJ26" s="60" cm="1">
        <f t="array" ref="CJ26">IFERROR(LARGE(_xlfn._xlws.FILTER('Base Kpi'!$DL:$DL,('Base Kpi'!$DK:$DK=$CJ$5)*('Base Kpi'!$DE:$DE=Cliente!$E26)),1),0)</f>
        <v>12</v>
      </c>
      <c r="CK26" s="60" cm="1">
        <f t="array" ref="CK26">IFERROR(LARGE(_xlfn._xlws.FILTER('Base Kpi'!$DL:$DL,('Base Kpi'!$DK:$DK=$CK$5)*('Base Kpi'!$DE:$DE=Cliente!$E26)),1),0)</f>
        <v>0</v>
      </c>
      <c r="CL26" s="94">
        <f t="shared" si="28"/>
        <v>87.2</v>
      </c>
      <c r="CM26" s="95">
        <f t="shared" si="47"/>
        <v>1</v>
      </c>
      <c r="CN26" s="60">
        <f>IFERROR(AVERAGEIFS('Base Kpi'!$DX:$DX,'Base Kpi'!$DQ:$DQ,Cliente!$E26,'Base Kpi'!$DW:$DW,Cliente!CN$5),0)</f>
        <v>35.200000000000003</v>
      </c>
      <c r="CO26" s="92">
        <f>IFERROR(AVERAGEIFS('Base Kpi'!$DX:$DX,'Base Kpi'!$DQ:$DQ,Cliente!$E26,'Base Kpi'!$DW:$DW,Cliente!CO$5),0)</f>
        <v>5</v>
      </c>
      <c r="CP26" s="92">
        <f>IFERROR(AVERAGEIFS('Base Kpi'!$DX:$DX,'Base Kpi'!$DQ:$DQ,Cliente!$E26,'Base Kpi'!$DW:$DW,Cliente!CP$5),0)</f>
        <v>5</v>
      </c>
      <c r="CQ26" s="92">
        <f>IFERROR(AVERAGEIFS('Base Kpi'!$DX:$DX,'Base Kpi'!$DQ:$DQ,Cliente!$E26,'Base Kpi'!$DW:$DW,Cliente!CQ$5),0)</f>
        <v>9</v>
      </c>
      <c r="CR26" s="92">
        <f>IFERROR(AVERAGEIFS('Base Kpi'!$DX:$DX,'Base Kpi'!$DQ:$DQ,Cliente!$E26,'Base Kpi'!$DW:$DW,Cliente!CR$5),0)</f>
        <v>25</v>
      </c>
      <c r="CS26" s="92">
        <f>IFERROR(AVERAGEIFS('Base Kpi'!$DX:$DX,'Base Kpi'!$DQ:$DQ,Cliente!$E26,'Base Kpi'!$DW:$DW,Cliente!CS$5),0)</f>
        <v>12</v>
      </c>
      <c r="CT26" s="92">
        <f>IFERROR(AVERAGEIFS('Base Kpi'!$DX:$DX,'Base Kpi'!$DQ:$DQ,Cliente!$E26,'Base Kpi'!$DW:$DW,Cliente!CT$5),0)</f>
        <v>0</v>
      </c>
      <c r="CU26" s="94">
        <f t="shared" si="48"/>
        <v>91.2</v>
      </c>
      <c r="CV26" s="95">
        <f t="shared" si="49"/>
        <v>1</v>
      </c>
      <c r="CW26" s="60">
        <f>IFERROR(AVERAGEIFS('Base Kpi'!$EJ:$EJ,'Base Kpi'!$EC:$EC,Cliente!$E26,'Base Kpi'!$EI:$EI,Cliente!CW$5),0)</f>
        <v>32.799999999999997</v>
      </c>
      <c r="CX26" s="92">
        <f>IFERROR(AVERAGEIFS('Base Kpi'!$EJ:$EJ,'Base Kpi'!$EC:$EC,Cliente!$E26,'Base Kpi'!$EI:$EI,Cliente!CX$5),0)</f>
        <v>5</v>
      </c>
      <c r="CY26" s="92">
        <f>IFERROR(AVERAGEIFS('Base Kpi'!$EJ:$EJ,'Base Kpi'!$EC:$EC,Cliente!$E26,'Base Kpi'!$EI:$EI,Cliente!CY$5),0)</f>
        <v>5</v>
      </c>
      <c r="CZ26" s="92">
        <f>IFERROR(AVERAGEIFS('Base Kpi'!$EJ:$EJ,'Base Kpi'!$EC:$EC,Cliente!$E26,'Base Kpi'!$EI:$EI,Cliente!CZ$5),0)</f>
        <v>9</v>
      </c>
      <c r="DA26" s="92">
        <f>IFERROR(AVERAGEIFS('Base Kpi'!$EJ:$EJ,'Base Kpi'!$EC:$EC,Cliente!$E26,'Base Kpi'!$EI:$EI,Cliente!DA$5),0)</f>
        <v>25</v>
      </c>
      <c r="DB26" s="92">
        <f>IFERROR(AVERAGEIFS('Base Kpi'!$EJ:$EJ,'Base Kpi'!$EC:$EC,Cliente!$E26,'Base Kpi'!$EI:$EI,Cliente!DB$5),0)</f>
        <v>12</v>
      </c>
      <c r="DC26" s="92">
        <f>IFERROR(AVERAGEIFS('Base Kpi'!$EJ:$EJ,'Base Kpi'!$EC:$EC,Cliente!$E26,'Base Kpi'!$EI:$EI,Cliente!DC$5),0)</f>
        <v>0</v>
      </c>
      <c r="DD26" s="94">
        <f t="shared" si="50"/>
        <v>88.8</v>
      </c>
      <c r="DE26" s="95">
        <f t="shared" si="51"/>
        <v>1</v>
      </c>
      <c r="DF26" s="120"/>
    </row>
    <row r="27" spans="2:110" x14ac:dyDescent="0.35">
      <c r="B27" s="52" t="s">
        <v>427</v>
      </c>
      <c r="C27" s="21">
        <v>3919</v>
      </c>
      <c r="D27" s="21" t="s">
        <v>429</v>
      </c>
      <c r="E27" s="21">
        <v>184221</v>
      </c>
      <c r="F27" s="16" t="s">
        <v>158</v>
      </c>
      <c r="G27" s="16" t="s">
        <v>298</v>
      </c>
      <c r="H27" s="16" t="s">
        <v>314</v>
      </c>
      <c r="I27" s="16" t="s">
        <v>176</v>
      </c>
      <c r="J27" s="16" t="s">
        <v>90</v>
      </c>
      <c r="K27" s="34" t="s">
        <v>156</v>
      </c>
      <c r="L27" s="60">
        <f t="shared" si="33"/>
        <v>43.435000000000002</v>
      </c>
      <c r="M27" s="97">
        <f t="shared" si="34"/>
        <v>0</v>
      </c>
      <c r="N27" s="43">
        <f t="shared" si="2"/>
        <v>0</v>
      </c>
      <c r="O27" s="60">
        <f>IFERROR(AVERAGEIFS('Base Kpi'!$I:$I,'Base Kpi'!$B:$B,Cliente!$E27,'Base Kpi'!$G:$G,Cliente!O$5),0)</f>
        <v>25.71</v>
      </c>
      <c r="P27" s="92">
        <f>IFERROR(AVERAGEIFS('Base Kpi'!$I:$I,'Base Kpi'!$B:$B,Cliente!$E27,'Base Kpi'!$G:$G,Cliente!P$5),0)</f>
        <v>0</v>
      </c>
      <c r="Q27" s="92">
        <f>IFERROR(AVERAGEIFS('Base Kpi'!$I:$I,'Base Kpi'!$B:$B,Cliente!$E27,'Base Kpi'!$G:$G,Cliente!Q$5),0)</f>
        <v>6.8</v>
      </c>
      <c r="R27" s="92">
        <f>IFERROR(AVERAGEIFS('Base Kpi'!$I:$I,'Base Kpi'!$B:$B,Cliente!$E27,'Base Kpi'!$G:$G,Cliente!R$5),0)</f>
        <v>32.625</v>
      </c>
      <c r="S27" s="94">
        <f t="shared" si="35"/>
        <v>65.134999999999991</v>
      </c>
      <c r="T27" s="95">
        <f t="shared" si="36"/>
        <v>0</v>
      </c>
      <c r="U27" s="60">
        <f>IFERROR(AVERAGEIFS('Base Kpi'!$T:$T,'Base Kpi'!$M:$M,Cliente!$E27,'Base Kpi'!$S:$S,Cliente!U$5),0)</f>
        <v>0</v>
      </c>
      <c r="V27" s="92">
        <f>IFERROR(AVERAGEIFS('Base Kpi'!$T:$T,'Base Kpi'!$M:$M,Cliente!$E27,'Base Kpi'!$S:$S,Cliente!V$5),0)</f>
        <v>0</v>
      </c>
      <c r="W27" s="92">
        <f>IFERROR(AVERAGEIFS('Base Kpi'!$T:$T,'Base Kpi'!$M:$M,Cliente!$E27,'Base Kpi'!$S:$S,Cliente!W$5),0)</f>
        <v>0</v>
      </c>
      <c r="X27" s="92">
        <f>IFERROR(AVERAGEIFS('Base Kpi'!$T:$T,'Base Kpi'!$M:$M,Cliente!$E27,'Base Kpi'!$S:$S,Cliente!X$5),0)</f>
        <v>0</v>
      </c>
      <c r="Y27" s="94">
        <f t="shared" si="37"/>
        <v>0</v>
      </c>
      <c r="Z27" s="95">
        <f t="shared" si="38"/>
        <v>0</v>
      </c>
      <c r="AA27" s="60">
        <f>IFERROR(AVERAGEIFS('Base Kpi'!$AF:$AF,'Base Kpi'!$Y:$Y,Cliente!$E27,'Base Kpi'!$AE:$AE,Cliente!AA$5),0)</f>
        <v>21.42</v>
      </c>
      <c r="AB27" s="92">
        <f>IFERROR(AVERAGEIFS('Base Kpi'!$AF:$AF,'Base Kpi'!$Y:$Y,Cliente!$E27,'Base Kpi'!$AE:$AE,Cliente!AB$5),0)</f>
        <v>8</v>
      </c>
      <c r="AC27" s="92">
        <f>IFERROR(AVERAGEIFS('Base Kpi'!$AF:$AF,'Base Kpi'!$Y:$Y,Cliente!$E27,'Base Kpi'!$AE:$AE,Cliente!AC$5),0)</f>
        <v>4.25</v>
      </c>
      <c r="AD27" s="92">
        <f>IFERROR(AVERAGEIFS('Base Kpi'!$AF:$AF,'Base Kpi'!$Y:$Y,Cliente!$E27,'Base Kpi'!$AE:$AE,Cliente!AD$5),0)</f>
        <v>31.5</v>
      </c>
      <c r="AE27" s="94">
        <f t="shared" si="39"/>
        <v>65.17</v>
      </c>
      <c r="AF27" s="95">
        <f t="shared" si="40"/>
        <v>0</v>
      </c>
      <c r="AG27" s="60">
        <f t="shared" si="9"/>
        <v>21.693333333333339</v>
      </c>
      <c r="AH27" s="97">
        <f t="shared" si="10"/>
        <v>0</v>
      </c>
      <c r="AI27" s="88">
        <f t="shared" si="41"/>
        <v>0</v>
      </c>
      <c r="AJ27" s="92">
        <f>IFERROR(AVERAGEIFS('Base Kpi'!$AR:$AR,'Base Kpi'!$AK:$AK,Cliente!$E27,'Base Kpi'!$AQ:$AQ,AJ$5),0)</f>
        <v>0</v>
      </c>
      <c r="AK27" s="92">
        <f>IFERROR(AVERAGEIFS('Base Kpi'!$AR:$AR,'Base Kpi'!$AK:$AK,Cliente!$E27,'Base Kpi'!$AQ:$AQ,AK$5),0)</f>
        <v>0</v>
      </c>
      <c r="AL27" s="92">
        <f>IFERROR(AVERAGEIFS('Base Kpi'!$AR:$AR,'Base Kpi'!$AK:$AK,Cliente!$E27,'Base Kpi'!$AQ:$AQ,AL$5),0)</f>
        <v>0</v>
      </c>
      <c r="AM27" s="92">
        <f>IFERROR(AVERAGEIFS('Base Kpi'!$AR:$AR,'Base Kpi'!$AK:$AK,Cliente!$E27,'Base Kpi'!$AQ:$AQ,AM$5),0)</f>
        <v>0</v>
      </c>
      <c r="AN27" s="94">
        <f t="shared" si="12"/>
        <v>0</v>
      </c>
      <c r="AO27" s="95">
        <f t="shared" si="13"/>
        <v>0</v>
      </c>
      <c r="AP27" s="60">
        <f>IFERROR(AVERAGEIFS('Base Kpi'!$BD:$BD,'Base Kpi'!$AW:$AW,Cliente!$E27,'Base Kpi'!$BC:$BC,Cliente!AP$5),0)</f>
        <v>21.425000000000001</v>
      </c>
      <c r="AQ27" s="92">
        <f>IFERROR(AVERAGEIFS('Base Kpi'!$BD:$BD,'Base Kpi'!$AW:$AW,Cliente!$E27,'Base Kpi'!$BC:$BC,Cliente!AQ$5),0)</f>
        <v>3.335</v>
      </c>
      <c r="AR27" s="92">
        <f>IFERROR(AVERAGEIFS('Base Kpi'!$BD:$BD,'Base Kpi'!$AW:$AW,Cliente!$E27,'Base Kpi'!$BC:$BC,Cliente!AR$5),0)</f>
        <v>9</v>
      </c>
      <c r="AS27" s="92">
        <f>IFERROR(AVERAGEIFS('Base Kpi'!$BD:$BD,'Base Kpi'!$AW:$AW,Cliente!$E27,'Base Kpi'!$BC:$BC,Cliente!AS$5),0)</f>
        <v>31.32</v>
      </c>
      <c r="AT27" s="92">
        <f>IFERROR(AVERAGEIFS('Base Kpi'!$BD:$BD,'Base Kpi'!$AW:$AW,Cliente!$E27,'Base Kpi'!$BC:$BC,Cliente!AT$5),0)</f>
        <v>0</v>
      </c>
      <c r="AU27" s="94">
        <f t="shared" si="14"/>
        <v>65.080000000000013</v>
      </c>
      <c r="AV27" s="95">
        <f t="shared" si="15"/>
        <v>0</v>
      </c>
      <c r="AW27" s="60">
        <f>IFERROR(AVERAGEIFS('Base Kpi'!$BP:$BP,'Base Kpi'!$BI:$BI,Cliente!$E27,'Base Kpi'!$BO:$BO,Cliente!AW$5),0)</f>
        <v>0</v>
      </c>
      <c r="AX27" s="92">
        <f>IFERROR(AVERAGEIFS('Base Kpi'!$BP:$BP,'Base Kpi'!$BI:$BI,Cliente!$E27,'Base Kpi'!$BO:$BO,Cliente!AX$5),0)</f>
        <v>0</v>
      </c>
      <c r="AY27" s="92">
        <f>IFERROR(AVERAGEIFS('Base Kpi'!$BP:$BP,'Base Kpi'!$BI:$BI,Cliente!$E27,'Base Kpi'!$BO:$BO,Cliente!AY$5),0)</f>
        <v>0</v>
      </c>
      <c r="AZ27" s="92">
        <f>IFERROR(AVERAGEIFS('Base Kpi'!$BP:$BP,'Base Kpi'!$BI:$BI,Cliente!$E27,'Base Kpi'!$BO:$BO,Cliente!AZ$5),0)</f>
        <v>0</v>
      </c>
      <c r="BA27" s="92">
        <f>IFERROR(AVERAGEIFS('Base Kpi'!$BP:$BP,'Base Kpi'!$BI:$BI,Cliente!$E27,'Base Kpi'!$BO:$BO,Cliente!BA$5),0)</f>
        <v>0</v>
      </c>
      <c r="BB27" s="94">
        <f t="shared" si="16"/>
        <v>0</v>
      </c>
      <c r="BC27" s="95">
        <f t="shared" si="17"/>
        <v>0</v>
      </c>
      <c r="BD27" s="60">
        <f t="shared" si="42"/>
        <v>73.825000000000003</v>
      </c>
      <c r="BE27" s="97">
        <f t="shared" si="18"/>
        <v>1</v>
      </c>
      <c r="BF27" s="88">
        <f t="shared" si="43"/>
        <v>0</v>
      </c>
      <c r="BG27" s="60">
        <f>IFERROR(AVERAGEIFS('Base Kpi'!$CB:$CB,'Base Kpi'!$BU:$BU,Cliente!$E27,'Base Kpi'!$CA:$CA,Cliente!BG$5),0)</f>
        <v>21.425000000000001</v>
      </c>
      <c r="BH27" s="92">
        <f>IFERROR(AVERAGEIFS('Base Kpi'!$CB:$CB,'Base Kpi'!$BU:$BU,Cliente!$E27,'Base Kpi'!$CA:$CA,Cliente!BH$5),0)</f>
        <v>5</v>
      </c>
      <c r="BI27" s="92">
        <f>IFERROR(AVERAGEIFS('Base Kpi'!$CB:$CB,'Base Kpi'!$BU:$BU,Cliente!$E27,'Base Kpi'!$CA:$CA,Cliente!BI$5),0)</f>
        <v>12</v>
      </c>
      <c r="BJ27" s="92">
        <f>IFERROR(AVERAGEIFS('Base Kpi'!$CB:$CB,'Base Kpi'!$BU:$BU,Cliente!$E27,'Base Kpi'!$CA:$CA,Cliente!BJ$5),0)</f>
        <v>27.2</v>
      </c>
      <c r="BK27" s="92">
        <f>IFERROR(AVERAGEIFS('Base Kpi'!$CB:$CB,'Base Kpi'!$BU:$BU,Cliente!$E27,'Base Kpi'!$CA:$CA,Cliente!BK$5),0)</f>
        <v>9</v>
      </c>
      <c r="BL27" s="94">
        <f t="shared" si="19"/>
        <v>74.625</v>
      </c>
      <c r="BM27" s="95">
        <f t="shared" si="20"/>
        <v>0</v>
      </c>
      <c r="BN27" s="60">
        <f>IFERROR(AVERAGEIFS('Base Kpi'!$CN:$CN,'Base Kpi'!$CG:$CG,Cliente!$E27,'Base Kpi'!$CM:$CM,Cliente!BN$5),0)</f>
        <v>21.425000000000001</v>
      </c>
      <c r="BO27" s="92">
        <f>IFERROR(AVERAGEIFS('Base Kpi'!$CN:$CN,'Base Kpi'!$CG:$CG,Cliente!$E27,'Base Kpi'!$CM:$CM,Cliente!BO$5),0)</f>
        <v>5</v>
      </c>
      <c r="BP27" s="92">
        <f>IFERROR(AVERAGEIFS('Base Kpi'!$CN:$CN,'Base Kpi'!$CG:$CG,Cliente!$E27,'Base Kpi'!$CM:$CM,Cliente!BP$5),0)</f>
        <v>12</v>
      </c>
      <c r="BQ27" s="92">
        <f>IFERROR(AVERAGEIFS('Base Kpi'!$CN:$CN,'Base Kpi'!$CG:$CG,Cliente!$E27,'Base Kpi'!$CM:$CM,Cliente!BQ$5),0)</f>
        <v>25.6</v>
      </c>
      <c r="BR27" s="92">
        <f>IFERROR(AVERAGEIFS('Base Kpi'!$CN:$CN,'Base Kpi'!$CG:$CG,Cliente!$E27,'Base Kpi'!$CM:$CM,Cliente!BR$5),0)</f>
        <v>18</v>
      </c>
      <c r="BS27" s="94">
        <f t="shared" si="21"/>
        <v>82.025000000000006</v>
      </c>
      <c r="BT27" s="95">
        <f t="shared" si="22"/>
        <v>1</v>
      </c>
      <c r="BU27" s="60">
        <f>IFERROR(AVERAGEIFS('Base Kpi'!$CZ:$CZ,'Base Kpi'!$CS:$CS,Cliente!$E27,'Base Kpi'!$CY:$CY,Cliente!BU$5),0)</f>
        <v>21.425000000000001</v>
      </c>
      <c r="BV27" s="92">
        <f>IFERROR(AVERAGEIFS('Base Kpi'!$CZ:$CZ,'Base Kpi'!$CS:$CS,Cliente!$E27,'Base Kpi'!$CY:$CY,Cliente!BV$5),0)</f>
        <v>5</v>
      </c>
      <c r="BW27" s="92">
        <f>IFERROR(AVERAGEIFS('Base Kpi'!$CZ:$CZ,'Base Kpi'!$CS:$CS,Cliente!$E27,'Base Kpi'!$CY:$CY,Cliente!BW$5),0)</f>
        <v>12</v>
      </c>
      <c r="BX27" s="92">
        <f>IFERROR(AVERAGEIFS('Base Kpi'!$CZ:$CZ,'Base Kpi'!$CS:$CS,Cliente!$E27,'Base Kpi'!$CY:$CY,Cliente!BX$5),0)</f>
        <v>26.4</v>
      </c>
      <c r="BY27" s="92">
        <f>IFERROR(AVERAGEIFS('Base Kpi'!$CZ:$CZ,'Base Kpi'!$CS:$CS,Cliente!$E27,'Base Kpi'!$CY:$CY,Cliente!BY$5),0)</f>
        <v>0</v>
      </c>
      <c r="BZ27" s="94">
        <f t="shared" si="23"/>
        <v>64.824999999999989</v>
      </c>
      <c r="CA27" s="95">
        <f t="shared" si="24"/>
        <v>0</v>
      </c>
      <c r="CB27" s="60">
        <f t="shared" si="44"/>
        <v>74.358333333333334</v>
      </c>
      <c r="CC27" s="97">
        <f t="shared" si="45"/>
        <v>1</v>
      </c>
      <c r="CD27" s="43">
        <f t="shared" si="46"/>
        <v>1</v>
      </c>
      <c r="CE27" s="60" cm="1">
        <f t="array" ref="CE27">IFERROR(LARGE(_xlfn._xlws.FILTER('Base Kpi'!$DL:$DL,('Base Kpi'!$DK:$DK=$CE$5)*('Base Kpi'!$DE:$DE=Cliente!$E27)),1),0)</f>
        <v>30.4</v>
      </c>
      <c r="CF27" s="60" cm="1">
        <f t="array" ref="CF27">IFERROR(LARGE(_xlfn._xlws.FILTER('Base Kpi'!$DL:$DL,('Base Kpi'!$DK:$DK=$CF$5)*('Base Kpi'!$DE:$DE=Cliente!$E27)),1),0)</f>
        <v>5</v>
      </c>
      <c r="CG27" s="60" cm="1">
        <f t="array" ref="CG27">IFERROR(LARGE(_xlfn._xlws.FILTER('Base Kpi'!$DL:$DL,('Base Kpi'!$DK:$DK=$CG$5)*('Base Kpi'!$DE:$DE=Cliente!$E27)),1),0)</f>
        <v>5</v>
      </c>
      <c r="CH27" s="60" cm="1">
        <f t="array" ref="CH27">IFERROR(LARGE(_xlfn._xlws.FILTER('Base Kpi'!$DL:$DL,('Base Kpi'!$DK:$DK=$CH$5)*('Base Kpi'!$DE:$DE=Cliente!$E27)),1),0)</f>
        <v>9</v>
      </c>
      <c r="CI27" s="60" cm="1">
        <f t="array" ref="CI27">IFERROR(LARGE(_xlfn._xlws.FILTER('Base Kpi'!$DL:$DL,('Base Kpi'!$DK:$DK=$CI$5)*('Base Kpi'!$DE:$DE=Cliente!$E27)),1),0)</f>
        <v>21.425000000000001</v>
      </c>
      <c r="CJ27" s="60" cm="1">
        <f t="array" ref="CJ27">IFERROR(LARGE(_xlfn._xlws.FILTER('Base Kpi'!$DL:$DL,('Base Kpi'!$DK:$DK=$CJ$5)*('Base Kpi'!$DE:$DE=Cliente!$E27)),1),0)</f>
        <v>3</v>
      </c>
      <c r="CK27" s="60" cm="1">
        <f t="array" ref="CK27">IFERROR(LARGE(_xlfn._xlws.FILTER('Base Kpi'!$DL:$DL,('Base Kpi'!$DK:$DK=$CK$5)*('Base Kpi'!$DE:$DE=Cliente!$E27)),1),0)</f>
        <v>0</v>
      </c>
      <c r="CL27" s="94">
        <f t="shared" si="28"/>
        <v>73.825000000000003</v>
      </c>
      <c r="CM27" s="95">
        <f t="shared" si="47"/>
        <v>0</v>
      </c>
      <c r="CN27" s="60">
        <f>IFERROR(AVERAGEIFS('Base Kpi'!$DX:$DX,'Base Kpi'!$DQ:$DQ,Cliente!$E27,'Base Kpi'!$DW:$DW,Cliente!CN$5),0)</f>
        <v>29.6</v>
      </c>
      <c r="CO27" s="92">
        <f>IFERROR(AVERAGEIFS('Base Kpi'!$DX:$DX,'Base Kpi'!$DQ:$DQ,Cliente!$E27,'Base Kpi'!$DW:$DW,Cliente!CO$5),0)</f>
        <v>5</v>
      </c>
      <c r="CP27" s="92">
        <f>IFERROR(AVERAGEIFS('Base Kpi'!$DX:$DX,'Base Kpi'!$DQ:$DQ,Cliente!$E27,'Base Kpi'!$DW:$DW,Cliente!CP$5),0)</f>
        <v>5</v>
      </c>
      <c r="CQ27" s="92">
        <f>IFERROR(AVERAGEIFS('Base Kpi'!$DX:$DX,'Base Kpi'!$DQ:$DQ,Cliente!$E27,'Base Kpi'!$DW:$DW,Cliente!CQ$5),0)</f>
        <v>9</v>
      </c>
      <c r="CR27" s="92">
        <f>IFERROR(AVERAGEIFS('Base Kpi'!$DX:$DX,'Base Kpi'!$DQ:$DQ,Cliente!$E27,'Base Kpi'!$DW:$DW,Cliente!CR$5),0)</f>
        <v>21.425000000000001</v>
      </c>
      <c r="CS27" s="92">
        <f>IFERROR(AVERAGEIFS('Base Kpi'!$DX:$DX,'Base Kpi'!$DQ:$DQ,Cliente!$E27,'Base Kpi'!$DW:$DW,Cliente!CS$5),0)</f>
        <v>12</v>
      </c>
      <c r="CT27" s="92">
        <f>IFERROR(AVERAGEIFS('Base Kpi'!$DX:$DX,'Base Kpi'!$DQ:$DQ,Cliente!$E27,'Base Kpi'!$DW:$DW,Cliente!CT$5),0)</f>
        <v>0</v>
      </c>
      <c r="CU27" s="94">
        <f t="shared" si="48"/>
        <v>82.025000000000006</v>
      </c>
      <c r="CV27" s="95">
        <f t="shared" si="49"/>
        <v>1</v>
      </c>
      <c r="CW27" s="60">
        <f>IFERROR(AVERAGEIFS('Base Kpi'!$EJ:$EJ,'Base Kpi'!$EC:$EC,Cliente!$E27,'Base Kpi'!$EI:$EI,Cliente!CW$5),0)</f>
        <v>28.8</v>
      </c>
      <c r="CX27" s="92">
        <f>IFERROR(AVERAGEIFS('Base Kpi'!$EJ:$EJ,'Base Kpi'!$EC:$EC,Cliente!$E27,'Base Kpi'!$EI:$EI,Cliente!CX$5),0)</f>
        <v>0</v>
      </c>
      <c r="CY27" s="92">
        <f>IFERROR(AVERAGEIFS('Base Kpi'!$EJ:$EJ,'Base Kpi'!$EC:$EC,Cliente!$E27,'Base Kpi'!$EI:$EI,Cliente!CY$5),0)</f>
        <v>5</v>
      </c>
      <c r="CZ27" s="92">
        <f>IFERROR(AVERAGEIFS('Base Kpi'!$EJ:$EJ,'Base Kpi'!$EC:$EC,Cliente!$E27,'Base Kpi'!$EI:$EI,Cliente!CZ$5),0)</f>
        <v>0</v>
      </c>
      <c r="DA27" s="92">
        <f>IFERROR(AVERAGEIFS('Base Kpi'!$EJ:$EJ,'Base Kpi'!$EC:$EC,Cliente!$E27,'Base Kpi'!$EI:$EI,Cliente!DA$5),0)</f>
        <v>21.425000000000001</v>
      </c>
      <c r="DB27" s="92">
        <f>IFERROR(AVERAGEIFS('Base Kpi'!$EJ:$EJ,'Base Kpi'!$EC:$EC,Cliente!$E27,'Base Kpi'!$EI:$EI,Cliente!DB$5),0)</f>
        <v>12</v>
      </c>
      <c r="DC27" s="92">
        <f>IFERROR(AVERAGEIFS('Base Kpi'!$EJ:$EJ,'Base Kpi'!$EC:$EC,Cliente!$E27,'Base Kpi'!$EI:$EI,Cliente!DC$5),0)</f>
        <v>0</v>
      </c>
      <c r="DD27" s="94">
        <f t="shared" si="50"/>
        <v>67.224999999999994</v>
      </c>
      <c r="DE27" s="95">
        <f t="shared" si="51"/>
        <v>1</v>
      </c>
      <c r="DF27" s="120"/>
    </row>
    <row r="28" spans="2:110" x14ac:dyDescent="0.35">
      <c r="B28" s="52" t="s">
        <v>427</v>
      </c>
      <c r="C28" s="21">
        <v>3919</v>
      </c>
      <c r="D28" s="21" t="s">
        <v>429</v>
      </c>
      <c r="E28" s="21">
        <v>184335</v>
      </c>
      <c r="F28" s="16" t="s">
        <v>50</v>
      </c>
      <c r="G28" s="16" t="s">
        <v>258</v>
      </c>
      <c r="H28" s="16" t="s">
        <v>268</v>
      </c>
      <c r="I28" s="16" t="s">
        <v>269</v>
      </c>
      <c r="J28" s="16" t="s">
        <v>90</v>
      </c>
      <c r="K28" s="34" t="s">
        <v>51</v>
      </c>
      <c r="L28" s="60">
        <f t="shared" si="33"/>
        <v>51.890000000000008</v>
      </c>
      <c r="M28" s="97">
        <f t="shared" si="34"/>
        <v>0</v>
      </c>
      <c r="N28" s="43">
        <f t="shared" si="2"/>
        <v>0</v>
      </c>
      <c r="O28" s="60">
        <f>IFERROR(AVERAGEIFS('Base Kpi'!$I:$I,'Base Kpi'!$B:$B,Cliente!$E28,'Base Kpi'!$G:$G,Cliente!O$5),0)</f>
        <v>0</v>
      </c>
      <c r="P28" s="92">
        <f>IFERROR(AVERAGEIFS('Base Kpi'!$I:$I,'Base Kpi'!$B:$B,Cliente!$E28,'Base Kpi'!$G:$G,Cliente!P$5),0)</f>
        <v>0</v>
      </c>
      <c r="Q28" s="92">
        <f>IFERROR(AVERAGEIFS('Base Kpi'!$I:$I,'Base Kpi'!$B:$B,Cliente!$E28,'Base Kpi'!$G:$G,Cliente!Q$5),0)</f>
        <v>0</v>
      </c>
      <c r="R28" s="92">
        <f>IFERROR(AVERAGEIFS('Base Kpi'!$I:$I,'Base Kpi'!$B:$B,Cliente!$E28,'Base Kpi'!$G:$G,Cliente!R$5),0)</f>
        <v>0</v>
      </c>
      <c r="S28" s="94">
        <f t="shared" si="35"/>
        <v>0</v>
      </c>
      <c r="T28" s="95">
        <f t="shared" si="36"/>
        <v>0</v>
      </c>
      <c r="U28" s="60">
        <f>IFERROR(AVERAGEIFS('Base Kpi'!$T:$T,'Base Kpi'!$M:$M,Cliente!$E28,'Base Kpi'!$S:$S,Cliente!U$5),0)</f>
        <v>21.42</v>
      </c>
      <c r="V28" s="92">
        <f>IFERROR(AVERAGEIFS('Base Kpi'!$T:$T,'Base Kpi'!$M:$M,Cliente!$E28,'Base Kpi'!$S:$S,Cliente!V$5),0)</f>
        <v>8</v>
      </c>
      <c r="W28" s="92">
        <f>IFERROR(AVERAGEIFS('Base Kpi'!$T:$T,'Base Kpi'!$M:$M,Cliente!$E28,'Base Kpi'!$S:$S,Cliente!W$5),0)</f>
        <v>12.75</v>
      </c>
      <c r="X28" s="92">
        <f>IFERROR(AVERAGEIFS('Base Kpi'!$T:$T,'Base Kpi'!$M:$M,Cliente!$E28,'Base Kpi'!$S:$S,Cliente!X$5),0)</f>
        <v>32.625</v>
      </c>
      <c r="Y28" s="94">
        <f t="shared" si="37"/>
        <v>74.795000000000002</v>
      </c>
      <c r="Z28" s="95">
        <f t="shared" si="38"/>
        <v>0</v>
      </c>
      <c r="AA28" s="60">
        <f>IFERROR(AVERAGEIFS('Base Kpi'!$AF:$AF,'Base Kpi'!$Y:$Y,Cliente!$E28,'Base Kpi'!$AE:$AE,Cliente!AA$5),0)</f>
        <v>30</v>
      </c>
      <c r="AB28" s="92">
        <f>IFERROR(AVERAGEIFS('Base Kpi'!$AF:$AF,'Base Kpi'!$Y:$Y,Cliente!$E28,'Base Kpi'!$AE:$AE,Cliente!AB$5),0)</f>
        <v>8</v>
      </c>
      <c r="AC28" s="92">
        <f>IFERROR(AVERAGEIFS('Base Kpi'!$AF:$AF,'Base Kpi'!$Y:$Y,Cliente!$E28,'Base Kpi'!$AE:$AE,Cliente!AC$5),0)</f>
        <v>17</v>
      </c>
      <c r="AD28" s="92">
        <f>IFERROR(AVERAGEIFS('Base Kpi'!$AF:$AF,'Base Kpi'!$Y:$Y,Cliente!$E28,'Base Kpi'!$AE:$AE,Cliente!AD$5),0)</f>
        <v>25.875</v>
      </c>
      <c r="AE28" s="94">
        <f t="shared" si="39"/>
        <v>80.875</v>
      </c>
      <c r="AF28" s="95">
        <f t="shared" si="40"/>
        <v>1</v>
      </c>
      <c r="AG28" s="60">
        <f t="shared" si="9"/>
        <v>60.186666666666667</v>
      </c>
      <c r="AH28" s="97">
        <f t="shared" si="10"/>
        <v>1</v>
      </c>
      <c r="AI28" s="88">
        <f t="shared" si="41"/>
        <v>1</v>
      </c>
      <c r="AJ28" s="92">
        <f>IFERROR(AVERAGEIFS('Base Kpi'!$AR:$AR,'Base Kpi'!$AK:$AK,Cliente!$E28,'Base Kpi'!$AQ:$AQ,AJ$5),0)</f>
        <v>21.425000000000001</v>
      </c>
      <c r="AK28" s="92">
        <f>IFERROR(AVERAGEIFS('Base Kpi'!$AR:$AR,'Base Kpi'!$AK:$AK,Cliente!$E28,'Base Kpi'!$AQ:$AQ,AK$5),0)</f>
        <v>2.5</v>
      </c>
      <c r="AL28" s="92">
        <f>IFERROR(AVERAGEIFS('Base Kpi'!$AR:$AR,'Base Kpi'!$AK:$AK,Cliente!$E28,'Base Kpi'!$AQ:$AQ,AL$5),0)</f>
        <v>9</v>
      </c>
      <c r="AM28" s="92">
        <f>IFERROR(AVERAGEIFS('Base Kpi'!$AR:$AR,'Base Kpi'!$AK:$AK,Cliente!$E28,'Base Kpi'!$AQ:$AQ,AM$5),0)</f>
        <v>25.2</v>
      </c>
      <c r="AN28" s="94">
        <f t="shared" si="12"/>
        <v>58.125</v>
      </c>
      <c r="AO28" s="95">
        <f t="shared" si="13"/>
        <v>0</v>
      </c>
      <c r="AP28" s="60">
        <f>IFERROR(AVERAGEIFS('Base Kpi'!$BD:$BD,'Base Kpi'!$AW:$AW,Cliente!$E28,'Base Kpi'!$BC:$BC,Cliente!AP$5),0)</f>
        <v>21.425000000000001</v>
      </c>
      <c r="AQ28" s="92">
        <f>IFERROR(AVERAGEIFS('Base Kpi'!$BD:$BD,'Base Kpi'!$AW:$AW,Cliente!$E28,'Base Kpi'!$BC:$BC,Cliente!AQ$5),0)</f>
        <v>1.665</v>
      </c>
      <c r="AR28" s="92">
        <f>IFERROR(AVERAGEIFS('Base Kpi'!$BD:$BD,'Base Kpi'!$AW:$AW,Cliente!$E28,'Base Kpi'!$BC:$BC,Cliente!AR$5),0)</f>
        <v>12</v>
      </c>
      <c r="AS28" s="92">
        <f>IFERROR(AVERAGEIFS('Base Kpi'!$BD:$BD,'Base Kpi'!$AW:$AW,Cliente!$E28,'Base Kpi'!$BC:$BC,Cliente!AS$5),0)</f>
        <v>22.6</v>
      </c>
      <c r="AT28" s="92">
        <f>IFERROR(AVERAGEIFS('Base Kpi'!$BD:$BD,'Base Kpi'!$AW:$AW,Cliente!$E28,'Base Kpi'!$BC:$BC,Cliente!AT$5),0)</f>
        <v>0</v>
      </c>
      <c r="AU28" s="94">
        <f t="shared" si="14"/>
        <v>57.690000000000005</v>
      </c>
      <c r="AV28" s="95">
        <f t="shared" si="15"/>
        <v>0</v>
      </c>
      <c r="AW28" s="60">
        <f>IFERROR(AVERAGEIFS('Base Kpi'!$BP:$BP,'Base Kpi'!$BI:$BI,Cliente!$E28,'Base Kpi'!$BO:$BO,Cliente!AW$5),0)</f>
        <v>25</v>
      </c>
      <c r="AX28" s="92">
        <f>IFERROR(AVERAGEIFS('Base Kpi'!$BP:$BP,'Base Kpi'!$BI:$BI,Cliente!$E28,'Base Kpi'!$BO:$BO,Cliente!AX$5),0)</f>
        <v>1.665</v>
      </c>
      <c r="AY28" s="92">
        <f>IFERROR(AVERAGEIFS('Base Kpi'!$BP:$BP,'Base Kpi'!$BI:$BI,Cliente!$E28,'Base Kpi'!$BO:$BO,Cliente!AY$5),0)</f>
        <v>12</v>
      </c>
      <c r="AZ28" s="92">
        <f>IFERROR(AVERAGEIFS('Base Kpi'!$BP:$BP,'Base Kpi'!$BI:$BI,Cliente!$E28,'Base Kpi'!$BO:$BO,Cliente!AZ$5),0)</f>
        <v>26.08</v>
      </c>
      <c r="BA28" s="92">
        <f>IFERROR(AVERAGEIFS('Base Kpi'!$BP:$BP,'Base Kpi'!$BI:$BI,Cliente!$E28,'Base Kpi'!$BO:$BO,Cliente!BA$5),0)</f>
        <v>0</v>
      </c>
      <c r="BB28" s="94">
        <f t="shared" si="16"/>
        <v>64.745000000000005</v>
      </c>
      <c r="BC28" s="95">
        <f t="shared" si="17"/>
        <v>0</v>
      </c>
      <c r="BD28" s="60">
        <f t="shared" si="42"/>
        <v>79.266666666666666</v>
      </c>
      <c r="BE28" s="97">
        <f t="shared" si="18"/>
        <v>0</v>
      </c>
      <c r="BF28" s="88">
        <f t="shared" si="43"/>
        <v>0</v>
      </c>
      <c r="BG28" s="60">
        <f>IFERROR(AVERAGEIFS('Base Kpi'!$CB:$CB,'Base Kpi'!$BU:$BU,Cliente!$E28,'Base Kpi'!$CA:$CA,Cliente!BG$5),0)</f>
        <v>25</v>
      </c>
      <c r="BH28" s="92">
        <f>IFERROR(AVERAGEIFS('Base Kpi'!$CB:$CB,'Base Kpi'!$BU:$BU,Cliente!$E28,'Base Kpi'!$CA:$CA,Cliente!BH$5),0)</f>
        <v>5</v>
      </c>
      <c r="BI28" s="92">
        <f>IFERROR(AVERAGEIFS('Base Kpi'!$CB:$CB,'Base Kpi'!$BU:$BU,Cliente!$E28,'Base Kpi'!$CA:$CA,Cliente!BI$5),0)</f>
        <v>12</v>
      </c>
      <c r="BJ28" s="92">
        <f>IFERROR(AVERAGEIFS('Base Kpi'!$CB:$CB,'Base Kpi'!$BU:$BU,Cliente!$E28,'Base Kpi'!$CA:$CA,Cliente!BJ$5),0)</f>
        <v>23.2</v>
      </c>
      <c r="BK28" s="92">
        <f>IFERROR(AVERAGEIFS('Base Kpi'!$CB:$CB,'Base Kpi'!$BU:$BU,Cliente!$E28,'Base Kpi'!$CA:$CA,Cliente!BK$5),0)</f>
        <v>0</v>
      </c>
      <c r="BL28" s="94">
        <f t="shared" si="19"/>
        <v>65.2</v>
      </c>
      <c r="BM28" s="95">
        <f t="shared" si="20"/>
        <v>0</v>
      </c>
      <c r="BN28" s="60">
        <f>IFERROR(AVERAGEIFS('Base Kpi'!$CN:$CN,'Base Kpi'!$CG:$CG,Cliente!$E28,'Base Kpi'!$CM:$CM,Cliente!BN$5),0)</f>
        <v>25</v>
      </c>
      <c r="BO28" s="92">
        <f>IFERROR(AVERAGEIFS('Base Kpi'!$CN:$CN,'Base Kpi'!$CG:$CG,Cliente!$E28,'Base Kpi'!$CM:$CM,Cliente!BO$5),0)</f>
        <v>5</v>
      </c>
      <c r="BP28" s="92">
        <f>IFERROR(AVERAGEIFS('Base Kpi'!$CN:$CN,'Base Kpi'!$CG:$CG,Cliente!$E28,'Base Kpi'!$CM:$CM,Cliente!BP$5),0)</f>
        <v>12</v>
      </c>
      <c r="BQ28" s="92">
        <f>IFERROR(AVERAGEIFS('Base Kpi'!$CN:$CN,'Base Kpi'!$CG:$CG,Cliente!$E28,'Base Kpi'!$CM:$CM,Cliente!BQ$5),0)</f>
        <v>32.799999999999997</v>
      </c>
      <c r="BR28" s="92">
        <f>IFERROR(AVERAGEIFS('Base Kpi'!$CN:$CN,'Base Kpi'!$CG:$CG,Cliente!$E28,'Base Kpi'!$CM:$CM,Cliente!BR$5),0)</f>
        <v>18</v>
      </c>
      <c r="BS28" s="94">
        <f t="shared" si="21"/>
        <v>92.8</v>
      </c>
      <c r="BT28" s="95">
        <f t="shared" si="22"/>
        <v>1</v>
      </c>
      <c r="BU28" s="60">
        <f>IFERROR(AVERAGEIFS('Base Kpi'!$CZ:$CZ,'Base Kpi'!$CS:$CS,Cliente!$E28,'Base Kpi'!$CY:$CY,Cliente!BU$5),0)</f>
        <v>25</v>
      </c>
      <c r="BV28" s="92">
        <f>IFERROR(AVERAGEIFS('Base Kpi'!$CZ:$CZ,'Base Kpi'!$CS:$CS,Cliente!$E28,'Base Kpi'!$CY:$CY,Cliente!BV$5),0)</f>
        <v>5</v>
      </c>
      <c r="BW28" s="92">
        <f>IFERROR(AVERAGEIFS('Base Kpi'!$CZ:$CZ,'Base Kpi'!$CS:$CS,Cliente!$E28,'Base Kpi'!$CY:$CY,Cliente!BW$5),0)</f>
        <v>12</v>
      </c>
      <c r="BX28" s="92">
        <f>IFERROR(AVERAGEIFS('Base Kpi'!$CZ:$CZ,'Base Kpi'!$CS:$CS,Cliente!$E28,'Base Kpi'!$CY:$CY,Cliente!BX$5),0)</f>
        <v>28.8</v>
      </c>
      <c r="BY28" s="92">
        <f>IFERROR(AVERAGEIFS('Base Kpi'!$CZ:$CZ,'Base Kpi'!$CS:$CS,Cliente!$E28,'Base Kpi'!$CY:$CY,Cliente!BY$5),0)</f>
        <v>9</v>
      </c>
      <c r="BZ28" s="94">
        <f t="shared" si="23"/>
        <v>79.8</v>
      </c>
      <c r="CA28" s="95">
        <f t="shared" si="24"/>
        <v>0</v>
      </c>
      <c r="CB28" s="60">
        <f t="shared" si="44"/>
        <v>85.745000000000005</v>
      </c>
      <c r="CC28" s="97">
        <f t="shared" si="45"/>
        <v>1</v>
      </c>
      <c r="CD28" s="43">
        <f t="shared" si="46"/>
        <v>1</v>
      </c>
      <c r="CE28" s="60" cm="1">
        <f t="array" ref="CE28">IFERROR(LARGE(_xlfn._xlws.FILTER('Base Kpi'!$DL:$DL,('Base Kpi'!$DK:$DK=$CE$5)*('Base Kpi'!$DE:$DE=Cliente!$E28)),1),0)</f>
        <v>28</v>
      </c>
      <c r="CF28" s="60" cm="1">
        <f t="array" ref="CF28">IFERROR(LARGE(_xlfn._xlws.FILTER('Base Kpi'!$DL:$DL,('Base Kpi'!$DK:$DK=$CF$5)*('Base Kpi'!$DE:$DE=Cliente!$E28)),1),0)</f>
        <v>5</v>
      </c>
      <c r="CG28" s="60" cm="1">
        <f t="array" ref="CG28">IFERROR(LARGE(_xlfn._xlws.FILTER('Base Kpi'!$DL:$DL,('Base Kpi'!$DK:$DK=$CG$5)*('Base Kpi'!$DE:$DE=Cliente!$E28)),1),0)</f>
        <v>3.335</v>
      </c>
      <c r="CH28" s="60" cm="1">
        <f t="array" ref="CH28">IFERROR(LARGE(_xlfn._xlws.FILTER('Base Kpi'!$DL:$DL,('Base Kpi'!$DK:$DK=$CH$5)*('Base Kpi'!$DE:$DE=Cliente!$E28)),1),0)</f>
        <v>18</v>
      </c>
      <c r="CI28" s="60" cm="1">
        <f t="array" ref="CI28">IFERROR(LARGE(_xlfn._xlws.FILTER('Base Kpi'!$DL:$DL,('Base Kpi'!$DK:$DK=$CI$5)*('Base Kpi'!$DE:$DE=Cliente!$E28)),1),0)</f>
        <v>17.850000000000001</v>
      </c>
      <c r="CJ28" s="60" cm="1">
        <f t="array" ref="CJ28">IFERROR(LARGE(_xlfn._xlws.FILTER('Base Kpi'!$DL:$DL,('Base Kpi'!$DK:$DK=$CJ$5)*('Base Kpi'!$DE:$DE=Cliente!$E28)),1),0)</f>
        <v>12</v>
      </c>
      <c r="CK28" s="60" cm="1">
        <f t="array" ref="CK28">IFERROR(LARGE(_xlfn._xlws.FILTER('Base Kpi'!$DL:$DL,('Base Kpi'!$DK:$DK=$CK$5)*('Base Kpi'!$DE:$DE=Cliente!$E28)),1),0)</f>
        <v>0</v>
      </c>
      <c r="CL28" s="94">
        <f t="shared" si="28"/>
        <v>84.185000000000002</v>
      </c>
      <c r="CM28" s="95">
        <f t="shared" si="47"/>
        <v>1</v>
      </c>
      <c r="CN28" s="60">
        <f>IFERROR(AVERAGEIFS('Base Kpi'!$DX:$DX,'Base Kpi'!$DQ:$DQ,Cliente!$E28,'Base Kpi'!$DW:$DW,Cliente!CN$5),0)</f>
        <v>31.2</v>
      </c>
      <c r="CO28" s="92">
        <f>IFERROR(AVERAGEIFS('Base Kpi'!$DX:$DX,'Base Kpi'!$DQ:$DQ,Cliente!$E28,'Base Kpi'!$DW:$DW,Cliente!CO$5),0)</f>
        <v>5</v>
      </c>
      <c r="CP28" s="92">
        <f>IFERROR(AVERAGEIFS('Base Kpi'!$DX:$DX,'Base Kpi'!$DQ:$DQ,Cliente!$E28,'Base Kpi'!$DW:$DW,Cliente!CP$5),0)</f>
        <v>5</v>
      </c>
      <c r="CQ28" s="92">
        <f>IFERROR(AVERAGEIFS('Base Kpi'!$DX:$DX,'Base Kpi'!$DQ:$DQ,Cliente!$E28,'Base Kpi'!$DW:$DW,Cliente!CQ$5),0)</f>
        <v>18</v>
      </c>
      <c r="CR28" s="92">
        <f>IFERROR(AVERAGEIFS('Base Kpi'!$DX:$DX,'Base Kpi'!$DQ:$DQ,Cliente!$E28,'Base Kpi'!$DW:$DW,Cliente!CR$5),0)</f>
        <v>21.425000000000001</v>
      </c>
      <c r="CS28" s="92">
        <f>IFERROR(AVERAGEIFS('Base Kpi'!$DX:$DX,'Base Kpi'!$DQ:$DQ,Cliente!$E28,'Base Kpi'!$DW:$DW,Cliente!CS$5),0)</f>
        <v>12</v>
      </c>
      <c r="CT28" s="92">
        <f>IFERROR(AVERAGEIFS('Base Kpi'!$DX:$DX,'Base Kpi'!$DQ:$DQ,Cliente!$E28,'Base Kpi'!$DW:$DW,Cliente!CT$5),0)</f>
        <v>0</v>
      </c>
      <c r="CU28" s="94">
        <f t="shared" si="48"/>
        <v>92.625</v>
      </c>
      <c r="CV28" s="95">
        <f t="shared" si="49"/>
        <v>1</v>
      </c>
      <c r="CW28" s="60">
        <f>IFERROR(AVERAGEIFS('Base Kpi'!$EJ:$EJ,'Base Kpi'!$EC:$EC,Cliente!$E28,'Base Kpi'!$EI:$EI,Cliente!CW$5),0)</f>
        <v>28</v>
      </c>
      <c r="CX28" s="92">
        <f>IFERROR(AVERAGEIFS('Base Kpi'!$EJ:$EJ,'Base Kpi'!$EC:$EC,Cliente!$E28,'Base Kpi'!$EI:$EI,Cliente!CX$5),0)</f>
        <v>5</v>
      </c>
      <c r="CY28" s="92">
        <f>IFERROR(AVERAGEIFS('Base Kpi'!$EJ:$EJ,'Base Kpi'!$EC:$EC,Cliente!$E28,'Base Kpi'!$EI:$EI,Cliente!CY$5),0)</f>
        <v>5</v>
      </c>
      <c r="CZ28" s="92">
        <f>IFERROR(AVERAGEIFS('Base Kpi'!$EJ:$EJ,'Base Kpi'!$EC:$EC,Cliente!$E28,'Base Kpi'!$EI:$EI,Cliente!CZ$5),0)</f>
        <v>9</v>
      </c>
      <c r="DA28" s="92">
        <f>IFERROR(AVERAGEIFS('Base Kpi'!$EJ:$EJ,'Base Kpi'!$EC:$EC,Cliente!$E28,'Base Kpi'!$EI:$EI,Cliente!DA$5),0)</f>
        <v>21.425000000000001</v>
      </c>
      <c r="DB28" s="92">
        <f>IFERROR(AVERAGEIFS('Base Kpi'!$EJ:$EJ,'Base Kpi'!$EC:$EC,Cliente!$E28,'Base Kpi'!$EI:$EI,Cliente!DB$5),0)</f>
        <v>12</v>
      </c>
      <c r="DC28" s="92">
        <f>IFERROR(AVERAGEIFS('Base Kpi'!$EJ:$EJ,'Base Kpi'!$EC:$EC,Cliente!$E28,'Base Kpi'!$EI:$EI,Cliente!DC$5),0)</f>
        <v>0</v>
      </c>
      <c r="DD28" s="94">
        <f t="shared" si="50"/>
        <v>80.424999999999997</v>
      </c>
      <c r="DE28" s="95">
        <f t="shared" si="51"/>
        <v>1</v>
      </c>
      <c r="DF28" s="120"/>
    </row>
    <row r="29" spans="2:110" x14ac:dyDescent="0.35">
      <c r="B29" s="52" t="s">
        <v>427</v>
      </c>
      <c r="C29" s="21">
        <v>3956</v>
      </c>
      <c r="D29" s="21" t="s">
        <v>431</v>
      </c>
      <c r="E29" s="21">
        <v>53581</v>
      </c>
      <c r="F29" s="16" t="s">
        <v>46</v>
      </c>
      <c r="G29" s="16" t="s">
        <v>258</v>
      </c>
      <c r="H29" s="16" t="s">
        <v>259</v>
      </c>
      <c r="I29" s="16" t="s">
        <v>176</v>
      </c>
      <c r="J29" s="16" t="s">
        <v>88</v>
      </c>
      <c r="K29" s="34" t="s">
        <v>47</v>
      </c>
      <c r="L29" s="60">
        <f t="shared" si="33"/>
        <v>86.975000000000009</v>
      </c>
      <c r="M29" s="97">
        <f t="shared" si="34"/>
        <v>1</v>
      </c>
      <c r="N29" s="43">
        <f t="shared" si="2"/>
        <v>1</v>
      </c>
      <c r="O29" s="60">
        <f>IFERROR(AVERAGEIFS('Base Kpi'!$I:$I,'Base Kpi'!$B:$B,Cliente!$E29,'Base Kpi'!$G:$G,Cliente!O$5),0)</f>
        <v>30</v>
      </c>
      <c r="P29" s="92">
        <f>IFERROR(AVERAGEIFS('Base Kpi'!$I:$I,'Base Kpi'!$B:$B,Cliente!$E29,'Base Kpi'!$G:$G,Cliente!P$5),0)</f>
        <v>0</v>
      </c>
      <c r="Q29" s="92">
        <f>IFERROR(AVERAGEIFS('Base Kpi'!$I:$I,'Base Kpi'!$B:$B,Cliente!$E29,'Base Kpi'!$G:$G,Cliente!Q$5),0)</f>
        <v>6.8</v>
      </c>
      <c r="R29" s="92">
        <f>IFERROR(AVERAGEIFS('Base Kpi'!$I:$I,'Base Kpi'!$B:$B,Cliente!$E29,'Base Kpi'!$G:$G,Cliente!R$5),0)</f>
        <v>41.625</v>
      </c>
      <c r="S29" s="94">
        <f t="shared" si="35"/>
        <v>78.424999999999997</v>
      </c>
      <c r="T29" s="95">
        <f t="shared" si="36"/>
        <v>0</v>
      </c>
      <c r="U29" s="60">
        <f>IFERROR(AVERAGEIFS('Base Kpi'!$T:$T,'Base Kpi'!$M:$M,Cliente!$E29,'Base Kpi'!$S:$S,Cliente!U$5),0)</f>
        <v>30</v>
      </c>
      <c r="V29" s="92">
        <f>IFERROR(AVERAGEIFS('Base Kpi'!$T:$T,'Base Kpi'!$M:$M,Cliente!$E29,'Base Kpi'!$S:$S,Cliente!V$5),0)</f>
        <v>8</v>
      </c>
      <c r="W29" s="92">
        <f>IFERROR(AVERAGEIFS('Base Kpi'!$T:$T,'Base Kpi'!$M:$M,Cliente!$E29,'Base Kpi'!$S:$S,Cliente!W$5),0)</f>
        <v>12.75</v>
      </c>
      <c r="X29" s="92">
        <f>IFERROR(AVERAGEIFS('Base Kpi'!$T:$T,'Base Kpi'!$M:$M,Cliente!$E29,'Base Kpi'!$S:$S,Cliente!X$5),0)</f>
        <v>42.75</v>
      </c>
      <c r="Y29" s="94">
        <f t="shared" si="37"/>
        <v>93.5</v>
      </c>
      <c r="Z29" s="95">
        <f t="shared" si="38"/>
        <v>1</v>
      </c>
      <c r="AA29" s="60">
        <f>IFERROR(AVERAGEIFS('Base Kpi'!$AF:$AF,'Base Kpi'!$Y:$Y,Cliente!$E29,'Base Kpi'!$AE:$AE,Cliente!AA$5),0)</f>
        <v>30</v>
      </c>
      <c r="AB29" s="92">
        <f>IFERROR(AVERAGEIFS('Base Kpi'!$AF:$AF,'Base Kpi'!$Y:$Y,Cliente!$E29,'Base Kpi'!$AE:$AE,Cliente!AB$5),0)</f>
        <v>8</v>
      </c>
      <c r="AC29" s="92">
        <f>IFERROR(AVERAGEIFS('Base Kpi'!$AF:$AF,'Base Kpi'!$Y:$Y,Cliente!$E29,'Base Kpi'!$AE:$AE,Cliente!AC$5),0)</f>
        <v>12.75</v>
      </c>
      <c r="AD29" s="92">
        <f>IFERROR(AVERAGEIFS('Base Kpi'!$AF:$AF,'Base Kpi'!$Y:$Y,Cliente!$E29,'Base Kpi'!$AE:$AE,Cliente!AD$5),0)</f>
        <v>38.25</v>
      </c>
      <c r="AE29" s="94">
        <f t="shared" si="39"/>
        <v>89</v>
      </c>
      <c r="AF29" s="95">
        <f t="shared" si="40"/>
        <v>1</v>
      </c>
      <c r="AG29" s="60">
        <f t="shared" si="9"/>
        <v>79.256666666666661</v>
      </c>
      <c r="AH29" s="97">
        <f t="shared" si="10"/>
        <v>1</v>
      </c>
      <c r="AI29" s="88">
        <f t="shared" si="41"/>
        <v>1</v>
      </c>
      <c r="AJ29" s="92">
        <f>IFERROR(AVERAGEIFS('Base Kpi'!$AR:$AR,'Base Kpi'!$AK:$AK,Cliente!$E29,'Base Kpi'!$AQ:$AQ,AJ$5),0)</f>
        <v>25</v>
      </c>
      <c r="AK29" s="92">
        <f>IFERROR(AVERAGEIFS('Base Kpi'!$AR:$AR,'Base Kpi'!$AK:$AK,Cliente!$E29,'Base Kpi'!$AQ:$AQ,AK$5),0)</f>
        <v>2.5</v>
      </c>
      <c r="AL29" s="92">
        <f>IFERROR(AVERAGEIFS('Base Kpi'!$AR:$AR,'Base Kpi'!$AK:$AK,Cliente!$E29,'Base Kpi'!$AQ:$AQ,AL$5),0)</f>
        <v>12</v>
      </c>
      <c r="AM29" s="92">
        <f>IFERROR(AVERAGEIFS('Base Kpi'!$AR:$AR,'Base Kpi'!$AK:$AK,Cliente!$E29,'Base Kpi'!$AQ:$AQ,AM$5),0)</f>
        <v>33.04</v>
      </c>
      <c r="AN29" s="94">
        <f t="shared" si="12"/>
        <v>72.539999999999992</v>
      </c>
      <c r="AO29" s="95">
        <f t="shared" si="13"/>
        <v>0</v>
      </c>
      <c r="AP29" s="60">
        <f>IFERROR(AVERAGEIFS('Base Kpi'!$BD:$BD,'Base Kpi'!$AW:$AW,Cliente!$E29,'Base Kpi'!$BC:$BC,Cliente!AP$5),0)</f>
        <v>25</v>
      </c>
      <c r="AQ29" s="92">
        <f>IFERROR(AVERAGEIFS('Base Kpi'!$BD:$BD,'Base Kpi'!$AW:$AW,Cliente!$E29,'Base Kpi'!$BC:$BC,Cliente!AQ$5),0)</f>
        <v>3.335</v>
      </c>
      <c r="AR29" s="92">
        <f>IFERROR(AVERAGEIFS('Base Kpi'!$BD:$BD,'Base Kpi'!$AW:$AW,Cliente!$E29,'Base Kpi'!$BC:$BC,Cliente!AR$5),0)</f>
        <v>12</v>
      </c>
      <c r="AS29" s="92">
        <f>IFERROR(AVERAGEIFS('Base Kpi'!$BD:$BD,'Base Kpi'!$AW:$AW,Cliente!$E29,'Base Kpi'!$BC:$BC,Cliente!AS$5),0)</f>
        <v>35.64</v>
      </c>
      <c r="AT29" s="92">
        <f>IFERROR(AVERAGEIFS('Base Kpi'!$BD:$BD,'Base Kpi'!$AW:$AW,Cliente!$E29,'Base Kpi'!$BC:$BC,Cliente!AT$5),0)</f>
        <v>0</v>
      </c>
      <c r="AU29" s="94">
        <f t="shared" si="14"/>
        <v>75.974999999999994</v>
      </c>
      <c r="AV29" s="95">
        <f t="shared" si="15"/>
        <v>0</v>
      </c>
      <c r="AW29" s="60">
        <f>IFERROR(AVERAGEIFS('Base Kpi'!$BP:$BP,'Base Kpi'!$BI:$BI,Cliente!$E29,'Base Kpi'!$BO:$BO,Cliente!AW$5),0)</f>
        <v>25</v>
      </c>
      <c r="AX29" s="92">
        <f>IFERROR(AVERAGEIFS('Base Kpi'!$BP:$BP,'Base Kpi'!$BI:$BI,Cliente!$E29,'Base Kpi'!$BO:$BO,Cliente!AX$5),0)</f>
        <v>3.335</v>
      </c>
      <c r="AY29" s="92">
        <f>IFERROR(AVERAGEIFS('Base Kpi'!$BP:$BP,'Base Kpi'!$BI:$BI,Cliente!$E29,'Base Kpi'!$BO:$BO,Cliente!AY$5),0)</f>
        <v>9</v>
      </c>
      <c r="AZ29" s="92">
        <f>IFERROR(AVERAGEIFS('Base Kpi'!$BP:$BP,'Base Kpi'!$BI:$BI,Cliente!$E29,'Base Kpi'!$BO:$BO,Cliente!AZ$5),0)</f>
        <v>33.92</v>
      </c>
      <c r="BA29" s="92">
        <f>IFERROR(AVERAGEIFS('Base Kpi'!$BP:$BP,'Base Kpi'!$BI:$BI,Cliente!$E29,'Base Kpi'!$BO:$BO,Cliente!BA$5),0)</f>
        <v>18</v>
      </c>
      <c r="BB29" s="94">
        <f t="shared" si="16"/>
        <v>89.254999999999995</v>
      </c>
      <c r="BC29" s="95">
        <f t="shared" si="17"/>
        <v>1</v>
      </c>
      <c r="BD29" s="60">
        <f t="shared" si="42"/>
        <v>84.866666666666674</v>
      </c>
      <c r="BE29" s="97">
        <f t="shared" si="18"/>
        <v>1</v>
      </c>
      <c r="BF29" s="88">
        <f t="shared" si="43"/>
        <v>1</v>
      </c>
      <c r="BG29" s="60">
        <f>IFERROR(AVERAGEIFS('Base Kpi'!$CB:$CB,'Base Kpi'!$BU:$BU,Cliente!$E29,'Base Kpi'!$CA:$CA,Cliente!BG$5),0)</f>
        <v>25</v>
      </c>
      <c r="BH29" s="92">
        <f>IFERROR(AVERAGEIFS('Base Kpi'!$CB:$CB,'Base Kpi'!$BU:$BU,Cliente!$E29,'Base Kpi'!$CA:$CA,Cliente!BH$5),0)</f>
        <v>5</v>
      </c>
      <c r="BI29" s="92">
        <f>IFERROR(AVERAGEIFS('Base Kpi'!$CB:$CB,'Base Kpi'!$BU:$BU,Cliente!$E29,'Base Kpi'!$CA:$CA,Cliente!BI$5),0)</f>
        <v>6</v>
      </c>
      <c r="BJ29" s="92">
        <f>IFERROR(AVERAGEIFS('Base Kpi'!$CB:$CB,'Base Kpi'!$BU:$BU,Cliente!$E29,'Base Kpi'!$CA:$CA,Cliente!BJ$5),0)</f>
        <v>33.6</v>
      </c>
      <c r="BK29" s="92">
        <f>IFERROR(AVERAGEIFS('Base Kpi'!$CB:$CB,'Base Kpi'!$BU:$BU,Cliente!$E29,'Base Kpi'!$CA:$CA,Cliente!BK$5),0)</f>
        <v>9</v>
      </c>
      <c r="BL29" s="94">
        <f t="shared" si="19"/>
        <v>78.599999999999994</v>
      </c>
      <c r="BM29" s="95">
        <f t="shared" si="20"/>
        <v>0</v>
      </c>
      <c r="BN29" s="60">
        <f>IFERROR(AVERAGEIFS('Base Kpi'!$CN:$CN,'Base Kpi'!$CG:$CG,Cliente!$E29,'Base Kpi'!$CM:$CM,Cliente!BN$5),0)</f>
        <v>25</v>
      </c>
      <c r="BO29" s="92">
        <f>IFERROR(AVERAGEIFS('Base Kpi'!$CN:$CN,'Base Kpi'!$CG:$CG,Cliente!$E29,'Base Kpi'!$CM:$CM,Cliente!BO$5),0)</f>
        <v>5</v>
      </c>
      <c r="BP29" s="92">
        <f>IFERROR(AVERAGEIFS('Base Kpi'!$CN:$CN,'Base Kpi'!$CG:$CG,Cliente!$E29,'Base Kpi'!$CM:$CM,Cliente!BP$5),0)</f>
        <v>9</v>
      </c>
      <c r="BQ29" s="92">
        <f>IFERROR(AVERAGEIFS('Base Kpi'!$CN:$CN,'Base Kpi'!$CG:$CG,Cliente!$E29,'Base Kpi'!$CM:$CM,Cliente!BQ$5),0)</f>
        <v>35.200000000000003</v>
      </c>
      <c r="BR29" s="92">
        <f>IFERROR(AVERAGEIFS('Base Kpi'!$CN:$CN,'Base Kpi'!$CG:$CG,Cliente!$E29,'Base Kpi'!$CM:$CM,Cliente!BR$5),0)</f>
        <v>18</v>
      </c>
      <c r="BS29" s="94">
        <f t="shared" si="21"/>
        <v>92.2</v>
      </c>
      <c r="BT29" s="95">
        <f t="shared" si="22"/>
        <v>1</v>
      </c>
      <c r="BU29" s="60">
        <f>IFERROR(AVERAGEIFS('Base Kpi'!$CZ:$CZ,'Base Kpi'!$CS:$CS,Cliente!$E29,'Base Kpi'!$CY:$CY,Cliente!BU$5),0)</f>
        <v>25</v>
      </c>
      <c r="BV29" s="92">
        <f>IFERROR(AVERAGEIFS('Base Kpi'!$CZ:$CZ,'Base Kpi'!$CS:$CS,Cliente!$E29,'Base Kpi'!$CY:$CY,Cliente!BV$5),0)</f>
        <v>5</v>
      </c>
      <c r="BW29" s="92">
        <f>IFERROR(AVERAGEIFS('Base Kpi'!$CZ:$CZ,'Base Kpi'!$CS:$CS,Cliente!$E29,'Base Kpi'!$CY:$CY,Cliente!BW$5),0)</f>
        <v>12</v>
      </c>
      <c r="BX29" s="92">
        <f>IFERROR(AVERAGEIFS('Base Kpi'!$CZ:$CZ,'Base Kpi'!$CS:$CS,Cliente!$E29,'Base Kpi'!$CY:$CY,Cliente!BX$5),0)</f>
        <v>32.799999999999997</v>
      </c>
      <c r="BY29" s="92">
        <f>IFERROR(AVERAGEIFS('Base Kpi'!$CZ:$CZ,'Base Kpi'!$CS:$CS,Cliente!$E29,'Base Kpi'!$CY:$CY,Cliente!BY$5),0)</f>
        <v>9</v>
      </c>
      <c r="BZ29" s="94">
        <f t="shared" si="23"/>
        <v>83.8</v>
      </c>
      <c r="CA29" s="95">
        <f t="shared" si="24"/>
        <v>1</v>
      </c>
      <c r="CB29" s="60">
        <f t="shared" si="44"/>
        <v>96.266666666666666</v>
      </c>
      <c r="CC29" s="97">
        <f t="shared" si="45"/>
        <v>1</v>
      </c>
      <c r="CD29" s="43">
        <f t="shared" si="46"/>
        <v>1</v>
      </c>
      <c r="CE29" s="60" cm="1">
        <f t="array" ref="CE29">IFERROR(LARGE(_xlfn._xlws.FILTER('Base Kpi'!$DL:$DL,('Base Kpi'!$DK:$DK=$CE$5)*('Base Kpi'!$DE:$DE=Cliente!$E29)),1),0)</f>
        <v>32.799999999999997</v>
      </c>
      <c r="CF29" s="60" cm="1">
        <f t="array" ref="CF29">IFERROR(LARGE(_xlfn._xlws.FILTER('Base Kpi'!$DL:$DL,('Base Kpi'!$DK:$DK=$CF$5)*('Base Kpi'!$DE:$DE=Cliente!$E29)),1),0)</f>
        <v>5</v>
      </c>
      <c r="CG29" s="60" cm="1">
        <f t="array" ref="CG29">IFERROR(LARGE(_xlfn._xlws.FILTER('Base Kpi'!$DL:$DL,('Base Kpi'!$DK:$DK=$CG$5)*('Base Kpi'!$DE:$DE=Cliente!$E29)),1),0)</f>
        <v>5</v>
      </c>
      <c r="CH29" s="60" cm="1">
        <f t="array" ref="CH29">IFERROR(LARGE(_xlfn._xlws.FILTER('Base Kpi'!$DL:$DL,('Base Kpi'!$DK:$DK=$CH$5)*('Base Kpi'!$DE:$DE=Cliente!$E29)),1),0)</f>
        <v>9</v>
      </c>
      <c r="CI29" s="60" cm="1">
        <f t="array" ref="CI29">IFERROR(LARGE(_xlfn._xlws.FILTER('Base Kpi'!$DL:$DL,('Base Kpi'!$DK:$DK=$CI$5)*('Base Kpi'!$DE:$DE=Cliente!$E29)),1),0)</f>
        <v>25</v>
      </c>
      <c r="CJ29" s="60" cm="1">
        <f t="array" ref="CJ29">IFERROR(LARGE(_xlfn._xlws.FILTER('Base Kpi'!$DL:$DL,('Base Kpi'!$DK:$DK=$CJ$5)*('Base Kpi'!$DE:$DE=Cliente!$E29)),1),0)</f>
        <v>12</v>
      </c>
      <c r="CK29" s="60" cm="1">
        <f t="array" ref="CK29">IFERROR(LARGE(_xlfn._xlws.FILTER('Base Kpi'!$DL:$DL,('Base Kpi'!$DK:$DK=$CK$5)*('Base Kpi'!$DE:$DE=Cliente!$E29)),1),0)</f>
        <v>0</v>
      </c>
      <c r="CL29" s="94">
        <f t="shared" si="28"/>
        <v>88.8</v>
      </c>
      <c r="CM29" s="95">
        <f t="shared" si="47"/>
        <v>1</v>
      </c>
      <c r="CN29" s="60">
        <f>IFERROR(AVERAGEIFS('Base Kpi'!$DX:$DX,'Base Kpi'!$DQ:$DQ,Cliente!$E29,'Base Kpi'!$DW:$DW,Cliente!CN$5),0)</f>
        <v>36</v>
      </c>
      <c r="CO29" s="92">
        <f>IFERROR(AVERAGEIFS('Base Kpi'!$DX:$DX,'Base Kpi'!$DQ:$DQ,Cliente!$E29,'Base Kpi'!$DW:$DW,Cliente!CO$5),0)</f>
        <v>4</v>
      </c>
      <c r="CP29" s="92">
        <f>IFERROR(AVERAGEIFS('Base Kpi'!$DX:$DX,'Base Kpi'!$DQ:$DQ,Cliente!$E29,'Base Kpi'!$DW:$DW,Cliente!CP$5),0)</f>
        <v>5</v>
      </c>
      <c r="CQ29" s="92">
        <f>IFERROR(AVERAGEIFS('Base Kpi'!$DX:$DX,'Base Kpi'!$DQ:$DQ,Cliente!$E29,'Base Kpi'!$DW:$DW,Cliente!CQ$5),0)</f>
        <v>18</v>
      </c>
      <c r="CR29" s="92">
        <f>IFERROR(AVERAGEIFS('Base Kpi'!$DX:$DX,'Base Kpi'!$DQ:$DQ,Cliente!$E29,'Base Kpi'!$DW:$DW,Cliente!CR$5),0)</f>
        <v>25</v>
      </c>
      <c r="CS29" s="92">
        <f>IFERROR(AVERAGEIFS('Base Kpi'!$DX:$DX,'Base Kpi'!$DQ:$DQ,Cliente!$E29,'Base Kpi'!$DW:$DW,Cliente!CS$5),0)</f>
        <v>12</v>
      </c>
      <c r="CT29" s="92">
        <f>IFERROR(AVERAGEIFS('Base Kpi'!$DX:$DX,'Base Kpi'!$DQ:$DQ,Cliente!$E29,'Base Kpi'!$DW:$DW,Cliente!CT$5),0)</f>
        <v>0</v>
      </c>
      <c r="CU29" s="94">
        <f t="shared" si="48"/>
        <v>100</v>
      </c>
      <c r="CV29" s="95">
        <f t="shared" si="49"/>
        <v>1</v>
      </c>
      <c r="CW29" s="60">
        <f>IFERROR(AVERAGEIFS('Base Kpi'!$EJ:$EJ,'Base Kpi'!$EC:$EC,Cliente!$E29,'Base Kpi'!$EI:$EI,Cliente!CW$5),0)</f>
        <v>36.799999999999997</v>
      </c>
      <c r="CX29" s="92">
        <f>IFERROR(AVERAGEIFS('Base Kpi'!$EJ:$EJ,'Base Kpi'!$EC:$EC,Cliente!$E29,'Base Kpi'!$EI:$EI,Cliente!CX$5),0)</f>
        <v>3.2</v>
      </c>
      <c r="CY29" s="92">
        <f>IFERROR(AVERAGEIFS('Base Kpi'!$EJ:$EJ,'Base Kpi'!$EC:$EC,Cliente!$E29,'Base Kpi'!$EI:$EI,Cliente!CY$5),0)</f>
        <v>5</v>
      </c>
      <c r="CZ29" s="92">
        <f>IFERROR(AVERAGEIFS('Base Kpi'!$EJ:$EJ,'Base Kpi'!$EC:$EC,Cliente!$E29,'Base Kpi'!$EI:$EI,Cliente!CZ$5),0)</f>
        <v>18</v>
      </c>
      <c r="DA29" s="92">
        <f>IFERROR(AVERAGEIFS('Base Kpi'!$EJ:$EJ,'Base Kpi'!$EC:$EC,Cliente!$E29,'Base Kpi'!$EI:$EI,Cliente!DA$5),0)</f>
        <v>25</v>
      </c>
      <c r="DB29" s="92">
        <f>IFERROR(AVERAGEIFS('Base Kpi'!$EJ:$EJ,'Base Kpi'!$EC:$EC,Cliente!$E29,'Base Kpi'!$EI:$EI,Cliente!DB$5),0)</f>
        <v>12</v>
      </c>
      <c r="DC29" s="92">
        <f>IFERROR(AVERAGEIFS('Base Kpi'!$EJ:$EJ,'Base Kpi'!$EC:$EC,Cliente!$E29,'Base Kpi'!$EI:$EI,Cliente!DC$5),0)</f>
        <v>0</v>
      </c>
      <c r="DD29" s="94">
        <f t="shared" si="50"/>
        <v>100</v>
      </c>
      <c r="DE29" s="95">
        <f t="shared" si="51"/>
        <v>1</v>
      </c>
      <c r="DF29" s="120"/>
    </row>
    <row r="30" spans="2:110" x14ac:dyDescent="0.35">
      <c r="B30" s="52" t="s">
        <v>427</v>
      </c>
      <c r="C30" s="21">
        <v>3956</v>
      </c>
      <c r="D30" s="21" t="s">
        <v>431</v>
      </c>
      <c r="E30" s="21">
        <v>136856</v>
      </c>
      <c r="F30" s="16" t="s">
        <v>9</v>
      </c>
      <c r="G30" s="16" t="s">
        <v>258</v>
      </c>
      <c r="H30" s="16" t="s">
        <v>262</v>
      </c>
      <c r="I30" s="16" t="s">
        <v>176</v>
      </c>
      <c r="J30" s="16" t="s">
        <v>88</v>
      </c>
      <c r="K30" s="34" t="s">
        <v>47</v>
      </c>
      <c r="L30" s="60">
        <f t="shared" si="33"/>
        <v>54.286666666666669</v>
      </c>
      <c r="M30" s="97">
        <f t="shared" si="34"/>
        <v>0</v>
      </c>
      <c r="N30" s="43">
        <f t="shared" si="2"/>
        <v>0</v>
      </c>
      <c r="O30" s="60">
        <f>IFERROR(AVERAGEIFS('Base Kpi'!$I:$I,'Base Kpi'!$B:$B,Cliente!$E30,'Base Kpi'!$G:$G,Cliente!O$5),0)</f>
        <v>25.71</v>
      </c>
      <c r="P30" s="92">
        <f>IFERROR(AVERAGEIFS('Base Kpi'!$I:$I,'Base Kpi'!$B:$B,Cliente!$E30,'Base Kpi'!$G:$G,Cliente!P$5),0)</f>
        <v>0</v>
      </c>
      <c r="Q30" s="92">
        <f>IFERROR(AVERAGEIFS('Base Kpi'!$I:$I,'Base Kpi'!$B:$B,Cliente!$E30,'Base Kpi'!$G:$G,Cliente!Q$5),0)</f>
        <v>3.4</v>
      </c>
      <c r="R30" s="92">
        <f>IFERROR(AVERAGEIFS('Base Kpi'!$I:$I,'Base Kpi'!$B:$B,Cliente!$E30,'Base Kpi'!$G:$G,Cliente!R$5),0)</f>
        <v>39.375</v>
      </c>
      <c r="S30" s="94">
        <f t="shared" si="35"/>
        <v>68.484999999999999</v>
      </c>
      <c r="T30" s="95">
        <f t="shared" si="36"/>
        <v>0</v>
      </c>
      <c r="U30" s="60">
        <f>IFERROR(AVERAGEIFS('Base Kpi'!$T:$T,'Base Kpi'!$M:$M,Cliente!$E30,'Base Kpi'!$S:$S,Cliente!U$5),0)</f>
        <v>0</v>
      </c>
      <c r="V30" s="92">
        <f>IFERROR(AVERAGEIFS('Base Kpi'!$T:$T,'Base Kpi'!$M:$M,Cliente!$E30,'Base Kpi'!$S:$S,Cliente!V$5),0)</f>
        <v>0</v>
      </c>
      <c r="W30" s="92">
        <f>IFERROR(AVERAGEIFS('Base Kpi'!$T:$T,'Base Kpi'!$M:$M,Cliente!$E30,'Base Kpi'!$S:$S,Cliente!W$5),0)</f>
        <v>0</v>
      </c>
      <c r="X30" s="92">
        <f>IFERROR(AVERAGEIFS('Base Kpi'!$T:$T,'Base Kpi'!$M:$M,Cliente!$E30,'Base Kpi'!$S:$S,Cliente!X$5),0)</f>
        <v>0</v>
      </c>
      <c r="Y30" s="94">
        <f t="shared" si="37"/>
        <v>0</v>
      </c>
      <c r="Z30" s="95">
        <f t="shared" si="38"/>
        <v>0</v>
      </c>
      <c r="AA30" s="60">
        <f>IFERROR(AVERAGEIFS('Base Kpi'!$AF:$AF,'Base Kpi'!$Y:$Y,Cliente!$E30,'Base Kpi'!$AE:$AE,Cliente!AA$5),0)</f>
        <v>30</v>
      </c>
      <c r="AB30" s="92">
        <f>IFERROR(AVERAGEIFS('Base Kpi'!$AF:$AF,'Base Kpi'!$Y:$Y,Cliente!$E30,'Base Kpi'!$AE:$AE,Cliente!AB$5),0)</f>
        <v>8</v>
      </c>
      <c r="AC30" s="92">
        <f>IFERROR(AVERAGEIFS('Base Kpi'!$AF:$AF,'Base Kpi'!$Y:$Y,Cliente!$E30,'Base Kpi'!$AE:$AE,Cliente!AC$5),0)</f>
        <v>17</v>
      </c>
      <c r="AD30" s="92">
        <f>IFERROR(AVERAGEIFS('Base Kpi'!$AF:$AF,'Base Kpi'!$Y:$Y,Cliente!$E30,'Base Kpi'!$AE:$AE,Cliente!AD$5),0)</f>
        <v>39.375</v>
      </c>
      <c r="AE30" s="94">
        <f t="shared" si="39"/>
        <v>94.375</v>
      </c>
      <c r="AF30" s="95">
        <f t="shared" si="40"/>
        <v>1</v>
      </c>
      <c r="AG30" s="60">
        <f t="shared" si="9"/>
        <v>82.163333333333341</v>
      </c>
      <c r="AH30" s="97">
        <f t="shared" si="10"/>
        <v>1</v>
      </c>
      <c r="AI30" s="88">
        <f t="shared" si="41"/>
        <v>1</v>
      </c>
      <c r="AJ30" s="92">
        <f>IFERROR(AVERAGEIFS('Base Kpi'!$AR:$AR,'Base Kpi'!$AK:$AK,Cliente!$E30,'Base Kpi'!$AQ:$AQ,AJ$5),0)</f>
        <v>25</v>
      </c>
      <c r="AK30" s="92">
        <f>IFERROR(AVERAGEIFS('Base Kpi'!$AR:$AR,'Base Kpi'!$AK:$AK,Cliente!$E30,'Base Kpi'!$AQ:$AQ,AK$5),0)</f>
        <v>2.5</v>
      </c>
      <c r="AL30" s="92">
        <f>IFERROR(AVERAGEIFS('Base Kpi'!$AR:$AR,'Base Kpi'!$AK:$AK,Cliente!$E30,'Base Kpi'!$AQ:$AQ,AL$5),0)</f>
        <v>9</v>
      </c>
      <c r="AM30" s="92">
        <f>IFERROR(AVERAGEIFS('Base Kpi'!$AR:$AR,'Base Kpi'!$AK:$AK,Cliente!$E30,'Base Kpi'!$AQ:$AQ,AM$5),0)</f>
        <v>36.520000000000003</v>
      </c>
      <c r="AN30" s="94">
        <f t="shared" si="12"/>
        <v>73.02000000000001</v>
      </c>
      <c r="AO30" s="95">
        <f t="shared" si="13"/>
        <v>0</v>
      </c>
      <c r="AP30" s="60">
        <f>IFERROR(AVERAGEIFS('Base Kpi'!$BD:$BD,'Base Kpi'!$AW:$AW,Cliente!$E30,'Base Kpi'!$BC:$BC,Cliente!AP$5),0)</f>
        <v>25</v>
      </c>
      <c r="AQ30" s="92">
        <f>IFERROR(AVERAGEIFS('Base Kpi'!$BD:$BD,'Base Kpi'!$AW:$AW,Cliente!$E30,'Base Kpi'!$BC:$BC,Cliente!AQ$5),0)</f>
        <v>3.335</v>
      </c>
      <c r="AR30" s="92">
        <f>IFERROR(AVERAGEIFS('Base Kpi'!$BD:$BD,'Base Kpi'!$AW:$AW,Cliente!$E30,'Base Kpi'!$BC:$BC,Cliente!AR$5),0)</f>
        <v>12</v>
      </c>
      <c r="AS30" s="92">
        <f>IFERROR(AVERAGEIFS('Base Kpi'!$BD:$BD,'Base Kpi'!$AW:$AW,Cliente!$E30,'Base Kpi'!$BC:$BC,Cliente!AS$5),0)</f>
        <v>37.4</v>
      </c>
      <c r="AT30" s="92">
        <f>IFERROR(AVERAGEIFS('Base Kpi'!$BD:$BD,'Base Kpi'!$AW:$AW,Cliente!$E30,'Base Kpi'!$BC:$BC,Cliente!AT$5),0)</f>
        <v>0</v>
      </c>
      <c r="AU30" s="94">
        <f t="shared" si="14"/>
        <v>77.734999999999999</v>
      </c>
      <c r="AV30" s="95">
        <f t="shared" si="15"/>
        <v>0</v>
      </c>
      <c r="AW30" s="60">
        <f>IFERROR(AVERAGEIFS('Base Kpi'!$BP:$BP,'Base Kpi'!$BI:$BI,Cliente!$E30,'Base Kpi'!$BO:$BO,Cliente!AW$5),0)</f>
        <v>25</v>
      </c>
      <c r="AX30" s="92">
        <f>IFERROR(AVERAGEIFS('Base Kpi'!$BP:$BP,'Base Kpi'!$BI:$BI,Cliente!$E30,'Base Kpi'!$BO:$BO,Cliente!AX$5),0)</f>
        <v>3.335</v>
      </c>
      <c r="AY30" s="92">
        <f>IFERROR(AVERAGEIFS('Base Kpi'!$BP:$BP,'Base Kpi'!$BI:$BI,Cliente!$E30,'Base Kpi'!$BO:$BO,Cliente!AY$5),0)</f>
        <v>12</v>
      </c>
      <c r="AZ30" s="92">
        <f>IFERROR(AVERAGEIFS('Base Kpi'!$BP:$BP,'Base Kpi'!$BI:$BI,Cliente!$E30,'Base Kpi'!$BO:$BO,Cliente!AZ$5),0)</f>
        <v>37.4</v>
      </c>
      <c r="BA30" s="92">
        <f>IFERROR(AVERAGEIFS('Base Kpi'!$BP:$BP,'Base Kpi'!$BI:$BI,Cliente!$E30,'Base Kpi'!$BO:$BO,Cliente!BA$5),0)</f>
        <v>18</v>
      </c>
      <c r="BB30" s="94">
        <f t="shared" si="16"/>
        <v>95.734999999999999</v>
      </c>
      <c r="BC30" s="95">
        <f t="shared" si="17"/>
        <v>1</v>
      </c>
      <c r="BD30" s="60">
        <f t="shared" si="42"/>
        <v>88.666666666666671</v>
      </c>
      <c r="BE30" s="97">
        <f t="shared" si="18"/>
        <v>1</v>
      </c>
      <c r="BF30" s="88">
        <f t="shared" si="43"/>
        <v>1</v>
      </c>
      <c r="BG30" s="60">
        <f>IFERROR(AVERAGEIFS('Base Kpi'!$CB:$CB,'Base Kpi'!$BU:$BU,Cliente!$E30,'Base Kpi'!$CA:$CA,Cliente!BG$5),0)</f>
        <v>25</v>
      </c>
      <c r="BH30" s="92">
        <f>IFERROR(AVERAGEIFS('Base Kpi'!$CB:$CB,'Base Kpi'!$BU:$BU,Cliente!$E30,'Base Kpi'!$CA:$CA,Cliente!BH$5),0)</f>
        <v>5</v>
      </c>
      <c r="BI30" s="92">
        <f>IFERROR(AVERAGEIFS('Base Kpi'!$CB:$CB,'Base Kpi'!$BU:$BU,Cliente!$E30,'Base Kpi'!$CA:$CA,Cliente!BI$5),0)</f>
        <v>9</v>
      </c>
      <c r="BJ30" s="92">
        <f>IFERROR(AVERAGEIFS('Base Kpi'!$CB:$CB,'Base Kpi'!$BU:$BU,Cliente!$E30,'Base Kpi'!$CA:$CA,Cliente!BJ$5),0)</f>
        <v>32</v>
      </c>
      <c r="BK30" s="92">
        <f>IFERROR(AVERAGEIFS('Base Kpi'!$CB:$CB,'Base Kpi'!$BU:$BU,Cliente!$E30,'Base Kpi'!$CA:$CA,Cliente!BK$5),0)</f>
        <v>9</v>
      </c>
      <c r="BL30" s="94">
        <f t="shared" si="19"/>
        <v>80</v>
      </c>
      <c r="BM30" s="95">
        <f t="shared" si="20"/>
        <v>1</v>
      </c>
      <c r="BN30" s="60">
        <f>IFERROR(AVERAGEIFS('Base Kpi'!$CN:$CN,'Base Kpi'!$CG:$CG,Cliente!$E30,'Base Kpi'!$CM:$CM,Cliente!BN$5),0)</f>
        <v>25</v>
      </c>
      <c r="BO30" s="92">
        <f>IFERROR(AVERAGEIFS('Base Kpi'!$CN:$CN,'Base Kpi'!$CG:$CG,Cliente!$E30,'Base Kpi'!$CM:$CM,Cliente!BO$5),0)</f>
        <v>5</v>
      </c>
      <c r="BP30" s="92">
        <f>IFERROR(AVERAGEIFS('Base Kpi'!$CN:$CN,'Base Kpi'!$CG:$CG,Cliente!$E30,'Base Kpi'!$CM:$CM,Cliente!BP$5),0)</f>
        <v>9</v>
      </c>
      <c r="BQ30" s="92">
        <f>IFERROR(AVERAGEIFS('Base Kpi'!$CN:$CN,'Base Kpi'!$CG:$CG,Cliente!$E30,'Base Kpi'!$CM:$CM,Cliente!BQ$5),0)</f>
        <v>36</v>
      </c>
      <c r="BR30" s="92">
        <f>IFERROR(AVERAGEIFS('Base Kpi'!$CN:$CN,'Base Kpi'!$CG:$CG,Cliente!$E30,'Base Kpi'!$CM:$CM,Cliente!BR$5),0)</f>
        <v>18</v>
      </c>
      <c r="BS30" s="94">
        <f t="shared" si="21"/>
        <v>93</v>
      </c>
      <c r="BT30" s="95">
        <f t="shared" si="22"/>
        <v>1</v>
      </c>
      <c r="BU30" s="60">
        <f>IFERROR(AVERAGEIFS('Base Kpi'!$CZ:$CZ,'Base Kpi'!$CS:$CS,Cliente!$E30,'Base Kpi'!$CY:$CY,Cliente!BU$5),0)</f>
        <v>25</v>
      </c>
      <c r="BV30" s="92">
        <f>IFERROR(AVERAGEIFS('Base Kpi'!$CZ:$CZ,'Base Kpi'!$CS:$CS,Cliente!$E30,'Base Kpi'!$CY:$CY,Cliente!BV$5),0)</f>
        <v>5</v>
      </c>
      <c r="BW30" s="92">
        <f>IFERROR(AVERAGEIFS('Base Kpi'!$CZ:$CZ,'Base Kpi'!$CS:$CS,Cliente!$E30,'Base Kpi'!$CY:$CY,Cliente!BW$5),0)</f>
        <v>9</v>
      </c>
      <c r="BX30" s="92">
        <f>IFERROR(AVERAGEIFS('Base Kpi'!$CZ:$CZ,'Base Kpi'!$CS:$CS,Cliente!$E30,'Base Kpi'!$CY:$CY,Cliente!BX$5),0)</f>
        <v>36</v>
      </c>
      <c r="BY30" s="92">
        <f>IFERROR(AVERAGEIFS('Base Kpi'!$CZ:$CZ,'Base Kpi'!$CS:$CS,Cliente!$E30,'Base Kpi'!$CY:$CY,Cliente!BY$5),0)</f>
        <v>18</v>
      </c>
      <c r="BZ30" s="94">
        <f t="shared" si="23"/>
        <v>93</v>
      </c>
      <c r="CA30" s="95">
        <f t="shared" si="24"/>
        <v>1</v>
      </c>
      <c r="CB30" s="60">
        <f t="shared" si="44"/>
        <v>97.133333333333326</v>
      </c>
      <c r="CC30" s="97">
        <f t="shared" si="45"/>
        <v>1</v>
      </c>
      <c r="CD30" s="43">
        <f t="shared" si="46"/>
        <v>1</v>
      </c>
      <c r="CE30" s="60" cm="1">
        <f t="array" ref="CE30">IFERROR(LARGE(_xlfn._xlws.FILTER('Base Kpi'!$DL:$DL,('Base Kpi'!$DK:$DK=$CE$5)*('Base Kpi'!$DE:$DE=Cliente!$E30)),1),0)</f>
        <v>33.6</v>
      </c>
      <c r="CF30" s="60" cm="1">
        <f t="array" ref="CF30">IFERROR(LARGE(_xlfn._xlws.FILTER('Base Kpi'!$DL:$DL,('Base Kpi'!$DK:$DK=$CF$5)*('Base Kpi'!$DE:$DE=Cliente!$E30)),1),0)</f>
        <v>5</v>
      </c>
      <c r="CG30" s="60" cm="1">
        <f t="array" ref="CG30">IFERROR(LARGE(_xlfn._xlws.FILTER('Base Kpi'!$DL:$DL,('Base Kpi'!$DK:$DK=$CG$5)*('Base Kpi'!$DE:$DE=Cliente!$E30)),1),0)</f>
        <v>5</v>
      </c>
      <c r="CH30" s="60" cm="1">
        <f t="array" ref="CH30">IFERROR(LARGE(_xlfn._xlws.FILTER('Base Kpi'!$DL:$DL,('Base Kpi'!$DK:$DK=$CH$5)*('Base Kpi'!$DE:$DE=Cliente!$E30)),1),0)</f>
        <v>18</v>
      </c>
      <c r="CI30" s="60" cm="1">
        <f t="array" ref="CI30">IFERROR(LARGE(_xlfn._xlws.FILTER('Base Kpi'!$DL:$DL,('Base Kpi'!$DK:$DK=$CI$5)*('Base Kpi'!$DE:$DE=Cliente!$E30)),1),0)</f>
        <v>25</v>
      </c>
      <c r="CJ30" s="60" cm="1">
        <f t="array" ref="CJ30">IFERROR(LARGE(_xlfn._xlws.FILTER('Base Kpi'!$DL:$DL,('Base Kpi'!$DK:$DK=$CJ$5)*('Base Kpi'!$DE:$DE=Cliente!$E30)),1),0)</f>
        <v>6</v>
      </c>
      <c r="CK30" s="60" cm="1">
        <f t="array" ref="CK30">IFERROR(LARGE(_xlfn._xlws.FILTER('Base Kpi'!$DL:$DL,('Base Kpi'!$DK:$DK=$CK$5)*('Base Kpi'!$DE:$DE=Cliente!$E30)),1),0)</f>
        <v>0</v>
      </c>
      <c r="CL30" s="94">
        <f t="shared" si="28"/>
        <v>92.6</v>
      </c>
      <c r="CM30" s="95">
        <f t="shared" si="47"/>
        <v>1</v>
      </c>
      <c r="CN30" s="60">
        <f>IFERROR(AVERAGEIFS('Base Kpi'!$DX:$DX,'Base Kpi'!$DQ:$DQ,Cliente!$E30,'Base Kpi'!$DW:$DW,Cliente!CN$5),0)</f>
        <v>34.4</v>
      </c>
      <c r="CO30" s="92">
        <f>IFERROR(AVERAGEIFS('Base Kpi'!$DX:$DX,'Base Kpi'!$DQ:$DQ,Cliente!$E30,'Base Kpi'!$DW:$DW,Cliente!CO$5),0)</f>
        <v>5</v>
      </c>
      <c r="CP30" s="92">
        <f>IFERROR(AVERAGEIFS('Base Kpi'!$DX:$DX,'Base Kpi'!$DQ:$DQ,Cliente!$E30,'Base Kpi'!$DW:$DW,Cliente!CP$5),0)</f>
        <v>5</v>
      </c>
      <c r="CQ30" s="92">
        <f>IFERROR(AVERAGEIFS('Base Kpi'!$DX:$DX,'Base Kpi'!$DQ:$DQ,Cliente!$E30,'Base Kpi'!$DW:$DW,Cliente!CQ$5),0)</f>
        <v>18</v>
      </c>
      <c r="CR30" s="92">
        <f>IFERROR(AVERAGEIFS('Base Kpi'!$DX:$DX,'Base Kpi'!$DQ:$DQ,Cliente!$E30,'Base Kpi'!$DW:$DW,Cliente!CR$5),0)</f>
        <v>25</v>
      </c>
      <c r="CS30" s="92">
        <f>IFERROR(AVERAGEIFS('Base Kpi'!$DX:$DX,'Base Kpi'!$DQ:$DQ,Cliente!$E30,'Base Kpi'!$DW:$DW,Cliente!CS$5),0)</f>
        <v>12</v>
      </c>
      <c r="CT30" s="92">
        <f>IFERROR(AVERAGEIFS('Base Kpi'!$DX:$DX,'Base Kpi'!$DQ:$DQ,Cliente!$E30,'Base Kpi'!$DW:$DW,Cliente!CT$5),0)</f>
        <v>0</v>
      </c>
      <c r="CU30" s="94">
        <f t="shared" si="48"/>
        <v>99.4</v>
      </c>
      <c r="CV30" s="95">
        <f t="shared" si="49"/>
        <v>1</v>
      </c>
      <c r="CW30" s="60">
        <f>IFERROR(AVERAGEIFS('Base Kpi'!$EJ:$EJ,'Base Kpi'!$EC:$EC,Cliente!$E30,'Base Kpi'!$EI:$EI,Cliente!CW$5),0)</f>
        <v>34.4</v>
      </c>
      <c r="CX30" s="92">
        <f>IFERROR(AVERAGEIFS('Base Kpi'!$EJ:$EJ,'Base Kpi'!$EC:$EC,Cliente!$E30,'Base Kpi'!$EI:$EI,Cliente!CX$5),0)</f>
        <v>5</v>
      </c>
      <c r="CY30" s="92">
        <f>IFERROR(AVERAGEIFS('Base Kpi'!$EJ:$EJ,'Base Kpi'!$EC:$EC,Cliente!$E30,'Base Kpi'!$EI:$EI,Cliente!CY$5),0)</f>
        <v>5</v>
      </c>
      <c r="CZ30" s="92">
        <f>IFERROR(AVERAGEIFS('Base Kpi'!$EJ:$EJ,'Base Kpi'!$EC:$EC,Cliente!$E30,'Base Kpi'!$EI:$EI,Cliente!CZ$5),0)</f>
        <v>18</v>
      </c>
      <c r="DA30" s="92">
        <f>IFERROR(AVERAGEIFS('Base Kpi'!$EJ:$EJ,'Base Kpi'!$EC:$EC,Cliente!$E30,'Base Kpi'!$EI:$EI,Cliente!DA$5),0)</f>
        <v>25</v>
      </c>
      <c r="DB30" s="92">
        <f>IFERROR(AVERAGEIFS('Base Kpi'!$EJ:$EJ,'Base Kpi'!$EC:$EC,Cliente!$E30,'Base Kpi'!$EI:$EI,Cliente!DB$5),0)</f>
        <v>12</v>
      </c>
      <c r="DC30" s="92">
        <f>IFERROR(AVERAGEIFS('Base Kpi'!$EJ:$EJ,'Base Kpi'!$EC:$EC,Cliente!$E30,'Base Kpi'!$EI:$EI,Cliente!DC$5),0)</f>
        <v>0</v>
      </c>
      <c r="DD30" s="94">
        <f t="shared" si="50"/>
        <v>99.4</v>
      </c>
      <c r="DE30" s="95">
        <f t="shared" si="51"/>
        <v>1</v>
      </c>
      <c r="DF30" s="120"/>
    </row>
    <row r="31" spans="2:110" x14ac:dyDescent="0.35">
      <c r="B31" s="52" t="s">
        <v>427</v>
      </c>
      <c r="C31" s="21">
        <v>3956</v>
      </c>
      <c r="D31" s="21" t="s">
        <v>431</v>
      </c>
      <c r="E31" s="21">
        <v>74369</v>
      </c>
      <c r="F31" s="16" t="s">
        <v>8</v>
      </c>
      <c r="G31" s="16" t="s">
        <v>258</v>
      </c>
      <c r="H31" s="16" t="s">
        <v>260</v>
      </c>
      <c r="I31" s="16" t="s">
        <v>261</v>
      </c>
      <c r="J31" s="16" t="s">
        <v>88</v>
      </c>
      <c r="K31" s="34" t="s">
        <v>47</v>
      </c>
      <c r="L31" s="60">
        <f t="shared" si="33"/>
        <v>76.715000000000018</v>
      </c>
      <c r="M31" s="97">
        <f t="shared" si="34"/>
        <v>1</v>
      </c>
      <c r="N31" s="43">
        <f t="shared" si="2"/>
        <v>0</v>
      </c>
      <c r="O31" s="60">
        <f>IFERROR(AVERAGEIFS('Base Kpi'!$I:$I,'Base Kpi'!$B:$B,Cliente!$E31,'Base Kpi'!$G:$G,Cliente!O$5),0)</f>
        <v>17.13</v>
      </c>
      <c r="P31" s="92">
        <f>IFERROR(AVERAGEIFS('Base Kpi'!$I:$I,'Base Kpi'!$B:$B,Cliente!$E31,'Base Kpi'!$G:$G,Cliente!P$5),0)</f>
        <v>8</v>
      </c>
      <c r="Q31" s="92">
        <f>IFERROR(AVERAGEIFS('Base Kpi'!$I:$I,'Base Kpi'!$B:$B,Cliente!$E31,'Base Kpi'!$G:$G,Cliente!Q$5),0)</f>
        <v>6.8</v>
      </c>
      <c r="R31" s="92">
        <f>IFERROR(AVERAGEIFS('Base Kpi'!$I:$I,'Base Kpi'!$B:$B,Cliente!$E31,'Base Kpi'!$G:$G,Cliente!R$5),0)</f>
        <v>32.625</v>
      </c>
      <c r="S31" s="94">
        <f t="shared" si="35"/>
        <v>64.555000000000007</v>
      </c>
      <c r="T31" s="95">
        <f t="shared" si="36"/>
        <v>0</v>
      </c>
      <c r="U31" s="60">
        <f>IFERROR(AVERAGEIFS('Base Kpi'!$T:$T,'Base Kpi'!$M:$M,Cliente!$E31,'Base Kpi'!$S:$S,Cliente!U$5),0)</f>
        <v>21.42</v>
      </c>
      <c r="V31" s="92">
        <f>IFERROR(AVERAGEIFS('Base Kpi'!$T:$T,'Base Kpi'!$M:$M,Cliente!$E31,'Base Kpi'!$S:$S,Cliente!V$5),0)</f>
        <v>8</v>
      </c>
      <c r="W31" s="92">
        <f>IFERROR(AVERAGEIFS('Base Kpi'!$T:$T,'Base Kpi'!$M:$M,Cliente!$E31,'Base Kpi'!$S:$S,Cliente!W$5),0)</f>
        <v>12.75</v>
      </c>
      <c r="X31" s="92">
        <f>IFERROR(AVERAGEIFS('Base Kpi'!$T:$T,'Base Kpi'!$M:$M,Cliente!$E31,'Base Kpi'!$S:$S,Cliente!X$5),0)</f>
        <v>42.75</v>
      </c>
      <c r="Y31" s="94">
        <f t="shared" si="37"/>
        <v>84.92</v>
      </c>
      <c r="Z31" s="95">
        <f t="shared" si="38"/>
        <v>1</v>
      </c>
      <c r="AA31" s="60">
        <f>IFERROR(AVERAGEIFS('Base Kpi'!$AF:$AF,'Base Kpi'!$Y:$Y,Cliente!$E31,'Base Kpi'!$AE:$AE,Cliente!AA$5),0)</f>
        <v>21.42</v>
      </c>
      <c r="AB31" s="92">
        <f>IFERROR(AVERAGEIFS('Base Kpi'!$AF:$AF,'Base Kpi'!$Y:$Y,Cliente!$E31,'Base Kpi'!$AE:$AE,Cliente!AB$5),0)</f>
        <v>8</v>
      </c>
      <c r="AC31" s="92">
        <f>IFERROR(AVERAGEIFS('Base Kpi'!$AF:$AF,'Base Kpi'!$Y:$Y,Cliente!$E31,'Base Kpi'!$AE:$AE,Cliente!AC$5),0)</f>
        <v>8.5</v>
      </c>
      <c r="AD31" s="92">
        <f>IFERROR(AVERAGEIFS('Base Kpi'!$AF:$AF,'Base Kpi'!$Y:$Y,Cliente!$E31,'Base Kpi'!$AE:$AE,Cliente!AD$5),0)</f>
        <v>42.75</v>
      </c>
      <c r="AE31" s="94">
        <f t="shared" si="39"/>
        <v>80.67</v>
      </c>
      <c r="AF31" s="95">
        <f t="shared" si="40"/>
        <v>1</v>
      </c>
      <c r="AG31" s="60">
        <f t="shared" si="9"/>
        <v>74.593333333333348</v>
      </c>
      <c r="AH31" s="97">
        <f t="shared" si="10"/>
        <v>1</v>
      </c>
      <c r="AI31" s="88">
        <f t="shared" si="41"/>
        <v>1</v>
      </c>
      <c r="AJ31" s="92">
        <f>IFERROR(AVERAGEIFS('Base Kpi'!$AR:$AR,'Base Kpi'!$AK:$AK,Cliente!$E31,'Base Kpi'!$AQ:$AQ,AJ$5),0)</f>
        <v>25</v>
      </c>
      <c r="AK31" s="92">
        <f>IFERROR(AVERAGEIFS('Base Kpi'!$AR:$AR,'Base Kpi'!$AK:$AK,Cliente!$E31,'Base Kpi'!$AQ:$AQ,AK$5),0)</f>
        <v>2.5</v>
      </c>
      <c r="AL31" s="92">
        <f>IFERROR(AVERAGEIFS('Base Kpi'!$AR:$AR,'Base Kpi'!$AK:$AK,Cliente!$E31,'Base Kpi'!$AQ:$AQ,AL$5),0)</f>
        <v>9</v>
      </c>
      <c r="AM31" s="92">
        <f>IFERROR(AVERAGEIFS('Base Kpi'!$AR:$AR,'Base Kpi'!$AK:$AK,Cliente!$E31,'Base Kpi'!$AQ:$AQ,AM$5),0)</f>
        <v>33.92</v>
      </c>
      <c r="AN31" s="94">
        <f t="shared" si="12"/>
        <v>70.42</v>
      </c>
      <c r="AO31" s="95">
        <f t="shared" si="13"/>
        <v>0</v>
      </c>
      <c r="AP31" s="60">
        <f>IFERROR(AVERAGEIFS('Base Kpi'!$BD:$BD,'Base Kpi'!$AW:$AW,Cliente!$E31,'Base Kpi'!$BC:$BC,Cliente!AP$5),0)</f>
        <v>21.425000000000001</v>
      </c>
      <c r="AQ31" s="92">
        <f>IFERROR(AVERAGEIFS('Base Kpi'!$BD:$BD,'Base Kpi'!$AW:$AW,Cliente!$E31,'Base Kpi'!$BC:$BC,Cliente!AQ$5),0)</f>
        <v>3.335</v>
      </c>
      <c r="AR31" s="92">
        <f>IFERROR(AVERAGEIFS('Base Kpi'!$BD:$BD,'Base Kpi'!$AW:$AW,Cliente!$E31,'Base Kpi'!$BC:$BC,Cliente!AR$5),0)</f>
        <v>9</v>
      </c>
      <c r="AS31" s="92">
        <f>IFERROR(AVERAGEIFS('Base Kpi'!$BD:$BD,'Base Kpi'!$AW:$AW,Cliente!$E31,'Base Kpi'!$BC:$BC,Cliente!AS$5),0)</f>
        <v>33.04</v>
      </c>
      <c r="AT31" s="92">
        <f>IFERROR(AVERAGEIFS('Base Kpi'!$BD:$BD,'Base Kpi'!$AW:$AW,Cliente!$E31,'Base Kpi'!$BC:$BC,Cliente!AT$5),0)</f>
        <v>0</v>
      </c>
      <c r="AU31" s="94">
        <f t="shared" si="14"/>
        <v>66.800000000000011</v>
      </c>
      <c r="AV31" s="95">
        <f t="shared" si="15"/>
        <v>0</v>
      </c>
      <c r="AW31" s="60">
        <f>IFERROR(AVERAGEIFS('Base Kpi'!$BP:$BP,'Base Kpi'!$BI:$BI,Cliente!$E31,'Base Kpi'!$BO:$BO,Cliente!AW$5),0)</f>
        <v>21.425000000000001</v>
      </c>
      <c r="AX31" s="92">
        <f>IFERROR(AVERAGEIFS('Base Kpi'!$BP:$BP,'Base Kpi'!$BI:$BI,Cliente!$E31,'Base Kpi'!$BO:$BO,Cliente!AX$5),0)</f>
        <v>3.335</v>
      </c>
      <c r="AY31" s="92">
        <f>IFERROR(AVERAGEIFS('Base Kpi'!$BP:$BP,'Base Kpi'!$BI:$BI,Cliente!$E31,'Base Kpi'!$BO:$BO,Cliente!AY$5),0)</f>
        <v>9</v>
      </c>
      <c r="AZ31" s="92">
        <f>IFERROR(AVERAGEIFS('Base Kpi'!$BP:$BP,'Base Kpi'!$BI:$BI,Cliente!$E31,'Base Kpi'!$BO:$BO,Cliente!AZ$5),0)</f>
        <v>34.799999999999997</v>
      </c>
      <c r="BA31" s="92">
        <f>IFERROR(AVERAGEIFS('Base Kpi'!$BP:$BP,'Base Kpi'!$BI:$BI,Cliente!$E31,'Base Kpi'!$BO:$BO,Cliente!BA$5),0)</f>
        <v>18</v>
      </c>
      <c r="BB31" s="94">
        <f t="shared" si="16"/>
        <v>86.56</v>
      </c>
      <c r="BC31" s="95">
        <f t="shared" si="17"/>
        <v>1</v>
      </c>
      <c r="BD31" s="60">
        <f t="shared" si="42"/>
        <v>88.274999999999991</v>
      </c>
      <c r="BE31" s="97">
        <f t="shared" si="18"/>
        <v>1</v>
      </c>
      <c r="BF31" s="88">
        <f t="shared" si="43"/>
        <v>1</v>
      </c>
      <c r="BG31" s="60">
        <f>IFERROR(AVERAGEIFS('Base Kpi'!$CB:$CB,'Base Kpi'!$BU:$BU,Cliente!$E31,'Base Kpi'!$CA:$CA,Cliente!BG$5),0)</f>
        <v>21.425000000000001</v>
      </c>
      <c r="BH31" s="92">
        <f>IFERROR(AVERAGEIFS('Base Kpi'!$CB:$CB,'Base Kpi'!$BU:$BU,Cliente!$E31,'Base Kpi'!$CA:$CA,Cliente!BH$5),0)</f>
        <v>5</v>
      </c>
      <c r="BI31" s="92">
        <f>IFERROR(AVERAGEIFS('Base Kpi'!$CB:$CB,'Base Kpi'!$BU:$BU,Cliente!$E31,'Base Kpi'!$CA:$CA,Cliente!BI$5),0)</f>
        <v>9</v>
      </c>
      <c r="BJ31" s="92">
        <f>IFERROR(AVERAGEIFS('Base Kpi'!$CB:$CB,'Base Kpi'!$BU:$BU,Cliente!$E31,'Base Kpi'!$CA:$CA,Cliente!BJ$5),0)</f>
        <v>32.799999999999997</v>
      </c>
      <c r="BK31" s="92">
        <f>IFERROR(AVERAGEIFS('Base Kpi'!$CB:$CB,'Base Kpi'!$BU:$BU,Cliente!$E31,'Base Kpi'!$CA:$CA,Cliente!BK$5),0)</f>
        <v>9</v>
      </c>
      <c r="BL31" s="94">
        <f t="shared" si="19"/>
        <v>77.224999999999994</v>
      </c>
      <c r="BM31" s="95">
        <f t="shared" si="20"/>
        <v>0</v>
      </c>
      <c r="BN31" s="60">
        <f>IFERROR(AVERAGEIFS('Base Kpi'!$CN:$CN,'Base Kpi'!$CG:$CG,Cliente!$E31,'Base Kpi'!$CM:$CM,Cliente!BN$5),0)</f>
        <v>25</v>
      </c>
      <c r="BO31" s="92">
        <f>IFERROR(AVERAGEIFS('Base Kpi'!$CN:$CN,'Base Kpi'!$CG:$CG,Cliente!$E31,'Base Kpi'!$CM:$CM,Cliente!BO$5),0)</f>
        <v>5</v>
      </c>
      <c r="BP31" s="92">
        <f>IFERROR(AVERAGEIFS('Base Kpi'!$CN:$CN,'Base Kpi'!$CG:$CG,Cliente!$E31,'Base Kpi'!$CM:$CM,Cliente!BP$5),0)</f>
        <v>9</v>
      </c>
      <c r="BQ31" s="92">
        <f>IFERROR(AVERAGEIFS('Base Kpi'!$CN:$CN,'Base Kpi'!$CG:$CG,Cliente!$E31,'Base Kpi'!$CM:$CM,Cliente!BQ$5),0)</f>
        <v>36.799999999999997</v>
      </c>
      <c r="BR31" s="92">
        <f>IFERROR(AVERAGEIFS('Base Kpi'!$CN:$CN,'Base Kpi'!$CG:$CG,Cliente!$E31,'Base Kpi'!$CM:$CM,Cliente!BR$5),0)</f>
        <v>18</v>
      </c>
      <c r="BS31" s="94">
        <f t="shared" si="21"/>
        <v>93.8</v>
      </c>
      <c r="BT31" s="95">
        <f t="shared" si="22"/>
        <v>1</v>
      </c>
      <c r="BU31" s="60">
        <f>IFERROR(AVERAGEIFS('Base Kpi'!$CZ:$CZ,'Base Kpi'!$CS:$CS,Cliente!$E31,'Base Kpi'!$CY:$CY,Cliente!BU$5),0)</f>
        <v>25</v>
      </c>
      <c r="BV31" s="92">
        <f>IFERROR(AVERAGEIFS('Base Kpi'!$CZ:$CZ,'Base Kpi'!$CS:$CS,Cliente!$E31,'Base Kpi'!$CY:$CY,Cliente!BV$5),0)</f>
        <v>5</v>
      </c>
      <c r="BW31" s="92">
        <f>IFERROR(AVERAGEIFS('Base Kpi'!$CZ:$CZ,'Base Kpi'!$CS:$CS,Cliente!$E31,'Base Kpi'!$CY:$CY,Cliente!BW$5),0)</f>
        <v>9</v>
      </c>
      <c r="BX31" s="92">
        <f>IFERROR(AVERAGEIFS('Base Kpi'!$CZ:$CZ,'Base Kpi'!$CS:$CS,Cliente!$E31,'Base Kpi'!$CY:$CY,Cliente!BX$5),0)</f>
        <v>36.799999999999997</v>
      </c>
      <c r="BY31" s="92">
        <f>IFERROR(AVERAGEIFS('Base Kpi'!$CZ:$CZ,'Base Kpi'!$CS:$CS,Cliente!$E31,'Base Kpi'!$CY:$CY,Cliente!BY$5),0)</f>
        <v>18</v>
      </c>
      <c r="BZ31" s="94">
        <f t="shared" si="23"/>
        <v>93.8</v>
      </c>
      <c r="CA31" s="95">
        <f t="shared" si="24"/>
        <v>1</v>
      </c>
      <c r="CB31" s="60">
        <f t="shared" si="44"/>
        <v>93.133333333333326</v>
      </c>
      <c r="CC31" s="97">
        <f t="shared" si="45"/>
        <v>1</v>
      </c>
      <c r="CD31" s="43">
        <f t="shared" si="46"/>
        <v>1</v>
      </c>
      <c r="CE31" s="60" cm="1">
        <f t="array" ref="CE31">IFERROR(LARGE(_xlfn._xlws.FILTER('Base Kpi'!$DL:$DL,('Base Kpi'!$DK:$DK=$CE$5)*('Base Kpi'!$DE:$DE=Cliente!$E31)),1),0)</f>
        <v>34.4</v>
      </c>
      <c r="CF31" s="60" cm="1">
        <f t="array" ref="CF31">IFERROR(LARGE(_xlfn._xlws.FILTER('Base Kpi'!$DL:$DL,('Base Kpi'!$DK:$DK=$CF$5)*('Base Kpi'!$DE:$DE=Cliente!$E31)),1),0)</f>
        <v>5</v>
      </c>
      <c r="CG31" s="60" cm="1">
        <f t="array" ref="CG31">IFERROR(LARGE(_xlfn._xlws.FILTER('Base Kpi'!$DL:$DL,('Base Kpi'!$DK:$DK=$CG$5)*('Base Kpi'!$DE:$DE=Cliente!$E31)),1),0)</f>
        <v>5</v>
      </c>
      <c r="CH31" s="60" cm="1">
        <f t="array" ref="CH31">IFERROR(LARGE(_xlfn._xlws.FILTER('Base Kpi'!$DL:$DL,('Base Kpi'!$DK:$DK=$CH$5)*('Base Kpi'!$DE:$DE=Cliente!$E31)),1),0)</f>
        <v>9</v>
      </c>
      <c r="CI31" s="60" cm="1">
        <f t="array" ref="CI31">IFERROR(LARGE(_xlfn._xlws.FILTER('Base Kpi'!$DL:$DL,('Base Kpi'!$DK:$DK=$CI$5)*('Base Kpi'!$DE:$DE=Cliente!$E31)),1),0)</f>
        <v>25</v>
      </c>
      <c r="CJ31" s="60" cm="1">
        <f t="array" ref="CJ31">IFERROR(LARGE(_xlfn._xlws.FILTER('Base Kpi'!$DL:$DL,('Base Kpi'!$DK:$DK=$CJ$5)*('Base Kpi'!$DE:$DE=Cliente!$E31)),1),0)</f>
        <v>9</v>
      </c>
      <c r="CK31" s="60" cm="1">
        <f t="array" ref="CK31">IFERROR(LARGE(_xlfn._xlws.FILTER('Base Kpi'!$DL:$DL,('Base Kpi'!$DK:$DK=$CK$5)*('Base Kpi'!$DE:$DE=Cliente!$E31)),1),0)</f>
        <v>0</v>
      </c>
      <c r="CL31" s="94">
        <f t="shared" si="28"/>
        <v>87.4</v>
      </c>
      <c r="CM31" s="95">
        <f t="shared" si="47"/>
        <v>1</v>
      </c>
      <c r="CN31" s="60">
        <f>IFERROR(AVERAGEIFS('Base Kpi'!$DX:$DX,'Base Kpi'!$DQ:$DQ,Cliente!$E31,'Base Kpi'!$DW:$DW,Cliente!CN$5),0)</f>
        <v>34.4</v>
      </c>
      <c r="CO31" s="92">
        <f>IFERROR(AVERAGEIFS('Base Kpi'!$DX:$DX,'Base Kpi'!$DQ:$DQ,Cliente!$E31,'Base Kpi'!$DW:$DW,Cliente!CO$5),0)</f>
        <v>5</v>
      </c>
      <c r="CP31" s="92">
        <f>IFERROR(AVERAGEIFS('Base Kpi'!$DX:$DX,'Base Kpi'!$DQ:$DQ,Cliente!$E31,'Base Kpi'!$DW:$DW,Cliente!CP$5),0)</f>
        <v>5</v>
      </c>
      <c r="CQ31" s="92">
        <f>IFERROR(AVERAGEIFS('Base Kpi'!$DX:$DX,'Base Kpi'!$DQ:$DQ,Cliente!$E31,'Base Kpi'!$DW:$DW,Cliente!CQ$5),0)</f>
        <v>18</v>
      </c>
      <c r="CR31" s="92">
        <f>IFERROR(AVERAGEIFS('Base Kpi'!$DX:$DX,'Base Kpi'!$DQ:$DQ,Cliente!$E31,'Base Kpi'!$DW:$DW,Cliente!CR$5),0)</f>
        <v>25</v>
      </c>
      <c r="CS31" s="92">
        <f>IFERROR(AVERAGEIFS('Base Kpi'!$DX:$DX,'Base Kpi'!$DQ:$DQ,Cliente!$E31,'Base Kpi'!$DW:$DW,Cliente!CS$5),0)</f>
        <v>9</v>
      </c>
      <c r="CT31" s="92">
        <f>IFERROR(AVERAGEIFS('Base Kpi'!$DX:$DX,'Base Kpi'!$DQ:$DQ,Cliente!$E31,'Base Kpi'!$DW:$DW,Cliente!CT$5),0)</f>
        <v>0</v>
      </c>
      <c r="CU31" s="94">
        <f t="shared" si="48"/>
        <v>96.4</v>
      </c>
      <c r="CV31" s="95">
        <f t="shared" si="49"/>
        <v>1</v>
      </c>
      <c r="CW31" s="60">
        <f>IFERROR(AVERAGEIFS('Base Kpi'!$EJ:$EJ,'Base Kpi'!$EC:$EC,Cliente!$E31,'Base Kpi'!$EI:$EI,Cliente!CW$5),0)</f>
        <v>33.6</v>
      </c>
      <c r="CX31" s="92">
        <f>IFERROR(AVERAGEIFS('Base Kpi'!$EJ:$EJ,'Base Kpi'!$EC:$EC,Cliente!$E31,'Base Kpi'!$EI:$EI,Cliente!CX$5),0)</f>
        <v>5</v>
      </c>
      <c r="CY31" s="92">
        <f>IFERROR(AVERAGEIFS('Base Kpi'!$EJ:$EJ,'Base Kpi'!$EC:$EC,Cliente!$E31,'Base Kpi'!$EI:$EI,Cliente!CY$5),0)</f>
        <v>5</v>
      </c>
      <c r="CZ31" s="92">
        <f>IFERROR(AVERAGEIFS('Base Kpi'!$EJ:$EJ,'Base Kpi'!$EC:$EC,Cliente!$E31,'Base Kpi'!$EI:$EI,Cliente!CZ$5),0)</f>
        <v>18</v>
      </c>
      <c r="DA31" s="92">
        <f>IFERROR(AVERAGEIFS('Base Kpi'!$EJ:$EJ,'Base Kpi'!$EC:$EC,Cliente!$E31,'Base Kpi'!$EI:$EI,Cliente!DA$5),0)</f>
        <v>25</v>
      </c>
      <c r="DB31" s="92">
        <f>IFERROR(AVERAGEIFS('Base Kpi'!$EJ:$EJ,'Base Kpi'!$EC:$EC,Cliente!$E31,'Base Kpi'!$EI:$EI,Cliente!DB$5),0)</f>
        <v>9</v>
      </c>
      <c r="DC31" s="92">
        <f>IFERROR(AVERAGEIFS('Base Kpi'!$EJ:$EJ,'Base Kpi'!$EC:$EC,Cliente!$E31,'Base Kpi'!$EI:$EI,Cliente!DC$5),0)</f>
        <v>0</v>
      </c>
      <c r="DD31" s="94">
        <f t="shared" si="50"/>
        <v>95.6</v>
      </c>
      <c r="DE31" s="95">
        <f t="shared" si="51"/>
        <v>1</v>
      </c>
      <c r="DF31" s="120"/>
    </row>
    <row r="32" spans="2:110" x14ac:dyDescent="0.35">
      <c r="B32" s="52" t="s">
        <v>427</v>
      </c>
      <c r="C32" s="21">
        <v>4054</v>
      </c>
      <c r="D32" s="21" t="s">
        <v>432</v>
      </c>
      <c r="E32" s="21">
        <v>181800</v>
      </c>
      <c r="F32" s="16" t="s">
        <v>165</v>
      </c>
      <c r="G32" s="16" t="s">
        <v>296</v>
      </c>
      <c r="H32" s="16" t="s">
        <v>316</v>
      </c>
      <c r="I32" s="16" t="s">
        <v>274</v>
      </c>
      <c r="J32" s="16" t="s">
        <v>90</v>
      </c>
      <c r="K32" s="34" t="s">
        <v>166</v>
      </c>
      <c r="L32" s="60">
        <f t="shared" si="33"/>
        <v>74.31</v>
      </c>
      <c r="M32" s="97">
        <f t="shared" si="34"/>
        <v>1</v>
      </c>
      <c r="N32" s="43">
        <f t="shared" si="2"/>
        <v>0</v>
      </c>
      <c r="O32" s="60">
        <f>IFERROR(AVERAGEIFS('Base Kpi'!$I:$I,'Base Kpi'!$B:$B,Cliente!$E32,'Base Kpi'!$G:$G,Cliente!O$5),0)</f>
        <v>25.71</v>
      </c>
      <c r="P32" s="92">
        <f>IFERROR(AVERAGEIFS('Base Kpi'!$I:$I,'Base Kpi'!$B:$B,Cliente!$E32,'Base Kpi'!$G:$G,Cliente!P$5),0)</f>
        <v>8</v>
      </c>
      <c r="Q32" s="92">
        <f>IFERROR(AVERAGEIFS('Base Kpi'!$I:$I,'Base Kpi'!$B:$B,Cliente!$E32,'Base Kpi'!$G:$G,Cliente!Q$5),0)</f>
        <v>6.8</v>
      </c>
      <c r="R32" s="92">
        <f>IFERROR(AVERAGEIFS('Base Kpi'!$I:$I,'Base Kpi'!$B:$B,Cliente!$E32,'Base Kpi'!$G:$G,Cliente!R$5),0)</f>
        <v>33.75</v>
      </c>
      <c r="S32" s="94">
        <f t="shared" si="35"/>
        <v>74.259999999999991</v>
      </c>
      <c r="T32" s="95">
        <f t="shared" si="36"/>
        <v>0</v>
      </c>
      <c r="U32" s="60">
        <f>IFERROR(AVERAGEIFS('Base Kpi'!$T:$T,'Base Kpi'!$M:$M,Cliente!$E32,'Base Kpi'!$S:$S,Cliente!U$5),0)</f>
        <v>25.71</v>
      </c>
      <c r="V32" s="92">
        <f>IFERROR(AVERAGEIFS('Base Kpi'!$T:$T,'Base Kpi'!$M:$M,Cliente!$E32,'Base Kpi'!$S:$S,Cliente!V$5),0)</f>
        <v>0</v>
      </c>
      <c r="W32" s="92">
        <f>IFERROR(AVERAGEIFS('Base Kpi'!$T:$T,'Base Kpi'!$M:$M,Cliente!$E32,'Base Kpi'!$S:$S,Cliente!W$5),0)</f>
        <v>4.25</v>
      </c>
      <c r="X32" s="92">
        <f>IFERROR(AVERAGEIFS('Base Kpi'!$T:$T,'Base Kpi'!$M:$M,Cliente!$E32,'Base Kpi'!$S:$S,Cliente!X$5),0)</f>
        <v>38.25</v>
      </c>
      <c r="Y32" s="94">
        <f t="shared" si="37"/>
        <v>68.210000000000008</v>
      </c>
      <c r="Z32" s="95">
        <f t="shared" si="38"/>
        <v>0</v>
      </c>
      <c r="AA32" s="60">
        <f>IFERROR(AVERAGEIFS('Base Kpi'!$AF:$AF,'Base Kpi'!$Y:$Y,Cliente!$E32,'Base Kpi'!$AE:$AE,Cliente!AA$5),0)</f>
        <v>25.71</v>
      </c>
      <c r="AB32" s="92">
        <f>IFERROR(AVERAGEIFS('Base Kpi'!$AF:$AF,'Base Kpi'!$Y:$Y,Cliente!$E32,'Base Kpi'!$AE:$AE,Cliente!AB$5),0)</f>
        <v>8</v>
      </c>
      <c r="AC32" s="92">
        <f>IFERROR(AVERAGEIFS('Base Kpi'!$AF:$AF,'Base Kpi'!$Y:$Y,Cliente!$E32,'Base Kpi'!$AE:$AE,Cliente!AC$5),0)</f>
        <v>8.5</v>
      </c>
      <c r="AD32" s="92">
        <f>IFERROR(AVERAGEIFS('Base Kpi'!$AF:$AF,'Base Kpi'!$Y:$Y,Cliente!$E32,'Base Kpi'!$AE:$AE,Cliente!AD$5),0)</f>
        <v>38.25</v>
      </c>
      <c r="AE32" s="94">
        <f t="shared" si="39"/>
        <v>80.460000000000008</v>
      </c>
      <c r="AF32" s="95">
        <f t="shared" si="40"/>
        <v>1</v>
      </c>
      <c r="AG32" s="60">
        <f t="shared" si="9"/>
        <v>40.703333333333333</v>
      </c>
      <c r="AH32" s="97">
        <f t="shared" si="10"/>
        <v>0</v>
      </c>
      <c r="AI32" s="88">
        <f t="shared" si="41"/>
        <v>0</v>
      </c>
      <c r="AJ32" s="92">
        <f>IFERROR(AVERAGEIFS('Base Kpi'!$AR:$AR,'Base Kpi'!$AK:$AK,Cliente!$E32,'Base Kpi'!$AQ:$AQ,AJ$5),0)</f>
        <v>25</v>
      </c>
      <c r="AK32" s="92">
        <f>IFERROR(AVERAGEIFS('Base Kpi'!$AR:$AR,'Base Kpi'!$AK:$AK,Cliente!$E32,'Base Kpi'!$AQ:$AQ,AK$5),0)</f>
        <v>2.5</v>
      </c>
      <c r="AL32" s="92">
        <f>IFERROR(AVERAGEIFS('Base Kpi'!$AR:$AR,'Base Kpi'!$AK:$AK,Cliente!$E32,'Base Kpi'!$AQ:$AQ,AL$5),0)</f>
        <v>6</v>
      </c>
      <c r="AM32" s="92">
        <f>IFERROR(AVERAGEIFS('Base Kpi'!$AR:$AR,'Base Kpi'!$AK:$AK,Cliente!$E32,'Base Kpi'!$AQ:$AQ,AM$5),0)</f>
        <v>33.04</v>
      </c>
      <c r="AN32" s="94">
        <f t="shared" si="12"/>
        <v>66.539999999999992</v>
      </c>
      <c r="AO32" s="95">
        <f t="shared" si="13"/>
        <v>0</v>
      </c>
      <c r="AP32" s="60">
        <f>IFERROR(AVERAGEIFS('Base Kpi'!$BD:$BD,'Base Kpi'!$AW:$AW,Cliente!$E32,'Base Kpi'!$BC:$BC,Cliente!AP$5),0)</f>
        <v>0</v>
      </c>
      <c r="AQ32" s="92">
        <f>IFERROR(AVERAGEIFS('Base Kpi'!$BD:$BD,'Base Kpi'!$AW:$AW,Cliente!$E32,'Base Kpi'!$BC:$BC,Cliente!AQ$5),0)</f>
        <v>0</v>
      </c>
      <c r="AR32" s="92">
        <f>IFERROR(AVERAGEIFS('Base Kpi'!$BD:$BD,'Base Kpi'!$AW:$AW,Cliente!$E32,'Base Kpi'!$BC:$BC,Cliente!AR$5),0)</f>
        <v>0</v>
      </c>
      <c r="AS32" s="92">
        <f>IFERROR(AVERAGEIFS('Base Kpi'!$BD:$BD,'Base Kpi'!$AW:$AW,Cliente!$E32,'Base Kpi'!$BC:$BC,Cliente!AS$5),0)</f>
        <v>0</v>
      </c>
      <c r="AT32" s="92">
        <f>IFERROR(AVERAGEIFS('Base Kpi'!$BD:$BD,'Base Kpi'!$AW:$AW,Cliente!$E32,'Base Kpi'!$BC:$BC,Cliente!AT$5),0)</f>
        <v>0</v>
      </c>
      <c r="AU32" s="94">
        <f t="shared" si="14"/>
        <v>0</v>
      </c>
      <c r="AV32" s="95">
        <f t="shared" si="15"/>
        <v>0</v>
      </c>
      <c r="AW32" s="60">
        <f>IFERROR(AVERAGEIFS('Base Kpi'!$BP:$BP,'Base Kpi'!$BI:$BI,Cliente!$E32,'Base Kpi'!$BO:$BO,Cliente!AW$5),0)</f>
        <v>21.425000000000001</v>
      </c>
      <c r="AX32" s="92">
        <f>IFERROR(AVERAGEIFS('Base Kpi'!$BP:$BP,'Base Kpi'!$BI:$BI,Cliente!$E32,'Base Kpi'!$BO:$BO,Cliente!AX$5),0)</f>
        <v>1.665</v>
      </c>
      <c r="AY32" s="92">
        <f>IFERROR(AVERAGEIFS('Base Kpi'!$BP:$BP,'Base Kpi'!$BI:$BI,Cliente!$E32,'Base Kpi'!$BO:$BO,Cliente!AY$5),0)</f>
        <v>9</v>
      </c>
      <c r="AZ32" s="92">
        <f>IFERROR(AVERAGEIFS('Base Kpi'!$BP:$BP,'Base Kpi'!$BI:$BI,Cliente!$E32,'Base Kpi'!$BO:$BO,Cliente!AZ$5),0)</f>
        <v>23.48</v>
      </c>
      <c r="BA32" s="92">
        <f>IFERROR(AVERAGEIFS('Base Kpi'!$BP:$BP,'Base Kpi'!$BI:$BI,Cliente!$E32,'Base Kpi'!$BO:$BO,Cliente!BA$5),0)</f>
        <v>0</v>
      </c>
      <c r="BB32" s="94">
        <f t="shared" si="16"/>
        <v>55.570000000000007</v>
      </c>
      <c r="BC32" s="95">
        <f t="shared" si="17"/>
        <v>0</v>
      </c>
      <c r="BD32" s="60">
        <f t="shared" si="42"/>
        <v>76.054999999999993</v>
      </c>
      <c r="BE32" s="97">
        <f t="shared" si="18"/>
        <v>1</v>
      </c>
      <c r="BF32" s="88">
        <f t="shared" si="43"/>
        <v>0</v>
      </c>
      <c r="BG32" s="60">
        <f>IFERROR(AVERAGEIFS('Base Kpi'!$CB:$CB,'Base Kpi'!$BU:$BU,Cliente!$E32,'Base Kpi'!$CA:$CA,Cliente!BG$5),0)</f>
        <v>17.850000000000001</v>
      </c>
      <c r="BH32" s="92">
        <f>IFERROR(AVERAGEIFS('Base Kpi'!$CB:$CB,'Base Kpi'!$BU:$BU,Cliente!$E32,'Base Kpi'!$CA:$CA,Cliente!BH$5),0)</f>
        <v>1.665</v>
      </c>
      <c r="BI32" s="92">
        <f>IFERROR(AVERAGEIFS('Base Kpi'!$CB:$CB,'Base Kpi'!$BU:$BU,Cliente!$E32,'Base Kpi'!$CA:$CA,Cliente!BI$5),0)</f>
        <v>6</v>
      </c>
      <c r="BJ32" s="92">
        <f>IFERROR(AVERAGEIFS('Base Kpi'!$CB:$CB,'Base Kpi'!$BU:$BU,Cliente!$E32,'Base Kpi'!$CA:$CA,Cliente!BJ$5),0)</f>
        <v>13.6</v>
      </c>
      <c r="BK32" s="92">
        <f>IFERROR(AVERAGEIFS('Base Kpi'!$CB:$CB,'Base Kpi'!$BU:$BU,Cliente!$E32,'Base Kpi'!$CA:$CA,Cliente!BK$5),0)</f>
        <v>9</v>
      </c>
      <c r="BL32" s="94">
        <f t="shared" si="19"/>
        <v>48.115000000000002</v>
      </c>
      <c r="BM32" s="95">
        <f t="shared" si="20"/>
        <v>0</v>
      </c>
      <c r="BN32" s="60">
        <f>IFERROR(AVERAGEIFS('Base Kpi'!$CN:$CN,'Base Kpi'!$CG:$CG,Cliente!$E32,'Base Kpi'!$CM:$CM,Cliente!BN$5),0)</f>
        <v>21.425000000000001</v>
      </c>
      <c r="BO32" s="92">
        <f>IFERROR(AVERAGEIFS('Base Kpi'!$CN:$CN,'Base Kpi'!$CG:$CG,Cliente!$E32,'Base Kpi'!$CM:$CM,Cliente!BO$5),0)</f>
        <v>5</v>
      </c>
      <c r="BP32" s="92">
        <f>IFERROR(AVERAGEIFS('Base Kpi'!$CN:$CN,'Base Kpi'!$CG:$CG,Cliente!$E32,'Base Kpi'!$CM:$CM,Cliente!BP$5),0)</f>
        <v>12</v>
      </c>
      <c r="BQ32" s="92">
        <f>IFERROR(AVERAGEIFS('Base Kpi'!$CN:$CN,'Base Kpi'!$CG:$CG,Cliente!$E32,'Base Kpi'!$CM:$CM,Cliente!BQ$5),0)</f>
        <v>34.4</v>
      </c>
      <c r="BR32" s="92">
        <f>IFERROR(AVERAGEIFS('Base Kpi'!$CN:$CN,'Base Kpi'!$CG:$CG,Cliente!$E32,'Base Kpi'!$CM:$CM,Cliente!BR$5),0)</f>
        <v>18</v>
      </c>
      <c r="BS32" s="94">
        <f t="shared" si="21"/>
        <v>90.824999999999989</v>
      </c>
      <c r="BT32" s="95">
        <f t="shared" si="22"/>
        <v>1</v>
      </c>
      <c r="BU32" s="60">
        <f>IFERROR(AVERAGEIFS('Base Kpi'!$CZ:$CZ,'Base Kpi'!$CS:$CS,Cliente!$E32,'Base Kpi'!$CY:$CY,Cliente!BU$5),0)</f>
        <v>21.425000000000001</v>
      </c>
      <c r="BV32" s="92">
        <f>IFERROR(AVERAGEIFS('Base Kpi'!$CZ:$CZ,'Base Kpi'!$CS:$CS,Cliente!$E32,'Base Kpi'!$CY:$CY,Cliente!BV$5),0)</f>
        <v>5</v>
      </c>
      <c r="BW32" s="92">
        <f>IFERROR(AVERAGEIFS('Base Kpi'!$CZ:$CZ,'Base Kpi'!$CS:$CS,Cliente!$E32,'Base Kpi'!$CY:$CY,Cliente!BW$5),0)</f>
        <v>12</v>
      </c>
      <c r="BX32" s="92">
        <f>IFERROR(AVERAGEIFS('Base Kpi'!$CZ:$CZ,'Base Kpi'!$CS:$CS,Cliente!$E32,'Base Kpi'!$CY:$CY,Cliente!BX$5),0)</f>
        <v>32.799999999999997</v>
      </c>
      <c r="BY32" s="92">
        <f>IFERROR(AVERAGEIFS('Base Kpi'!$CZ:$CZ,'Base Kpi'!$CS:$CS,Cliente!$E32,'Base Kpi'!$CY:$CY,Cliente!BY$5),0)</f>
        <v>18</v>
      </c>
      <c r="BZ32" s="94">
        <f t="shared" si="23"/>
        <v>89.224999999999994</v>
      </c>
      <c r="CA32" s="95">
        <f t="shared" si="24"/>
        <v>1</v>
      </c>
      <c r="CB32" s="60">
        <f t="shared" si="44"/>
        <v>59.20000000000001</v>
      </c>
      <c r="CC32" s="97">
        <f t="shared" si="45"/>
        <v>0</v>
      </c>
      <c r="CD32" s="43">
        <f t="shared" si="46"/>
        <v>0</v>
      </c>
      <c r="CE32" s="60" cm="1">
        <f t="array" ref="CE32">IFERROR(LARGE(_xlfn._xlws.FILTER('Base Kpi'!$DL:$DL,('Base Kpi'!$DK:$DK=$CE$5)*('Base Kpi'!$DE:$DE=Cliente!$E32)),1),0)</f>
        <v>34.4</v>
      </c>
      <c r="CF32" s="60" cm="1">
        <f t="array" ref="CF32">IFERROR(LARGE(_xlfn._xlws.FILTER('Base Kpi'!$DL:$DL,('Base Kpi'!$DK:$DK=$CF$5)*('Base Kpi'!$DE:$DE=Cliente!$E32)),1),0)</f>
        <v>0</v>
      </c>
      <c r="CG32" s="60" cm="1">
        <f t="array" ref="CG32">IFERROR(LARGE(_xlfn._xlws.FILTER('Base Kpi'!$DL:$DL,('Base Kpi'!$DK:$DK=$CG$5)*('Base Kpi'!$DE:$DE=Cliente!$E32)),1),0)</f>
        <v>5</v>
      </c>
      <c r="CH32" s="60" cm="1">
        <f t="array" ref="CH32">IFERROR(LARGE(_xlfn._xlws.FILTER('Base Kpi'!$DL:$DL,('Base Kpi'!$DK:$DK=$CH$5)*('Base Kpi'!$DE:$DE=Cliente!$E32)),1),0)</f>
        <v>18</v>
      </c>
      <c r="CI32" s="60" cm="1">
        <f t="array" ref="CI32">IFERROR(LARGE(_xlfn._xlws.FILTER('Base Kpi'!$DL:$DL,('Base Kpi'!$DK:$DK=$CI$5)*('Base Kpi'!$DE:$DE=Cliente!$E32)),1),0)</f>
        <v>25</v>
      </c>
      <c r="CJ32" s="60" cm="1">
        <f t="array" ref="CJ32">IFERROR(LARGE(_xlfn._xlws.FILTER('Base Kpi'!$DL:$DL,('Base Kpi'!$DK:$DK=$CJ$5)*('Base Kpi'!$DE:$DE=Cliente!$E32)),1),0)</f>
        <v>6</v>
      </c>
      <c r="CK32" s="60" cm="1">
        <f t="array" ref="CK32">IFERROR(LARGE(_xlfn._xlws.FILTER('Base Kpi'!$DL:$DL,('Base Kpi'!$DK:$DK=$CK$5)*('Base Kpi'!$DE:$DE=Cliente!$E32)),1),0)</f>
        <v>0</v>
      </c>
      <c r="CL32" s="94">
        <f t="shared" si="28"/>
        <v>88.4</v>
      </c>
      <c r="CM32" s="95">
        <f t="shared" si="47"/>
        <v>1</v>
      </c>
      <c r="CN32" s="60">
        <f>IFERROR(AVERAGEIFS('Base Kpi'!$DX:$DX,'Base Kpi'!$DQ:$DQ,Cliente!$E32,'Base Kpi'!$DW:$DW,Cliente!CN$5),0)</f>
        <v>35.200000000000003</v>
      </c>
      <c r="CO32" s="92">
        <f>IFERROR(AVERAGEIFS('Base Kpi'!$DX:$DX,'Base Kpi'!$DQ:$DQ,Cliente!$E32,'Base Kpi'!$DW:$DW,Cliente!CO$5),0)</f>
        <v>0</v>
      </c>
      <c r="CP32" s="92">
        <f>IFERROR(AVERAGEIFS('Base Kpi'!$DX:$DX,'Base Kpi'!$DQ:$DQ,Cliente!$E32,'Base Kpi'!$DW:$DW,Cliente!CP$5),0)</f>
        <v>5</v>
      </c>
      <c r="CQ32" s="92">
        <f>IFERROR(AVERAGEIFS('Base Kpi'!$DX:$DX,'Base Kpi'!$DQ:$DQ,Cliente!$E32,'Base Kpi'!$DW:$DW,Cliente!CQ$5),0)</f>
        <v>18</v>
      </c>
      <c r="CR32" s="92">
        <f>IFERROR(AVERAGEIFS('Base Kpi'!$DX:$DX,'Base Kpi'!$DQ:$DQ,Cliente!$E32,'Base Kpi'!$DW:$DW,Cliente!CR$5),0)</f>
        <v>25</v>
      </c>
      <c r="CS32" s="92">
        <f>IFERROR(AVERAGEIFS('Base Kpi'!$DX:$DX,'Base Kpi'!$DQ:$DQ,Cliente!$E32,'Base Kpi'!$DW:$DW,Cliente!CS$5),0)</f>
        <v>6</v>
      </c>
      <c r="CT32" s="92">
        <f>IFERROR(AVERAGEIFS('Base Kpi'!$DX:$DX,'Base Kpi'!$DQ:$DQ,Cliente!$E32,'Base Kpi'!$DW:$DW,Cliente!CT$5),0)</f>
        <v>0</v>
      </c>
      <c r="CU32" s="94">
        <f t="shared" si="48"/>
        <v>89.2</v>
      </c>
      <c r="CV32" s="95">
        <f t="shared" si="49"/>
        <v>1</v>
      </c>
      <c r="CW32" s="60">
        <f>IFERROR(AVERAGEIFS('Base Kpi'!$EJ:$EJ,'Base Kpi'!$EC:$EC,Cliente!$E32,'Base Kpi'!$EI:$EI,Cliente!CW$5),0)</f>
        <v>0</v>
      </c>
      <c r="CX32" s="92">
        <f>IFERROR(AVERAGEIFS('Base Kpi'!$EJ:$EJ,'Base Kpi'!$EC:$EC,Cliente!$E32,'Base Kpi'!$EI:$EI,Cliente!CX$5),0)</f>
        <v>0</v>
      </c>
      <c r="CY32" s="92">
        <f>IFERROR(AVERAGEIFS('Base Kpi'!$EJ:$EJ,'Base Kpi'!$EC:$EC,Cliente!$E32,'Base Kpi'!$EI:$EI,Cliente!CY$5),0)</f>
        <v>0</v>
      </c>
      <c r="CZ32" s="92">
        <f>IFERROR(AVERAGEIFS('Base Kpi'!$EJ:$EJ,'Base Kpi'!$EC:$EC,Cliente!$E32,'Base Kpi'!$EI:$EI,Cliente!CZ$5),0)</f>
        <v>0</v>
      </c>
      <c r="DA32" s="92">
        <f>IFERROR(AVERAGEIFS('Base Kpi'!$EJ:$EJ,'Base Kpi'!$EC:$EC,Cliente!$E32,'Base Kpi'!$EI:$EI,Cliente!DA$5),0)</f>
        <v>0</v>
      </c>
      <c r="DB32" s="92">
        <f>IFERROR(AVERAGEIFS('Base Kpi'!$EJ:$EJ,'Base Kpi'!$EC:$EC,Cliente!$E32,'Base Kpi'!$EI:$EI,Cliente!DB$5),0)</f>
        <v>0</v>
      </c>
      <c r="DC32" s="92">
        <f>IFERROR(AVERAGEIFS('Base Kpi'!$EJ:$EJ,'Base Kpi'!$EC:$EC,Cliente!$E32,'Base Kpi'!$EI:$EI,Cliente!DC$5),0)</f>
        <v>0</v>
      </c>
      <c r="DD32" s="94">
        <f t="shared" si="50"/>
        <v>0</v>
      </c>
      <c r="DE32" s="95">
        <f t="shared" si="51"/>
        <v>0</v>
      </c>
      <c r="DF32" s="120"/>
    </row>
    <row r="33" spans="2:110" x14ac:dyDescent="0.35">
      <c r="B33" s="52" t="s">
        <v>427</v>
      </c>
      <c r="C33" s="21">
        <v>4054</v>
      </c>
      <c r="D33" s="21" t="s">
        <v>432</v>
      </c>
      <c r="E33" s="21">
        <v>51551</v>
      </c>
      <c r="F33" s="16" t="s">
        <v>40</v>
      </c>
      <c r="G33" s="16" t="s">
        <v>299</v>
      </c>
      <c r="H33" s="16" t="s">
        <v>320</v>
      </c>
      <c r="I33" s="16" t="s">
        <v>300</v>
      </c>
      <c r="J33" s="16" t="s">
        <v>89</v>
      </c>
      <c r="K33" s="34" t="s">
        <v>82</v>
      </c>
      <c r="L33" s="60">
        <f t="shared" si="33"/>
        <v>50.680000000000007</v>
      </c>
      <c r="M33" s="97">
        <f t="shared" si="34"/>
        <v>1</v>
      </c>
      <c r="N33" s="43">
        <f t="shared" si="2"/>
        <v>0</v>
      </c>
      <c r="O33" s="60">
        <f>IFERROR(AVERAGEIFS('Base Kpi'!$I:$I,'Base Kpi'!$B:$B,Cliente!$E33,'Base Kpi'!$G:$G,Cliente!O$5),0)</f>
        <v>21.42</v>
      </c>
      <c r="P33" s="92">
        <f>IFERROR(AVERAGEIFS('Base Kpi'!$I:$I,'Base Kpi'!$B:$B,Cliente!$E33,'Base Kpi'!$G:$G,Cliente!P$5),0)</f>
        <v>0</v>
      </c>
      <c r="Q33" s="92">
        <f>IFERROR(AVERAGEIFS('Base Kpi'!$I:$I,'Base Kpi'!$B:$B,Cliente!$E33,'Base Kpi'!$G:$G,Cliente!Q$5),0)</f>
        <v>10.199999999999999</v>
      </c>
      <c r="R33" s="92">
        <f>IFERROR(AVERAGEIFS('Base Kpi'!$I:$I,'Base Kpi'!$B:$B,Cliente!$E33,'Base Kpi'!$G:$G,Cliente!R$5),0)</f>
        <v>18</v>
      </c>
      <c r="S33" s="94">
        <f t="shared" si="35"/>
        <v>49.620000000000005</v>
      </c>
      <c r="T33" s="95">
        <f t="shared" si="36"/>
        <v>0</v>
      </c>
      <c r="U33" s="60">
        <f>IFERROR(AVERAGEIFS('Base Kpi'!$T:$T,'Base Kpi'!$M:$M,Cliente!$E33,'Base Kpi'!$S:$S,Cliente!U$5),0)</f>
        <v>30</v>
      </c>
      <c r="V33" s="92">
        <f>IFERROR(AVERAGEIFS('Base Kpi'!$T:$T,'Base Kpi'!$M:$M,Cliente!$E33,'Base Kpi'!$S:$S,Cliente!V$5),0)</f>
        <v>0</v>
      </c>
      <c r="W33" s="92">
        <f>IFERROR(AVERAGEIFS('Base Kpi'!$T:$T,'Base Kpi'!$M:$M,Cliente!$E33,'Base Kpi'!$S:$S,Cliente!W$5),0)</f>
        <v>8.5</v>
      </c>
      <c r="X33" s="92">
        <f>IFERROR(AVERAGEIFS('Base Kpi'!$T:$T,'Base Kpi'!$M:$M,Cliente!$E33,'Base Kpi'!$S:$S,Cliente!X$5),0)</f>
        <v>16.875</v>
      </c>
      <c r="Y33" s="94">
        <f t="shared" si="37"/>
        <v>55.375</v>
      </c>
      <c r="Z33" s="95">
        <f t="shared" si="38"/>
        <v>0</v>
      </c>
      <c r="AA33" s="60">
        <f>IFERROR(AVERAGEIFS('Base Kpi'!$AF:$AF,'Base Kpi'!$Y:$Y,Cliente!$E33,'Base Kpi'!$AE:$AE,Cliente!AA$5),0)</f>
        <v>21.42</v>
      </c>
      <c r="AB33" s="92">
        <f>IFERROR(AVERAGEIFS('Base Kpi'!$AF:$AF,'Base Kpi'!$Y:$Y,Cliente!$E33,'Base Kpi'!$AE:$AE,Cliente!AB$5),0)</f>
        <v>0</v>
      </c>
      <c r="AC33" s="92">
        <f>IFERROR(AVERAGEIFS('Base Kpi'!$AF:$AF,'Base Kpi'!$Y:$Y,Cliente!$E33,'Base Kpi'!$AE:$AE,Cliente!AC$5),0)</f>
        <v>4.25</v>
      </c>
      <c r="AD33" s="92">
        <f>IFERROR(AVERAGEIFS('Base Kpi'!$AF:$AF,'Base Kpi'!$Y:$Y,Cliente!$E33,'Base Kpi'!$AE:$AE,Cliente!AD$5),0)</f>
        <v>21.375</v>
      </c>
      <c r="AE33" s="94">
        <f t="shared" si="39"/>
        <v>47.045000000000002</v>
      </c>
      <c r="AF33" s="95">
        <f t="shared" si="40"/>
        <v>0</v>
      </c>
      <c r="AG33" s="60">
        <f t="shared" si="9"/>
        <v>14.158333333333331</v>
      </c>
      <c r="AH33" s="97">
        <f t="shared" si="10"/>
        <v>0</v>
      </c>
      <c r="AI33" s="88">
        <f t="shared" si="41"/>
        <v>0</v>
      </c>
      <c r="AJ33" s="92">
        <f>IFERROR(AVERAGEIFS('Base Kpi'!$AR:$AR,'Base Kpi'!$AK:$AK,Cliente!$E33,'Base Kpi'!$AQ:$AQ,AJ$5),0)</f>
        <v>14.275</v>
      </c>
      <c r="AK33" s="92">
        <f>IFERROR(AVERAGEIFS('Base Kpi'!$AR:$AR,'Base Kpi'!$AK:$AK,Cliente!$E33,'Base Kpi'!$AQ:$AQ,AK$5),0)</f>
        <v>0</v>
      </c>
      <c r="AL33" s="92">
        <f>IFERROR(AVERAGEIFS('Base Kpi'!$AR:$AR,'Base Kpi'!$AK:$AK,Cliente!$E33,'Base Kpi'!$AQ:$AQ,AL$5),0)</f>
        <v>3</v>
      </c>
      <c r="AM33" s="92">
        <f>IFERROR(AVERAGEIFS('Base Kpi'!$AR:$AR,'Base Kpi'!$AK:$AK,Cliente!$E33,'Base Kpi'!$AQ:$AQ,AM$5),0)</f>
        <v>25.2</v>
      </c>
      <c r="AN33" s="94">
        <f t="shared" si="12"/>
        <v>42.474999999999994</v>
      </c>
      <c r="AO33" s="95">
        <f t="shared" si="13"/>
        <v>0</v>
      </c>
      <c r="AP33" s="60">
        <f>IFERROR(AVERAGEIFS('Base Kpi'!$BD:$BD,'Base Kpi'!$AW:$AW,Cliente!$E33,'Base Kpi'!$BC:$BC,Cliente!AP$5),0)</f>
        <v>0</v>
      </c>
      <c r="AQ33" s="92">
        <f>IFERROR(AVERAGEIFS('Base Kpi'!$BD:$BD,'Base Kpi'!$AW:$AW,Cliente!$E33,'Base Kpi'!$BC:$BC,Cliente!AQ$5),0)</f>
        <v>0</v>
      </c>
      <c r="AR33" s="92">
        <f>IFERROR(AVERAGEIFS('Base Kpi'!$BD:$BD,'Base Kpi'!$AW:$AW,Cliente!$E33,'Base Kpi'!$BC:$BC,Cliente!AR$5),0)</f>
        <v>0</v>
      </c>
      <c r="AS33" s="92">
        <f>IFERROR(AVERAGEIFS('Base Kpi'!$BD:$BD,'Base Kpi'!$AW:$AW,Cliente!$E33,'Base Kpi'!$BC:$BC,Cliente!AS$5),0)</f>
        <v>0</v>
      </c>
      <c r="AT33" s="92">
        <f>IFERROR(AVERAGEIFS('Base Kpi'!$BD:$BD,'Base Kpi'!$AW:$AW,Cliente!$E33,'Base Kpi'!$BC:$BC,Cliente!AT$5),0)</f>
        <v>0</v>
      </c>
      <c r="AU33" s="94">
        <f t="shared" si="14"/>
        <v>0</v>
      </c>
      <c r="AV33" s="95">
        <f t="shared" si="15"/>
        <v>0</v>
      </c>
      <c r="AW33" s="60">
        <f>IFERROR(AVERAGEIFS('Base Kpi'!$BP:$BP,'Base Kpi'!$BI:$BI,Cliente!$E33,'Base Kpi'!$BO:$BO,Cliente!AW$5),0)</f>
        <v>0</v>
      </c>
      <c r="AX33" s="92">
        <f>IFERROR(AVERAGEIFS('Base Kpi'!$BP:$BP,'Base Kpi'!$BI:$BI,Cliente!$E33,'Base Kpi'!$BO:$BO,Cliente!AX$5),0)</f>
        <v>0</v>
      </c>
      <c r="AY33" s="92">
        <f>IFERROR(AVERAGEIFS('Base Kpi'!$BP:$BP,'Base Kpi'!$BI:$BI,Cliente!$E33,'Base Kpi'!$BO:$BO,Cliente!AY$5),0)</f>
        <v>0</v>
      </c>
      <c r="AZ33" s="92">
        <f>IFERROR(AVERAGEIFS('Base Kpi'!$BP:$BP,'Base Kpi'!$BI:$BI,Cliente!$E33,'Base Kpi'!$BO:$BO,Cliente!AZ$5),0)</f>
        <v>0</v>
      </c>
      <c r="BA33" s="92">
        <f>IFERROR(AVERAGEIFS('Base Kpi'!$BP:$BP,'Base Kpi'!$BI:$BI,Cliente!$E33,'Base Kpi'!$BO:$BO,Cliente!BA$5),0)</f>
        <v>0</v>
      </c>
      <c r="BB33" s="94">
        <f t="shared" si="16"/>
        <v>0</v>
      </c>
      <c r="BC33" s="95">
        <f t="shared" si="17"/>
        <v>0</v>
      </c>
      <c r="BD33" s="60" t="str">
        <f t="shared" si="42"/>
        <v/>
      </c>
      <c r="BE33" s="97">
        <f t="shared" si="18"/>
        <v>0</v>
      </c>
      <c r="BF33" s="88">
        <f t="shared" si="43"/>
        <v>0</v>
      </c>
      <c r="BG33" s="60">
        <f>IFERROR(AVERAGEIFS('Base Kpi'!$CB:$CB,'Base Kpi'!$BU:$BU,Cliente!$E33,'Base Kpi'!$CA:$CA,Cliente!BG$5),0)</f>
        <v>0</v>
      </c>
      <c r="BH33" s="92">
        <f>IFERROR(AVERAGEIFS('Base Kpi'!$CB:$CB,'Base Kpi'!$BU:$BU,Cliente!$E33,'Base Kpi'!$CA:$CA,Cliente!BH$5),0)</f>
        <v>0</v>
      </c>
      <c r="BI33" s="92">
        <f>IFERROR(AVERAGEIFS('Base Kpi'!$CB:$CB,'Base Kpi'!$BU:$BU,Cliente!$E33,'Base Kpi'!$CA:$CA,Cliente!BI$5),0)</f>
        <v>0</v>
      </c>
      <c r="BJ33" s="92">
        <f>IFERROR(AVERAGEIFS('Base Kpi'!$CB:$CB,'Base Kpi'!$BU:$BU,Cliente!$E33,'Base Kpi'!$CA:$CA,Cliente!BJ$5),0)</f>
        <v>0</v>
      </c>
      <c r="BK33" s="92">
        <f>IFERROR(AVERAGEIFS('Base Kpi'!$CB:$CB,'Base Kpi'!$BU:$BU,Cliente!$E33,'Base Kpi'!$CA:$CA,Cliente!BK$5),0)</f>
        <v>0</v>
      </c>
      <c r="BL33" s="94">
        <f t="shared" si="19"/>
        <v>0</v>
      </c>
      <c r="BM33" s="95">
        <f t="shared" si="20"/>
        <v>0</v>
      </c>
      <c r="BN33" s="60">
        <f>IFERROR(AVERAGEIFS('Base Kpi'!$CN:$CN,'Base Kpi'!$CG:$CG,Cliente!$E33,'Base Kpi'!$CM:$CM,Cliente!BN$5),0)</f>
        <v>0</v>
      </c>
      <c r="BO33" s="92">
        <f>IFERROR(AVERAGEIFS('Base Kpi'!$CN:$CN,'Base Kpi'!$CG:$CG,Cliente!$E33,'Base Kpi'!$CM:$CM,Cliente!BO$5),0)</f>
        <v>0</v>
      </c>
      <c r="BP33" s="92">
        <f>IFERROR(AVERAGEIFS('Base Kpi'!$CN:$CN,'Base Kpi'!$CG:$CG,Cliente!$E33,'Base Kpi'!$CM:$CM,Cliente!BP$5),0)</f>
        <v>0</v>
      </c>
      <c r="BQ33" s="92">
        <f>IFERROR(AVERAGEIFS('Base Kpi'!$CN:$CN,'Base Kpi'!$CG:$CG,Cliente!$E33,'Base Kpi'!$CM:$CM,Cliente!BQ$5),0)</f>
        <v>0</v>
      </c>
      <c r="BR33" s="92">
        <f>IFERROR(AVERAGEIFS('Base Kpi'!$CN:$CN,'Base Kpi'!$CG:$CG,Cliente!$E33,'Base Kpi'!$CM:$CM,Cliente!BR$5),0)</f>
        <v>0</v>
      </c>
      <c r="BS33" s="94">
        <f t="shared" si="21"/>
        <v>0</v>
      </c>
      <c r="BT33" s="95">
        <f t="shared" si="22"/>
        <v>0</v>
      </c>
      <c r="BU33" s="60">
        <f>IFERROR(AVERAGEIFS('Base Kpi'!$CZ:$CZ,'Base Kpi'!$CS:$CS,Cliente!$E33,'Base Kpi'!$CY:$CY,Cliente!BU$5),0)</f>
        <v>0</v>
      </c>
      <c r="BV33" s="92">
        <f>IFERROR(AVERAGEIFS('Base Kpi'!$CZ:$CZ,'Base Kpi'!$CS:$CS,Cliente!$E33,'Base Kpi'!$CY:$CY,Cliente!BV$5),0)</f>
        <v>0</v>
      </c>
      <c r="BW33" s="92">
        <f>IFERROR(AVERAGEIFS('Base Kpi'!$CZ:$CZ,'Base Kpi'!$CS:$CS,Cliente!$E33,'Base Kpi'!$CY:$CY,Cliente!BW$5),0)</f>
        <v>0</v>
      </c>
      <c r="BX33" s="92">
        <f>IFERROR(AVERAGEIFS('Base Kpi'!$CZ:$CZ,'Base Kpi'!$CS:$CS,Cliente!$E33,'Base Kpi'!$CY:$CY,Cliente!BX$5),0)</f>
        <v>0</v>
      </c>
      <c r="BY33" s="92">
        <f>IFERROR(AVERAGEIFS('Base Kpi'!$CZ:$CZ,'Base Kpi'!$CS:$CS,Cliente!$E33,'Base Kpi'!$CY:$CY,Cliente!BY$5),0)</f>
        <v>0</v>
      </c>
      <c r="BZ33" s="94">
        <f t="shared" si="23"/>
        <v>0</v>
      </c>
      <c r="CA33" s="95">
        <f t="shared" si="24"/>
        <v>0</v>
      </c>
      <c r="CB33" s="60" t="str">
        <f t="shared" si="44"/>
        <v/>
      </c>
      <c r="CC33" s="97">
        <f t="shared" si="45"/>
        <v>0</v>
      </c>
      <c r="CD33" s="43">
        <f t="shared" si="46"/>
        <v>0</v>
      </c>
      <c r="CE33" s="60" cm="1">
        <f t="array" ref="CE33">IFERROR(LARGE(_xlfn._xlws.FILTER('Base Kpi'!$DL:$DL,('Base Kpi'!$DK:$DK=$CE$5)*('Base Kpi'!$DE:$DE=Cliente!$E33)),1),0)</f>
        <v>0</v>
      </c>
      <c r="CF33" s="60" cm="1">
        <f t="array" ref="CF33">IFERROR(LARGE(_xlfn._xlws.FILTER('Base Kpi'!$DL:$DL,('Base Kpi'!$DK:$DK=$CF$5)*('Base Kpi'!$DE:$DE=Cliente!$E33)),1),0)</f>
        <v>0</v>
      </c>
      <c r="CG33" s="60" cm="1">
        <f t="array" ref="CG33">IFERROR(LARGE(_xlfn._xlws.FILTER('Base Kpi'!$DL:$DL,('Base Kpi'!$DK:$DK=$CG$5)*('Base Kpi'!$DE:$DE=Cliente!$E33)),1),0)</f>
        <v>0</v>
      </c>
      <c r="CH33" s="60" cm="1">
        <f t="array" ref="CH33">IFERROR(LARGE(_xlfn._xlws.FILTER('Base Kpi'!$DL:$DL,('Base Kpi'!$DK:$DK=$CH$5)*('Base Kpi'!$DE:$DE=Cliente!$E33)),1),0)</f>
        <v>0</v>
      </c>
      <c r="CI33" s="60" cm="1">
        <f t="array" ref="CI33">IFERROR(LARGE(_xlfn._xlws.FILTER('Base Kpi'!$DL:$DL,('Base Kpi'!$DK:$DK=$CI$5)*('Base Kpi'!$DE:$DE=Cliente!$E33)),1),0)</f>
        <v>0</v>
      </c>
      <c r="CJ33" s="60" cm="1">
        <f t="array" ref="CJ33">IFERROR(LARGE(_xlfn._xlws.FILTER('Base Kpi'!$DL:$DL,('Base Kpi'!$DK:$DK=$CJ$5)*('Base Kpi'!$DE:$DE=Cliente!$E33)),1),0)</f>
        <v>0</v>
      </c>
      <c r="CK33" s="60" cm="1">
        <f t="array" ref="CK33">IFERROR(LARGE(_xlfn._xlws.FILTER('Base Kpi'!$DL:$DL,('Base Kpi'!$DK:$DK=$CK$5)*('Base Kpi'!$DE:$DE=Cliente!$E33)),1),0)</f>
        <v>0</v>
      </c>
      <c r="CL33" s="94">
        <f t="shared" si="28"/>
        <v>0</v>
      </c>
      <c r="CM33" s="95">
        <f t="shared" si="47"/>
        <v>0</v>
      </c>
      <c r="CN33" s="60">
        <f>IFERROR(AVERAGEIFS('Base Kpi'!$DX:$DX,'Base Kpi'!$DQ:$DQ,Cliente!$E33,'Base Kpi'!$DW:$DW,Cliente!CN$5),0)</f>
        <v>0</v>
      </c>
      <c r="CO33" s="92">
        <f>IFERROR(AVERAGEIFS('Base Kpi'!$DX:$DX,'Base Kpi'!$DQ:$DQ,Cliente!$E33,'Base Kpi'!$DW:$DW,Cliente!CO$5),0)</f>
        <v>0</v>
      </c>
      <c r="CP33" s="92">
        <f>IFERROR(AVERAGEIFS('Base Kpi'!$DX:$DX,'Base Kpi'!$DQ:$DQ,Cliente!$E33,'Base Kpi'!$DW:$DW,Cliente!CP$5),0)</f>
        <v>0</v>
      </c>
      <c r="CQ33" s="92">
        <f>IFERROR(AVERAGEIFS('Base Kpi'!$DX:$DX,'Base Kpi'!$DQ:$DQ,Cliente!$E33,'Base Kpi'!$DW:$DW,Cliente!CQ$5),0)</f>
        <v>0</v>
      </c>
      <c r="CR33" s="92">
        <f>IFERROR(AVERAGEIFS('Base Kpi'!$DX:$DX,'Base Kpi'!$DQ:$DQ,Cliente!$E33,'Base Kpi'!$DW:$DW,Cliente!CR$5),0)</f>
        <v>0</v>
      </c>
      <c r="CS33" s="92">
        <f>IFERROR(AVERAGEIFS('Base Kpi'!$DX:$DX,'Base Kpi'!$DQ:$DQ,Cliente!$E33,'Base Kpi'!$DW:$DW,Cliente!CS$5),0)</f>
        <v>0</v>
      </c>
      <c r="CT33" s="92">
        <f>IFERROR(AVERAGEIFS('Base Kpi'!$DX:$DX,'Base Kpi'!$DQ:$DQ,Cliente!$E33,'Base Kpi'!$DW:$DW,Cliente!CT$5),0)</f>
        <v>0</v>
      </c>
      <c r="CU33" s="94">
        <f t="shared" si="48"/>
        <v>0</v>
      </c>
      <c r="CV33" s="95">
        <f t="shared" si="49"/>
        <v>0</v>
      </c>
      <c r="CW33" s="60">
        <f>IFERROR(AVERAGEIFS('Base Kpi'!$EJ:$EJ,'Base Kpi'!$EC:$EC,Cliente!$E33,'Base Kpi'!$EI:$EI,Cliente!CW$5),0)</f>
        <v>0</v>
      </c>
      <c r="CX33" s="92">
        <f>IFERROR(AVERAGEIFS('Base Kpi'!$EJ:$EJ,'Base Kpi'!$EC:$EC,Cliente!$E33,'Base Kpi'!$EI:$EI,Cliente!CX$5),0)</f>
        <v>0</v>
      </c>
      <c r="CY33" s="92">
        <f>IFERROR(AVERAGEIFS('Base Kpi'!$EJ:$EJ,'Base Kpi'!$EC:$EC,Cliente!$E33,'Base Kpi'!$EI:$EI,Cliente!CY$5),0)</f>
        <v>0</v>
      </c>
      <c r="CZ33" s="92">
        <f>IFERROR(AVERAGEIFS('Base Kpi'!$EJ:$EJ,'Base Kpi'!$EC:$EC,Cliente!$E33,'Base Kpi'!$EI:$EI,Cliente!CZ$5),0)</f>
        <v>0</v>
      </c>
      <c r="DA33" s="92">
        <f>IFERROR(AVERAGEIFS('Base Kpi'!$EJ:$EJ,'Base Kpi'!$EC:$EC,Cliente!$E33,'Base Kpi'!$EI:$EI,Cliente!DA$5),0)</f>
        <v>0</v>
      </c>
      <c r="DB33" s="92">
        <f>IFERROR(AVERAGEIFS('Base Kpi'!$EJ:$EJ,'Base Kpi'!$EC:$EC,Cliente!$E33,'Base Kpi'!$EI:$EI,Cliente!DB$5),0)</f>
        <v>0</v>
      </c>
      <c r="DC33" s="92">
        <f>IFERROR(AVERAGEIFS('Base Kpi'!$EJ:$EJ,'Base Kpi'!$EC:$EC,Cliente!$E33,'Base Kpi'!$EI:$EI,Cliente!DC$5),0)</f>
        <v>0</v>
      </c>
      <c r="DD33" s="94">
        <f t="shared" si="50"/>
        <v>0</v>
      </c>
      <c r="DE33" s="95">
        <f t="shared" si="51"/>
        <v>0</v>
      </c>
      <c r="DF33" s="120"/>
    </row>
    <row r="34" spans="2:110" x14ac:dyDescent="0.35">
      <c r="B34" s="52" t="s">
        <v>427</v>
      </c>
      <c r="C34" s="21">
        <v>4054</v>
      </c>
      <c r="D34" s="21" t="s">
        <v>432</v>
      </c>
      <c r="E34" s="21">
        <v>182419</v>
      </c>
      <c r="F34" s="16" t="s">
        <v>40</v>
      </c>
      <c r="G34" s="16" t="s">
        <v>256</v>
      </c>
      <c r="H34" s="16" t="s">
        <v>321</v>
      </c>
      <c r="I34" s="16" t="s">
        <v>304</v>
      </c>
      <c r="J34" s="16" t="s">
        <v>92</v>
      </c>
      <c r="K34" s="34" t="s">
        <v>82</v>
      </c>
      <c r="L34" s="60">
        <f t="shared" si="33"/>
        <v>42.993333333333339</v>
      </c>
      <c r="M34" s="97">
        <f t="shared" si="34"/>
        <v>1</v>
      </c>
      <c r="N34" s="43">
        <f t="shared" si="2"/>
        <v>0</v>
      </c>
      <c r="O34" s="60">
        <f>IFERROR(AVERAGEIFS('Base Kpi'!$I:$I,'Base Kpi'!$B:$B,Cliente!$E34,'Base Kpi'!$G:$G,Cliente!O$5),0)</f>
        <v>17.13</v>
      </c>
      <c r="P34" s="92">
        <f>IFERROR(AVERAGEIFS('Base Kpi'!$I:$I,'Base Kpi'!$B:$B,Cliente!$E34,'Base Kpi'!$G:$G,Cliente!P$5),0)</f>
        <v>0</v>
      </c>
      <c r="Q34" s="92">
        <f>IFERROR(AVERAGEIFS('Base Kpi'!$I:$I,'Base Kpi'!$B:$B,Cliente!$E34,'Base Kpi'!$G:$G,Cliente!Q$5),0)</f>
        <v>3.4</v>
      </c>
      <c r="R34" s="92">
        <f>IFERROR(AVERAGEIFS('Base Kpi'!$I:$I,'Base Kpi'!$B:$B,Cliente!$E34,'Base Kpi'!$G:$G,Cliente!R$5),0)</f>
        <v>31.5</v>
      </c>
      <c r="S34" s="94">
        <f t="shared" si="35"/>
        <v>52.03</v>
      </c>
      <c r="T34" s="95">
        <f t="shared" si="36"/>
        <v>0</v>
      </c>
      <c r="U34" s="60">
        <f>IFERROR(AVERAGEIFS('Base Kpi'!$T:$T,'Base Kpi'!$M:$M,Cliente!$E34,'Base Kpi'!$S:$S,Cliente!U$5),0)</f>
        <v>12.87</v>
      </c>
      <c r="V34" s="92">
        <f>IFERROR(AVERAGEIFS('Base Kpi'!$T:$T,'Base Kpi'!$M:$M,Cliente!$E34,'Base Kpi'!$S:$S,Cliente!V$5),0)</f>
        <v>0</v>
      </c>
      <c r="W34" s="92">
        <f>IFERROR(AVERAGEIFS('Base Kpi'!$T:$T,'Base Kpi'!$M:$M,Cliente!$E34,'Base Kpi'!$S:$S,Cliente!W$5),0)</f>
        <v>4.25</v>
      </c>
      <c r="X34" s="92">
        <f>IFERROR(AVERAGEIFS('Base Kpi'!$T:$T,'Base Kpi'!$M:$M,Cliente!$E34,'Base Kpi'!$S:$S,Cliente!X$5),0)</f>
        <v>20.25</v>
      </c>
      <c r="Y34" s="94">
        <f t="shared" si="37"/>
        <v>37.369999999999997</v>
      </c>
      <c r="Z34" s="95">
        <f t="shared" si="38"/>
        <v>0</v>
      </c>
      <c r="AA34" s="60">
        <f>IFERROR(AVERAGEIFS('Base Kpi'!$AF:$AF,'Base Kpi'!$Y:$Y,Cliente!$E34,'Base Kpi'!$AE:$AE,Cliente!AA$5),0)</f>
        <v>8.58</v>
      </c>
      <c r="AB34" s="92">
        <f>IFERROR(AVERAGEIFS('Base Kpi'!$AF:$AF,'Base Kpi'!$Y:$Y,Cliente!$E34,'Base Kpi'!$AE:$AE,Cliente!AB$5),0)</f>
        <v>0</v>
      </c>
      <c r="AC34" s="92">
        <f>IFERROR(AVERAGEIFS('Base Kpi'!$AF:$AF,'Base Kpi'!$Y:$Y,Cliente!$E34,'Base Kpi'!$AE:$AE,Cliente!AC$5),0)</f>
        <v>8.5</v>
      </c>
      <c r="AD34" s="92">
        <f>IFERROR(AVERAGEIFS('Base Kpi'!$AF:$AF,'Base Kpi'!$Y:$Y,Cliente!$E34,'Base Kpi'!$AE:$AE,Cliente!AD$5),0)</f>
        <v>22.5</v>
      </c>
      <c r="AE34" s="94">
        <f t="shared" si="39"/>
        <v>39.58</v>
      </c>
      <c r="AF34" s="95">
        <f t="shared" si="40"/>
        <v>0</v>
      </c>
      <c r="AG34" s="60">
        <f t="shared" si="9"/>
        <v>36.738333333333337</v>
      </c>
      <c r="AH34" s="97">
        <f t="shared" si="10"/>
        <v>0</v>
      </c>
      <c r="AI34" s="88">
        <f t="shared" si="41"/>
        <v>0</v>
      </c>
      <c r="AJ34" s="92">
        <f>IFERROR(AVERAGEIFS('Base Kpi'!$AR:$AR,'Base Kpi'!$AK:$AK,Cliente!$E34,'Base Kpi'!$AQ:$AQ,AJ$5),0)</f>
        <v>25</v>
      </c>
      <c r="AK34" s="92">
        <f>IFERROR(AVERAGEIFS('Base Kpi'!$AR:$AR,'Base Kpi'!$AK:$AK,Cliente!$E34,'Base Kpi'!$AQ:$AQ,AK$5),0)</f>
        <v>2.5</v>
      </c>
      <c r="AL34" s="92">
        <f>IFERROR(AVERAGEIFS('Base Kpi'!$AR:$AR,'Base Kpi'!$AK:$AK,Cliente!$E34,'Base Kpi'!$AQ:$AQ,AL$5),0)</f>
        <v>6</v>
      </c>
      <c r="AM34" s="92">
        <f>IFERROR(AVERAGEIFS('Base Kpi'!$AR:$AR,'Base Kpi'!$AK:$AK,Cliente!$E34,'Base Kpi'!$AQ:$AQ,AM$5),0)</f>
        <v>30.44</v>
      </c>
      <c r="AN34" s="94">
        <f t="shared" si="12"/>
        <v>63.94</v>
      </c>
      <c r="AO34" s="95">
        <f t="shared" si="13"/>
        <v>0</v>
      </c>
      <c r="AP34" s="60">
        <f>IFERROR(AVERAGEIFS('Base Kpi'!$BD:$BD,'Base Kpi'!$AW:$AW,Cliente!$E34,'Base Kpi'!$BC:$BC,Cliente!AP$5),0)</f>
        <v>14.275</v>
      </c>
      <c r="AQ34" s="92">
        <f>IFERROR(AVERAGEIFS('Base Kpi'!$BD:$BD,'Base Kpi'!$AW:$AW,Cliente!$E34,'Base Kpi'!$BC:$BC,Cliente!AQ$5),0)</f>
        <v>0</v>
      </c>
      <c r="AR34" s="92">
        <f>IFERROR(AVERAGEIFS('Base Kpi'!$BD:$BD,'Base Kpi'!$AW:$AW,Cliente!$E34,'Base Kpi'!$BC:$BC,Cliente!AR$5),0)</f>
        <v>12</v>
      </c>
      <c r="AS34" s="92">
        <f>IFERROR(AVERAGEIFS('Base Kpi'!$BD:$BD,'Base Kpi'!$AW:$AW,Cliente!$E34,'Base Kpi'!$BC:$BC,Cliente!AS$5),0)</f>
        <v>20</v>
      </c>
      <c r="AT34" s="92">
        <f>IFERROR(AVERAGEIFS('Base Kpi'!$BD:$BD,'Base Kpi'!$AW:$AW,Cliente!$E34,'Base Kpi'!$BC:$BC,Cliente!AT$5),0)</f>
        <v>0</v>
      </c>
      <c r="AU34" s="94">
        <f t="shared" si="14"/>
        <v>46.274999999999999</v>
      </c>
      <c r="AV34" s="95">
        <f t="shared" si="15"/>
        <v>0</v>
      </c>
      <c r="AW34" s="60">
        <f>IFERROR(AVERAGEIFS('Base Kpi'!$BP:$BP,'Base Kpi'!$BI:$BI,Cliente!$E34,'Base Kpi'!$BO:$BO,Cliente!AW$5),0)</f>
        <v>0</v>
      </c>
      <c r="AX34" s="92">
        <f>IFERROR(AVERAGEIFS('Base Kpi'!$BP:$BP,'Base Kpi'!$BI:$BI,Cliente!$E34,'Base Kpi'!$BO:$BO,Cliente!AX$5),0)</f>
        <v>0</v>
      </c>
      <c r="AY34" s="92">
        <f>IFERROR(AVERAGEIFS('Base Kpi'!$BP:$BP,'Base Kpi'!$BI:$BI,Cliente!$E34,'Base Kpi'!$BO:$BO,Cliente!AY$5),0)</f>
        <v>0</v>
      </c>
      <c r="AZ34" s="92">
        <f>IFERROR(AVERAGEIFS('Base Kpi'!$BP:$BP,'Base Kpi'!$BI:$BI,Cliente!$E34,'Base Kpi'!$BO:$BO,Cliente!AZ$5),0)</f>
        <v>0</v>
      </c>
      <c r="BA34" s="92">
        <f>IFERROR(AVERAGEIFS('Base Kpi'!$BP:$BP,'Base Kpi'!$BI:$BI,Cliente!$E34,'Base Kpi'!$BO:$BO,Cliente!BA$5),0)</f>
        <v>0</v>
      </c>
      <c r="BB34" s="94">
        <f t="shared" si="16"/>
        <v>0</v>
      </c>
      <c r="BC34" s="95">
        <f t="shared" si="17"/>
        <v>0</v>
      </c>
      <c r="BD34" s="60" t="str">
        <f t="shared" si="42"/>
        <v/>
      </c>
      <c r="BE34" s="97">
        <f t="shared" si="18"/>
        <v>0</v>
      </c>
      <c r="BF34" s="88">
        <f t="shared" si="43"/>
        <v>0</v>
      </c>
      <c r="BG34" s="60">
        <f>IFERROR(AVERAGEIFS('Base Kpi'!$CB:$CB,'Base Kpi'!$BU:$BU,Cliente!$E34,'Base Kpi'!$CA:$CA,Cliente!BG$5),0)</f>
        <v>0</v>
      </c>
      <c r="BH34" s="92">
        <f>IFERROR(AVERAGEIFS('Base Kpi'!$CB:$CB,'Base Kpi'!$BU:$BU,Cliente!$E34,'Base Kpi'!$CA:$CA,Cliente!BH$5),0)</f>
        <v>0</v>
      </c>
      <c r="BI34" s="92">
        <f>IFERROR(AVERAGEIFS('Base Kpi'!$CB:$CB,'Base Kpi'!$BU:$BU,Cliente!$E34,'Base Kpi'!$CA:$CA,Cliente!BI$5),0)</f>
        <v>0</v>
      </c>
      <c r="BJ34" s="92">
        <f>IFERROR(AVERAGEIFS('Base Kpi'!$CB:$CB,'Base Kpi'!$BU:$BU,Cliente!$E34,'Base Kpi'!$CA:$CA,Cliente!BJ$5),0)</f>
        <v>0</v>
      </c>
      <c r="BK34" s="92">
        <f>IFERROR(AVERAGEIFS('Base Kpi'!$CB:$CB,'Base Kpi'!$BU:$BU,Cliente!$E34,'Base Kpi'!$CA:$CA,Cliente!BK$5),0)</f>
        <v>0</v>
      </c>
      <c r="BL34" s="94">
        <f t="shared" si="19"/>
        <v>0</v>
      </c>
      <c r="BM34" s="95">
        <f t="shared" si="20"/>
        <v>0</v>
      </c>
      <c r="BN34" s="60">
        <f>IFERROR(AVERAGEIFS('Base Kpi'!$CN:$CN,'Base Kpi'!$CG:$CG,Cliente!$E34,'Base Kpi'!$CM:$CM,Cliente!BN$5),0)</f>
        <v>0</v>
      </c>
      <c r="BO34" s="92">
        <f>IFERROR(AVERAGEIFS('Base Kpi'!$CN:$CN,'Base Kpi'!$CG:$CG,Cliente!$E34,'Base Kpi'!$CM:$CM,Cliente!BO$5),0)</f>
        <v>0</v>
      </c>
      <c r="BP34" s="92">
        <f>IFERROR(AVERAGEIFS('Base Kpi'!$CN:$CN,'Base Kpi'!$CG:$CG,Cliente!$E34,'Base Kpi'!$CM:$CM,Cliente!BP$5),0)</f>
        <v>0</v>
      </c>
      <c r="BQ34" s="92">
        <f>IFERROR(AVERAGEIFS('Base Kpi'!$CN:$CN,'Base Kpi'!$CG:$CG,Cliente!$E34,'Base Kpi'!$CM:$CM,Cliente!BQ$5),0)</f>
        <v>0</v>
      </c>
      <c r="BR34" s="92">
        <f>IFERROR(AVERAGEIFS('Base Kpi'!$CN:$CN,'Base Kpi'!$CG:$CG,Cliente!$E34,'Base Kpi'!$CM:$CM,Cliente!BR$5),0)</f>
        <v>0</v>
      </c>
      <c r="BS34" s="94">
        <f t="shared" si="21"/>
        <v>0</v>
      </c>
      <c r="BT34" s="95">
        <f t="shared" si="22"/>
        <v>0</v>
      </c>
      <c r="BU34" s="60">
        <f>IFERROR(AVERAGEIFS('Base Kpi'!$CZ:$CZ,'Base Kpi'!$CS:$CS,Cliente!$E34,'Base Kpi'!$CY:$CY,Cliente!BU$5),0)</f>
        <v>0</v>
      </c>
      <c r="BV34" s="92">
        <f>IFERROR(AVERAGEIFS('Base Kpi'!$CZ:$CZ,'Base Kpi'!$CS:$CS,Cliente!$E34,'Base Kpi'!$CY:$CY,Cliente!BV$5),0)</f>
        <v>0</v>
      </c>
      <c r="BW34" s="92">
        <f>IFERROR(AVERAGEIFS('Base Kpi'!$CZ:$CZ,'Base Kpi'!$CS:$CS,Cliente!$E34,'Base Kpi'!$CY:$CY,Cliente!BW$5),0)</f>
        <v>0</v>
      </c>
      <c r="BX34" s="92">
        <f>IFERROR(AVERAGEIFS('Base Kpi'!$CZ:$CZ,'Base Kpi'!$CS:$CS,Cliente!$E34,'Base Kpi'!$CY:$CY,Cliente!BX$5),0)</f>
        <v>0</v>
      </c>
      <c r="BY34" s="92">
        <f>IFERROR(AVERAGEIFS('Base Kpi'!$CZ:$CZ,'Base Kpi'!$CS:$CS,Cliente!$E34,'Base Kpi'!$CY:$CY,Cliente!BY$5),0)</f>
        <v>0</v>
      </c>
      <c r="BZ34" s="94">
        <f t="shared" si="23"/>
        <v>0</v>
      </c>
      <c r="CA34" s="95">
        <f t="shared" si="24"/>
        <v>0</v>
      </c>
      <c r="CB34" s="60" t="str">
        <f t="shared" si="44"/>
        <v/>
      </c>
      <c r="CC34" s="97">
        <f t="shared" si="45"/>
        <v>0</v>
      </c>
      <c r="CD34" s="43">
        <f t="shared" si="46"/>
        <v>0</v>
      </c>
      <c r="CE34" s="60" cm="1">
        <f t="array" ref="CE34">IFERROR(LARGE(_xlfn._xlws.FILTER('Base Kpi'!$DL:$DL,('Base Kpi'!$DK:$DK=$CE$5)*('Base Kpi'!$DE:$DE=Cliente!$E34)),1),0)</f>
        <v>0</v>
      </c>
      <c r="CF34" s="60" cm="1">
        <f t="array" ref="CF34">IFERROR(LARGE(_xlfn._xlws.FILTER('Base Kpi'!$DL:$DL,('Base Kpi'!$DK:$DK=$CF$5)*('Base Kpi'!$DE:$DE=Cliente!$E34)),1),0)</f>
        <v>0</v>
      </c>
      <c r="CG34" s="60" cm="1">
        <f t="array" ref="CG34">IFERROR(LARGE(_xlfn._xlws.FILTER('Base Kpi'!$DL:$DL,('Base Kpi'!$DK:$DK=$CG$5)*('Base Kpi'!$DE:$DE=Cliente!$E34)),1),0)</f>
        <v>0</v>
      </c>
      <c r="CH34" s="60" cm="1">
        <f t="array" ref="CH34">IFERROR(LARGE(_xlfn._xlws.FILTER('Base Kpi'!$DL:$DL,('Base Kpi'!$DK:$DK=$CH$5)*('Base Kpi'!$DE:$DE=Cliente!$E34)),1),0)</f>
        <v>0</v>
      </c>
      <c r="CI34" s="60" cm="1">
        <f t="array" ref="CI34">IFERROR(LARGE(_xlfn._xlws.FILTER('Base Kpi'!$DL:$DL,('Base Kpi'!$DK:$DK=$CI$5)*('Base Kpi'!$DE:$DE=Cliente!$E34)),1),0)</f>
        <v>0</v>
      </c>
      <c r="CJ34" s="60" cm="1">
        <f t="array" ref="CJ34">IFERROR(LARGE(_xlfn._xlws.FILTER('Base Kpi'!$DL:$DL,('Base Kpi'!$DK:$DK=$CJ$5)*('Base Kpi'!$DE:$DE=Cliente!$E34)),1),0)</f>
        <v>0</v>
      </c>
      <c r="CK34" s="60" cm="1">
        <f t="array" ref="CK34">IFERROR(LARGE(_xlfn._xlws.FILTER('Base Kpi'!$DL:$DL,('Base Kpi'!$DK:$DK=$CK$5)*('Base Kpi'!$DE:$DE=Cliente!$E34)),1),0)</f>
        <v>0</v>
      </c>
      <c r="CL34" s="94">
        <f t="shared" si="28"/>
        <v>0</v>
      </c>
      <c r="CM34" s="95">
        <f t="shared" si="47"/>
        <v>0</v>
      </c>
      <c r="CN34" s="60">
        <f>IFERROR(AVERAGEIFS('Base Kpi'!$DX:$DX,'Base Kpi'!$DQ:$DQ,Cliente!$E34,'Base Kpi'!$DW:$DW,Cliente!CN$5),0)</f>
        <v>0</v>
      </c>
      <c r="CO34" s="92">
        <f>IFERROR(AVERAGEIFS('Base Kpi'!$DX:$DX,'Base Kpi'!$DQ:$DQ,Cliente!$E34,'Base Kpi'!$DW:$DW,Cliente!CO$5),0)</f>
        <v>0</v>
      </c>
      <c r="CP34" s="92">
        <f>IFERROR(AVERAGEIFS('Base Kpi'!$DX:$DX,'Base Kpi'!$DQ:$DQ,Cliente!$E34,'Base Kpi'!$DW:$DW,Cliente!CP$5),0)</f>
        <v>0</v>
      </c>
      <c r="CQ34" s="92">
        <f>IFERROR(AVERAGEIFS('Base Kpi'!$DX:$DX,'Base Kpi'!$DQ:$DQ,Cliente!$E34,'Base Kpi'!$DW:$DW,Cliente!CQ$5),0)</f>
        <v>0</v>
      </c>
      <c r="CR34" s="92">
        <f>IFERROR(AVERAGEIFS('Base Kpi'!$DX:$DX,'Base Kpi'!$DQ:$DQ,Cliente!$E34,'Base Kpi'!$DW:$DW,Cliente!CR$5),0)</f>
        <v>0</v>
      </c>
      <c r="CS34" s="92">
        <f>IFERROR(AVERAGEIFS('Base Kpi'!$DX:$DX,'Base Kpi'!$DQ:$DQ,Cliente!$E34,'Base Kpi'!$DW:$DW,Cliente!CS$5),0)</f>
        <v>0</v>
      </c>
      <c r="CT34" s="92">
        <f>IFERROR(AVERAGEIFS('Base Kpi'!$DX:$DX,'Base Kpi'!$DQ:$DQ,Cliente!$E34,'Base Kpi'!$DW:$DW,Cliente!CT$5),0)</f>
        <v>0</v>
      </c>
      <c r="CU34" s="94">
        <f t="shared" si="48"/>
        <v>0</v>
      </c>
      <c r="CV34" s="95">
        <f t="shared" si="49"/>
        <v>0</v>
      </c>
      <c r="CW34" s="60">
        <f>IFERROR(AVERAGEIFS('Base Kpi'!$EJ:$EJ,'Base Kpi'!$EC:$EC,Cliente!$E34,'Base Kpi'!$EI:$EI,Cliente!CW$5),0)</f>
        <v>0</v>
      </c>
      <c r="CX34" s="92">
        <f>IFERROR(AVERAGEIFS('Base Kpi'!$EJ:$EJ,'Base Kpi'!$EC:$EC,Cliente!$E34,'Base Kpi'!$EI:$EI,Cliente!CX$5),0)</f>
        <v>0</v>
      </c>
      <c r="CY34" s="92">
        <f>IFERROR(AVERAGEIFS('Base Kpi'!$EJ:$EJ,'Base Kpi'!$EC:$EC,Cliente!$E34,'Base Kpi'!$EI:$EI,Cliente!CY$5),0)</f>
        <v>0</v>
      </c>
      <c r="CZ34" s="92">
        <f>IFERROR(AVERAGEIFS('Base Kpi'!$EJ:$EJ,'Base Kpi'!$EC:$EC,Cliente!$E34,'Base Kpi'!$EI:$EI,Cliente!CZ$5),0)</f>
        <v>0</v>
      </c>
      <c r="DA34" s="92">
        <f>IFERROR(AVERAGEIFS('Base Kpi'!$EJ:$EJ,'Base Kpi'!$EC:$EC,Cliente!$E34,'Base Kpi'!$EI:$EI,Cliente!DA$5),0)</f>
        <v>0</v>
      </c>
      <c r="DB34" s="92">
        <f>IFERROR(AVERAGEIFS('Base Kpi'!$EJ:$EJ,'Base Kpi'!$EC:$EC,Cliente!$E34,'Base Kpi'!$EI:$EI,Cliente!DB$5),0)</f>
        <v>0</v>
      </c>
      <c r="DC34" s="92">
        <f>IFERROR(AVERAGEIFS('Base Kpi'!$EJ:$EJ,'Base Kpi'!$EC:$EC,Cliente!$E34,'Base Kpi'!$EI:$EI,Cliente!DC$5),0)</f>
        <v>0</v>
      </c>
      <c r="DD34" s="94">
        <f t="shared" si="50"/>
        <v>0</v>
      </c>
      <c r="DE34" s="95">
        <f t="shared" si="51"/>
        <v>0</v>
      </c>
      <c r="DF34" s="120"/>
    </row>
    <row r="35" spans="2:110" x14ac:dyDescent="0.35">
      <c r="B35" s="52" t="s">
        <v>427</v>
      </c>
      <c r="C35" s="21">
        <v>4054</v>
      </c>
      <c r="D35" s="21" t="s">
        <v>432</v>
      </c>
      <c r="E35" s="21">
        <v>53486</v>
      </c>
      <c r="F35" s="16" t="s">
        <v>165</v>
      </c>
      <c r="G35" s="16" t="s">
        <v>301</v>
      </c>
      <c r="H35" s="16" t="s">
        <v>315</v>
      </c>
      <c r="I35" s="16" t="s">
        <v>176</v>
      </c>
      <c r="J35" s="16" t="s">
        <v>90</v>
      </c>
      <c r="K35" s="34" t="s">
        <v>166</v>
      </c>
      <c r="L35" s="60">
        <f t="shared" si="33"/>
        <v>81.964999999999989</v>
      </c>
      <c r="M35" s="97">
        <f t="shared" si="34"/>
        <v>1</v>
      </c>
      <c r="N35" s="43">
        <f t="shared" si="2"/>
        <v>1</v>
      </c>
      <c r="O35" s="60">
        <f>IFERROR(AVERAGEIFS('Base Kpi'!$I:$I,'Base Kpi'!$B:$B,Cliente!$E35,'Base Kpi'!$G:$G,Cliente!O$5),0)</f>
        <v>30</v>
      </c>
      <c r="P35" s="92">
        <f>IFERROR(AVERAGEIFS('Base Kpi'!$I:$I,'Base Kpi'!$B:$B,Cliente!$E35,'Base Kpi'!$G:$G,Cliente!P$5),0)</f>
        <v>8</v>
      </c>
      <c r="Q35" s="92">
        <f>IFERROR(AVERAGEIFS('Base Kpi'!$I:$I,'Base Kpi'!$B:$B,Cliente!$E35,'Base Kpi'!$G:$G,Cliente!Q$5),0)</f>
        <v>13.6</v>
      </c>
      <c r="R35" s="92">
        <f>IFERROR(AVERAGEIFS('Base Kpi'!$I:$I,'Base Kpi'!$B:$B,Cliente!$E35,'Base Kpi'!$G:$G,Cliente!R$5),0)</f>
        <v>37.125</v>
      </c>
      <c r="S35" s="94">
        <f t="shared" si="35"/>
        <v>88.724999999999994</v>
      </c>
      <c r="T35" s="95">
        <f t="shared" si="36"/>
        <v>1</v>
      </c>
      <c r="U35" s="60">
        <f>IFERROR(AVERAGEIFS('Base Kpi'!$T:$T,'Base Kpi'!$M:$M,Cliente!$E35,'Base Kpi'!$S:$S,Cliente!U$5),0)</f>
        <v>21.42</v>
      </c>
      <c r="V35" s="92">
        <f>IFERROR(AVERAGEIFS('Base Kpi'!$T:$T,'Base Kpi'!$M:$M,Cliente!$E35,'Base Kpi'!$S:$S,Cliente!V$5),0)</f>
        <v>0</v>
      </c>
      <c r="W35" s="92">
        <f>IFERROR(AVERAGEIFS('Base Kpi'!$T:$T,'Base Kpi'!$M:$M,Cliente!$E35,'Base Kpi'!$S:$S,Cliente!W$5),0)</f>
        <v>17</v>
      </c>
      <c r="X35" s="92">
        <f>IFERROR(AVERAGEIFS('Base Kpi'!$T:$T,'Base Kpi'!$M:$M,Cliente!$E35,'Base Kpi'!$S:$S,Cliente!X$5),0)</f>
        <v>34.875</v>
      </c>
      <c r="Y35" s="94">
        <f t="shared" si="37"/>
        <v>73.295000000000002</v>
      </c>
      <c r="Z35" s="95">
        <f t="shared" si="38"/>
        <v>0</v>
      </c>
      <c r="AA35" s="60">
        <f>IFERROR(AVERAGEIFS('Base Kpi'!$AF:$AF,'Base Kpi'!$Y:$Y,Cliente!$E35,'Base Kpi'!$AE:$AE,Cliente!AA$5),0)</f>
        <v>30</v>
      </c>
      <c r="AB35" s="92">
        <f>IFERROR(AVERAGEIFS('Base Kpi'!$AF:$AF,'Base Kpi'!$Y:$Y,Cliente!$E35,'Base Kpi'!$AE:$AE,Cliente!AB$5),0)</f>
        <v>8</v>
      </c>
      <c r="AC35" s="92">
        <f>IFERROR(AVERAGEIFS('Base Kpi'!$AF:$AF,'Base Kpi'!$Y:$Y,Cliente!$E35,'Base Kpi'!$AE:$AE,Cliente!AC$5),0)</f>
        <v>4.25</v>
      </c>
      <c r="AD35" s="92">
        <f>IFERROR(AVERAGEIFS('Base Kpi'!$AF:$AF,'Base Kpi'!$Y:$Y,Cliente!$E35,'Base Kpi'!$AE:$AE,Cliente!AD$5),0)</f>
        <v>41.625</v>
      </c>
      <c r="AE35" s="94">
        <f t="shared" si="39"/>
        <v>83.875</v>
      </c>
      <c r="AF35" s="95">
        <f t="shared" si="40"/>
        <v>1</v>
      </c>
      <c r="AG35" s="60">
        <f t="shared" si="9"/>
        <v>68.41</v>
      </c>
      <c r="AH35" s="97">
        <f t="shared" si="10"/>
        <v>1</v>
      </c>
      <c r="AI35" s="88">
        <f t="shared" si="41"/>
        <v>1</v>
      </c>
      <c r="AJ35" s="92">
        <f>IFERROR(AVERAGEIFS('Base Kpi'!$AR:$AR,'Base Kpi'!$AK:$AK,Cliente!$E35,'Base Kpi'!$AQ:$AQ,AJ$5),0)</f>
        <v>25</v>
      </c>
      <c r="AK35" s="92">
        <f>IFERROR(AVERAGEIFS('Base Kpi'!$AR:$AR,'Base Kpi'!$AK:$AK,Cliente!$E35,'Base Kpi'!$AQ:$AQ,AK$5),0)</f>
        <v>2.5</v>
      </c>
      <c r="AL35" s="92">
        <f>IFERROR(AVERAGEIFS('Base Kpi'!$AR:$AR,'Base Kpi'!$AK:$AK,Cliente!$E35,'Base Kpi'!$AQ:$AQ,AL$5),0)</f>
        <v>9</v>
      </c>
      <c r="AM35" s="92">
        <f>IFERROR(AVERAGEIFS('Base Kpi'!$AR:$AR,'Base Kpi'!$AK:$AK,Cliente!$E35,'Base Kpi'!$AQ:$AQ,AM$5),0)</f>
        <v>34.799999999999997</v>
      </c>
      <c r="AN35" s="94">
        <f t="shared" si="12"/>
        <v>71.3</v>
      </c>
      <c r="AO35" s="95">
        <f t="shared" si="13"/>
        <v>0</v>
      </c>
      <c r="AP35" s="60">
        <f>IFERROR(AVERAGEIFS('Base Kpi'!$BD:$BD,'Base Kpi'!$AW:$AW,Cliente!$E35,'Base Kpi'!$BC:$BC,Cliente!AP$5),0)</f>
        <v>25</v>
      </c>
      <c r="AQ35" s="92">
        <f>IFERROR(AVERAGEIFS('Base Kpi'!$BD:$BD,'Base Kpi'!$AW:$AW,Cliente!$E35,'Base Kpi'!$BC:$BC,Cliente!AQ$5),0)</f>
        <v>1.665</v>
      </c>
      <c r="AR35" s="92">
        <f>IFERROR(AVERAGEIFS('Base Kpi'!$BD:$BD,'Base Kpi'!$AW:$AW,Cliente!$E35,'Base Kpi'!$BC:$BC,Cliente!AR$5),0)</f>
        <v>9</v>
      </c>
      <c r="AS35" s="92">
        <f>IFERROR(AVERAGEIFS('Base Kpi'!$BD:$BD,'Base Kpi'!$AW:$AW,Cliente!$E35,'Base Kpi'!$BC:$BC,Cliente!AS$5),0)</f>
        <v>33.04</v>
      </c>
      <c r="AT35" s="92">
        <f>IFERROR(AVERAGEIFS('Base Kpi'!$BD:$BD,'Base Kpi'!$AW:$AW,Cliente!$E35,'Base Kpi'!$BC:$BC,Cliente!AT$5),0)</f>
        <v>0</v>
      </c>
      <c r="AU35" s="94">
        <f t="shared" si="14"/>
        <v>68.704999999999998</v>
      </c>
      <c r="AV35" s="95">
        <f t="shared" si="15"/>
        <v>0</v>
      </c>
      <c r="AW35" s="60">
        <f>IFERROR(AVERAGEIFS('Base Kpi'!$BP:$BP,'Base Kpi'!$BI:$BI,Cliente!$E35,'Base Kpi'!$BO:$BO,Cliente!AW$5),0)</f>
        <v>25</v>
      </c>
      <c r="AX35" s="92">
        <f>IFERROR(AVERAGEIFS('Base Kpi'!$BP:$BP,'Base Kpi'!$BI:$BI,Cliente!$E35,'Base Kpi'!$BO:$BO,Cliente!AX$5),0)</f>
        <v>1.665</v>
      </c>
      <c r="AY35" s="92">
        <f>IFERROR(AVERAGEIFS('Base Kpi'!$BP:$BP,'Base Kpi'!$BI:$BI,Cliente!$E35,'Base Kpi'!$BO:$BO,Cliente!AY$5),0)</f>
        <v>9</v>
      </c>
      <c r="AZ35" s="92">
        <f>IFERROR(AVERAGEIFS('Base Kpi'!$BP:$BP,'Base Kpi'!$BI:$BI,Cliente!$E35,'Base Kpi'!$BO:$BO,Cliente!AZ$5),0)</f>
        <v>29.56</v>
      </c>
      <c r="BA35" s="92">
        <f>IFERROR(AVERAGEIFS('Base Kpi'!$BP:$BP,'Base Kpi'!$BI:$BI,Cliente!$E35,'Base Kpi'!$BO:$BO,Cliente!BA$5),0)</f>
        <v>0</v>
      </c>
      <c r="BB35" s="94">
        <f t="shared" si="16"/>
        <v>65.224999999999994</v>
      </c>
      <c r="BC35" s="95">
        <f t="shared" si="17"/>
        <v>0</v>
      </c>
      <c r="BD35" s="60">
        <f t="shared" si="42"/>
        <v>90.688333333333333</v>
      </c>
      <c r="BE35" s="97">
        <f t="shared" si="18"/>
        <v>1</v>
      </c>
      <c r="BF35" s="88">
        <f t="shared" si="43"/>
        <v>1</v>
      </c>
      <c r="BG35" s="60">
        <f>IFERROR(AVERAGEIFS('Base Kpi'!$CB:$CB,'Base Kpi'!$BU:$BU,Cliente!$E35,'Base Kpi'!$CA:$CA,Cliente!BG$5),0)</f>
        <v>25</v>
      </c>
      <c r="BH35" s="92">
        <f>IFERROR(AVERAGEIFS('Base Kpi'!$CB:$CB,'Base Kpi'!$BU:$BU,Cliente!$E35,'Base Kpi'!$CA:$CA,Cliente!BH$5),0)</f>
        <v>1.665</v>
      </c>
      <c r="BI35" s="92">
        <f>IFERROR(AVERAGEIFS('Base Kpi'!$CB:$CB,'Base Kpi'!$BU:$BU,Cliente!$E35,'Base Kpi'!$CA:$CA,Cliente!BI$5),0)</f>
        <v>9</v>
      </c>
      <c r="BJ35" s="92">
        <f>IFERROR(AVERAGEIFS('Base Kpi'!$CB:$CB,'Base Kpi'!$BU:$BU,Cliente!$E35,'Base Kpi'!$CA:$CA,Cliente!BJ$5),0)</f>
        <v>34.4</v>
      </c>
      <c r="BK35" s="92">
        <f>IFERROR(AVERAGEIFS('Base Kpi'!$CB:$CB,'Base Kpi'!$BU:$BU,Cliente!$E35,'Base Kpi'!$CA:$CA,Cliente!BK$5),0)</f>
        <v>9</v>
      </c>
      <c r="BL35" s="94">
        <f t="shared" si="19"/>
        <v>79.064999999999998</v>
      </c>
      <c r="BM35" s="95">
        <f t="shared" si="20"/>
        <v>0</v>
      </c>
      <c r="BN35" s="60">
        <f>IFERROR(AVERAGEIFS('Base Kpi'!$CN:$CN,'Base Kpi'!$CG:$CG,Cliente!$E35,'Base Kpi'!$CM:$CM,Cliente!BN$5),0)</f>
        <v>25</v>
      </c>
      <c r="BO35" s="92">
        <f>IFERROR(AVERAGEIFS('Base Kpi'!$CN:$CN,'Base Kpi'!$CG:$CG,Cliente!$E35,'Base Kpi'!$CM:$CM,Cliente!BO$5),0)</f>
        <v>5</v>
      </c>
      <c r="BP35" s="92">
        <f>IFERROR(AVERAGEIFS('Base Kpi'!$CN:$CN,'Base Kpi'!$CG:$CG,Cliente!$E35,'Base Kpi'!$CM:$CM,Cliente!BP$5),0)</f>
        <v>9</v>
      </c>
      <c r="BQ35" s="92">
        <f>IFERROR(AVERAGEIFS('Base Kpi'!$CN:$CN,'Base Kpi'!$CG:$CG,Cliente!$E35,'Base Kpi'!$CM:$CM,Cliente!BQ$5),0)</f>
        <v>37.6</v>
      </c>
      <c r="BR35" s="92">
        <f>IFERROR(AVERAGEIFS('Base Kpi'!$CN:$CN,'Base Kpi'!$CG:$CG,Cliente!$E35,'Base Kpi'!$CM:$CM,Cliente!BR$5),0)</f>
        <v>18</v>
      </c>
      <c r="BS35" s="94">
        <f t="shared" si="21"/>
        <v>94.6</v>
      </c>
      <c r="BT35" s="95">
        <f t="shared" si="22"/>
        <v>1</v>
      </c>
      <c r="BU35" s="60">
        <f>IFERROR(AVERAGEIFS('Base Kpi'!$CZ:$CZ,'Base Kpi'!$CS:$CS,Cliente!$E35,'Base Kpi'!$CY:$CY,Cliente!BU$5),0)</f>
        <v>25</v>
      </c>
      <c r="BV35" s="92">
        <f>IFERROR(AVERAGEIFS('Base Kpi'!$CZ:$CZ,'Base Kpi'!$CS:$CS,Cliente!$E35,'Base Kpi'!$CY:$CY,Cliente!BV$5),0)</f>
        <v>5</v>
      </c>
      <c r="BW35" s="92">
        <f>IFERROR(AVERAGEIFS('Base Kpi'!$CZ:$CZ,'Base Kpi'!$CS:$CS,Cliente!$E35,'Base Kpi'!$CY:$CY,Cliente!BW$5),0)</f>
        <v>12</v>
      </c>
      <c r="BX35" s="92">
        <f>IFERROR(AVERAGEIFS('Base Kpi'!$CZ:$CZ,'Base Kpi'!$CS:$CS,Cliente!$E35,'Base Kpi'!$CY:$CY,Cliente!BX$5),0)</f>
        <v>38.4</v>
      </c>
      <c r="BY35" s="92">
        <f>IFERROR(AVERAGEIFS('Base Kpi'!$CZ:$CZ,'Base Kpi'!$CS:$CS,Cliente!$E35,'Base Kpi'!$CY:$CY,Cliente!BY$5),0)</f>
        <v>18</v>
      </c>
      <c r="BZ35" s="94">
        <f t="shared" si="23"/>
        <v>98.4</v>
      </c>
      <c r="CA35" s="95">
        <f t="shared" si="24"/>
        <v>1</v>
      </c>
      <c r="CB35" s="60">
        <f t="shared" si="44"/>
        <v>92.40000000000002</v>
      </c>
      <c r="CC35" s="97">
        <f t="shared" si="45"/>
        <v>1</v>
      </c>
      <c r="CD35" s="43">
        <f t="shared" si="46"/>
        <v>1</v>
      </c>
      <c r="CE35" s="60" cm="1">
        <f t="array" ref="CE35">IFERROR(LARGE(_xlfn._xlws.FILTER('Base Kpi'!$DL:$DL,('Base Kpi'!$DK:$DK=$CE$5)*('Base Kpi'!$DE:$DE=Cliente!$E35)),1),0)</f>
        <v>38.4</v>
      </c>
      <c r="CF35" s="60" cm="1">
        <f t="array" ref="CF35">IFERROR(LARGE(_xlfn._xlws.FILTER('Base Kpi'!$DL:$DL,('Base Kpi'!$DK:$DK=$CF$5)*('Base Kpi'!$DE:$DE=Cliente!$E35)),1),0)</f>
        <v>0</v>
      </c>
      <c r="CG35" s="60" cm="1">
        <f t="array" ref="CG35">IFERROR(LARGE(_xlfn._xlws.FILTER('Base Kpi'!$DL:$DL,('Base Kpi'!$DK:$DK=$CG$5)*('Base Kpi'!$DE:$DE=Cliente!$E35)),1),0)</f>
        <v>5</v>
      </c>
      <c r="CH35" s="60" cm="1">
        <f t="array" ref="CH35">IFERROR(LARGE(_xlfn._xlws.FILTER('Base Kpi'!$DL:$DL,('Base Kpi'!$DK:$DK=$CH$5)*('Base Kpi'!$DE:$DE=Cliente!$E35)),1),0)</f>
        <v>18</v>
      </c>
      <c r="CI35" s="60" cm="1">
        <f t="array" ref="CI35">IFERROR(LARGE(_xlfn._xlws.FILTER('Base Kpi'!$DL:$DL,('Base Kpi'!$DK:$DK=$CI$5)*('Base Kpi'!$DE:$DE=Cliente!$E35)),1),0)</f>
        <v>25</v>
      </c>
      <c r="CJ35" s="60" cm="1">
        <f t="array" ref="CJ35">IFERROR(LARGE(_xlfn._xlws.FILTER('Base Kpi'!$DL:$DL,('Base Kpi'!$DK:$DK=$CJ$5)*('Base Kpi'!$DE:$DE=Cliente!$E35)),1),0)</f>
        <v>6</v>
      </c>
      <c r="CK35" s="60" cm="1">
        <f t="array" ref="CK35">IFERROR(LARGE(_xlfn._xlws.FILTER('Base Kpi'!$DL:$DL,('Base Kpi'!$DK:$DK=$CK$5)*('Base Kpi'!$DE:$DE=Cliente!$E35)),1),0)</f>
        <v>0</v>
      </c>
      <c r="CL35" s="94">
        <f t="shared" si="28"/>
        <v>92.4</v>
      </c>
      <c r="CM35" s="95">
        <f t="shared" si="47"/>
        <v>1</v>
      </c>
      <c r="CN35" s="60">
        <f>IFERROR(AVERAGEIFS('Base Kpi'!$DX:$DX,'Base Kpi'!$DQ:$DQ,Cliente!$E35,'Base Kpi'!$DW:$DW,Cliente!CN$5),0)</f>
        <v>38.4</v>
      </c>
      <c r="CO35" s="92">
        <f>IFERROR(AVERAGEIFS('Base Kpi'!$DX:$DX,'Base Kpi'!$DQ:$DQ,Cliente!$E35,'Base Kpi'!$DW:$DW,Cliente!CO$5),0)</f>
        <v>0</v>
      </c>
      <c r="CP35" s="92">
        <f>IFERROR(AVERAGEIFS('Base Kpi'!$DX:$DX,'Base Kpi'!$DQ:$DQ,Cliente!$E35,'Base Kpi'!$DW:$DW,Cliente!CP$5),0)</f>
        <v>5</v>
      </c>
      <c r="CQ35" s="92">
        <f>IFERROR(AVERAGEIFS('Base Kpi'!$DX:$DX,'Base Kpi'!$DQ:$DQ,Cliente!$E35,'Base Kpi'!$DW:$DW,Cliente!CQ$5),0)</f>
        <v>18</v>
      </c>
      <c r="CR35" s="92">
        <f>IFERROR(AVERAGEIFS('Base Kpi'!$DX:$DX,'Base Kpi'!$DQ:$DQ,Cliente!$E35,'Base Kpi'!$DW:$DW,Cliente!CR$5),0)</f>
        <v>25</v>
      </c>
      <c r="CS35" s="92">
        <f>IFERROR(AVERAGEIFS('Base Kpi'!$DX:$DX,'Base Kpi'!$DQ:$DQ,Cliente!$E35,'Base Kpi'!$DW:$DW,Cliente!CS$5),0)</f>
        <v>6</v>
      </c>
      <c r="CT35" s="92">
        <f>IFERROR(AVERAGEIFS('Base Kpi'!$DX:$DX,'Base Kpi'!$DQ:$DQ,Cliente!$E35,'Base Kpi'!$DW:$DW,Cliente!CT$5),0)</f>
        <v>0</v>
      </c>
      <c r="CU35" s="94">
        <f t="shared" si="48"/>
        <v>92.4</v>
      </c>
      <c r="CV35" s="95">
        <f t="shared" si="49"/>
        <v>1</v>
      </c>
      <c r="CW35" s="60">
        <f>IFERROR(AVERAGEIFS('Base Kpi'!$EJ:$EJ,'Base Kpi'!$EC:$EC,Cliente!$E35,'Base Kpi'!$EI:$EI,Cliente!CW$5),0)</f>
        <v>38.4</v>
      </c>
      <c r="CX35" s="92">
        <f>IFERROR(AVERAGEIFS('Base Kpi'!$EJ:$EJ,'Base Kpi'!$EC:$EC,Cliente!$E35,'Base Kpi'!$EI:$EI,Cliente!CX$5),0)</f>
        <v>0</v>
      </c>
      <c r="CY35" s="92">
        <f>IFERROR(AVERAGEIFS('Base Kpi'!$EJ:$EJ,'Base Kpi'!$EC:$EC,Cliente!$E35,'Base Kpi'!$EI:$EI,Cliente!CY$5),0)</f>
        <v>5</v>
      </c>
      <c r="CZ35" s="92">
        <f>IFERROR(AVERAGEIFS('Base Kpi'!$EJ:$EJ,'Base Kpi'!$EC:$EC,Cliente!$E35,'Base Kpi'!$EI:$EI,Cliente!CZ$5),0)</f>
        <v>18</v>
      </c>
      <c r="DA35" s="92">
        <f>IFERROR(AVERAGEIFS('Base Kpi'!$EJ:$EJ,'Base Kpi'!$EC:$EC,Cliente!$E35,'Base Kpi'!$EI:$EI,Cliente!DA$5),0)</f>
        <v>25</v>
      </c>
      <c r="DB35" s="92">
        <f>IFERROR(AVERAGEIFS('Base Kpi'!$EJ:$EJ,'Base Kpi'!$EC:$EC,Cliente!$E35,'Base Kpi'!$EI:$EI,Cliente!DB$5),0)</f>
        <v>6</v>
      </c>
      <c r="DC35" s="92">
        <f>IFERROR(AVERAGEIFS('Base Kpi'!$EJ:$EJ,'Base Kpi'!$EC:$EC,Cliente!$E35,'Base Kpi'!$EI:$EI,Cliente!DC$5),0)</f>
        <v>0</v>
      </c>
      <c r="DD35" s="94">
        <f t="shared" si="50"/>
        <v>92.4</v>
      </c>
      <c r="DE35" s="95">
        <f t="shared" si="51"/>
        <v>1</v>
      </c>
      <c r="DF35" s="120"/>
    </row>
    <row r="36" spans="2:110" x14ac:dyDescent="0.35">
      <c r="B36" s="52" t="s">
        <v>427</v>
      </c>
      <c r="C36" s="21">
        <v>4054</v>
      </c>
      <c r="D36" s="21" t="s">
        <v>432</v>
      </c>
      <c r="E36" s="21">
        <v>54734</v>
      </c>
      <c r="F36" s="16" t="s">
        <v>165</v>
      </c>
      <c r="G36" s="16" t="s">
        <v>303</v>
      </c>
      <c r="H36" s="16" t="s">
        <v>317</v>
      </c>
      <c r="I36" s="16" t="s">
        <v>176</v>
      </c>
      <c r="J36" s="16" t="s">
        <v>90</v>
      </c>
      <c r="K36" s="34" t="s">
        <v>166</v>
      </c>
      <c r="L36" s="60">
        <f t="shared" si="33"/>
        <v>44.195</v>
      </c>
      <c r="M36" s="97">
        <f t="shared" si="34"/>
        <v>0</v>
      </c>
      <c r="N36" s="43">
        <f t="shared" ref="N36:N65" si="52">IF(M36=0,0,IF(L36&gt;=80,1,0))</f>
        <v>0</v>
      </c>
      <c r="O36" s="60">
        <f>IFERROR(AVERAGEIFS('Base Kpi'!$I:$I,'Base Kpi'!$B:$B,Cliente!$E36,'Base Kpi'!$G:$G,Cliente!O$5),0)</f>
        <v>0</v>
      </c>
      <c r="P36" s="92">
        <f>IFERROR(AVERAGEIFS('Base Kpi'!$I:$I,'Base Kpi'!$B:$B,Cliente!$E36,'Base Kpi'!$G:$G,Cliente!P$5),0)</f>
        <v>0</v>
      </c>
      <c r="Q36" s="92">
        <f>IFERROR(AVERAGEIFS('Base Kpi'!$I:$I,'Base Kpi'!$B:$B,Cliente!$E36,'Base Kpi'!$G:$G,Cliente!Q$5),0)</f>
        <v>0</v>
      </c>
      <c r="R36" s="92">
        <f>IFERROR(AVERAGEIFS('Base Kpi'!$I:$I,'Base Kpi'!$B:$B,Cliente!$E36,'Base Kpi'!$G:$G,Cliente!R$5),0)</f>
        <v>0</v>
      </c>
      <c r="S36" s="94">
        <f t="shared" si="35"/>
        <v>0</v>
      </c>
      <c r="T36" s="95">
        <f t="shared" si="36"/>
        <v>0</v>
      </c>
      <c r="U36" s="60">
        <f>IFERROR(AVERAGEIFS('Base Kpi'!$T:$T,'Base Kpi'!$M:$M,Cliente!$E36,'Base Kpi'!$S:$S,Cliente!U$5),0)</f>
        <v>25.71</v>
      </c>
      <c r="V36" s="92">
        <f>IFERROR(AVERAGEIFS('Base Kpi'!$T:$T,'Base Kpi'!$M:$M,Cliente!$E36,'Base Kpi'!$S:$S,Cliente!V$5),0)</f>
        <v>0</v>
      </c>
      <c r="W36" s="92">
        <f>IFERROR(AVERAGEIFS('Base Kpi'!$T:$T,'Base Kpi'!$M:$M,Cliente!$E36,'Base Kpi'!$S:$S,Cliente!W$5),0)</f>
        <v>4.25</v>
      </c>
      <c r="X36" s="92">
        <f>IFERROR(AVERAGEIFS('Base Kpi'!$T:$T,'Base Kpi'!$M:$M,Cliente!$E36,'Base Kpi'!$S:$S,Cliente!X$5),0)</f>
        <v>37.125</v>
      </c>
      <c r="Y36" s="94">
        <f t="shared" si="37"/>
        <v>67.085000000000008</v>
      </c>
      <c r="Z36" s="95">
        <f t="shared" si="38"/>
        <v>0</v>
      </c>
      <c r="AA36" s="60">
        <f>IFERROR(AVERAGEIFS('Base Kpi'!$AF:$AF,'Base Kpi'!$Y:$Y,Cliente!$E36,'Base Kpi'!$AE:$AE,Cliente!AA$5),0)</f>
        <v>30</v>
      </c>
      <c r="AB36" s="92">
        <f>IFERROR(AVERAGEIFS('Base Kpi'!$AF:$AF,'Base Kpi'!$Y:$Y,Cliente!$E36,'Base Kpi'!$AE:$AE,Cliente!AB$5),0)</f>
        <v>0</v>
      </c>
      <c r="AC36" s="92">
        <f>IFERROR(AVERAGEIFS('Base Kpi'!$AF:$AF,'Base Kpi'!$Y:$Y,Cliente!$E36,'Base Kpi'!$AE:$AE,Cliente!AC$5),0)</f>
        <v>8.5</v>
      </c>
      <c r="AD36" s="92">
        <f>IFERROR(AVERAGEIFS('Base Kpi'!$AF:$AF,'Base Kpi'!$Y:$Y,Cliente!$E36,'Base Kpi'!$AE:$AE,Cliente!AD$5),0)</f>
        <v>27</v>
      </c>
      <c r="AE36" s="94">
        <f t="shared" si="39"/>
        <v>65.5</v>
      </c>
      <c r="AF36" s="95">
        <f t="shared" si="40"/>
        <v>0</v>
      </c>
      <c r="AG36" s="60">
        <f t="shared" si="9"/>
        <v>36.416666666666664</v>
      </c>
      <c r="AH36" s="97">
        <f t="shared" si="10"/>
        <v>0</v>
      </c>
      <c r="AI36" s="88">
        <f t="shared" si="41"/>
        <v>0</v>
      </c>
      <c r="AJ36" s="92">
        <f>IFERROR(AVERAGEIFS('Base Kpi'!$AR:$AR,'Base Kpi'!$AK:$AK,Cliente!$E36,'Base Kpi'!$AQ:$AQ,AJ$5),0)</f>
        <v>17.850000000000001</v>
      </c>
      <c r="AK36" s="92">
        <f>IFERROR(AVERAGEIFS('Base Kpi'!$AR:$AR,'Base Kpi'!$AK:$AK,Cliente!$E36,'Base Kpi'!$AQ:$AQ,AK$5),0)</f>
        <v>0</v>
      </c>
      <c r="AL36" s="92">
        <f>IFERROR(AVERAGEIFS('Base Kpi'!$AR:$AR,'Base Kpi'!$AK:$AK,Cliente!$E36,'Base Kpi'!$AQ:$AQ,AL$5),0)</f>
        <v>6</v>
      </c>
      <c r="AM36" s="92">
        <f>IFERROR(AVERAGEIFS('Base Kpi'!$AR:$AR,'Base Kpi'!$AK:$AK,Cliente!$E36,'Base Kpi'!$AQ:$AQ,AM$5),0)</f>
        <v>27.84</v>
      </c>
      <c r="AN36" s="94">
        <f t="shared" ref="AN36:AN65" si="53">SUM(AJ36:AM36)</f>
        <v>51.69</v>
      </c>
      <c r="AO36" s="95">
        <f t="shared" si="13"/>
        <v>0</v>
      </c>
      <c r="AP36" s="60">
        <f>IFERROR(AVERAGEIFS('Base Kpi'!$BD:$BD,'Base Kpi'!$AW:$AW,Cliente!$E36,'Base Kpi'!$BC:$BC,Cliente!AP$5),0)</f>
        <v>25</v>
      </c>
      <c r="AQ36" s="92">
        <f>IFERROR(AVERAGEIFS('Base Kpi'!$BD:$BD,'Base Kpi'!$AW:$AW,Cliente!$E36,'Base Kpi'!$BC:$BC,Cliente!AQ$5),0)</f>
        <v>0</v>
      </c>
      <c r="AR36" s="92">
        <f>IFERROR(AVERAGEIFS('Base Kpi'!$BD:$BD,'Base Kpi'!$AW:$AW,Cliente!$E36,'Base Kpi'!$BC:$BC,Cliente!AR$5),0)</f>
        <v>3</v>
      </c>
      <c r="AS36" s="92">
        <f>IFERROR(AVERAGEIFS('Base Kpi'!$BD:$BD,'Base Kpi'!$AW:$AW,Cliente!$E36,'Base Kpi'!$BC:$BC,Cliente!AS$5),0)</f>
        <v>29.56</v>
      </c>
      <c r="AT36" s="92">
        <f>IFERROR(AVERAGEIFS('Base Kpi'!$BD:$BD,'Base Kpi'!$AW:$AW,Cliente!$E36,'Base Kpi'!$BC:$BC,Cliente!AT$5),0)</f>
        <v>0</v>
      </c>
      <c r="AU36" s="94">
        <f t="shared" ref="AU36:AU65" si="54">SUM(AP36:AT36)</f>
        <v>57.56</v>
      </c>
      <c r="AV36" s="95">
        <f t="shared" si="15"/>
        <v>0</v>
      </c>
      <c r="AW36" s="60">
        <f>IFERROR(AVERAGEIFS('Base Kpi'!$BP:$BP,'Base Kpi'!$BI:$BI,Cliente!$E36,'Base Kpi'!$BO:$BO,Cliente!AW$5),0)</f>
        <v>0</v>
      </c>
      <c r="AX36" s="92">
        <f>IFERROR(AVERAGEIFS('Base Kpi'!$BP:$BP,'Base Kpi'!$BI:$BI,Cliente!$E36,'Base Kpi'!$BO:$BO,Cliente!AX$5),0)</f>
        <v>0</v>
      </c>
      <c r="AY36" s="92">
        <f>IFERROR(AVERAGEIFS('Base Kpi'!$BP:$BP,'Base Kpi'!$BI:$BI,Cliente!$E36,'Base Kpi'!$BO:$BO,Cliente!AY$5),0)</f>
        <v>0</v>
      </c>
      <c r="AZ36" s="92">
        <f>IFERROR(AVERAGEIFS('Base Kpi'!$BP:$BP,'Base Kpi'!$BI:$BI,Cliente!$E36,'Base Kpi'!$BO:$BO,Cliente!AZ$5),0)</f>
        <v>0</v>
      </c>
      <c r="BA36" s="92">
        <f>IFERROR(AVERAGEIFS('Base Kpi'!$BP:$BP,'Base Kpi'!$BI:$BI,Cliente!$E36,'Base Kpi'!$BO:$BO,Cliente!BA$5),0)</f>
        <v>0</v>
      </c>
      <c r="BB36" s="94">
        <f t="shared" si="16"/>
        <v>0</v>
      </c>
      <c r="BC36" s="95">
        <f t="shared" si="17"/>
        <v>0</v>
      </c>
      <c r="BD36" s="60">
        <f t="shared" si="42"/>
        <v>82.608333333333334</v>
      </c>
      <c r="BE36" s="97">
        <f t="shared" si="18"/>
        <v>1</v>
      </c>
      <c r="BF36" s="88">
        <f t="shared" si="43"/>
        <v>1</v>
      </c>
      <c r="BG36" s="60">
        <f>IFERROR(AVERAGEIFS('Base Kpi'!$CB:$CB,'Base Kpi'!$BU:$BU,Cliente!$E36,'Base Kpi'!$CA:$CA,Cliente!BG$5),0)</f>
        <v>25</v>
      </c>
      <c r="BH36" s="92">
        <f>IFERROR(AVERAGEIFS('Base Kpi'!$CB:$CB,'Base Kpi'!$BU:$BU,Cliente!$E36,'Base Kpi'!$CA:$CA,Cliente!BH$5),0)</f>
        <v>0</v>
      </c>
      <c r="BI36" s="92">
        <f>IFERROR(AVERAGEIFS('Base Kpi'!$CB:$CB,'Base Kpi'!$BU:$BU,Cliente!$E36,'Base Kpi'!$CA:$CA,Cliente!BI$5),0)</f>
        <v>3</v>
      </c>
      <c r="BJ36" s="92">
        <f>IFERROR(AVERAGEIFS('Base Kpi'!$CB:$CB,'Base Kpi'!$BU:$BU,Cliente!$E36,'Base Kpi'!$CA:$CA,Cliente!BJ$5),0)</f>
        <v>25.6</v>
      </c>
      <c r="BK36" s="92">
        <f>IFERROR(AVERAGEIFS('Base Kpi'!$CB:$CB,'Base Kpi'!$BU:$BU,Cliente!$E36,'Base Kpi'!$CA:$CA,Cliente!BK$5),0)</f>
        <v>9</v>
      </c>
      <c r="BL36" s="94">
        <f t="shared" si="19"/>
        <v>62.6</v>
      </c>
      <c r="BM36" s="95">
        <f t="shared" si="20"/>
        <v>0</v>
      </c>
      <c r="BN36" s="60">
        <f>IFERROR(AVERAGEIFS('Base Kpi'!$CN:$CN,'Base Kpi'!$CG:$CG,Cliente!$E36,'Base Kpi'!$CM:$CM,Cliente!BN$5),0)</f>
        <v>25</v>
      </c>
      <c r="BO36" s="92">
        <f>IFERROR(AVERAGEIFS('Base Kpi'!$CN:$CN,'Base Kpi'!$CG:$CG,Cliente!$E36,'Base Kpi'!$CM:$CM,Cliente!BO$5),0)</f>
        <v>5</v>
      </c>
      <c r="BP36" s="92">
        <f>IFERROR(AVERAGEIFS('Base Kpi'!$CN:$CN,'Base Kpi'!$CG:$CG,Cliente!$E36,'Base Kpi'!$CM:$CM,Cliente!BP$5),0)</f>
        <v>12</v>
      </c>
      <c r="BQ36" s="92">
        <f>IFERROR(AVERAGEIFS('Base Kpi'!$CN:$CN,'Base Kpi'!$CG:$CG,Cliente!$E36,'Base Kpi'!$CM:$CM,Cliente!BQ$5),0)</f>
        <v>33.6</v>
      </c>
      <c r="BR36" s="92">
        <f>IFERROR(AVERAGEIFS('Base Kpi'!$CN:$CN,'Base Kpi'!$CG:$CG,Cliente!$E36,'Base Kpi'!$CM:$CM,Cliente!BR$5),0)</f>
        <v>18</v>
      </c>
      <c r="BS36" s="94">
        <f t="shared" si="21"/>
        <v>93.6</v>
      </c>
      <c r="BT36" s="95">
        <f t="shared" si="22"/>
        <v>1</v>
      </c>
      <c r="BU36" s="60">
        <f>IFERROR(AVERAGEIFS('Base Kpi'!$CZ:$CZ,'Base Kpi'!$CS:$CS,Cliente!$E36,'Base Kpi'!$CY:$CY,Cliente!BU$5),0)</f>
        <v>21.425000000000001</v>
      </c>
      <c r="BV36" s="92">
        <f>IFERROR(AVERAGEIFS('Base Kpi'!$CZ:$CZ,'Base Kpi'!$CS:$CS,Cliente!$E36,'Base Kpi'!$CY:$CY,Cliente!BV$5),0)</f>
        <v>5</v>
      </c>
      <c r="BW36" s="92">
        <f>IFERROR(AVERAGEIFS('Base Kpi'!$CZ:$CZ,'Base Kpi'!$CS:$CS,Cliente!$E36,'Base Kpi'!$CY:$CY,Cliente!BW$5),0)</f>
        <v>12</v>
      </c>
      <c r="BX36" s="92">
        <f>IFERROR(AVERAGEIFS('Base Kpi'!$CZ:$CZ,'Base Kpi'!$CS:$CS,Cliente!$E36,'Base Kpi'!$CY:$CY,Cliente!BX$5),0)</f>
        <v>35.200000000000003</v>
      </c>
      <c r="BY36" s="92">
        <f>IFERROR(AVERAGEIFS('Base Kpi'!$CZ:$CZ,'Base Kpi'!$CS:$CS,Cliente!$E36,'Base Kpi'!$CY:$CY,Cliente!BY$5),0)</f>
        <v>18</v>
      </c>
      <c r="BZ36" s="94">
        <f t="shared" si="23"/>
        <v>91.625</v>
      </c>
      <c r="CA36" s="95">
        <f t="shared" si="24"/>
        <v>1</v>
      </c>
      <c r="CB36" s="60" t="str">
        <f t="shared" si="44"/>
        <v/>
      </c>
      <c r="CC36" s="97">
        <f t="shared" si="45"/>
        <v>0</v>
      </c>
      <c r="CD36" s="43">
        <f t="shared" si="46"/>
        <v>0</v>
      </c>
      <c r="CE36" s="60" cm="1">
        <f t="array" ref="CE36">IFERROR(LARGE(_xlfn._xlws.FILTER('Base Kpi'!$DL:$DL,('Base Kpi'!$DK:$DK=$CE$5)*('Base Kpi'!$DE:$DE=Cliente!$E36)),1),0)</f>
        <v>0</v>
      </c>
      <c r="CF36" s="60" cm="1">
        <f t="array" ref="CF36">IFERROR(LARGE(_xlfn._xlws.FILTER('Base Kpi'!$DL:$DL,('Base Kpi'!$DK:$DK=$CF$5)*('Base Kpi'!$DE:$DE=Cliente!$E36)),1),0)</f>
        <v>0</v>
      </c>
      <c r="CG36" s="60" cm="1">
        <f t="array" ref="CG36">IFERROR(LARGE(_xlfn._xlws.FILTER('Base Kpi'!$DL:$DL,('Base Kpi'!$DK:$DK=$CG$5)*('Base Kpi'!$DE:$DE=Cliente!$E36)),1),0)</f>
        <v>0</v>
      </c>
      <c r="CH36" s="60" cm="1">
        <f t="array" ref="CH36">IFERROR(LARGE(_xlfn._xlws.FILTER('Base Kpi'!$DL:$DL,('Base Kpi'!$DK:$DK=$CH$5)*('Base Kpi'!$DE:$DE=Cliente!$E36)),1),0)</f>
        <v>0</v>
      </c>
      <c r="CI36" s="60" cm="1">
        <f t="array" ref="CI36">IFERROR(LARGE(_xlfn._xlws.FILTER('Base Kpi'!$DL:$DL,('Base Kpi'!$DK:$DK=$CI$5)*('Base Kpi'!$DE:$DE=Cliente!$E36)),1),0)</f>
        <v>0</v>
      </c>
      <c r="CJ36" s="60" cm="1">
        <f t="array" ref="CJ36">IFERROR(LARGE(_xlfn._xlws.FILTER('Base Kpi'!$DL:$DL,('Base Kpi'!$DK:$DK=$CJ$5)*('Base Kpi'!$DE:$DE=Cliente!$E36)),1),0)</f>
        <v>0</v>
      </c>
      <c r="CK36" s="60" cm="1">
        <f t="array" ref="CK36">IFERROR(LARGE(_xlfn._xlws.FILTER('Base Kpi'!$DL:$DL,('Base Kpi'!$DK:$DK=$CK$5)*('Base Kpi'!$DE:$DE=Cliente!$E36)),1),0)</f>
        <v>0</v>
      </c>
      <c r="CL36" s="94">
        <f t="shared" si="28"/>
        <v>0</v>
      </c>
      <c r="CM36" s="95">
        <f t="shared" si="47"/>
        <v>0</v>
      </c>
      <c r="CN36" s="60">
        <f>IFERROR(AVERAGEIFS('Base Kpi'!$DX:$DX,'Base Kpi'!$DQ:$DQ,Cliente!$E36,'Base Kpi'!$DW:$DW,Cliente!CN$5),0)</f>
        <v>0</v>
      </c>
      <c r="CO36" s="92">
        <f>IFERROR(AVERAGEIFS('Base Kpi'!$DX:$DX,'Base Kpi'!$DQ:$DQ,Cliente!$E36,'Base Kpi'!$DW:$DW,Cliente!CO$5),0)</f>
        <v>0</v>
      </c>
      <c r="CP36" s="92">
        <f>IFERROR(AVERAGEIFS('Base Kpi'!$DX:$DX,'Base Kpi'!$DQ:$DQ,Cliente!$E36,'Base Kpi'!$DW:$DW,Cliente!CP$5),0)</f>
        <v>0</v>
      </c>
      <c r="CQ36" s="92">
        <f>IFERROR(AVERAGEIFS('Base Kpi'!$DX:$DX,'Base Kpi'!$DQ:$DQ,Cliente!$E36,'Base Kpi'!$DW:$DW,Cliente!CQ$5),0)</f>
        <v>0</v>
      </c>
      <c r="CR36" s="92">
        <f>IFERROR(AVERAGEIFS('Base Kpi'!$DX:$DX,'Base Kpi'!$DQ:$DQ,Cliente!$E36,'Base Kpi'!$DW:$DW,Cliente!CR$5),0)</f>
        <v>0</v>
      </c>
      <c r="CS36" s="92">
        <f>IFERROR(AVERAGEIFS('Base Kpi'!$DX:$DX,'Base Kpi'!$DQ:$DQ,Cliente!$E36,'Base Kpi'!$DW:$DW,Cliente!CS$5),0)</f>
        <v>0</v>
      </c>
      <c r="CT36" s="92">
        <f>IFERROR(AVERAGEIFS('Base Kpi'!$DX:$DX,'Base Kpi'!$DQ:$DQ,Cliente!$E36,'Base Kpi'!$DW:$DW,Cliente!CT$5),0)</f>
        <v>0</v>
      </c>
      <c r="CU36" s="94">
        <f t="shared" si="48"/>
        <v>0</v>
      </c>
      <c r="CV36" s="95">
        <f t="shared" si="49"/>
        <v>0</v>
      </c>
      <c r="CW36" s="60">
        <f>IFERROR(AVERAGEIFS('Base Kpi'!$EJ:$EJ,'Base Kpi'!$EC:$EC,Cliente!$E36,'Base Kpi'!$EI:$EI,Cliente!CW$5),0)</f>
        <v>0</v>
      </c>
      <c r="CX36" s="92">
        <f>IFERROR(AVERAGEIFS('Base Kpi'!$EJ:$EJ,'Base Kpi'!$EC:$EC,Cliente!$E36,'Base Kpi'!$EI:$EI,Cliente!CX$5),0)</f>
        <v>0</v>
      </c>
      <c r="CY36" s="92">
        <f>IFERROR(AVERAGEIFS('Base Kpi'!$EJ:$EJ,'Base Kpi'!$EC:$EC,Cliente!$E36,'Base Kpi'!$EI:$EI,Cliente!CY$5),0)</f>
        <v>0</v>
      </c>
      <c r="CZ36" s="92">
        <f>IFERROR(AVERAGEIFS('Base Kpi'!$EJ:$EJ,'Base Kpi'!$EC:$EC,Cliente!$E36,'Base Kpi'!$EI:$EI,Cliente!CZ$5),0)</f>
        <v>0</v>
      </c>
      <c r="DA36" s="92">
        <f>IFERROR(AVERAGEIFS('Base Kpi'!$EJ:$EJ,'Base Kpi'!$EC:$EC,Cliente!$E36,'Base Kpi'!$EI:$EI,Cliente!DA$5),0)</f>
        <v>0</v>
      </c>
      <c r="DB36" s="92">
        <f>IFERROR(AVERAGEIFS('Base Kpi'!$EJ:$EJ,'Base Kpi'!$EC:$EC,Cliente!$E36,'Base Kpi'!$EI:$EI,Cliente!DB$5),0)</f>
        <v>0</v>
      </c>
      <c r="DC36" s="92">
        <f>IFERROR(AVERAGEIFS('Base Kpi'!$EJ:$EJ,'Base Kpi'!$EC:$EC,Cliente!$E36,'Base Kpi'!$EI:$EI,Cliente!DC$5),0)</f>
        <v>0</v>
      </c>
      <c r="DD36" s="94">
        <f t="shared" si="50"/>
        <v>0</v>
      </c>
      <c r="DE36" s="95">
        <f t="shared" si="51"/>
        <v>0</v>
      </c>
      <c r="DF36" s="120"/>
    </row>
    <row r="37" spans="2:110" x14ac:dyDescent="0.35">
      <c r="B37" s="52" t="s">
        <v>427</v>
      </c>
      <c r="C37" s="21">
        <v>4054</v>
      </c>
      <c r="D37" s="21" t="s">
        <v>432</v>
      </c>
      <c r="E37" s="21">
        <v>74744</v>
      </c>
      <c r="F37" s="16" t="s">
        <v>40</v>
      </c>
      <c r="G37" s="16" t="s">
        <v>283</v>
      </c>
      <c r="H37" s="16" t="s">
        <v>318</v>
      </c>
      <c r="I37" s="16" t="s">
        <v>176</v>
      </c>
      <c r="J37" s="16" t="s">
        <v>89</v>
      </c>
      <c r="K37" s="34" t="s">
        <v>82</v>
      </c>
      <c r="L37" s="60">
        <f t="shared" ref="L37:L66" si="55">IF((S37+Y37+AE37)/3=0,"",(S37+Y37+AE37)/3)</f>
        <v>53.44166666666667</v>
      </c>
      <c r="M37" s="97">
        <f t="shared" ref="M37:M66" si="56">IF(IF(S37&gt;0,1,0)+IF(Y37&gt;0,1,0)+IF(AE37&gt;0,1,0)=3,1,0)</f>
        <v>1</v>
      </c>
      <c r="N37" s="43">
        <f t="shared" si="52"/>
        <v>0</v>
      </c>
      <c r="O37" s="60">
        <f>IFERROR(AVERAGEIFS('Base Kpi'!$I:$I,'Base Kpi'!$B:$B,Cliente!$E37,'Base Kpi'!$G:$G,Cliente!O$5),0)</f>
        <v>21.42</v>
      </c>
      <c r="P37" s="92">
        <f>IFERROR(AVERAGEIFS('Base Kpi'!$I:$I,'Base Kpi'!$B:$B,Cliente!$E37,'Base Kpi'!$G:$G,Cliente!P$5),0)</f>
        <v>0</v>
      </c>
      <c r="Q37" s="92">
        <f>IFERROR(AVERAGEIFS('Base Kpi'!$I:$I,'Base Kpi'!$B:$B,Cliente!$E37,'Base Kpi'!$G:$G,Cliente!Q$5),0)</f>
        <v>3.4</v>
      </c>
      <c r="R37" s="92">
        <f>IFERROR(AVERAGEIFS('Base Kpi'!$I:$I,'Base Kpi'!$B:$B,Cliente!$E37,'Base Kpi'!$G:$G,Cliente!R$5),0)</f>
        <v>33.75</v>
      </c>
      <c r="S37" s="94">
        <f t="shared" ref="S37:S66" si="57">SUM(O37:R37)</f>
        <v>58.57</v>
      </c>
      <c r="T37" s="95">
        <f t="shared" ref="T37:T66" si="58">IF(S37&gt;=80,1,0)</f>
        <v>0</v>
      </c>
      <c r="U37" s="60">
        <f>IFERROR(AVERAGEIFS('Base Kpi'!$T:$T,'Base Kpi'!$M:$M,Cliente!$E37,'Base Kpi'!$S:$S,Cliente!U$5),0)</f>
        <v>21.42</v>
      </c>
      <c r="V37" s="92">
        <f>IFERROR(AVERAGEIFS('Base Kpi'!$T:$T,'Base Kpi'!$M:$M,Cliente!$E37,'Base Kpi'!$S:$S,Cliente!V$5),0)</f>
        <v>0</v>
      </c>
      <c r="W37" s="92">
        <f>IFERROR(AVERAGEIFS('Base Kpi'!$T:$T,'Base Kpi'!$M:$M,Cliente!$E37,'Base Kpi'!$S:$S,Cliente!W$5),0)</f>
        <v>4.25</v>
      </c>
      <c r="X37" s="92">
        <f>IFERROR(AVERAGEIFS('Base Kpi'!$T:$T,'Base Kpi'!$M:$M,Cliente!$E37,'Base Kpi'!$S:$S,Cliente!X$5),0)</f>
        <v>30.375</v>
      </c>
      <c r="Y37" s="94">
        <f t="shared" ref="Y37:Y66" si="59">SUM(U37:X37)</f>
        <v>56.045000000000002</v>
      </c>
      <c r="Z37" s="95">
        <f t="shared" ref="Z37:Z66" si="60">IF(Y37&gt;=80,1,0)</f>
        <v>0</v>
      </c>
      <c r="AA37" s="60">
        <f>IFERROR(AVERAGEIFS('Base Kpi'!$AF:$AF,'Base Kpi'!$Y:$Y,Cliente!$E37,'Base Kpi'!$AE:$AE,Cliente!AA$5),0)</f>
        <v>25.71</v>
      </c>
      <c r="AB37" s="92">
        <f>IFERROR(AVERAGEIFS('Base Kpi'!$AF:$AF,'Base Kpi'!$Y:$Y,Cliente!$E37,'Base Kpi'!$AE:$AE,Cliente!AB$5),0)</f>
        <v>0</v>
      </c>
      <c r="AC37" s="92">
        <f>IFERROR(AVERAGEIFS('Base Kpi'!$AF:$AF,'Base Kpi'!$Y:$Y,Cliente!$E37,'Base Kpi'!$AE:$AE,Cliente!AC$5),0)</f>
        <v>4.25</v>
      </c>
      <c r="AD37" s="92">
        <f>IFERROR(AVERAGEIFS('Base Kpi'!$AF:$AF,'Base Kpi'!$Y:$Y,Cliente!$E37,'Base Kpi'!$AE:$AE,Cliente!AD$5),0)</f>
        <v>15.75</v>
      </c>
      <c r="AE37" s="94">
        <f t="shared" ref="AE37:AE66" si="61">SUM(AA37:AD37)</f>
        <v>45.71</v>
      </c>
      <c r="AF37" s="95">
        <f t="shared" ref="AF37:AF66" si="62">IF(AE37&gt;=80,1,0)</f>
        <v>0</v>
      </c>
      <c r="AG37" s="60">
        <f t="shared" si="9"/>
        <v>62.66</v>
      </c>
      <c r="AH37" s="97">
        <f t="shared" si="10"/>
        <v>1</v>
      </c>
      <c r="AI37" s="88">
        <f t="shared" ref="AI37:AI66" si="63">IF(AH37=0,0,IF(AG37&gt;=7,1,0))</f>
        <v>1</v>
      </c>
      <c r="AJ37" s="92">
        <f>IFERROR(AVERAGEIFS('Base Kpi'!$AR:$AR,'Base Kpi'!$AK:$AK,Cliente!$E37,'Base Kpi'!$AQ:$AQ,AJ$5),0)</f>
        <v>25</v>
      </c>
      <c r="AK37" s="92">
        <f>IFERROR(AVERAGEIFS('Base Kpi'!$AR:$AR,'Base Kpi'!$AK:$AK,Cliente!$E37,'Base Kpi'!$AQ:$AQ,AK$5),0)</f>
        <v>2.5</v>
      </c>
      <c r="AL37" s="92">
        <f>IFERROR(AVERAGEIFS('Base Kpi'!$AR:$AR,'Base Kpi'!$AK:$AK,Cliente!$E37,'Base Kpi'!$AQ:$AQ,AL$5),0)</f>
        <v>9</v>
      </c>
      <c r="AM37" s="92">
        <f>IFERROR(AVERAGEIFS('Base Kpi'!$AR:$AR,'Base Kpi'!$AK:$AK,Cliente!$E37,'Base Kpi'!$AQ:$AQ,AM$5),0)</f>
        <v>30.44</v>
      </c>
      <c r="AN37" s="94">
        <f t="shared" si="53"/>
        <v>66.94</v>
      </c>
      <c r="AO37" s="95">
        <f t="shared" si="13"/>
        <v>0</v>
      </c>
      <c r="AP37" s="60">
        <f>IFERROR(AVERAGEIFS('Base Kpi'!$BD:$BD,'Base Kpi'!$AW:$AW,Cliente!$E37,'Base Kpi'!$BC:$BC,Cliente!AP$5),0)</f>
        <v>25</v>
      </c>
      <c r="AQ37" s="92">
        <f>IFERROR(AVERAGEIFS('Base Kpi'!$BD:$BD,'Base Kpi'!$AW:$AW,Cliente!$E37,'Base Kpi'!$BC:$BC,Cliente!AQ$5),0)</f>
        <v>0</v>
      </c>
      <c r="AR37" s="92">
        <f>IFERROR(AVERAGEIFS('Base Kpi'!$BD:$BD,'Base Kpi'!$AW:$AW,Cliente!$E37,'Base Kpi'!$BC:$BC,Cliente!AR$5),0)</f>
        <v>9</v>
      </c>
      <c r="AS37" s="92">
        <f>IFERROR(AVERAGEIFS('Base Kpi'!$BD:$BD,'Base Kpi'!$AW:$AW,Cliente!$E37,'Base Kpi'!$BC:$BC,Cliente!AS$5),0)</f>
        <v>26.08</v>
      </c>
      <c r="AT37" s="92">
        <f>IFERROR(AVERAGEIFS('Base Kpi'!$BD:$BD,'Base Kpi'!$AW:$AW,Cliente!$E37,'Base Kpi'!$BC:$BC,Cliente!AT$5),0)</f>
        <v>0</v>
      </c>
      <c r="AU37" s="94">
        <f t="shared" si="54"/>
        <v>60.08</v>
      </c>
      <c r="AV37" s="95">
        <f t="shared" si="15"/>
        <v>0</v>
      </c>
      <c r="AW37" s="60">
        <f>IFERROR(AVERAGEIFS('Base Kpi'!$BP:$BP,'Base Kpi'!$BI:$BI,Cliente!$E37,'Base Kpi'!$BO:$BO,Cliente!AW$5),0)</f>
        <v>25</v>
      </c>
      <c r="AX37" s="92">
        <f>IFERROR(AVERAGEIFS('Base Kpi'!$BP:$BP,'Base Kpi'!$BI:$BI,Cliente!$E37,'Base Kpi'!$BO:$BO,Cliente!AX$5),0)</f>
        <v>0</v>
      </c>
      <c r="AY37" s="92">
        <f>IFERROR(AVERAGEIFS('Base Kpi'!$BP:$BP,'Base Kpi'!$BI:$BI,Cliente!$E37,'Base Kpi'!$BO:$BO,Cliente!AY$5),0)</f>
        <v>9</v>
      </c>
      <c r="AZ37" s="92">
        <f>IFERROR(AVERAGEIFS('Base Kpi'!$BP:$BP,'Base Kpi'!$BI:$BI,Cliente!$E37,'Base Kpi'!$BO:$BO,Cliente!AZ$5),0)</f>
        <v>26.96</v>
      </c>
      <c r="BA37" s="92">
        <f>IFERROR(AVERAGEIFS('Base Kpi'!$BP:$BP,'Base Kpi'!$BI:$BI,Cliente!$E37,'Base Kpi'!$BO:$BO,Cliente!BA$5),0)</f>
        <v>0</v>
      </c>
      <c r="BB37" s="94">
        <f t="shared" si="16"/>
        <v>60.96</v>
      </c>
      <c r="BC37" s="95">
        <f t="shared" si="17"/>
        <v>0</v>
      </c>
      <c r="BD37" s="60">
        <f t="shared" si="42"/>
        <v>16.150000000000002</v>
      </c>
      <c r="BE37" s="97">
        <f t="shared" si="18"/>
        <v>0</v>
      </c>
      <c r="BF37" s="88">
        <f t="shared" si="43"/>
        <v>0</v>
      </c>
      <c r="BG37" s="60">
        <f>IFERROR(AVERAGEIFS('Base Kpi'!$CB:$CB,'Base Kpi'!$BU:$BU,Cliente!$E37,'Base Kpi'!$CA:$CA,Cliente!BG$5),0)</f>
        <v>17.850000000000001</v>
      </c>
      <c r="BH37" s="92">
        <f>IFERROR(AVERAGEIFS('Base Kpi'!$CB:$CB,'Base Kpi'!$BU:$BU,Cliente!$E37,'Base Kpi'!$CA:$CA,Cliente!BH$5),0)</f>
        <v>0</v>
      </c>
      <c r="BI37" s="92">
        <f>IFERROR(AVERAGEIFS('Base Kpi'!$CB:$CB,'Base Kpi'!$BU:$BU,Cliente!$E37,'Base Kpi'!$CA:$CA,Cliente!BI$5),0)</f>
        <v>9</v>
      </c>
      <c r="BJ37" s="92">
        <f>IFERROR(AVERAGEIFS('Base Kpi'!$CB:$CB,'Base Kpi'!$BU:$BU,Cliente!$E37,'Base Kpi'!$CA:$CA,Cliente!BJ$5),0)</f>
        <v>21.6</v>
      </c>
      <c r="BK37" s="92">
        <f>IFERROR(AVERAGEIFS('Base Kpi'!$CB:$CB,'Base Kpi'!$BU:$BU,Cliente!$E37,'Base Kpi'!$CA:$CA,Cliente!BK$5),0)</f>
        <v>0</v>
      </c>
      <c r="BL37" s="94">
        <f t="shared" si="19"/>
        <v>48.45</v>
      </c>
      <c r="BM37" s="95">
        <f t="shared" si="20"/>
        <v>0</v>
      </c>
      <c r="BN37" s="60">
        <f>IFERROR(AVERAGEIFS('Base Kpi'!$CN:$CN,'Base Kpi'!$CG:$CG,Cliente!$E37,'Base Kpi'!$CM:$CM,Cliente!BN$5),0)</f>
        <v>0</v>
      </c>
      <c r="BO37" s="92">
        <f>IFERROR(AVERAGEIFS('Base Kpi'!$CN:$CN,'Base Kpi'!$CG:$CG,Cliente!$E37,'Base Kpi'!$CM:$CM,Cliente!BO$5),0)</f>
        <v>0</v>
      </c>
      <c r="BP37" s="92">
        <f>IFERROR(AVERAGEIFS('Base Kpi'!$CN:$CN,'Base Kpi'!$CG:$CG,Cliente!$E37,'Base Kpi'!$CM:$CM,Cliente!BP$5),0)</f>
        <v>0</v>
      </c>
      <c r="BQ37" s="92">
        <f>IFERROR(AVERAGEIFS('Base Kpi'!$CN:$CN,'Base Kpi'!$CG:$CG,Cliente!$E37,'Base Kpi'!$CM:$CM,Cliente!BQ$5),0)</f>
        <v>0</v>
      </c>
      <c r="BR37" s="92">
        <f>IFERROR(AVERAGEIFS('Base Kpi'!$CN:$CN,'Base Kpi'!$CG:$CG,Cliente!$E37,'Base Kpi'!$CM:$CM,Cliente!BR$5),0)</f>
        <v>0</v>
      </c>
      <c r="BS37" s="94">
        <f t="shared" si="21"/>
        <v>0</v>
      </c>
      <c r="BT37" s="95">
        <f t="shared" si="22"/>
        <v>0</v>
      </c>
      <c r="BU37" s="60">
        <f>IFERROR(AVERAGEIFS('Base Kpi'!$CZ:$CZ,'Base Kpi'!$CS:$CS,Cliente!$E37,'Base Kpi'!$CY:$CY,Cliente!BU$5),0)</f>
        <v>0</v>
      </c>
      <c r="BV37" s="92">
        <f>IFERROR(AVERAGEIFS('Base Kpi'!$CZ:$CZ,'Base Kpi'!$CS:$CS,Cliente!$E37,'Base Kpi'!$CY:$CY,Cliente!BV$5),0)</f>
        <v>0</v>
      </c>
      <c r="BW37" s="92">
        <f>IFERROR(AVERAGEIFS('Base Kpi'!$CZ:$CZ,'Base Kpi'!$CS:$CS,Cliente!$E37,'Base Kpi'!$CY:$CY,Cliente!BW$5),0)</f>
        <v>0</v>
      </c>
      <c r="BX37" s="92">
        <f>IFERROR(AVERAGEIFS('Base Kpi'!$CZ:$CZ,'Base Kpi'!$CS:$CS,Cliente!$E37,'Base Kpi'!$CY:$CY,Cliente!BX$5),0)</f>
        <v>0</v>
      </c>
      <c r="BY37" s="92">
        <f>IFERROR(AVERAGEIFS('Base Kpi'!$CZ:$CZ,'Base Kpi'!$CS:$CS,Cliente!$E37,'Base Kpi'!$CY:$CY,Cliente!BY$5),0)</f>
        <v>0</v>
      </c>
      <c r="BZ37" s="94">
        <f t="shared" si="23"/>
        <v>0</v>
      </c>
      <c r="CA37" s="95">
        <f t="shared" si="24"/>
        <v>0</v>
      </c>
      <c r="CB37" s="60" t="str">
        <f t="shared" ref="CB37:CB66" si="64">IF((CL37+CU37+DD37)/3=0,"",(CL37+CU37+DD37)/3)</f>
        <v/>
      </c>
      <c r="CC37" s="97">
        <f t="shared" ref="CC37:CC66" si="65">IF(IF(CL37&gt;0,1,0)+IF(CU37&gt;0,1,0)+IF(DD37&gt;0,1,0)=3,1,0)</f>
        <v>0</v>
      </c>
      <c r="CD37" s="43">
        <f t="shared" ref="CD37:CD66" si="66">IF(CC37=0,0,IF(CB37&gt;=7,1,0))</f>
        <v>0</v>
      </c>
      <c r="CE37" s="60" cm="1">
        <f t="array" ref="CE37">IFERROR(LARGE(_xlfn._xlws.FILTER('Base Kpi'!$DL:$DL,('Base Kpi'!$DK:$DK=$CE$5)*('Base Kpi'!$DE:$DE=Cliente!$E37)),1),0)</f>
        <v>0</v>
      </c>
      <c r="CF37" s="60" cm="1">
        <f t="array" ref="CF37">IFERROR(LARGE(_xlfn._xlws.FILTER('Base Kpi'!$DL:$DL,('Base Kpi'!$DK:$DK=$CF$5)*('Base Kpi'!$DE:$DE=Cliente!$E37)),1),0)</f>
        <v>0</v>
      </c>
      <c r="CG37" s="60" cm="1">
        <f t="array" ref="CG37">IFERROR(LARGE(_xlfn._xlws.FILTER('Base Kpi'!$DL:$DL,('Base Kpi'!$DK:$DK=$CG$5)*('Base Kpi'!$DE:$DE=Cliente!$E37)),1),0)</f>
        <v>0</v>
      </c>
      <c r="CH37" s="60" cm="1">
        <f t="array" ref="CH37">IFERROR(LARGE(_xlfn._xlws.FILTER('Base Kpi'!$DL:$DL,('Base Kpi'!$DK:$DK=$CH$5)*('Base Kpi'!$DE:$DE=Cliente!$E37)),1),0)</f>
        <v>0</v>
      </c>
      <c r="CI37" s="60" cm="1">
        <f t="array" ref="CI37">IFERROR(LARGE(_xlfn._xlws.FILTER('Base Kpi'!$DL:$DL,('Base Kpi'!$DK:$DK=$CI$5)*('Base Kpi'!$DE:$DE=Cliente!$E37)),1),0)</f>
        <v>0</v>
      </c>
      <c r="CJ37" s="60" cm="1">
        <f t="array" ref="CJ37">IFERROR(LARGE(_xlfn._xlws.FILTER('Base Kpi'!$DL:$DL,('Base Kpi'!$DK:$DK=$CJ$5)*('Base Kpi'!$DE:$DE=Cliente!$E37)),1),0)</f>
        <v>0</v>
      </c>
      <c r="CK37" s="60" cm="1">
        <f t="array" ref="CK37">IFERROR(LARGE(_xlfn._xlws.FILTER('Base Kpi'!$DL:$DL,('Base Kpi'!$DK:$DK=$CK$5)*('Base Kpi'!$DE:$DE=Cliente!$E37)),1),0)</f>
        <v>0</v>
      </c>
      <c r="CL37" s="94">
        <f t="shared" si="28"/>
        <v>0</v>
      </c>
      <c r="CM37" s="95">
        <f t="shared" si="47"/>
        <v>0</v>
      </c>
      <c r="CN37" s="60">
        <f>IFERROR(AVERAGEIFS('Base Kpi'!$DX:$DX,'Base Kpi'!$DQ:$DQ,Cliente!$E37,'Base Kpi'!$DW:$DW,Cliente!CN$5),0)</f>
        <v>0</v>
      </c>
      <c r="CO37" s="92">
        <f>IFERROR(AVERAGEIFS('Base Kpi'!$DX:$DX,'Base Kpi'!$DQ:$DQ,Cliente!$E37,'Base Kpi'!$DW:$DW,Cliente!CO$5),0)</f>
        <v>0</v>
      </c>
      <c r="CP37" s="92">
        <f>IFERROR(AVERAGEIFS('Base Kpi'!$DX:$DX,'Base Kpi'!$DQ:$DQ,Cliente!$E37,'Base Kpi'!$DW:$DW,Cliente!CP$5),0)</f>
        <v>0</v>
      </c>
      <c r="CQ37" s="92">
        <f>IFERROR(AVERAGEIFS('Base Kpi'!$DX:$DX,'Base Kpi'!$DQ:$DQ,Cliente!$E37,'Base Kpi'!$DW:$DW,Cliente!CQ$5),0)</f>
        <v>0</v>
      </c>
      <c r="CR37" s="92">
        <f>IFERROR(AVERAGEIFS('Base Kpi'!$DX:$DX,'Base Kpi'!$DQ:$DQ,Cliente!$E37,'Base Kpi'!$DW:$DW,Cliente!CR$5),0)</f>
        <v>0</v>
      </c>
      <c r="CS37" s="92">
        <f>IFERROR(AVERAGEIFS('Base Kpi'!$DX:$DX,'Base Kpi'!$DQ:$DQ,Cliente!$E37,'Base Kpi'!$DW:$DW,Cliente!CS$5),0)</f>
        <v>0</v>
      </c>
      <c r="CT37" s="92">
        <f>IFERROR(AVERAGEIFS('Base Kpi'!$DX:$DX,'Base Kpi'!$DQ:$DQ,Cliente!$E37,'Base Kpi'!$DW:$DW,Cliente!CT$5),0)</f>
        <v>0</v>
      </c>
      <c r="CU37" s="94">
        <f t="shared" ref="CU37:CU66" si="67">SUM(CN37:CT37)</f>
        <v>0</v>
      </c>
      <c r="CV37" s="95">
        <f t="shared" ref="CV37:CV66" si="68">IF(CU37&gt;=7,1,0)</f>
        <v>0</v>
      </c>
      <c r="CW37" s="60">
        <f>IFERROR(AVERAGEIFS('Base Kpi'!$EJ:$EJ,'Base Kpi'!$EC:$EC,Cliente!$E37,'Base Kpi'!$EI:$EI,Cliente!CW$5),0)</f>
        <v>0</v>
      </c>
      <c r="CX37" s="92">
        <f>IFERROR(AVERAGEIFS('Base Kpi'!$EJ:$EJ,'Base Kpi'!$EC:$EC,Cliente!$E37,'Base Kpi'!$EI:$EI,Cliente!CX$5),0)</f>
        <v>0</v>
      </c>
      <c r="CY37" s="92">
        <f>IFERROR(AVERAGEIFS('Base Kpi'!$EJ:$EJ,'Base Kpi'!$EC:$EC,Cliente!$E37,'Base Kpi'!$EI:$EI,Cliente!CY$5),0)</f>
        <v>0</v>
      </c>
      <c r="CZ37" s="92">
        <f>IFERROR(AVERAGEIFS('Base Kpi'!$EJ:$EJ,'Base Kpi'!$EC:$EC,Cliente!$E37,'Base Kpi'!$EI:$EI,Cliente!CZ$5),0)</f>
        <v>0</v>
      </c>
      <c r="DA37" s="92">
        <f>IFERROR(AVERAGEIFS('Base Kpi'!$EJ:$EJ,'Base Kpi'!$EC:$EC,Cliente!$E37,'Base Kpi'!$EI:$EI,Cliente!DA$5),0)</f>
        <v>0</v>
      </c>
      <c r="DB37" s="92">
        <f>IFERROR(AVERAGEIFS('Base Kpi'!$EJ:$EJ,'Base Kpi'!$EC:$EC,Cliente!$E37,'Base Kpi'!$EI:$EI,Cliente!DB$5),0)</f>
        <v>0</v>
      </c>
      <c r="DC37" s="92">
        <f>IFERROR(AVERAGEIFS('Base Kpi'!$EJ:$EJ,'Base Kpi'!$EC:$EC,Cliente!$E37,'Base Kpi'!$EI:$EI,Cliente!DC$5),0)</f>
        <v>0</v>
      </c>
      <c r="DD37" s="94">
        <f t="shared" ref="DD37:DD66" si="69">SUM(CW37:DC37)</f>
        <v>0</v>
      </c>
      <c r="DE37" s="95">
        <f t="shared" ref="DE37:DE66" si="70">IF(DD37&gt;=7,1,0)</f>
        <v>0</v>
      </c>
      <c r="DF37" s="120"/>
    </row>
    <row r="38" spans="2:110" x14ac:dyDescent="0.35">
      <c r="B38" s="52" t="s">
        <v>427</v>
      </c>
      <c r="C38" s="21">
        <v>4054</v>
      </c>
      <c r="D38" s="21" t="s">
        <v>432</v>
      </c>
      <c r="E38" s="21">
        <v>134214</v>
      </c>
      <c r="F38" s="16" t="s">
        <v>40</v>
      </c>
      <c r="G38" s="16" t="s">
        <v>302</v>
      </c>
      <c r="H38" s="16" t="s">
        <v>319</v>
      </c>
      <c r="I38" s="16" t="s">
        <v>176</v>
      </c>
      <c r="J38" s="16" t="s">
        <v>89</v>
      </c>
      <c r="K38" s="34" t="s">
        <v>82</v>
      </c>
      <c r="L38" s="60">
        <f t="shared" si="55"/>
        <v>54.303333333333335</v>
      </c>
      <c r="M38" s="97">
        <f t="shared" si="56"/>
        <v>1</v>
      </c>
      <c r="N38" s="43">
        <f t="shared" si="52"/>
        <v>0</v>
      </c>
      <c r="O38" s="60">
        <f>IFERROR(AVERAGEIFS('Base Kpi'!$I:$I,'Base Kpi'!$B:$B,Cliente!$E38,'Base Kpi'!$G:$G,Cliente!O$5),0)</f>
        <v>25.71</v>
      </c>
      <c r="P38" s="92">
        <f>IFERROR(AVERAGEIFS('Base Kpi'!$I:$I,'Base Kpi'!$B:$B,Cliente!$E38,'Base Kpi'!$G:$G,Cliente!P$5),0)</f>
        <v>0</v>
      </c>
      <c r="Q38" s="92">
        <f>IFERROR(AVERAGEIFS('Base Kpi'!$I:$I,'Base Kpi'!$B:$B,Cliente!$E38,'Base Kpi'!$G:$G,Cliente!Q$5),0)</f>
        <v>3.4</v>
      </c>
      <c r="R38" s="92">
        <f>IFERROR(AVERAGEIFS('Base Kpi'!$I:$I,'Base Kpi'!$B:$B,Cliente!$E38,'Base Kpi'!$G:$G,Cliente!R$5),0)</f>
        <v>32.625</v>
      </c>
      <c r="S38" s="94">
        <f t="shared" si="57"/>
        <v>61.734999999999999</v>
      </c>
      <c r="T38" s="95">
        <f t="shared" si="58"/>
        <v>0</v>
      </c>
      <c r="U38" s="60">
        <f>IFERROR(AVERAGEIFS('Base Kpi'!$T:$T,'Base Kpi'!$M:$M,Cliente!$E38,'Base Kpi'!$S:$S,Cliente!U$5),0)</f>
        <v>17.13</v>
      </c>
      <c r="V38" s="92">
        <f>IFERROR(AVERAGEIFS('Base Kpi'!$T:$T,'Base Kpi'!$M:$M,Cliente!$E38,'Base Kpi'!$S:$S,Cliente!V$5),0)</f>
        <v>0</v>
      </c>
      <c r="W38" s="92">
        <f>IFERROR(AVERAGEIFS('Base Kpi'!$T:$T,'Base Kpi'!$M:$M,Cliente!$E38,'Base Kpi'!$S:$S,Cliente!W$5),0)</f>
        <v>4.25</v>
      </c>
      <c r="X38" s="92">
        <f>IFERROR(AVERAGEIFS('Base Kpi'!$T:$T,'Base Kpi'!$M:$M,Cliente!$E38,'Base Kpi'!$S:$S,Cliente!X$5),0)</f>
        <v>30.375</v>
      </c>
      <c r="Y38" s="94">
        <f t="shared" si="59"/>
        <v>51.754999999999995</v>
      </c>
      <c r="Z38" s="95">
        <f t="shared" si="60"/>
        <v>0</v>
      </c>
      <c r="AA38" s="60">
        <f>IFERROR(AVERAGEIFS('Base Kpi'!$AF:$AF,'Base Kpi'!$Y:$Y,Cliente!$E38,'Base Kpi'!$AE:$AE,Cliente!AA$5),0)</f>
        <v>21.42</v>
      </c>
      <c r="AB38" s="92">
        <f>IFERROR(AVERAGEIFS('Base Kpi'!$AF:$AF,'Base Kpi'!$Y:$Y,Cliente!$E38,'Base Kpi'!$AE:$AE,Cliente!AB$5),0)</f>
        <v>8</v>
      </c>
      <c r="AC38" s="92">
        <f>IFERROR(AVERAGEIFS('Base Kpi'!$AF:$AF,'Base Kpi'!$Y:$Y,Cliente!$E38,'Base Kpi'!$AE:$AE,Cliente!AC$5),0)</f>
        <v>4.25</v>
      </c>
      <c r="AD38" s="92">
        <f>IFERROR(AVERAGEIFS('Base Kpi'!$AF:$AF,'Base Kpi'!$Y:$Y,Cliente!$E38,'Base Kpi'!$AE:$AE,Cliente!AD$5),0)</f>
        <v>15.75</v>
      </c>
      <c r="AE38" s="94">
        <f t="shared" si="61"/>
        <v>49.42</v>
      </c>
      <c r="AF38" s="95">
        <f t="shared" si="62"/>
        <v>0</v>
      </c>
      <c r="AG38" s="60">
        <f t="shared" ref="AG38:AG69" si="71">IF((AN38+AU38+BB38)/3=0,"",(AN38+AU38+BB38)/3)</f>
        <v>13.323333333333332</v>
      </c>
      <c r="AH38" s="97">
        <f t="shared" ref="AH38:AH69" si="72">IF(IF(AN38&gt;0,1,0)+IF(AU38&gt;0,1,0)+IF(BB38&gt;0,1,0)=3,1,0)</f>
        <v>0</v>
      </c>
      <c r="AI38" s="88">
        <f t="shared" si="63"/>
        <v>0</v>
      </c>
      <c r="AJ38" s="92">
        <f>IFERROR(AVERAGEIFS('Base Kpi'!$AR:$AR,'Base Kpi'!$AK:$AK,Cliente!$E38,'Base Kpi'!$AQ:$AQ,AJ$5),0)</f>
        <v>17.850000000000001</v>
      </c>
      <c r="AK38" s="92">
        <f>IFERROR(AVERAGEIFS('Base Kpi'!$AR:$AR,'Base Kpi'!$AK:$AK,Cliente!$E38,'Base Kpi'!$AQ:$AQ,AK$5),0)</f>
        <v>0</v>
      </c>
      <c r="AL38" s="92">
        <f>IFERROR(AVERAGEIFS('Base Kpi'!$AR:$AR,'Base Kpi'!$AK:$AK,Cliente!$E38,'Base Kpi'!$AQ:$AQ,AL$5),0)</f>
        <v>3</v>
      </c>
      <c r="AM38" s="92">
        <f>IFERROR(AVERAGEIFS('Base Kpi'!$AR:$AR,'Base Kpi'!$AK:$AK,Cliente!$E38,'Base Kpi'!$AQ:$AQ,AM$5),0)</f>
        <v>19.12</v>
      </c>
      <c r="AN38" s="94">
        <f t="shared" si="53"/>
        <v>39.97</v>
      </c>
      <c r="AO38" s="95">
        <f t="shared" si="13"/>
        <v>0</v>
      </c>
      <c r="AP38" s="60">
        <f>IFERROR(AVERAGEIFS('Base Kpi'!$BD:$BD,'Base Kpi'!$AW:$AW,Cliente!$E38,'Base Kpi'!$BC:$BC,Cliente!AP$5),0)</f>
        <v>0</v>
      </c>
      <c r="AQ38" s="92">
        <f>IFERROR(AVERAGEIFS('Base Kpi'!$BD:$BD,'Base Kpi'!$AW:$AW,Cliente!$E38,'Base Kpi'!$BC:$BC,Cliente!AQ$5),0)</f>
        <v>0</v>
      </c>
      <c r="AR38" s="92">
        <f>IFERROR(AVERAGEIFS('Base Kpi'!$BD:$BD,'Base Kpi'!$AW:$AW,Cliente!$E38,'Base Kpi'!$BC:$BC,Cliente!AR$5),0)</f>
        <v>0</v>
      </c>
      <c r="AS38" s="92">
        <f>IFERROR(AVERAGEIFS('Base Kpi'!$BD:$BD,'Base Kpi'!$AW:$AW,Cliente!$E38,'Base Kpi'!$BC:$BC,Cliente!AS$5),0)</f>
        <v>0</v>
      </c>
      <c r="AT38" s="92">
        <f>IFERROR(AVERAGEIFS('Base Kpi'!$BD:$BD,'Base Kpi'!$AW:$AW,Cliente!$E38,'Base Kpi'!$BC:$BC,Cliente!AT$5),0)</f>
        <v>0</v>
      </c>
      <c r="AU38" s="94">
        <f t="shared" si="54"/>
        <v>0</v>
      </c>
      <c r="AV38" s="95">
        <f t="shared" si="15"/>
        <v>0</v>
      </c>
      <c r="AW38" s="60">
        <f>IFERROR(AVERAGEIFS('Base Kpi'!$BP:$BP,'Base Kpi'!$BI:$BI,Cliente!$E38,'Base Kpi'!$BO:$BO,Cliente!AW$5),0)</f>
        <v>0</v>
      </c>
      <c r="AX38" s="92">
        <f>IFERROR(AVERAGEIFS('Base Kpi'!$BP:$BP,'Base Kpi'!$BI:$BI,Cliente!$E38,'Base Kpi'!$BO:$BO,Cliente!AX$5),0)</f>
        <v>0</v>
      </c>
      <c r="AY38" s="92">
        <f>IFERROR(AVERAGEIFS('Base Kpi'!$BP:$BP,'Base Kpi'!$BI:$BI,Cliente!$E38,'Base Kpi'!$BO:$BO,Cliente!AY$5),0)</f>
        <v>0</v>
      </c>
      <c r="AZ38" s="92">
        <f>IFERROR(AVERAGEIFS('Base Kpi'!$BP:$BP,'Base Kpi'!$BI:$BI,Cliente!$E38,'Base Kpi'!$BO:$BO,Cliente!AZ$5),0)</f>
        <v>0</v>
      </c>
      <c r="BA38" s="92">
        <f>IFERROR(AVERAGEIFS('Base Kpi'!$BP:$BP,'Base Kpi'!$BI:$BI,Cliente!$E38,'Base Kpi'!$BO:$BO,Cliente!BA$5),0)</f>
        <v>0</v>
      </c>
      <c r="BB38" s="94">
        <f t="shared" ref="BB38:BB69" si="73">SUM(AW38:BA38)</f>
        <v>0</v>
      </c>
      <c r="BC38" s="95">
        <f t="shared" si="17"/>
        <v>0</v>
      </c>
      <c r="BD38" s="60" t="str">
        <f t="shared" si="42"/>
        <v/>
      </c>
      <c r="BE38" s="97">
        <f t="shared" si="18"/>
        <v>0</v>
      </c>
      <c r="BF38" s="88">
        <f t="shared" si="43"/>
        <v>0</v>
      </c>
      <c r="BG38" s="60">
        <f>IFERROR(AVERAGEIFS('Base Kpi'!$CB:$CB,'Base Kpi'!$BU:$BU,Cliente!$E38,'Base Kpi'!$CA:$CA,Cliente!BG$5),0)</f>
        <v>0</v>
      </c>
      <c r="BH38" s="92">
        <f>IFERROR(AVERAGEIFS('Base Kpi'!$CB:$CB,'Base Kpi'!$BU:$BU,Cliente!$E38,'Base Kpi'!$CA:$CA,Cliente!BH$5),0)</f>
        <v>0</v>
      </c>
      <c r="BI38" s="92">
        <f>IFERROR(AVERAGEIFS('Base Kpi'!$CB:$CB,'Base Kpi'!$BU:$BU,Cliente!$E38,'Base Kpi'!$CA:$CA,Cliente!BI$5),0)</f>
        <v>0</v>
      </c>
      <c r="BJ38" s="92">
        <f>IFERROR(AVERAGEIFS('Base Kpi'!$CB:$CB,'Base Kpi'!$BU:$BU,Cliente!$E38,'Base Kpi'!$CA:$CA,Cliente!BJ$5),0)</f>
        <v>0</v>
      </c>
      <c r="BK38" s="92">
        <f>IFERROR(AVERAGEIFS('Base Kpi'!$CB:$CB,'Base Kpi'!$BU:$BU,Cliente!$E38,'Base Kpi'!$CA:$CA,Cliente!BK$5),0)</f>
        <v>0</v>
      </c>
      <c r="BL38" s="94">
        <f t="shared" ref="BL38:BL69" si="74">SUM(BG38:BK38)</f>
        <v>0</v>
      </c>
      <c r="BM38" s="95">
        <f t="shared" si="20"/>
        <v>0</v>
      </c>
      <c r="BN38" s="60">
        <f>IFERROR(AVERAGEIFS('Base Kpi'!$CN:$CN,'Base Kpi'!$CG:$CG,Cliente!$E38,'Base Kpi'!$CM:$CM,Cliente!BN$5),0)</f>
        <v>0</v>
      </c>
      <c r="BO38" s="92">
        <f>IFERROR(AVERAGEIFS('Base Kpi'!$CN:$CN,'Base Kpi'!$CG:$CG,Cliente!$E38,'Base Kpi'!$CM:$CM,Cliente!BO$5),0)</f>
        <v>0</v>
      </c>
      <c r="BP38" s="92">
        <f>IFERROR(AVERAGEIFS('Base Kpi'!$CN:$CN,'Base Kpi'!$CG:$CG,Cliente!$E38,'Base Kpi'!$CM:$CM,Cliente!BP$5),0)</f>
        <v>0</v>
      </c>
      <c r="BQ38" s="92">
        <f>IFERROR(AVERAGEIFS('Base Kpi'!$CN:$CN,'Base Kpi'!$CG:$CG,Cliente!$E38,'Base Kpi'!$CM:$CM,Cliente!BQ$5),0)</f>
        <v>0</v>
      </c>
      <c r="BR38" s="92">
        <f>IFERROR(AVERAGEIFS('Base Kpi'!$CN:$CN,'Base Kpi'!$CG:$CG,Cliente!$E38,'Base Kpi'!$CM:$CM,Cliente!BR$5),0)</f>
        <v>0</v>
      </c>
      <c r="BS38" s="94">
        <f t="shared" ref="BS38:BS69" si="75">SUM(BN38:BR38)</f>
        <v>0</v>
      </c>
      <c r="BT38" s="95">
        <f t="shared" si="22"/>
        <v>0</v>
      </c>
      <c r="BU38" s="60">
        <f>IFERROR(AVERAGEIFS('Base Kpi'!$CZ:$CZ,'Base Kpi'!$CS:$CS,Cliente!$E38,'Base Kpi'!$CY:$CY,Cliente!BU$5),0)</f>
        <v>0</v>
      </c>
      <c r="BV38" s="92">
        <f>IFERROR(AVERAGEIFS('Base Kpi'!$CZ:$CZ,'Base Kpi'!$CS:$CS,Cliente!$E38,'Base Kpi'!$CY:$CY,Cliente!BV$5),0)</f>
        <v>0</v>
      </c>
      <c r="BW38" s="92">
        <f>IFERROR(AVERAGEIFS('Base Kpi'!$CZ:$CZ,'Base Kpi'!$CS:$CS,Cliente!$E38,'Base Kpi'!$CY:$CY,Cliente!BW$5),0)</f>
        <v>0</v>
      </c>
      <c r="BX38" s="92">
        <f>IFERROR(AVERAGEIFS('Base Kpi'!$CZ:$CZ,'Base Kpi'!$CS:$CS,Cliente!$E38,'Base Kpi'!$CY:$CY,Cliente!BX$5),0)</f>
        <v>0</v>
      </c>
      <c r="BY38" s="92">
        <f>IFERROR(AVERAGEIFS('Base Kpi'!$CZ:$CZ,'Base Kpi'!$CS:$CS,Cliente!$E38,'Base Kpi'!$CY:$CY,Cliente!BY$5),0)</f>
        <v>0</v>
      </c>
      <c r="BZ38" s="94">
        <f t="shared" ref="BZ38:BZ69" si="76">SUM(BU38:BY38)</f>
        <v>0</v>
      </c>
      <c r="CA38" s="95">
        <f t="shared" si="24"/>
        <v>0</v>
      </c>
      <c r="CB38" s="60" t="str">
        <f t="shared" si="64"/>
        <v/>
      </c>
      <c r="CC38" s="97">
        <f t="shared" si="65"/>
        <v>0</v>
      </c>
      <c r="CD38" s="43">
        <f t="shared" si="66"/>
        <v>0</v>
      </c>
      <c r="CE38" s="60" cm="1">
        <f t="array" ref="CE38">IFERROR(LARGE(_xlfn._xlws.FILTER('Base Kpi'!$DL:$DL,('Base Kpi'!$DK:$DK=$CE$5)*('Base Kpi'!$DE:$DE=Cliente!$E38)),1),0)</f>
        <v>0</v>
      </c>
      <c r="CF38" s="60" cm="1">
        <f t="array" ref="CF38">IFERROR(LARGE(_xlfn._xlws.FILTER('Base Kpi'!$DL:$DL,('Base Kpi'!$DK:$DK=$CF$5)*('Base Kpi'!$DE:$DE=Cliente!$E38)),1),0)</f>
        <v>0</v>
      </c>
      <c r="CG38" s="60" cm="1">
        <f t="array" ref="CG38">IFERROR(LARGE(_xlfn._xlws.FILTER('Base Kpi'!$DL:$DL,('Base Kpi'!$DK:$DK=$CG$5)*('Base Kpi'!$DE:$DE=Cliente!$E38)),1),0)</f>
        <v>0</v>
      </c>
      <c r="CH38" s="60" cm="1">
        <f t="array" ref="CH38">IFERROR(LARGE(_xlfn._xlws.FILTER('Base Kpi'!$DL:$DL,('Base Kpi'!$DK:$DK=$CH$5)*('Base Kpi'!$DE:$DE=Cliente!$E38)),1),0)</f>
        <v>0</v>
      </c>
      <c r="CI38" s="60" cm="1">
        <f t="array" ref="CI38">IFERROR(LARGE(_xlfn._xlws.FILTER('Base Kpi'!$DL:$DL,('Base Kpi'!$DK:$DK=$CI$5)*('Base Kpi'!$DE:$DE=Cliente!$E38)),1),0)</f>
        <v>0</v>
      </c>
      <c r="CJ38" s="60" cm="1">
        <f t="array" ref="CJ38">IFERROR(LARGE(_xlfn._xlws.FILTER('Base Kpi'!$DL:$DL,('Base Kpi'!$DK:$DK=$CJ$5)*('Base Kpi'!$DE:$DE=Cliente!$E38)),1),0)</f>
        <v>0</v>
      </c>
      <c r="CK38" s="60" cm="1">
        <f t="array" ref="CK38">IFERROR(LARGE(_xlfn._xlws.FILTER('Base Kpi'!$DL:$DL,('Base Kpi'!$DK:$DK=$CK$5)*('Base Kpi'!$DE:$DE=Cliente!$E38)),1),0)</f>
        <v>0</v>
      </c>
      <c r="CL38" s="94">
        <f t="shared" ref="CL38:CL69" si="77">SUM(CE38:CK38)</f>
        <v>0</v>
      </c>
      <c r="CM38" s="95">
        <f t="shared" si="47"/>
        <v>0</v>
      </c>
      <c r="CN38" s="60">
        <f>IFERROR(AVERAGEIFS('Base Kpi'!$DX:$DX,'Base Kpi'!$DQ:$DQ,Cliente!$E38,'Base Kpi'!$DW:$DW,Cliente!CN$5),0)</f>
        <v>0</v>
      </c>
      <c r="CO38" s="92">
        <f>IFERROR(AVERAGEIFS('Base Kpi'!$DX:$DX,'Base Kpi'!$DQ:$DQ,Cliente!$E38,'Base Kpi'!$DW:$DW,Cliente!CO$5),0)</f>
        <v>0</v>
      </c>
      <c r="CP38" s="92">
        <f>IFERROR(AVERAGEIFS('Base Kpi'!$DX:$DX,'Base Kpi'!$DQ:$DQ,Cliente!$E38,'Base Kpi'!$DW:$DW,Cliente!CP$5),0)</f>
        <v>0</v>
      </c>
      <c r="CQ38" s="92">
        <f>IFERROR(AVERAGEIFS('Base Kpi'!$DX:$DX,'Base Kpi'!$DQ:$DQ,Cliente!$E38,'Base Kpi'!$DW:$DW,Cliente!CQ$5),0)</f>
        <v>0</v>
      </c>
      <c r="CR38" s="92">
        <f>IFERROR(AVERAGEIFS('Base Kpi'!$DX:$DX,'Base Kpi'!$DQ:$DQ,Cliente!$E38,'Base Kpi'!$DW:$DW,Cliente!CR$5),0)</f>
        <v>0</v>
      </c>
      <c r="CS38" s="92">
        <f>IFERROR(AVERAGEIFS('Base Kpi'!$DX:$DX,'Base Kpi'!$DQ:$DQ,Cliente!$E38,'Base Kpi'!$DW:$DW,Cliente!CS$5),0)</f>
        <v>0</v>
      </c>
      <c r="CT38" s="92">
        <f>IFERROR(AVERAGEIFS('Base Kpi'!$DX:$DX,'Base Kpi'!$DQ:$DQ,Cliente!$E38,'Base Kpi'!$DW:$DW,Cliente!CT$5),0)</f>
        <v>0</v>
      </c>
      <c r="CU38" s="94">
        <f t="shared" si="67"/>
        <v>0</v>
      </c>
      <c r="CV38" s="95">
        <f t="shared" si="68"/>
        <v>0</v>
      </c>
      <c r="CW38" s="60">
        <f>IFERROR(AVERAGEIFS('Base Kpi'!$EJ:$EJ,'Base Kpi'!$EC:$EC,Cliente!$E38,'Base Kpi'!$EI:$EI,Cliente!CW$5),0)</f>
        <v>0</v>
      </c>
      <c r="CX38" s="92">
        <f>IFERROR(AVERAGEIFS('Base Kpi'!$EJ:$EJ,'Base Kpi'!$EC:$EC,Cliente!$E38,'Base Kpi'!$EI:$EI,Cliente!CX$5),0)</f>
        <v>0</v>
      </c>
      <c r="CY38" s="92">
        <f>IFERROR(AVERAGEIFS('Base Kpi'!$EJ:$EJ,'Base Kpi'!$EC:$EC,Cliente!$E38,'Base Kpi'!$EI:$EI,Cliente!CY$5),0)</f>
        <v>0</v>
      </c>
      <c r="CZ38" s="92">
        <f>IFERROR(AVERAGEIFS('Base Kpi'!$EJ:$EJ,'Base Kpi'!$EC:$EC,Cliente!$E38,'Base Kpi'!$EI:$EI,Cliente!CZ$5),0)</f>
        <v>0</v>
      </c>
      <c r="DA38" s="92">
        <f>IFERROR(AVERAGEIFS('Base Kpi'!$EJ:$EJ,'Base Kpi'!$EC:$EC,Cliente!$E38,'Base Kpi'!$EI:$EI,Cliente!DA$5),0)</f>
        <v>0</v>
      </c>
      <c r="DB38" s="92">
        <f>IFERROR(AVERAGEIFS('Base Kpi'!$EJ:$EJ,'Base Kpi'!$EC:$EC,Cliente!$E38,'Base Kpi'!$EI:$EI,Cliente!DB$5),0)</f>
        <v>0</v>
      </c>
      <c r="DC38" s="92">
        <f>IFERROR(AVERAGEIFS('Base Kpi'!$EJ:$EJ,'Base Kpi'!$EC:$EC,Cliente!$E38,'Base Kpi'!$EI:$EI,Cliente!DC$5),0)</f>
        <v>0</v>
      </c>
      <c r="DD38" s="94">
        <f t="shared" si="69"/>
        <v>0</v>
      </c>
      <c r="DE38" s="95">
        <f t="shared" si="70"/>
        <v>0</v>
      </c>
      <c r="DF38" s="120"/>
    </row>
    <row r="39" spans="2:110" x14ac:dyDescent="0.35">
      <c r="B39" s="52" t="s">
        <v>42</v>
      </c>
      <c r="C39" s="21">
        <v>179</v>
      </c>
      <c r="D39" s="21" t="s">
        <v>3</v>
      </c>
      <c r="E39" s="21">
        <v>48102</v>
      </c>
      <c r="F39" s="16" t="s">
        <v>59</v>
      </c>
      <c r="G39" s="16" t="s">
        <v>273</v>
      </c>
      <c r="H39" s="16" t="s">
        <v>284</v>
      </c>
      <c r="I39" s="16" t="s">
        <v>281</v>
      </c>
      <c r="J39" s="16" t="s">
        <v>88</v>
      </c>
      <c r="K39" s="34" t="s">
        <v>45</v>
      </c>
      <c r="L39" s="60">
        <f t="shared" si="55"/>
        <v>73.180000000000007</v>
      </c>
      <c r="M39" s="97">
        <f t="shared" si="56"/>
        <v>1</v>
      </c>
      <c r="N39" s="43">
        <f t="shared" si="52"/>
        <v>0</v>
      </c>
      <c r="O39" s="60">
        <f>IFERROR(AVERAGEIFS('Base Kpi'!$I:$I,'Base Kpi'!$B:$B,Cliente!$E39,'Base Kpi'!$G:$G,Cliente!O$5),0)</f>
        <v>21.42</v>
      </c>
      <c r="P39" s="92">
        <f>IFERROR(AVERAGEIFS('Base Kpi'!$I:$I,'Base Kpi'!$B:$B,Cliente!$E39,'Base Kpi'!$G:$G,Cliente!P$5),0)</f>
        <v>0</v>
      </c>
      <c r="Q39" s="92">
        <f>IFERROR(AVERAGEIFS('Base Kpi'!$I:$I,'Base Kpi'!$B:$B,Cliente!$E39,'Base Kpi'!$G:$G,Cliente!Q$5),0)</f>
        <v>10.199999999999999</v>
      </c>
      <c r="R39" s="92">
        <f>IFERROR(AVERAGEIFS('Base Kpi'!$I:$I,'Base Kpi'!$B:$B,Cliente!$E39,'Base Kpi'!$G:$G,Cliente!R$5),0)</f>
        <v>32.625</v>
      </c>
      <c r="S39" s="94">
        <f t="shared" si="57"/>
        <v>64.245000000000005</v>
      </c>
      <c r="T39" s="95">
        <f t="shared" si="58"/>
        <v>0</v>
      </c>
      <c r="U39" s="60">
        <f>IFERROR(AVERAGEIFS('Base Kpi'!$T:$T,'Base Kpi'!$M:$M,Cliente!$E39,'Base Kpi'!$S:$S,Cliente!U$5),0)</f>
        <v>25.71</v>
      </c>
      <c r="V39" s="92">
        <f>IFERROR(AVERAGEIFS('Base Kpi'!$T:$T,'Base Kpi'!$M:$M,Cliente!$E39,'Base Kpi'!$S:$S,Cliente!V$5),0)</f>
        <v>8</v>
      </c>
      <c r="W39" s="92">
        <f>IFERROR(AVERAGEIFS('Base Kpi'!$T:$T,'Base Kpi'!$M:$M,Cliente!$E39,'Base Kpi'!$S:$S,Cliente!W$5),0)</f>
        <v>8.5</v>
      </c>
      <c r="X39" s="92">
        <f>IFERROR(AVERAGEIFS('Base Kpi'!$T:$T,'Base Kpi'!$M:$M,Cliente!$E39,'Base Kpi'!$S:$S,Cliente!X$5),0)</f>
        <v>36</v>
      </c>
      <c r="Y39" s="94">
        <f t="shared" si="59"/>
        <v>78.210000000000008</v>
      </c>
      <c r="Z39" s="95">
        <f t="shared" si="60"/>
        <v>0</v>
      </c>
      <c r="AA39" s="60">
        <f>IFERROR(AVERAGEIFS('Base Kpi'!$AF:$AF,'Base Kpi'!$Y:$Y,Cliente!$E39,'Base Kpi'!$AE:$AE,Cliente!AA$5),0)</f>
        <v>25.71</v>
      </c>
      <c r="AB39" s="92">
        <f>IFERROR(AVERAGEIFS('Base Kpi'!$AF:$AF,'Base Kpi'!$Y:$Y,Cliente!$E39,'Base Kpi'!$AE:$AE,Cliente!AB$5),0)</f>
        <v>8</v>
      </c>
      <c r="AC39" s="92">
        <f>IFERROR(AVERAGEIFS('Base Kpi'!$AF:$AF,'Base Kpi'!$Y:$Y,Cliente!$E39,'Base Kpi'!$AE:$AE,Cliente!AC$5),0)</f>
        <v>8.5</v>
      </c>
      <c r="AD39" s="92">
        <f>IFERROR(AVERAGEIFS('Base Kpi'!$AF:$AF,'Base Kpi'!$Y:$Y,Cliente!$E39,'Base Kpi'!$AE:$AE,Cliente!AD$5),0)</f>
        <v>34.875</v>
      </c>
      <c r="AE39" s="94">
        <f t="shared" si="61"/>
        <v>77.085000000000008</v>
      </c>
      <c r="AF39" s="95">
        <f t="shared" si="62"/>
        <v>0</v>
      </c>
      <c r="AG39" s="60">
        <f t="shared" si="71"/>
        <v>68.231666666666669</v>
      </c>
      <c r="AH39" s="97">
        <f t="shared" si="72"/>
        <v>1</v>
      </c>
      <c r="AI39" s="88">
        <f t="shared" si="63"/>
        <v>1</v>
      </c>
      <c r="AJ39" s="92">
        <f>IFERROR(AVERAGEIFS('Base Kpi'!$AR:$AR,'Base Kpi'!$AK:$AK,Cliente!$E39,'Base Kpi'!$AQ:$AQ,AJ$5),0)</f>
        <v>21.425000000000001</v>
      </c>
      <c r="AK39" s="92">
        <f>IFERROR(AVERAGEIFS('Base Kpi'!$AR:$AR,'Base Kpi'!$AK:$AK,Cliente!$E39,'Base Kpi'!$AQ:$AQ,AK$5),0)</f>
        <v>2.5</v>
      </c>
      <c r="AL39" s="92">
        <f>IFERROR(AVERAGEIFS('Base Kpi'!$AR:$AR,'Base Kpi'!$AK:$AK,Cliente!$E39,'Base Kpi'!$AQ:$AQ,AL$5),0)</f>
        <v>9</v>
      </c>
      <c r="AM39" s="92">
        <f>IFERROR(AVERAGEIFS('Base Kpi'!$AR:$AR,'Base Kpi'!$AK:$AK,Cliente!$E39,'Base Kpi'!$AQ:$AQ,AM$5),0)</f>
        <v>30.44</v>
      </c>
      <c r="AN39" s="94">
        <f t="shared" si="53"/>
        <v>63.364999999999995</v>
      </c>
      <c r="AO39" s="95">
        <f t="shared" si="13"/>
        <v>0</v>
      </c>
      <c r="AP39" s="60">
        <f>IFERROR(AVERAGEIFS('Base Kpi'!$BD:$BD,'Base Kpi'!$AW:$AW,Cliente!$E39,'Base Kpi'!$BC:$BC,Cliente!AP$5),0)</f>
        <v>21.425000000000001</v>
      </c>
      <c r="AQ39" s="92">
        <f>IFERROR(AVERAGEIFS('Base Kpi'!$BD:$BD,'Base Kpi'!$AW:$AW,Cliente!$E39,'Base Kpi'!$BC:$BC,Cliente!AQ$5),0)</f>
        <v>1.665</v>
      </c>
      <c r="AR39" s="92">
        <f>IFERROR(AVERAGEIFS('Base Kpi'!$BD:$BD,'Base Kpi'!$AW:$AW,Cliente!$E39,'Base Kpi'!$BC:$BC,Cliente!AR$5),0)</f>
        <v>0</v>
      </c>
      <c r="AS39" s="92">
        <f>IFERROR(AVERAGEIFS('Base Kpi'!$BD:$BD,'Base Kpi'!$AW:$AW,Cliente!$E39,'Base Kpi'!$BC:$BC,Cliente!AS$5),0)</f>
        <v>28.68</v>
      </c>
      <c r="AT39" s="92">
        <f>IFERROR(AVERAGEIFS('Base Kpi'!$BD:$BD,'Base Kpi'!$AW:$AW,Cliente!$E39,'Base Kpi'!$BC:$BC,Cliente!AT$5),0)</f>
        <v>0</v>
      </c>
      <c r="AU39" s="94">
        <f t="shared" si="54"/>
        <v>51.769999999999996</v>
      </c>
      <c r="AV39" s="95">
        <f t="shared" ref="AV39:AV66" si="78">IF(AU39&gt;=7,1,0)</f>
        <v>1</v>
      </c>
      <c r="AW39" s="60">
        <f>IFERROR(AVERAGEIFS('Base Kpi'!$BP:$BP,'Base Kpi'!$BI:$BI,Cliente!$E39,'Base Kpi'!$BO:$BO,Cliente!AW$5),0)</f>
        <v>25</v>
      </c>
      <c r="AX39" s="92">
        <f>IFERROR(AVERAGEIFS('Base Kpi'!$BP:$BP,'Base Kpi'!$BI:$BI,Cliente!$E39,'Base Kpi'!$BO:$BO,Cliente!AX$5),0)</f>
        <v>5</v>
      </c>
      <c r="AY39" s="92">
        <f>IFERROR(AVERAGEIFS('Base Kpi'!$BP:$BP,'Base Kpi'!$BI:$BI,Cliente!$E39,'Base Kpi'!$BO:$BO,Cliente!AY$5),0)</f>
        <v>12</v>
      </c>
      <c r="AZ39" s="92">
        <f>IFERROR(AVERAGEIFS('Base Kpi'!$BP:$BP,'Base Kpi'!$BI:$BI,Cliente!$E39,'Base Kpi'!$BO:$BO,Cliente!AZ$5),0)</f>
        <v>29.56</v>
      </c>
      <c r="BA39" s="92">
        <f>IFERROR(AVERAGEIFS('Base Kpi'!$BP:$BP,'Base Kpi'!$BI:$BI,Cliente!$E39,'Base Kpi'!$BO:$BO,Cliente!BA$5),0)</f>
        <v>18</v>
      </c>
      <c r="BB39" s="94">
        <f t="shared" si="73"/>
        <v>89.56</v>
      </c>
      <c r="BC39" s="95">
        <f t="shared" ref="BC39:BC66" si="79">IF(BB39&gt;=7,1,0)</f>
        <v>1</v>
      </c>
      <c r="BD39" s="60">
        <f t="shared" si="42"/>
        <v>77.533333333333317</v>
      </c>
      <c r="BE39" s="97">
        <f t="shared" ref="BE39:BE76" si="80">IF(IF(BL39&gt;0,1,0)+IF(BS39&gt;0,1,0)+IF(BZ39&gt;0,1,0)=3,1,0)</f>
        <v>1</v>
      </c>
      <c r="BF39" s="88">
        <f t="shared" ref="BF39:BF66" si="81">IF(BE39=0,0,IF(BD39&gt;=7,1,0))</f>
        <v>1</v>
      </c>
      <c r="BG39" s="60">
        <f>IFERROR(AVERAGEIFS('Base Kpi'!$CB:$CB,'Base Kpi'!$BU:$BU,Cliente!$E39,'Base Kpi'!$CA:$CA,Cliente!BG$5),0)</f>
        <v>25</v>
      </c>
      <c r="BH39" s="92">
        <f>IFERROR(AVERAGEIFS('Base Kpi'!$CB:$CB,'Base Kpi'!$BU:$BU,Cliente!$E39,'Base Kpi'!$CA:$CA,Cliente!BH$5),0)</f>
        <v>5</v>
      </c>
      <c r="BI39" s="92">
        <f>IFERROR(AVERAGEIFS('Base Kpi'!$CB:$CB,'Base Kpi'!$BU:$BU,Cliente!$E39,'Base Kpi'!$CA:$CA,Cliente!BI$5),0)</f>
        <v>6</v>
      </c>
      <c r="BJ39" s="92">
        <f>IFERROR(AVERAGEIFS('Base Kpi'!$CB:$CB,'Base Kpi'!$BU:$BU,Cliente!$E39,'Base Kpi'!$CA:$CA,Cliente!BJ$5),0)</f>
        <v>25.6</v>
      </c>
      <c r="BK39" s="92">
        <f>IFERROR(AVERAGEIFS('Base Kpi'!$CB:$CB,'Base Kpi'!$BU:$BU,Cliente!$E39,'Base Kpi'!$CA:$CA,Cliente!BK$5),0)</f>
        <v>9</v>
      </c>
      <c r="BL39" s="94">
        <f t="shared" si="74"/>
        <v>70.599999999999994</v>
      </c>
      <c r="BM39" s="95">
        <f t="shared" ref="BM39:BM66" si="82">IF(BL39&gt;=7,1,0)</f>
        <v>1</v>
      </c>
      <c r="BN39" s="60">
        <f>IFERROR(AVERAGEIFS('Base Kpi'!$CN:$CN,'Base Kpi'!$CG:$CG,Cliente!$E39,'Base Kpi'!$CM:$CM,Cliente!BN$5),0)</f>
        <v>25</v>
      </c>
      <c r="BO39" s="92">
        <f>IFERROR(AVERAGEIFS('Base Kpi'!$CN:$CN,'Base Kpi'!$CG:$CG,Cliente!$E39,'Base Kpi'!$CM:$CM,Cliente!BO$5),0)</f>
        <v>5</v>
      </c>
      <c r="BP39" s="92">
        <f>IFERROR(AVERAGEIFS('Base Kpi'!$CN:$CN,'Base Kpi'!$CG:$CG,Cliente!$E39,'Base Kpi'!$CM:$CM,Cliente!BP$5),0)</f>
        <v>3</v>
      </c>
      <c r="BQ39" s="92">
        <f>IFERROR(AVERAGEIFS('Base Kpi'!$CN:$CN,'Base Kpi'!$CG:$CG,Cliente!$E39,'Base Kpi'!$CM:$CM,Cliente!BQ$5),0)</f>
        <v>28.8</v>
      </c>
      <c r="BR39" s="92">
        <f>IFERROR(AVERAGEIFS('Base Kpi'!$CN:$CN,'Base Kpi'!$CG:$CG,Cliente!$E39,'Base Kpi'!$CM:$CM,Cliente!BR$5),0)</f>
        <v>9</v>
      </c>
      <c r="BS39" s="94">
        <f t="shared" si="75"/>
        <v>70.8</v>
      </c>
      <c r="BT39" s="95">
        <f t="shared" ref="BT39:BT66" si="83">IF(BS39&gt;=7,1,0)</f>
        <v>1</v>
      </c>
      <c r="BU39" s="60">
        <f>IFERROR(AVERAGEIFS('Base Kpi'!$CZ:$CZ,'Base Kpi'!$CS:$CS,Cliente!$E39,'Base Kpi'!$CY:$CY,Cliente!BU$5),0)</f>
        <v>25</v>
      </c>
      <c r="BV39" s="92">
        <f>IFERROR(AVERAGEIFS('Base Kpi'!$CZ:$CZ,'Base Kpi'!$CS:$CS,Cliente!$E39,'Base Kpi'!$CY:$CY,Cliente!BV$5),0)</f>
        <v>5</v>
      </c>
      <c r="BW39" s="92">
        <f>IFERROR(AVERAGEIFS('Base Kpi'!$CZ:$CZ,'Base Kpi'!$CS:$CS,Cliente!$E39,'Base Kpi'!$CY:$CY,Cliente!BW$5),0)</f>
        <v>12</v>
      </c>
      <c r="BX39" s="92">
        <f>IFERROR(AVERAGEIFS('Base Kpi'!$CZ:$CZ,'Base Kpi'!$CS:$CS,Cliente!$E39,'Base Kpi'!$CY:$CY,Cliente!BX$5),0)</f>
        <v>31.2</v>
      </c>
      <c r="BY39" s="92">
        <f>IFERROR(AVERAGEIFS('Base Kpi'!$CZ:$CZ,'Base Kpi'!$CS:$CS,Cliente!$E39,'Base Kpi'!$CY:$CY,Cliente!BY$5),0)</f>
        <v>18</v>
      </c>
      <c r="BZ39" s="94">
        <f t="shared" si="76"/>
        <v>91.2</v>
      </c>
      <c r="CA39" s="95">
        <f t="shared" ref="CA39:CA66" si="84">IF(BZ39&gt;=7,1,0)</f>
        <v>1</v>
      </c>
      <c r="CB39" s="60">
        <f t="shared" si="64"/>
        <v>48.199999999999996</v>
      </c>
      <c r="CC39" s="97">
        <f t="shared" si="65"/>
        <v>0</v>
      </c>
      <c r="CD39" s="43">
        <f t="shared" si="66"/>
        <v>0</v>
      </c>
      <c r="CE39" s="60" cm="1">
        <f t="array" ref="CE39">IFERROR(LARGE(_xlfn._xlws.FILTER('Base Kpi'!$DL:$DL,('Base Kpi'!$DK:$DK=$CE$5)*('Base Kpi'!$DE:$DE=Cliente!$E39)),1),0)</f>
        <v>28.8</v>
      </c>
      <c r="CF39" s="60" cm="1">
        <f t="array" ref="CF39">IFERROR(LARGE(_xlfn._xlws.FILTER('Base Kpi'!$DL:$DL,('Base Kpi'!$DK:$DK=$CF$5)*('Base Kpi'!$DE:$DE=Cliente!$E39)),1),0)</f>
        <v>0</v>
      </c>
      <c r="CG39" s="60" cm="1">
        <f t="array" ref="CG39">IFERROR(LARGE(_xlfn._xlws.FILTER('Base Kpi'!$DL:$DL,('Base Kpi'!$DK:$DK=$CG$5)*('Base Kpi'!$DE:$DE=Cliente!$E39)),1),0)</f>
        <v>5</v>
      </c>
      <c r="CH39" s="60" cm="1">
        <f t="array" ref="CH39">IFERROR(LARGE(_xlfn._xlws.FILTER('Base Kpi'!$DL:$DL,('Base Kpi'!$DK:$DK=$CH$5)*('Base Kpi'!$DE:$DE=Cliente!$E39)),1),0)</f>
        <v>9</v>
      </c>
      <c r="CI39" s="60" cm="1">
        <f t="array" ref="CI39">IFERROR(LARGE(_xlfn._xlws.FILTER('Base Kpi'!$DL:$DL,('Base Kpi'!$DK:$DK=$CI$5)*('Base Kpi'!$DE:$DE=Cliente!$E39)),1),0)</f>
        <v>25</v>
      </c>
      <c r="CJ39" s="60" cm="1">
        <f t="array" ref="CJ39">IFERROR(LARGE(_xlfn._xlws.FILTER('Base Kpi'!$DL:$DL,('Base Kpi'!$DK:$DK=$CJ$5)*('Base Kpi'!$DE:$DE=Cliente!$E39)),1),0)</f>
        <v>9</v>
      </c>
      <c r="CK39" s="60" cm="1">
        <f t="array" ref="CK39">IFERROR(LARGE(_xlfn._xlws.FILTER('Base Kpi'!$DL:$DL,('Base Kpi'!$DK:$DK=$CK$5)*('Base Kpi'!$DE:$DE=Cliente!$E39)),1),0)</f>
        <v>0</v>
      </c>
      <c r="CL39" s="94">
        <f t="shared" si="77"/>
        <v>76.8</v>
      </c>
      <c r="CM39" s="95">
        <f t="shared" si="47"/>
        <v>0</v>
      </c>
      <c r="CN39" s="60">
        <f>IFERROR(AVERAGEIFS('Base Kpi'!$DX:$DX,'Base Kpi'!$DQ:$DQ,Cliente!$E39,'Base Kpi'!$DW:$DW,Cliente!CN$5),0)</f>
        <v>28.8</v>
      </c>
      <c r="CO39" s="92">
        <f>IFERROR(AVERAGEIFS('Base Kpi'!$DX:$DX,'Base Kpi'!$DQ:$DQ,Cliente!$E39,'Base Kpi'!$DW:$DW,Cliente!CO$5),0)</f>
        <v>0</v>
      </c>
      <c r="CP39" s="92">
        <f>IFERROR(AVERAGEIFS('Base Kpi'!$DX:$DX,'Base Kpi'!$DQ:$DQ,Cliente!$E39,'Base Kpi'!$DW:$DW,Cliente!CP$5),0)</f>
        <v>5</v>
      </c>
      <c r="CQ39" s="92">
        <f>IFERROR(AVERAGEIFS('Base Kpi'!$DX:$DX,'Base Kpi'!$DQ:$DQ,Cliente!$E39,'Base Kpi'!$DW:$DW,Cliente!CQ$5),0)</f>
        <v>9</v>
      </c>
      <c r="CR39" s="92">
        <f>IFERROR(AVERAGEIFS('Base Kpi'!$DX:$DX,'Base Kpi'!$DQ:$DQ,Cliente!$E39,'Base Kpi'!$DW:$DW,Cliente!CR$5),0)</f>
        <v>25</v>
      </c>
      <c r="CS39" s="92">
        <f>IFERROR(AVERAGEIFS('Base Kpi'!$DX:$DX,'Base Kpi'!$DQ:$DQ,Cliente!$E39,'Base Kpi'!$DW:$DW,Cliente!CS$5),0)</f>
        <v>0</v>
      </c>
      <c r="CT39" s="92">
        <f>IFERROR(AVERAGEIFS('Base Kpi'!$DX:$DX,'Base Kpi'!$DQ:$DQ,Cliente!$E39,'Base Kpi'!$DW:$DW,Cliente!CT$5),0)</f>
        <v>0</v>
      </c>
      <c r="CU39" s="94">
        <f t="shared" si="67"/>
        <v>67.8</v>
      </c>
      <c r="CV39" s="95">
        <f t="shared" si="68"/>
        <v>1</v>
      </c>
      <c r="CW39" s="60">
        <f>IFERROR(AVERAGEIFS('Base Kpi'!$EJ:$EJ,'Base Kpi'!$EC:$EC,Cliente!$E39,'Base Kpi'!$EI:$EI,Cliente!CW$5),0)</f>
        <v>0</v>
      </c>
      <c r="CX39" s="92">
        <f>IFERROR(AVERAGEIFS('Base Kpi'!$EJ:$EJ,'Base Kpi'!$EC:$EC,Cliente!$E39,'Base Kpi'!$EI:$EI,Cliente!CX$5),0)</f>
        <v>0</v>
      </c>
      <c r="CY39" s="92">
        <f>IFERROR(AVERAGEIFS('Base Kpi'!$EJ:$EJ,'Base Kpi'!$EC:$EC,Cliente!$E39,'Base Kpi'!$EI:$EI,Cliente!CY$5),0)</f>
        <v>0</v>
      </c>
      <c r="CZ39" s="92">
        <f>IFERROR(AVERAGEIFS('Base Kpi'!$EJ:$EJ,'Base Kpi'!$EC:$EC,Cliente!$E39,'Base Kpi'!$EI:$EI,Cliente!CZ$5),0)</f>
        <v>0</v>
      </c>
      <c r="DA39" s="92">
        <f>IFERROR(AVERAGEIFS('Base Kpi'!$EJ:$EJ,'Base Kpi'!$EC:$EC,Cliente!$E39,'Base Kpi'!$EI:$EI,Cliente!DA$5),0)</f>
        <v>0</v>
      </c>
      <c r="DB39" s="92">
        <f>IFERROR(AVERAGEIFS('Base Kpi'!$EJ:$EJ,'Base Kpi'!$EC:$EC,Cliente!$E39,'Base Kpi'!$EI:$EI,Cliente!DB$5),0)</f>
        <v>0</v>
      </c>
      <c r="DC39" s="92">
        <f>IFERROR(AVERAGEIFS('Base Kpi'!$EJ:$EJ,'Base Kpi'!$EC:$EC,Cliente!$E39,'Base Kpi'!$EI:$EI,Cliente!DC$5),0)</f>
        <v>0</v>
      </c>
      <c r="DD39" s="94">
        <f t="shared" si="69"/>
        <v>0</v>
      </c>
      <c r="DE39" s="95">
        <f t="shared" si="70"/>
        <v>0</v>
      </c>
      <c r="DF39" s="120"/>
    </row>
    <row r="40" spans="2:110" x14ac:dyDescent="0.35">
      <c r="B40" s="52" t="s">
        <v>42</v>
      </c>
      <c r="C40" s="21">
        <v>179</v>
      </c>
      <c r="D40" s="21" t="s">
        <v>3</v>
      </c>
      <c r="E40" s="21">
        <v>51049</v>
      </c>
      <c r="F40" s="16" t="s">
        <v>63</v>
      </c>
      <c r="G40" s="16" t="s">
        <v>273</v>
      </c>
      <c r="H40" s="16" t="s">
        <v>285</v>
      </c>
      <c r="I40" s="16" t="s">
        <v>176</v>
      </c>
      <c r="J40" s="16" t="s">
        <v>88</v>
      </c>
      <c r="K40" s="34" t="s">
        <v>45</v>
      </c>
      <c r="L40" s="60">
        <f t="shared" si="55"/>
        <v>67.38</v>
      </c>
      <c r="M40" s="97">
        <f t="shared" si="56"/>
        <v>1</v>
      </c>
      <c r="N40" s="43">
        <f t="shared" si="52"/>
        <v>0</v>
      </c>
      <c r="O40" s="60">
        <f>IFERROR(AVERAGEIFS('Base Kpi'!$I:$I,'Base Kpi'!$B:$B,Cliente!$E40,'Base Kpi'!$G:$G,Cliente!O$5),0)</f>
        <v>25.71</v>
      </c>
      <c r="P40" s="92">
        <f>IFERROR(AVERAGEIFS('Base Kpi'!$I:$I,'Base Kpi'!$B:$B,Cliente!$E40,'Base Kpi'!$G:$G,Cliente!P$5),0)</f>
        <v>0</v>
      </c>
      <c r="Q40" s="92">
        <f>IFERROR(AVERAGEIFS('Base Kpi'!$I:$I,'Base Kpi'!$B:$B,Cliente!$E40,'Base Kpi'!$G:$G,Cliente!Q$5),0)</f>
        <v>6.8</v>
      </c>
      <c r="R40" s="92">
        <f>IFERROR(AVERAGEIFS('Base Kpi'!$I:$I,'Base Kpi'!$B:$B,Cliente!$E40,'Base Kpi'!$G:$G,Cliente!R$5),0)</f>
        <v>31.5</v>
      </c>
      <c r="S40" s="94">
        <f t="shared" si="57"/>
        <v>64.009999999999991</v>
      </c>
      <c r="T40" s="95">
        <f t="shared" si="58"/>
        <v>0</v>
      </c>
      <c r="U40" s="60">
        <f>IFERROR(AVERAGEIFS('Base Kpi'!$T:$T,'Base Kpi'!$M:$M,Cliente!$E40,'Base Kpi'!$S:$S,Cliente!U$5),0)</f>
        <v>17.13</v>
      </c>
      <c r="V40" s="92">
        <f>IFERROR(AVERAGEIFS('Base Kpi'!$T:$T,'Base Kpi'!$M:$M,Cliente!$E40,'Base Kpi'!$S:$S,Cliente!V$5),0)</f>
        <v>8</v>
      </c>
      <c r="W40" s="92">
        <f>IFERROR(AVERAGEIFS('Base Kpi'!$T:$T,'Base Kpi'!$M:$M,Cliente!$E40,'Base Kpi'!$S:$S,Cliente!W$5),0)</f>
        <v>12.75</v>
      </c>
      <c r="X40" s="92">
        <f>IFERROR(AVERAGEIFS('Base Kpi'!$T:$T,'Base Kpi'!$M:$M,Cliente!$E40,'Base Kpi'!$S:$S,Cliente!X$5),0)</f>
        <v>14.625</v>
      </c>
      <c r="Y40" s="94">
        <f t="shared" si="59"/>
        <v>52.504999999999995</v>
      </c>
      <c r="Z40" s="95">
        <f t="shared" si="60"/>
        <v>0</v>
      </c>
      <c r="AA40" s="60">
        <f>IFERROR(AVERAGEIFS('Base Kpi'!$AF:$AF,'Base Kpi'!$Y:$Y,Cliente!$E40,'Base Kpi'!$AE:$AE,Cliente!AA$5),0)</f>
        <v>30</v>
      </c>
      <c r="AB40" s="92">
        <f>IFERROR(AVERAGEIFS('Base Kpi'!$AF:$AF,'Base Kpi'!$Y:$Y,Cliente!$E40,'Base Kpi'!$AE:$AE,Cliente!AB$5),0)</f>
        <v>8</v>
      </c>
      <c r="AC40" s="92">
        <f>IFERROR(AVERAGEIFS('Base Kpi'!$AF:$AF,'Base Kpi'!$Y:$Y,Cliente!$E40,'Base Kpi'!$AE:$AE,Cliente!AC$5),0)</f>
        <v>12.75</v>
      </c>
      <c r="AD40" s="92">
        <f>IFERROR(AVERAGEIFS('Base Kpi'!$AF:$AF,'Base Kpi'!$Y:$Y,Cliente!$E40,'Base Kpi'!$AE:$AE,Cliente!AD$5),0)</f>
        <v>34.875</v>
      </c>
      <c r="AE40" s="94">
        <f t="shared" si="61"/>
        <v>85.625</v>
      </c>
      <c r="AF40" s="95">
        <f t="shared" si="62"/>
        <v>1</v>
      </c>
      <c r="AG40" s="60">
        <f t="shared" si="71"/>
        <v>60.248333333333335</v>
      </c>
      <c r="AH40" s="97">
        <f t="shared" si="72"/>
        <v>1</v>
      </c>
      <c r="AI40" s="88">
        <f t="shared" si="63"/>
        <v>1</v>
      </c>
      <c r="AJ40" s="92">
        <f>IFERROR(AVERAGEIFS('Base Kpi'!$AR:$AR,'Base Kpi'!$AK:$AK,Cliente!$E40,'Base Kpi'!$AQ:$AQ,AJ$5),0)</f>
        <v>21.425000000000001</v>
      </c>
      <c r="AK40" s="92">
        <f>IFERROR(AVERAGEIFS('Base Kpi'!$AR:$AR,'Base Kpi'!$AK:$AK,Cliente!$E40,'Base Kpi'!$AQ:$AQ,AK$5),0)</f>
        <v>2.5</v>
      </c>
      <c r="AL40" s="92">
        <f>IFERROR(AVERAGEIFS('Base Kpi'!$AR:$AR,'Base Kpi'!$AK:$AK,Cliente!$E40,'Base Kpi'!$AQ:$AQ,AL$5),0)</f>
        <v>12</v>
      </c>
      <c r="AM40" s="92">
        <f>IFERROR(AVERAGEIFS('Base Kpi'!$AR:$AR,'Base Kpi'!$AK:$AK,Cliente!$E40,'Base Kpi'!$AQ:$AQ,AM$5),0)</f>
        <v>30.44</v>
      </c>
      <c r="AN40" s="94">
        <f t="shared" si="53"/>
        <v>66.364999999999995</v>
      </c>
      <c r="AO40" s="95">
        <f t="shared" si="13"/>
        <v>0</v>
      </c>
      <c r="AP40" s="60">
        <f>IFERROR(AVERAGEIFS('Base Kpi'!$BD:$BD,'Base Kpi'!$AW:$AW,Cliente!$E40,'Base Kpi'!$BC:$BC,Cliente!AP$5),0)</f>
        <v>14.275</v>
      </c>
      <c r="AQ40" s="92">
        <f>IFERROR(AVERAGEIFS('Base Kpi'!$BD:$BD,'Base Kpi'!$AW:$AW,Cliente!$E40,'Base Kpi'!$BC:$BC,Cliente!AQ$5),0)</f>
        <v>1.665</v>
      </c>
      <c r="AR40" s="92">
        <f>IFERROR(AVERAGEIFS('Base Kpi'!$BD:$BD,'Base Kpi'!$AW:$AW,Cliente!$E40,'Base Kpi'!$BC:$BC,Cliente!AR$5),0)</f>
        <v>6</v>
      </c>
      <c r="AS40" s="92">
        <f>IFERROR(AVERAGEIFS('Base Kpi'!$BD:$BD,'Base Kpi'!$AW:$AW,Cliente!$E40,'Base Kpi'!$BC:$BC,Cliente!AS$5),0)</f>
        <v>20</v>
      </c>
      <c r="AT40" s="92">
        <f>IFERROR(AVERAGEIFS('Base Kpi'!$BD:$BD,'Base Kpi'!$AW:$AW,Cliente!$E40,'Base Kpi'!$BC:$BC,Cliente!AT$5),0)</f>
        <v>0</v>
      </c>
      <c r="AU40" s="94">
        <f t="shared" si="54"/>
        <v>41.94</v>
      </c>
      <c r="AV40" s="95">
        <f t="shared" si="78"/>
        <v>1</v>
      </c>
      <c r="AW40" s="60">
        <f>IFERROR(AVERAGEIFS('Base Kpi'!$BP:$BP,'Base Kpi'!$BI:$BI,Cliente!$E40,'Base Kpi'!$BO:$BO,Cliente!AW$5),0)</f>
        <v>25</v>
      </c>
      <c r="AX40" s="92">
        <f>IFERROR(AVERAGEIFS('Base Kpi'!$BP:$BP,'Base Kpi'!$BI:$BI,Cliente!$E40,'Base Kpi'!$BO:$BO,Cliente!AX$5),0)</f>
        <v>5</v>
      </c>
      <c r="AY40" s="92">
        <f>IFERROR(AVERAGEIFS('Base Kpi'!$BP:$BP,'Base Kpi'!$BI:$BI,Cliente!$E40,'Base Kpi'!$BO:$BO,Cliente!AY$5),0)</f>
        <v>12</v>
      </c>
      <c r="AZ40" s="92">
        <f>IFERROR(AVERAGEIFS('Base Kpi'!$BP:$BP,'Base Kpi'!$BI:$BI,Cliente!$E40,'Base Kpi'!$BO:$BO,Cliente!AZ$5),0)</f>
        <v>30.44</v>
      </c>
      <c r="BA40" s="92">
        <f>IFERROR(AVERAGEIFS('Base Kpi'!$BP:$BP,'Base Kpi'!$BI:$BI,Cliente!$E40,'Base Kpi'!$BO:$BO,Cliente!BA$5),0)</f>
        <v>0</v>
      </c>
      <c r="BB40" s="94">
        <f t="shared" si="73"/>
        <v>72.44</v>
      </c>
      <c r="BC40" s="95">
        <f t="shared" si="79"/>
        <v>1</v>
      </c>
      <c r="BD40" s="60">
        <f t="shared" si="42"/>
        <v>75.408333333333317</v>
      </c>
      <c r="BE40" s="97">
        <f t="shared" si="80"/>
        <v>1</v>
      </c>
      <c r="BF40" s="88">
        <f t="shared" si="81"/>
        <v>1</v>
      </c>
      <c r="BG40" s="60">
        <f>IFERROR(AVERAGEIFS('Base Kpi'!$CB:$CB,'Base Kpi'!$BU:$BU,Cliente!$E40,'Base Kpi'!$CA:$CA,Cliente!BG$5),0)</f>
        <v>21.425000000000001</v>
      </c>
      <c r="BH40" s="92">
        <f>IFERROR(AVERAGEIFS('Base Kpi'!$CB:$CB,'Base Kpi'!$BU:$BU,Cliente!$E40,'Base Kpi'!$CA:$CA,Cliente!BH$5),0)</f>
        <v>5</v>
      </c>
      <c r="BI40" s="92">
        <f>IFERROR(AVERAGEIFS('Base Kpi'!$CB:$CB,'Base Kpi'!$BU:$BU,Cliente!$E40,'Base Kpi'!$CA:$CA,Cliente!BI$5),0)</f>
        <v>9</v>
      </c>
      <c r="BJ40" s="92">
        <f>IFERROR(AVERAGEIFS('Base Kpi'!$CB:$CB,'Base Kpi'!$BU:$BU,Cliente!$E40,'Base Kpi'!$CA:$CA,Cliente!BJ$5),0)</f>
        <v>28.8</v>
      </c>
      <c r="BK40" s="92">
        <f>IFERROR(AVERAGEIFS('Base Kpi'!$CB:$CB,'Base Kpi'!$BU:$BU,Cliente!$E40,'Base Kpi'!$CA:$CA,Cliente!BK$5),0)</f>
        <v>9</v>
      </c>
      <c r="BL40" s="94">
        <f t="shared" si="74"/>
        <v>73.224999999999994</v>
      </c>
      <c r="BM40" s="95">
        <f t="shared" si="82"/>
        <v>1</v>
      </c>
      <c r="BN40" s="60">
        <f>IFERROR(AVERAGEIFS('Base Kpi'!$CN:$CN,'Base Kpi'!$CG:$CG,Cliente!$E40,'Base Kpi'!$CM:$CM,Cliente!BN$5),0)</f>
        <v>25</v>
      </c>
      <c r="BO40" s="92">
        <f>IFERROR(AVERAGEIFS('Base Kpi'!$CN:$CN,'Base Kpi'!$CG:$CG,Cliente!$E40,'Base Kpi'!$CM:$CM,Cliente!BO$5),0)</f>
        <v>5</v>
      </c>
      <c r="BP40" s="92">
        <f>IFERROR(AVERAGEIFS('Base Kpi'!$CN:$CN,'Base Kpi'!$CG:$CG,Cliente!$E40,'Base Kpi'!$CM:$CM,Cliente!BP$5),0)</f>
        <v>6</v>
      </c>
      <c r="BQ40" s="92">
        <f>IFERROR(AVERAGEIFS('Base Kpi'!$CN:$CN,'Base Kpi'!$CG:$CG,Cliente!$E40,'Base Kpi'!$CM:$CM,Cliente!BQ$5),0)</f>
        <v>28.8</v>
      </c>
      <c r="BR40" s="92">
        <f>IFERROR(AVERAGEIFS('Base Kpi'!$CN:$CN,'Base Kpi'!$CG:$CG,Cliente!$E40,'Base Kpi'!$CM:$CM,Cliente!BR$5),0)</f>
        <v>0</v>
      </c>
      <c r="BS40" s="94">
        <f t="shared" si="75"/>
        <v>64.8</v>
      </c>
      <c r="BT40" s="95">
        <f t="shared" si="83"/>
        <v>1</v>
      </c>
      <c r="BU40" s="60">
        <f>IFERROR(AVERAGEIFS('Base Kpi'!$CZ:$CZ,'Base Kpi'!$CS:$CS,Cliente!$E40,'Base Kpi'!$CY:$CY,Cliente!BU$5),0)</f>
        <v>25</v>
      </c>
      <c r="BV40" s="92">
        <f>IFERROR(AVERAGEIFS('Base Kpi'!$CZ:$CZ,'Base Kpi'!$CS:$CS,Cliente!$E40,'Base Kpi'!$CY:$CY,Cliente!BV$5),0)</f>
        <v>5</v>
      </c>
      <c r="BW40" s="92">
        <f>IFERROR(AVERAGEIFS('Base Kpi'!$CZ:$CZ,'Base Kpi'!$CS:$CS,Cliente!$E40,'Base Kpi'!$CY:$CY,Cliente!BW$5),0)</f>
        <v>9</v>
      </c>
      <c r="BX40" s="92">
        <f>IFERROR(AVERAGEIFS('Base Kpi'!$CZ:$CZ,'Base Kpi'!$CS:$CS,Cliente!$E40,'Base Kpi'!$CY:$CY,Cliente!BX$5),0)</f>
        <v>31.2</v>
      </c>
      <c r="BY40" s="92">
        <f>IFERROR(AVERAGEIFS('Base Kpi'!$CZ:$CZ,'Base Kpi'!$CS:$CS,Cliente!$E40,'Base Kpi'!$CY:$CY,Cliente!BY$5),0)</f>
        <v>18</v>
      </c>
      <c r="BZ40" s="94">
        <f t="shared" si="76"/>
        <v>88.2</v>
      </c>
      <c r="CA40" s="95">
        <f t="shared" si="84"/>
        <v>1</v>
      </c>
      <c r="CB40" s="60">
        <f t="shared" si="64"/>
        <v>47.933333333333337</v>
      </c>
      <c r="CC40" s="97">
        <f t="shared" si="65"/>
        <v>0</v>
      </c>
      <c r="CD40" s="43">
        <f t="shared" si="66"/>
        <v>0</v>
      </c>
      <c r="CE40" s="60" cm="1">
        <f t="array" ref="CE40">IFERROR(LARGE(_xlfn._xlws.FILTER('Base Kpi'!$DL:$DL,('Base Kpi'!$DK:$DK=$CE$5)*('Base Kpi'!$DE:$DE=Cliente!$E40)),1),0)</f>
        <v>28</v>
      </c>
      <c r="CF40" s="60" cm="1">
        <f t="array" ref="CF40">IFERROR(LARGE(_xlfn._xlws.FILTER('Base Kpi'!$DL:$DL,('Base Kpi'!$DK:$DK=$CF$5)*('Base Kpi'!$DE:$DE=Cliente!$E40)),1),0)</f>
        <v>0</v>
      </c>
      <c r="CG40" s="60" cm="1">
        <f t="array" ref="CG40">IFERROR(LARGE(_xlfn._xlws.FILTER('Base Kpi'!$DL:$DL,('Base Kpi'!$DK:$DK=$CG$5)*('Base Kpi'!$DE:$DE=Cliente!$E40)),1),0)</f>
        <v>5</v>
      </c>
      <c r="CH40" s="60" cm="1">
        <f t="array" ref="CH40">IFERROR(LARGE(_xlfn._xlws.FILTER('Base Kpi'!$DL:$DL,('Base Kpi'!$DK:$DK=$CH$5)*('Base Kpi'!$DE:$DE=Cliente!$E40)),1),0)</f>
        <v>9</v>
      </c>
      <c r="CI40" s="60" cm="1">
        <f t="array" ref="CI40">IFERROR(LARGE(_xlfn._xlws.FILTER('Base Kpi'!$DL:$DL,('Base Kpi'!$DK:$DK=$CI$5)*('Base Kpi'!$DE:$DE=Cliente!$E40)),1),0)</f>
        <v>25</v>
      </c>
      <c r="CJ40" s="60" cm="1">
        <f t="array" ref="CJ40">IFERROR(LARGE(_xlfn._xlws.FILTER('Base Kpi'!$DL:$DL,('Base Kpi'!$DK:$DK=$CJ$5)*('Base Kpi'!$DE:$DE=Cliente!$E40)),1),0)</f>
        <v>9</v>
      </c>
      <c r="CK40" s="60" cm="1">
        <f t="array" ref="CK40">IFERROR(LARGE(_xlfn._xlws.FILTER('Base Kpi'!$DL:$DL,('Base Kpi'!$DK:$DK=$CK$5)*('Base Kpi'!$DE:$DE=Cliente!$E40)),1),0)</f>
        <v>0</v>
      </c>
      <c r="CL40" s="94">
        <f t="shared" si="77"/>
        <v>76</v>
      </c>
      <c r="CM40" s="95">
        <f t="shared" si="47"/>
        <v>0</v>
      </c>
      <c r="CN40" s="60">
        <f>IFERROR(AVERAGEIFS('Base Kpi'!$DX:$DX,'Base Kpi'!$DQ:$DQ,Cliente!$E40,'Base Kpi'!$DW:$DW,Cliente!CN$5),0)</f>
        <v>28.8</v>
      </c>
      <c r="CO40" s="92">
        <f>IFERROR(AVERAGEIFS('Base Kpi'!$DX:$DX,'Base Kpi'!$DQ:$DQ,Cliente!$E40,'Base Kpi'!$DW:$DW,Cliente!CO$5),0)</f>
        <v>0</v>
      </c>
      <c r="CP40" s="92">
        <f>IFERROR(AVERAGEIFS('Base Kpi'!$DX:$DX,'Base Kpi'!$DQ:$DQ,Cliente!$E40,'Base Kpi'!$DW:$DW,Cliente!CP$5),0)</f>
        <v>5</v>
      </c>
      <c r="CQ40" s="92">
        <f>IFERROR(AVERAGEIFS('Base Kpi'!$DX:$DX,'Base Kpi'!$DQ:$DQ,Cliente!$E40,'Base Kpi'!$DW:$DW,Cliente!CQ$5),0)</f>
        <v>0</v>
      </c>
      <c r="CR40" s="92">
        <f>IFERROR(AVERAGEIFS('Base Kpi'!$DX:$DX,'Base Kpi'!$DQ:$DQ,Cliente!$E40,'Base Kpi'!$DW:$DW,Cliente!CR$5),0)</f>
        <v>25</v>
      </c>
      <c r="CS40" s="92">
        <f>IFERROR(AVERAGEIFS('Base Kpi'!$DX:$DX,'Base Kpi'!$DQ:$DQ,Cliente!$E40,'Base Kpi'!$DW:$DW,Cliente!CS$5),0)</f>
        <v>9</v>
      </c>
      <c r="CT40" s="92">
        <f>IFERROR(AVERAGEIFS('Base Kpi'!$DX:$DX,'Base Kpi'!$DQ:$DQ,Cliente!$E40,'Base Kpi'!$DW:$DW,Cliente!CT$5),0)</f>
        <v>0</v>
      </c>
      <c r="CU40" s="94">
        <f t="shared" si="67"/>
        <v>67.8</v>
      </c>
      <c r="CV40" s="95">
        <f t="shared" si="68"/>
        <v>1</v>
      </c>
      <c r="CW40" s="60">
        <f>IFERROR(AVERAGEIFS('Base Kpi'!$EJ:$EJ,'Base Kpi'!$EC:$EC,Cliente!$E40,'Base Kpi'!$EI:$EI,Cliente!CW$5),0)</f>
        <v>0</v>
      </c>
      <c r="CX40" s="92">
        <f>IFERROR(AVERAGEIFS('Base Kpi'!$EJ:$EJ,'Base Kpi'!$EC:$EC,Cliente!$E40,'Base Kpi'!$EI:$EI,Cliente!CX$5),0)</f>
        <v>0</v>
      </c>
      <c r="CY40" s="92">
        <f>IFERROR(AVERAGEIFS('Base Kpi'!$EJ:$EJ,'Base Kpi'!$EC:$EC,Cliente!$E40,'Base Kpi'!$EI:$EI,Cliente!CY$5),0)</f>
        <v>0</v>
      </c>
      <c r="CZ40" s="92">
        <f>IFERROR(AVERAGEIFS('Base Kpi'!$EJ:$EJ,'Base Kpi'!$EC:$EC,Cliente!$E40,'Base Kpi'!$EI:$EI,Cliente!CZ$5),0)</f>
        <v>0</v>
      </c>
      <c r="DA40" s="92">
        <f>IFERROR(AVERAGEIFS('Base Kpi'!$EJ:$EJ,'Base Kpi'!$EC:$EC,Cliente!$E40,'Base Kpi'!$EI:$EI,Cliente!DA$5),0)</f>
        <v>0</v>
      </c>
      <c r="DB40" s="92">
        <f>IFERROR(AVERAGEIFS('Base Kpi'!$EJ:$EJ,'Base Kpi'!$EC:$EC,Cliente!$E40,'Base Kpi'!$EI:$EI,Cliente!DB$5),0)</f>
        <v>0</v>
      </c>
      <c r="DC40" s="92">
        <f>IFERROR(AVERAGEIFS('Base Kpi'!$EJ:$EJ,'Base Kpi'!$EC:$EC,Cliente!$E40,'Base Kpi'!$EI:$EI,Cliente!DC$5),0)</f>
        <v>0</v>
      </c>
      <c r="DD40" s="94">
        <f t="shared" si="69"/>
        <v>0</v>
      </c>
      <c r="DE40" s="95">
        <f t="shared" si="70"/>
        <v>0</v>
      </c>
      <c r="DF40" s="120"/>
    </row>
    <row r="41" spans="2:110" x14ac:dyDescent="0.35">
      <c r="B41" s="52" t="s">
        <v>42</v>
      </c>
      <c r="C41" s="21">
        <v>179</v>
      </c>
      <c r="D41" s="21" t="s">
        <v>3</v>
      </c>
      <c r="E41" s="21">
        <v>51067</v>
      </c>
      <c r="F41" s="16" t="s">
        <v>64</v>
      </c>
      <c r="G41" s="16" t="s">
        <v>280</v>
      </c>
      <c r="H41" s="16" t="s">
        <v>286</v>
      </c>
      <c r="I41" s="16" t="s">
        <v>176</v>
      </c>
      <c r="J41" s="16" t="s">
        <v>90</v>
      </c>
      <c r="K41" s="34" t="s">
        <v>45</v>
      </c>
      <c r="L41" s="60">
        <f t="shared" si="55"/>
        <v>73.825000000000003</v>
      </c>
      <c r="M41" s="97">
        <f t="shared" si="56"/>
        <v>1</v>
      </c>
      <c r="N41" s="43">
        <f t="shared" si="52"/>
        <v>0</v>
      </c>
      <c r="O41" s="60">
        <f>IFERROR(AVERAGEIFS('Base Kpi'!$I:$I,'Base Kpi'!$B:$B,Cliente!$E41,'Base Kpi'!$G:$G,Cliente!O$5),0)</f>
        <v>25.71</v>
      </c>
      <c r="P41" s="92">
        <f>IFERROR(AVERAGEIFS('Base Kpi'!$I:$I,'Base Kpi'!$B:$B,Cliente!$E41,'Base Kpi'!$G:$G,Cliente!P$5),0)</f>
        <v>0</v>
      </c>
      <c r="Q41" s="92">
        <f>IFERROR(AVERAGEIFS('Base Kpi'!$I:$I,'Base Kpi'!$B:$B,Cliente!$E41,'Base Kpi'!$G:$G,Cliente!Q$5),0)</f>
        <v>6.8</v>
      </c>
      <c r="R41" s="92">
        <f>IFERROR(AVERAGEIFS('Base Kpi'!$I:$I,'Base Kpi'!$B:$B,Cliente!$E41,'Base Kpi'!$G:$G,Cliente!R$5),0)</f>
        <v>33.75</v>
      </c>
      <c r="S41" s="94">
        <f t="shared" si="57"/>
        <v>66.259999999999991</v>
      </c>
      <c r="T41" s="95">
        <f t="shared" si="58"/>
        <v>0</v>
      </c>
      <c r="U41" s="60">
        <f>IFERROR(AVERAGEIFS('Base Kpi'!$T:$T,'Base Kpi'!$M:$M,Cliente!$E41,'Base Kpi'!$S:$S,Cliente!U$5),0)</f>
        <v>21.42</v>
      </c>
      <c r="V41" s="92">
        <f>IFERROR(AVERAGEIFS('Base Kpi'!$T:$T,'Base Kpi'!$M:$M,Cliente!$E41,'Base Kpi'!$S:$S,Cliente!V$5),0)</f>
        <v>8</v>
      </c>
      <c r="W41" s="92">
        <f>IFERROR(AVERAGEIFS('Base Kpi'!$T:$T,'Base Kpi'!$M:$M,Cliente!$E41,'Base Kpi'!$S:$S,Cliente!W$5),0)</f>
        <v>12.75</v>
      </c>
      <c r="X41" s="92">
        <f>IFERROR(AVERAGEIFS('Base Kpi'!$T:$T,'Base Kpi'!$M:$M,Cliente!$E41,'Base Kpi'!$S:$S,Cliente!X$5),0)</f>
        <v>36</v>
      </c>
      <c r="Y41" s="94">
        <f t="shared" si="59"/>
        <v>78.17</v>
      </c>
      <c r="Z41" s="95">
        <f t="shared" si="60"/>
        <v>0</v>
      </c>
      <c r="AA41" s="60">
        <f>IFERROR(AVERAGEIFS('Base Kpi'!$AF:$AF,'Base Kpi'!$Y:$Y,Cliente!$E41,'Base Kpi'!$AE:$AE,Cliente!AA$5),0)</f>
        <v>21.42</v>
      </c>
      <c r="AB41" s="92">
        <f>IFERROR(AVERAGEIFS('Base Kpi'!$AF:$AF,'Base Kpi'!$Y:$Y,Cliente!$E41,'Base Kpi'!$AE:$AE,Cliente!AB$5),0)</f>
        <v>8</v>
      </c>
      <c r="AC41" s="92">
        <f>IFERROR(AVERAGEIFS('Base Kpi'!$AF:$AF,'Base Kpi'!$Y:$Y,Cliente!$E41,'Base Kpi'!$AE:$AE,Cliente!AC$5),0)</f>
        <v>12.75</v>
      </c>
      <c r="AD41" s="92">
        <f>IFERROR(AVERAGEIFS('Base Kpi'!$AF:$AF,'Base Kpi'!$Y:$Y,Cliente!$E41,'Base Kpi'!$AE:$AE,Cliente!AD$5),0)</f>
        <v>34.875</v>
      </c>
      <c r="AE41" s="94">
        <f t="shared" si="61"/>
        <v>77.045000000000002</v>
      </c>
      <c r="AF41" s="95">
        <f t="shared" si="62"/>
        <v>0</v>
      </c>
      <c r="AG41" s="60">
        <f t="shared" si="71"/>
        <v>59.666666666666664</v>
      </c>
      <c r="AH41" s="97">
        <f t="shared" si="72"/>
        <v>1</v>
      </c>
      <c r="AI41" s="88">
        <f t="shared" si="63"/>
        <v>1</v>
      </c>
      <c r="AJ41" s="92">
        <f>IFERROR(AVERAGEIFS('Base Kpi'!$AR:$AR,'Base Kpi'!$AK:$AK,Cliente!$E41,'Base Kpi'!$AQ:$AQ,AJ$5),0)</f>
        <v>21.425000000000001</v>
      </c>
      <c r="AK41" s="92">
        <f>IFERROR(AVERAGEIFS('Base Kpi'!$AR:$AR,'Base Kpi'!$AK:$AK,Cliente!$E41,'Base Kpi'!$AQ:$AQ,AK$5),0)</f>
        <v>2.5</v>
      </c>
      <c r="AL41" s="92">
        <f>IFERROR(AVERAGEIFS('Base Kpi'!$AR:$AR,'Base Kpi'!$AK:$AK,Cliente!$E41,'Base Kpi'!$AQ:$AQ,AL$5),0)</f>
        <v>9</v>
      </c>
      <c r="AM41" s="92">
        <f>IFERROR(AVERAGEIFS('Base Kpi'!$AR:$AR,'Base Kpi'!$AK:$AK,Cliente!$E41,'Base Kpi'!$AQ:$AQ,AM$5),0)</f>
        <v>29.56</v>
      </c>
      <c r="AN41" s="94">
        <f t="shared" si="53"/>
        <v>62.484999999999999</v>
      </c>
      <c r="AO41" s="95">
        <f t="shared" si="13"/>
        <v>0</v>
      </c>
      <c r="AP41" s="60">
        <f>IFERROR(AVERAGEIFS('Base Kpi'!$BD:$BD,'Base Kpi'!$AW:$AW,Cliente!$E41,'Base Kpi'!$BC:$BC,Cliente!AP$5),0)</f>
        <v>21.425000000000001</v>
      </c>
      <c r="AQ41" s="92">
        <f>IFERROR(AVERAGEIFS('Base Kpi'!$BD:$BD,'Base Kpi'!$AW:$AW,Cliente!$E41,'Base Kpi'!$BC:$BC,Cliente!AQ$5),0)</f>
        <v>1.665</v>
      </c>
      <c r="AR41" s="92">
        <f>IFERROR(AVERAGEIFS('Base Kpi'!$BD:$BD,'Base Kpi'!$AW:$AW,Cliente!$E41,'Base Kpi'!$BC:$BC,Cliente!AR$5),0)</f>
        <v>3</v>
      </c>
      <c r="AS41" s="92">
        <f>IFERROR(AVERAGEIFS('Base Kpi'!$BD:$BD,'Base Kpi'!$AW:$AW,Cliente!$E41,'Base Kpi'!$BC:$BC,Cliente!AS$5),0)</f>
        <v>19.12</v>
      </c>
      <c r="AT41" s="92">
        <f>IFERROR(AVERAGEIFS('Base Kpi'!$BD:$BD,'Base Kpi'!$AW:$AW,Cliente!$E41,'Base Kpi'!$BC:$BC,Cliente!AT$5),0)</f>
        <v>0</v>
      </c>
      <c r="AU41" s="94">
        <f t="shared" si="54"/>
        <v>45.21</v>
      </c>
      <c r="AV41" s="95">
        <f t="shared" si="78"/>
        <v>1</v>
      </c>
      <c r="AW41" s="60">
        <f>IFERROR(AVERAGEIFS('Base Kpi'!$BP:$BP,'Base Kpi'!$BI:$BI,Cliente!$E41,'Base Kpi'!$BO:$BO,Cliente!AW$5),0)</f>
        <v>21.425000000000001</v>
      </c>
      <c r="AX41" s="92">
        <f>IFERROR(AVERAGEIFS('Base Kpi'!$BP:$BP,'Base Kpi'!$BI:$BI,Cliente!$E41,'Base Kpi'!$BO:$BO,Cliente!AX$5),0)</f>
        <v>5</v>
      </c>
      <c r="AY41" s="92">
        <f>IFERROR(AVERAGEIFS('Base Kpi'!$BP:$BP,'Base Kpi'!$BI:$BI,Cliente!$E41,'Base Kpi'!$BO:$BO,Cliente!AY$5),0)</f>
        <v>6</v>
      </c>
      <c r="AZ41" s="92">
        <f>IFERROR(AVERAGEIFS('Base Kpi'!$BP:$BP,'Base Kpi'!$BI:$BI,Cliente!$E41,'Base Kpi'!$BO:$BO,Cliente!AZ$5),0)</f>
        <v>20.88</v>
      </c>
      <c r="BA41" s="92">
        <f>IFERROR(AVERAGEIFS('Base Kpi'!$BP:$BP,'Base Kpi'!$BI:$BI,Cliente!$E41,'Base Kpi'!$BO:$BO,Cliente!BA$5),0)</f>
        <v>18</v>
      </c>
      <c r="BB41" s="94">
        <f t="shared" si="73"/>
        <v>71.304999999999993</v>
      </c>
      <c r="BC41" s="95">
        <f t="shared" si="79"/>
        <v>1</v>
      </c>
      <c r="BD41" s="60">
        <f t="shared" si="42"/>
        <v>72.075000000000003</v>
      </c>
      <c r="BE41" s="97">
        <f t="shared" si="80"/>
        <v>1</v>
      </c>
      <c r="BF41" s="88">
        <f t="shared" si="81"/>
        <v>1</v>
      </c>
      <c r="BG41" s="60">
        <f>IFERROR(AVERAGEIFS('Base Kpi'!$CB:$CB,'Base Kpi'!$BU:$BU,Cliente!$E41,'Base Kpi'!$CA:$CA,Cliente!BG$5),0)</f>
        <v>21.425000000000001</v>
      </c>
      <c r="BH41" s="92">
        <f>IFERROR(AVERAGEIFS('Base Kpi'!$CB:$CB,'Base Kpi'!$BU:$BU,Cliente!$E41,'Base Kpi'!$CA:$CA,Cliente!BH$5),0)</f>
        <v>5</v>
      </c>
      <c r="BI41" s="92">
        <f>IFERROR(AVERAGEIFS('Base Kpi'!$CB:$CB,'Base Kpi'!$BU:$BU,Cliente!$E41,'Base Kpi'!$CA:$CA,Cliente!BI$5),0)</f>
        <v>6</v>
      </c>
      <c r="BJ41" s="92">
        <f>IFERROR(AVERAGEIFS('Base Kpi'!$CB:$CB,'Base Kpi'!$BU:$BU,Cliente!$E41,'Base Kpi'!$CA:$CA,Cliente!BJ$5),0)</f>
        <v>28</v>
      </c>
      <c r="BK41" s="92">
        <f>IFERROR(AVERAGEIFS('Base Kpi'!$CB:$CB,'Base Kpi'!$BU:$BU,Cliente!$E41,'Base Kpi'!$CA:$CA,Cliente!BK$5),0)</f>
        <v>9</v>
      </c>
      <c r="BL41" s="94">
        <f t="shared" si="74"/>
        <v>69.424999999999997</v>
      </c>
      <c r="BM41" s="95">
        <f t="shared" si="82"/>
        <v>1</v>
      </c>
      <c r="BN41" s="60">
        <f>IFERROR(AVERAGEIFS('Base Kpi'!$CN:$CN,'Base Kpi'!$CG:$CG,Cliente!$E41,'Base Kpi'!$CM:$CM,Cliente!BN$5),0)</f>
        <v>25</v>
      </c>
      <c r="BO41" s="92">
        <f>IFERROR(AVERAGEIFS('Base Kpi'!$CN:$CN,'Base Kpi'!$CG:$CG,Cliente!$E41,'Base Kpi'!$CM:$CM,Cliente!BO$5),0)</f>
        <v>5</v>
      </c>
      <c r="BP41" s="92">
        <f>IFERROR(AVERAGEIFS('Base Kpi'!$CN:$CN,'Base Kpi'!$CG:$CG,Cliente!$E41,'Base Kpi'!$CM:$CM,Cliente!BP$5),0)</f>
        <v>6</v>
      </c>
      <c r="BQ41" s="92">
        <f>IFERROR(AVERAGEIFS('Base Kpi'!$CN:$CN,'Base Kpi'!$CG:$CG,Cliente!$E41,'Base Kpi'!$CM:$CM,Cliente!BQ$5),0)</f>
        <v>28</v>
      </c>
      <c r="BR41" s="92">
        <f>IFERROR(AVERAGEIFS('Base Kpi'!$CN:$CN,'Base Kpi'!$CG:$CG,Cliente!$E41,'Base Kpi'!$CM:$CM,Cliente!BR$5),0)</f>
        <v>9</v>
      </c>
      <c r="BS41" s="94">
        <f t="shared" si="75"/>
        <v>73</v>
      </c>
      <c r="BT41" s="95">
        <f t="shared" si="83"/>
        <v>1</v>
      </c>
      <c r="BU41" s="60">
        <f>IFERROR(AVERAGEIFS('Base Kpi'!$CZ:$CZ,'Base Kpi'!$CS:$CS,Cliente!$E41,'Base Kpi'!$CY:$CY,Cliente!BU$5),0)</f>
        <v>25</v>
      </c>
      <c r="BV41" s="92">
        <f>IFERROR(AVERAGEIFS('Base Kpi'!$CZ:$CZ,'Base Kpi'!$CS:$CS,Cliente!$E41,'Base Kpi'!$CY:$CY,Cliente!BV$5),0)</f>
        <v>5</v>
      </c>
      <c r="BW41" s="92">
        <f>IFERROR(AVERAGEIFS('Base Kpi'!$CZ:$CZ,'Base Kpi'!$CS:$CS,Cliente!$E41,'Base Kpi'!$CY:$CY,Cliente!BW$5),0)</f>
        <v>6</v>
      </c>
      <c r="BX41" s="92">
        <f>IFERROR(AVERAGEIFS('Base Kpi'!$CZ:$CZ,'Base Kpi'!$CS:$CS,Cliente!$E41,'Base Kpi'!$CY:$CY,Cliente!BX$5),0)</f>
        <v>28.8</v>
      </c>
      <c r="BY41" s="92">
        <f>IFERROR(AVERAGEIFS('Base Kpi'!$CZ:$CZ,'Base Kpi'!$CS:$CS,Cliente!$E41,'Base Kpi'!$CY:$CY,Cliente!BY$5),0)</f>
        <v>9</v>
      </c>
      <c r="BZ41" s="94">
        <f t="shared" si="76"/>
        <v>73.8</v>
      </c>
      <c r="CA41" s="95">
        <f t="shared" si="84"/>
        <v>1</v>
      </c>
      <c r="CB41" s="60">
        <f t="shared" si="64"/>
        <v>42.453333333333326</v>
      </c>
      <c r="CC41" s="97">
        <f t="shared" si="65"/>
        <v>0</v>
      </c>
      <c r="CD41" s="43">
        <f t="shared" si="66"/>
        <v>0</v>
      </c>
      <c r="CE41" s="60" cm="1">
        <f t="array" ref="CE41">IFERROR(LARGE(_xlfn._xlws.FILTER('Base Kpi'!$DL:$DL,('Base Kpi'!$DK:$DK=$CE$5)*('Base Kpi'!$DE:$DE=Cliente!$E41)),1),0)</f>
        <v>27.2</v>
      </c>
      <c r="CF41" s="60" cm="1">
        <f t="array" ref="CF41">IFERROR(LARGE(_xlfn._xlws.FILTER('Base Kpi'!$DL:$DL,('Base Kpi'!$DK:$DK=$CF$5)*('Base Kpi'!$DE:$DE=Cliente!$E41)),1),0)</f>
        <v>0</v>
      </c>
      <c r="CG41" s="60" cm="1">
        <f t="array" ref="CG41">IFERROR(LARGE(_xlfn._xlws.FILTER('Base Kpi'!$DL:$DL,('Base Kpi'!$DK:$DK=$CG$5)*('Base Kpi'!$DE:$DE=Cliente!$E41)),1),0)</f>
        <v>3.335</v>
      </c>
      <c r="CH41" s="60" cm="1">
        <f t="array" ref="CH41">IFERROR(LARGE(_xlfn._xlws.FILTER('Base Kpi'!$DL:$DL,('Base Kpi'!$DK:$DK=$CH$5)*('Base Kpi'!$DE:$DE=Cliente!$E41)),1),0)</f>
        <v>9</v>
      </c>
      <c r="CI41" s="60" cm="1">
        <f t="array" ref="CI41">IFERROR(LARGE(_xlfn._xlws.FILTER('Base Kpi'!$DL:$DL,('Base Kpi'!$DK:$DK=$CI$5)*('Base Kpi'!$DE:$DE=Cliente!$E41)),1),0)</f>
        <v>21.425000000000001</v>
      </c>
      <c r="CJ41" s="60" cm="1">
        <f t="array" ref="CJ41">IFERROR(LARGE(_xlfn._xlws.FILTER('Base Kpi'!$DL:$DL,('Base Kpi'!$DK:$DK=$CJ$5)*('Base Kpi'!$DE:$DE=Cliente!$E41)),1),0)</f>
        <v>3</v>
      </c>
      <c r="CK41" s="60" cm="1">
        <f t="array" ref="CK41">IFERROR(LARGE(_xlfn._xlws.FILTER('Base Kpi'!$DL:$DL,('Base Kpi'!$DK:$DK=$CK$5)*('Base Kpi'!$DE:$DE=Cliente!$E41)),1),0)</f>
        <v>0</v>
      </c>
      <c r="CL41" s="94">
        <f t="shared" si="77"/>
        <v>63.959999999999994</v>
      </c>
      <c r="CM41" s="95">
        <f t="shared" si="47"/>
        <v>0</v>
      </c>
      <c r="CN41" s="60">
        <f>IFERROR(AVERAGEIFS('Base Kpi'!$DX:$DX,'Base Kpi'!$DQ:$DQ,Cliente!$E41,'Base Kpi'!$DW:$DW,Cliente!CN$5),0)</f>
        <v>30.4</v>
      </c>
      <c r="CO41" s="92">
        <f>IFERROR(AVERAGEIFS('Base Kpi'!$DX:$DX,'Base Kpi'!$DQ:$DQ,Cliente!$E41,'Base Kpi'!$DW:$DW,Cliente!CO$5),0)</f>
        <v>0</v>
      </c>
      <c r="CP41" s="92">
        <f>IFERROR(AVERAGEIFS('Base Kpi'!$DX:$DX,'Base Kpi'!$DQ:$DQ,Cliente!$E41,'Base Kpi'!$DW:$DW,Cliente!CP$5),0)</f>
        <v>5</v>
      </c>
      <c r="CQ41" s="92">
        <f>IFERROR(AVERAGEIFS('Base Kpi'!$DX:$DX,'Base Kpi'!$DQ:$DQ,Cliente!$E41,'Base Kpi'!$DW:$DW,Cliente!CQ$5),0)</f>
        <v>0</v>
      </c>
      <c r="CR41" s="92">
        <f>IFERROR(AVERAGEIFS('Base Kpi'!$DX:$DX,'Base Kpi'!$DQ:$DQ,Cliente!$E41,'Base Kpi'!$DW:$DW,Cliente!CR$5),0)</f>
        <v>25</v>
      </c>
      <c r="CS41" s="92">
        <f>IFERROR(AVERAGEIFS('Base Kpi'!$DX:$DX,'Base Kpi'!$DQ:$DQ,Cliente!$E41,'Base Kpi'!$DW:$DW,Cliente!CS$5),0)</f>
        <v>3</v>
      </c>
      <c r="CT41" s="92">
        <f>IFERROR(AVERAGEIFS('Base Kpi'!$DX:$DX,'Base Kpi'!$DQ:$DQ,Cliente!$E41,'Base Kpi'!$DW:$DW,Cliente!CT$5),0)</f>
        <v>0</v>
      </c>
      <c r="CU41" s="94">
        <f t="shared" si="67"/>
        <v>63.4</v>
      </c>
      <c r="CV41" s="95">
        <f t="shared" si="68"/>
        <v>1</v>
      </c>
      <c r="CW41" s="60">
        <f>IFERROR(AVERAGEIFS('Base Kpi'!$EJ:$EJ,'Base Kpi'!$EC:$EC,Cliente!$E41,'Base Kpi'!$EI:$EI,Cliente!CW$5),0)</f>
        <v>0</v>
      </c>
      <c r="CX41" s="92">
        <f>IFERROR(AVERAGEIFS('Base Kpi'!$EJ:$EJ,'Base Kpi'!$EC:$EC,Cliente!$E41,'Base Kpi'!$EI:$EI,Cliente!CX$5),0)</f>
        <v>0</v>
      </c>
      <c r="CY41" s="92">
        <f>IFERROR(AVERAGEIFS('Base Kpi'!$EJ:$EJ,'Base Kpi'!$EC:$EC,Cliente!$E41,'Base Kpi'!$EI:$EI,Cliente!CY$5),0)</f>
        <v>0</v>
      </c>
      <c r="CZ41" s="92">
        <f>IFERROR(AVERAGEIFS('Base Kpi'!$EJ:$EJ,'Base Kpi'!$EC:$EC,Cliente!$E41,'Base Kpi'!$EI:$EI,Cliente!CZ$5),0)</f>
        <v>0</v>
      </c>
      <c r="DA41" s="92">
        <f>IFERROR(AVERAGEIFS('Base Kpi'!$EJ:$EJ,'Base Kpi'!$EC:$EC,Cliente!$E41,'Base Kpi'!$EI:$EI,Cliente!DA$5),0)</f>
        <v>0</v>
      </c>
      <c r="DB41" s="92">
        <f>IFERROR(AVERAGEIFS('Base Kpi'!$EJ:$EJ,'Base Kpi'!$EC:$EC,Cliente!$E41,'Base Kpi'!$EI:$EI,Cliente!DB$5),0)</f>
        <v>0</v>
      </c>
      <c r="DC41" s="92">
        <f>IFERROR(AVERAGEIFS('Base Kpi'!$EJ:$EJ,'Base Kpi'!$EC:$EC,Cliente!$E41,'Base Kpi'!$EI:$EI,Cliente!DC$5),0)</f>
        <v>0</v>
      </c>
      <c r="DD41" s="94">
        <f t="shared" si="69"/>
        <v>0</v>
      </c>
      <c r="DE41" s="95">
        <f t="shared" si="70"/>
        <v>0</v>
      </c>
      <c r="DF41" s="120"/>
    </row>
    <row r="42" spans="2:110" x14ac:dyDescent="0.35">
      <c r="B42" s="52" t="s">
        <v>42</v>
      </c>
      <c r="C42" s="21">
        <v>179</v>
      </c>
      <c r="D42" s="21" t="s">
        <v>3</v>
      </c>
      <c r="E42" s="21">
        <v>51123</v>
      </c>
      <c r="F42" s="16" t="s">
        <v>58</v>
      </c>
      <c r="G42" s="16" t="s">
        <v>273</v>
      </c>
      <c r="H42" s="16" t="s">
        <v>287</v>
      </c>
      <c r="I42" s="16" t="s">
        <v>195</v>
      </c>
      <c r="J42" s="16" t="s">
        <v>90</v>
      </c>
      <c r="K42" s="34" t="s">
        <v>45</v>
      </c>
      <c r="L42" s="60">
        <f t="shared" si="55"/>
        <v>80.581666666666663</v>
      </c>
      <c r="M42" s="97">
        <f t="shared" si="56"/>
        <v>1</v>
      </c>
      <c r="N42" s="43">
        <f t="shared" si="52"/>
        <v>1</v>
      </c>
      <c r="O42" s="60">
        <f>IFERROR(AVERAGEIFS('Base Kpi'!$I:$I,'Base Kpi'!$B:$B,Cliente!$E42,'Base Kpi'!$G:$G,Cliente!O$5),0)</f>
        <v>25.71</v>
      </c>
      <c r="P42" s="92">
        <f>IFERROR(AVERAGEIFS('Base Kpi'!$I:$I,'Base Kpi'!$B:$B,Cliente!$E42,'Base Kpi'!$G:$G,Cliente!P$5),0)</f>
        <v>0</v>
      </c>
      <c r="Q42" s="92">
        <f>IFERROR(AVERAGEIFS('Base Kpi'!$I:$I,'Base Kpi'!$B:$B,Cliente!$E42,'Base Kpi'!$G:$G,Cliente!Q$5),0)</f>
        <v>10.199999999999999</v>
      </c>
      <c r="R42" s="92">
        <f>IFERROR(AVERAGEIFS('Base Kpi'!$I:$I,'Base Kpi'!$B:$B,Cliente!$E42,'Base Kpi'!$G:$G,Cliente!R$5),0)</f>
        <v>30.375</v>
      </c>
      <c r="S42" s="94">
        <f t="shared" si="57"/>
        <v>66.284999999999997</v>
      </c>
      <c r="T42" s="95">
        <f t="shared" si="58"/>
        <v>0</v>
      </c>
      <c r="U42" s="60">
        <f>IFERROR(AVERAGEIFS('Base Kpi'!$T:$T,'Base Kpi'!$M:$M,Cliente!$E42,'Base Kpi'!$S:$S,Cliente!U$5),0)</f>
        <v>25.71</v>
      </c>
      <c r="V42" s="92">
        <f>IFERROR(AVERAGEIFS('Base Kpi'!$T:$T,'Base Kpi'!$M:$M,Cliente!$E42,'Base Kpi'!$S:$S,Cliente!V$5),0)</f>
        <v>8</v>
      </c>
      <c r="W42" s="92">
        <f>IFERROR(AVERAGEIFS('Base Kpi'!$T:$T,'Base Kpi'!$M:$M,Cliente!$E42,'Base Kpi'!$S:$S,Cliente!W$5),0)</f>
        <v>17</v>
      </c>
      <c r="X42" s="92">
        <f>IFERROR(AVERAGEIFS('Base Kpi'!$T:$T,'Base Kpi'!$M:$M,Cliente!$E42,'Base Kpi'!$S:$S,Cliente!X$5),0)</f>
        <v>36</v>
      </c>
      <c r="Y42" s="94">
        <f t="shared" si="59"/>
        <v>86.710000000000008</v>
      </c>
      <c r="Z42" s="95">
        <f t="shared" si="60"/>
        <v>1</v>
      </c>
      <c r="AA42" s="60">
        <f>IFERROR(AVERAGEIFS('Base Kpi'!$AF:$AF,'Base Kpi'!$Y:$Y,Cliente!$E42,'Base Kpi'!$AE:$AE,Cliente!AA$5),0)</f>
        <v>30</v>
      </c>
      <c r="AB42" s="92">
        <f>IFERROR(AVERAGEIFS('Base Kpi'!$AF:$AF,'Base Kpi'!$Y:$Y,Cliente!$E42,'Base Kpi'!$AE:$AE,Cliente!AB$5),0)</f>
        <v>8</v>
      </c>
      <c r="AC42" s="92">
        <f>IFERROR(AVERAGEIFS('Base Kpi'!$AF:$AF,'Base Kpi'!$Y:$Y,Cliente!$E42,'Base Kpi'!$AE:$AE,Cliente!AC$5),0)</f>
        <v>17</v>
      </c>
      <c r="AD42" s="92">
        <f>IFERROR(AVERAGEIFS('Base Kpi'!$AF:$AF,'Base Kpi'!$Y:$Y,Cliente!$E42,'Base Kpi'!$AE:$AE,Cliente!AD$5),0)</f>
        <v>33.75</v>
      </c>
      <c r="AE42" s="94">
        <f t="shared" si="61"/>
        <v>88.75</v>
      </c>
      <c r="AF42" s="95">
        <f t="shared" si="62"/>
        <v>1</v>
      </c>
      <c r="AG42" s="60">
        <f t="shared" si="71"/>
        <v>71.423333333333332</v>
      </c>
      <c r="AH42" s="97">
        <f t="shared" si="72"/>
        <v>1</v>
      </c>
      <c r="AI42" s="88">
        <f t="shared" si="63"/>
        <v>1</v>
      </c>
      <c r="AJ42" s="92">
        <f>IFERROR(AVERAGEIFS('Base Kpi'!$AR:$AR,'Base Kpi'!$AK:$AK,Cliente!$E42,'Base Kpi'!$AQ:$AQ,AJ$5),0)</f>
        <v>25</v>
      </c>
      <c r="AK42" s="92">
        <f>IFERROR(AVERAGEIFS('Base Kpi'!$AR:$AR,'Base Kpi'!$AK:$AK,Cliente!$E42,'Base Kpi'!$AQ:$AQ,AK$5),0)</f>
        <v>2.5</v>
      </c>
      <c r="AL42" s="92">
        <f>IFERROR(AVERAGEIFS('Base Kpi'!$AR:$AR,'Base Kpi'!$AK:$AK,Cliente!$E42,'Base Kpi'!$AQ:$AQ,AL$5),0)</f>
        <v>12</v>
      </c>
      <c r="AM42" s="92">
        <f>IFERROR(AVERAGEIFS('Base Kpi'!$AR:$AR,'Base Kpi'!$AK:$AK,Cliente!$E42,'Base Kpi'!$AQ:$AQ,AM$5),0)</f>
        <v>31.32</v>
      </c>
      <c r="AN42" s="94">
        <f t="shared" si="53"/>
        <v>70.819999999999993</v>
      </c>
      <c r="AO42" s="95">
        <f t="shared" si="13"/>
        <v>0</v>
      </c>
      <c r="AP42" s="60">
        <f>IFERROR(AVERAGEIFS('Base Kpi'!$BD:$BD,'Base Kpi'!$AW:$AW,Cliente!$E42,'Base Kpi'!$BC:$BC,Cliente!AP$5),0)</f>
        <v>21.425000000000001</v>
      </c>
      <c r="AQ42" s="92">
        <f>IFERROR(AVERAGEIFS('Base Kpi'!$BD:$BD,'Base Kpi'!$AW:$AW,Cliente!$E42,'Base Kpi'!$BC:$BC,Cliente!AQ$5),0)</f>
        <v>1.665</v>
      </c>
      <c r="AR42" s="92">
        <f>IFERROR(AVERAGEIFS('Base Kpi'!$BD:$BD,'Base Kpi'!$AW:$AW,Cliente!$E42,'Base Kpi'!$BC:$BC,Cliente!AR$5),0)</f>
        <v>3</v>
      </c>
      <c r="AS42" s="92">
        <f>IFERROR(AVERAGEIFS('Base Kpi'!$BD:$BD,'Base Kpi'!$AW:$AW,Cliente!$E42,'Base Kpi'!$BC:$BC,Cliente!AS$5),0)</f>
        <v>28.68</v>
      </c>
      <c r="AT42" s="92">
        <f>IFERROR(AVERAGEIFS('Base Kpi'!$BD:$BD,'Base Kpi'!$AW:$AW,Cliente!$E42,'Base Kpi'!$BC:$BC,Cliente!AT$5),0)</f>
        <v>0</v>
      </c>
      <c r="AU42" s="94">
        <f t="shared" si="54"/>
        <v>54.769999999999996</v>
      </c>
      <c r="AV42" s="95">
        <f t="shared" si="78"/>
        <v>1</v>
      </c>
      <c r="AW42" s="60">
        <f>IFERROR(AVERAGEIFS('Base Kpi'!$BP:$BP,'Base Kpi'!$BI:$BI,Cliente!$E42,'Base Kpi'!$BO:$BO,Cliente!AW$5),0)</f>
        <v>25</v>
      </c>
      <c r="AX42" s="92">
        <f>IFERROR(AVERAGEIFS('Base Kpi'!$BP:$BP,'Base Kpi'!$BI:$BI,Cliente!$E42,'Base Kpi'!$BO:$BO,Cliente!AX$5),0)</f>
        <v>5</v>
      </c>
      <c r="AY42" s="92">
        <f>IFERROR(AVERAGEIFS('Base Kpi'!$BP:$BP,'Base Kpi'!$BI:$BI,Cliente!$E42,'Base Kpi'!$BO:$BO,Cliente!AY$5),0)</f>
        <v>12</v>
      </c>
      <c r="AZ42" s="92">
        <f>IFERROR(AVERAGEIFS('Base Kpi'!$BP:$BP,'Base Kpi'!$BI:$BI,Cliente!$E42,'Base Kpi'!$BO:$BO,Cliente!AZ$5),0)</f>
        <v>28.68</v>
      </c>
      <c r="BA42" s="92">
        <f>IFERROR(AVERAGEIFS('Base Kpi'!$BP:$BP,'Base Kpi'!$BI:$BI,Cliente!$E42,'Base Kpi'!$BO:$BO,Cliente!BA$5),0)</f>
        <v>18</v>
      </c>
      <c r="BB42" s="94">
        <f t="shared" si="73"/>
        <v>88.68</v>
      </c>
      <c r="BC42" s="95">
        <f t="shared" si="79"/>
        <v>1</v>
      </c>
      <c r="BD42" s="60">
        <f t="shared" si="42"/>
        <v>77.608333333333334</v>
      </c>
      <c r="BE42" s="97">
        <f t="shared" si="80"/>
        <v>1</v>
      </c>
      <c r="BF42" s="88">
        <f t="shared" si="81"/>
        <v>1</v>
      </c>
      <c r="BG42" s="60">
        <f>IFERROR(AVERAGEIFS('Base Kpi'!$CB:$CB,'Base Kpi'!$BU:$BU,Cliente!$E42,'Base Kpi'!$CA:$CA,Cliente!BG$5),0)</f>
        <v>25</v>
      </c>
      <c r="BH42" s="92">
        <f>IFERROR(AVERAGEIFS('Base Kpi'!$CB:$CB,'Base Kpi'!$BU:$BU,Cliente!$E42,'Base Kpi'!$CA:$CA,Cliente!BH$5),0)</f>
        <v>5</v>
      </c>
      <c r="BI42" s="92">
        <f>IFERROR(AVERAGEIFS('Base Kpi'!$CB:$CB,'Base Kpi'!$BU:$BU,Cliente!$E42,'Base Kpi'!$CA:$CA,Cliente!BI$5),0)</f>
        <v>9</v>
      </c>
      <c r="BJ42" s="92">
        <f>IFERROR(AVERAGEIFS('Base Kpi'!$CB:$CB,'Base Kpi'!$BU:$BU,Cliente!$E42,'Base Kpi'!$CA:$CA,Cliente!BJ$5),0)</f>
        <v>28</v>
      </c>
      <c r="BK42" s="92">
        <f>IFERROR(AVERAGEIFS('Base Kpi'!$CB:$CB,'Base Kpi'!$BU:$BU,Cliente!$E42,'Base Kpi'!$CA:$CA,Cliente!BK$5),0)</f>
        <v>9</v>
      </c>
      <c r="BL42" s="94">
        <f t="shared" si="74"/>
        <v>76</v>
      </c>
      <c r="BM42" s="95">
        <f t="shared" si="82"/>
        <v>1</v>
      </c>
      <c r="BN42" s="60">
        <f>IFERROR(AVERAGEIFS('Base Kpi'!$CN:$CN,'Base Kpi'!$CG:$CG,Cliente!$E42,'Base Kpi'!$CM:$CM,Cliente!BN$5),0)</f>
        <v>25</v>
      </c>
      <c r="BO42" s="92">
        <f>IFERROR(AVERAGEIFS('Base Kpi'!$CN:$CN,'Base Kpi'!$CG:$CG,Cliente!$E42,'Base Kpi'!$CM:$CM,Cliente!BO$5),0)</f>
        <v>5</v>
      </c>
      <c r="BP42" s="92">
        <f>IFERROR(AVERAGEIFS('Base Kpi'!$CN:$CN,'Base Kpi'!$CG:$CG,Cliente!$E42,'Base Kpi'!$CM:$CM,Cliente!BP$5),0)</f>
        <v>3</v>
      </c>
      <c r="BQ42" s="92">
        <f>IFERROR(AVERAGEIFS('Base Kpi'!$CN:$CN,'Base Kpi'!$CG:$CG,Cliente!$E42,'Base Kpi'!$CM:$CM,Cliente!BQ$5),0)</f>
        <v>27.2</v>
      </c>
      <c r="BR42" s="92">
        <f>IFERROR(AVERAGEIFS('Base Kpi'!$CN:$CN,'Base Kpi'!$CG:$CG,Cliente!$E42,'Base Kpi'!$CM:$CM,Cliente!BR$5),0)</f>
        <v>9</v>
      </c>
      <c r="BS42" s="94">
        <f t="shared" si="75"/>
        <v>69.2</v>
      </c>
      <c r="BT42" s="95">
        <f t="shared" si="83"/>
        <v>1</v>
      </c>
      <c r="BU42" s="60">
        <f>IFERROR(AVERAGEIFS('Base Kpi'!$CZ:$CZ,'Base Kpi'!$CS:$CS,Cliente!$E42,'Base Kpi'!$CY:$CY,Cliente!BU$5),0)</f>
        <v>21.425000000000001</v>
      </c>
      <c r="BV42" s="92">
        <f>IFERROR(AVERAGEIFS('Base Kpi'!$CZ:$CZ,'Base Kpi'!$CS:$CS,Cliente!$E42,'Base Kpi'!$CY:$CY,Cliente!BV$5),0)</f>
        <v>5</v>
      </c>
      <c r="BW42" s="92">
        <f>IFERROR(AVERAGEIFS('Base Kpi'!$CZ:$CZ,'Base Kpi'!$CS:$CS,Cliente!$E42,'Base Kpi'!$CY:$CY,Cliente!BW$5),0)</f>
        <v>12</v>
      </c>
      <c r="BX42" s="92">
        <f>IFERROR(AVERAGEIFS('Base Kpi'!$CZ:$CZ,'Base Kpi'!$CS:$CS,Cliente!$E42,'Base Kpi'!$CY:$CY,Cliente!BX$5),0)</f>
        <v>31.2</v>
      </c>
      <c r="BY42" s="92">
        <f>IFERROR(AVERAGEIFS('Base Kpi'!$CZ:$CZ,'Base Kpi'!$CS:$CS,Cliente!$E42,'Base Kpi'!$CY:$CY,Cliente!BY$5),0)</f>
        <v>18</v>
      </c>
      <c r="BZ42" s="94">
        <f t="shared" si="76"/>
        <v>87.625</v>
      </c>
      <c r="CA42" s="95">
        <f t="shared" si="84"/>
        <v>1</v>
      </c>
      <c r="CB42" s="60">
        <f t="shared" si="64"/>
        <v>44.808333333333337</v>
      </c>
      <c r="CC42" s="97">
        <f t="shared" si="65"/>
        <v>0</v>
      </c>
      <c r="CD42" s="43">
        <f t="shared" si="66"/>
        <v>0</v>
      </c>
      <c r="CE42" s="60" cm="1">
        <f t="array" ref="CE42">IFERROR(LARGE(_xlfn._xlws.FILTER('Base Kpi'!$DL:$DL,('Base Kpi'!$DK:$DK=$CE$5)*('Base Kpi'!$DE:$DE=Cliente!$E42)),1),0)</f>
        <v>28.8</v>
      </c>
      <c r="CF42" s="60" cm="1">
        <f t="array" ref="CF42">IFERROR(LARGE(_xlfn._xlws.FILTER('Base Kpi'!$DL:$DL,('Base Kpi'!$DK:$DK=$CF$5)*('Base Kpi'!$DE:$DE=Cliente!$E42)),1),0)</f>
        <v>0</v>
      </c>
      <c r="CG42" s="60" cm="1">
        <f t="array" ref="CG42">IFERROR(LARGE(_xlfn._xlws.FILTER('Base Kpi'!$DL:$DL,('Base Kpi'!$DK:$DK=$CG$5)*('Base Kpi'!$DE:$DE=Cliente!$E42)),1),0)</f>
        <v>5</v>
      </c>
      <c r="CH42" s="60" cm="1">
        <f t="array" ref="CH42">IFERROR(LARGE(_xlfn._xlws.FILTER('Base Kpi'!$DL:$DL,('Base Kpi'!$DK:$DK=$CH$5)*('Base Kpi'!$DE:$DE=Cliente!$E42)),1),0)</f>
        <v>0</v>
      </c>
      <c r="CI42" s="60" cm="1">
        <f t="array" ref="CI42">IFERROR(LARGE(_xlfn._xlws.FILTER('Base Kpi'!$DL:$DL,('Base Kpi'!$DK:$DK=$CI$5)*('Base Kpi'!$DE:$DE=Cliente!$E42)),1),0)</f>
        <v>25</v>
      </c>
      <c r="CJ42" s="60" cm="1">
        <f t="array" ref="CJ42">IFERROR(LARGE(_xlfn._xlws.FILTER('Base Kpi'!$DL:$DL,('Base Kpi'!$DK:$DK=$CJ$5)*('Base Kpi'!$DE:$DE=Cliente!$E42)),1),0)</f>
        <v>0</v>
      </c>
      <c r="CK42" s="60" cm="1">
        <f t="array" ref="CK42">IFERROR(LARGE(_xlfn._xlws.FILTER('Base Kpi'!$DL:$DL,('Base Kpi'!$DK:$DK=$CK$5)*('Base Kpi'!$DE:$DE=Cliente!$E42)),1),0)</f>
        <v>0</v>
      </c>
      <c r="CL42" s="94">
        <f t="shared" si="77"/>
        <v>58.8</v>
      </c>
      <c r="CM42" s="95">
        <f t="shared" si="47"/>
        <v>0</v>
      </c>
      <c r="CN42" s="60">
        <f>IFERROR(AVERAGEIFS('Base Kpi'!$DX:$DX,'Base Kpi'!$DQ:$DQ,Cliente!$E42,'Base Kpi'!$DW:$DW,Cliente!CN$5),0)</f>
        <v>31.2</v>
      </c>
      <c r="CO42" s="92">
        <f>IFERROR(AVERAGEIFS('Base Kpi'!$DX:$DX,'Base Kpi'!$DQ:$DQ,Cliente!$E42,'Base Kpi'!$DW:$DW,Cliente!CO$5),0)</f>
        <v>0</v>
      </c>
      <c r="CP42" s="92">
        <f>IFERROR(AVERAGEIFS('Base Kpi'!$DX:$DX,'Base Kpi'!$DQ:$DQ,Cliente!$E42,'Base Kpi'!$DW:$DW,Cliente!CP$5),0)</f>
        <v>5</v>
      </c>
      <c r="CQ42" s="92">
        <f>IFERROR(AVERAGEIFS('Base Kpi'!$DX:$DX,'Base Kpi'!$DQ:$DQ,Cliente!$E42,'Base Kpi'!$DW:$DW,Cliente!CQ$5),0)</f>
        <v>9</v>
      </c>
      <c r="CR42" s="92">
        <f>IFERROR(AVERAGEIFS('Base Kpi'!$DX:$DX,'Base Kpi'!$DQ:$DQ,Cliente!$E42,'Base Kpi'!$DW:$DW,Cliente!CR$5),0)</f>
        <v>21.425000000000001</v>
      </c>
      <c r="CS42" s="92">
        <f>IFERROR(AVERAGEIFS('Base Kpi'!$DX:$DX,'Base Kpi'!$DQ:$DQ,Cliente!$E42,'Base Kpi'!$DW:$DW,Cliente!CS$5),0)</f>
        <v>9</v>
      </c>
      <c r="CT42" s="92">
        <f>IFERROR(AVERAGEIFS('Base Kpi'!$DX:$DX,'Base Kpi'!$DQ:$DQ,Cliente!$E42,'Base Kpi'!$DW:$DW,Cliente!CT$5),0)</f>
        <v>0</v>
      </c>
      <c r="CU42" s="94">
        <f t="shared" si="67"/>
        <v>75.625</v>
      </c>
      <c r="CV42" s="95">
        <f t="shared" si="68"/>
        <v>1</v>
      </c>
      <c r="CW42" s="60">
        <f>IFERROR(AVERAGEIFS('Base Kpi'!$EJ:$EJ,'Base Kpi'!$EC:$EC,Cliente!$E42,'Base Kpi'!$EI:$EI,Cliente!CW$5),0)</f>
        <v>0</v>
      </c>
      <c r="CX42" s="92">
        <f>IFERROR(AVERAGEIFS('Base Kpi'!$EJ:$EJ,'Base Kpi'!$EC:$EC,Cliente!$E42,'Base Kpi'!$EI:$EI,Cliente!CX$5),0)</f>
        <v>0</v>
      </c>
      <c r="CY42" s="92">
        <f>IFERROR(AVERAGEIFS('Base Kpi'!$EJ:$EJ,'Base Kpi'!$EC:$EC,Cliente!$E42,'Base Kpi'!$EI:$EI,Cliente!CY$5),0)</f>
        <v>0</v>
      </c>
      <c r="CZ42" s="92">
        <f>IFERROR(AVERAGEIFS('Base Kpi'!$EJ:$EJ,'Base Kpi'!$EC:$EC,Cliente!$E42,'Base Kpi'!$EI:$EI,Cliente!CZ$5),0)</f>
        <v>0</v>
      </c>
      <c r="DA42" s="92">
        <f>IFERROR(AVERAGEIFS('Base Kpi'!$EJ:$EJ,'Base Kpi'!$EC:$EC,Cliente!$E42,'Base Kpi'!$EI:$EI,Cliente!DA$5),0)</f>
        <v>0</v>
      </c>
      <c r="DB42" s="92">
        <f>IFERROR(AVERAGEIFS('Base Kpi'!$EJ:$EJ,'Base Kpi'!$EC:$EC,Cliente!$E42,'Base Kpi'!$EI:$EI,Cliente!DB$5),0)</f>
        <v>0</v>
      </c>
      <c r="DC42" s="92">
        <f>IFERROR(AVERAGEIFS('Base Kpi'!$EJ:$EJ,'Base Kpi'!$EC:$EC,Cliente!$E42,'Base Kpi'!$EI:$EI,Cliente!DC$5),0)</f>
        <v>0</v>
      </c>
      <c r="DD42" s="94">
        <f t="shared" si="69"/>
        <v>0</v>
      </c>
      <c r="DE42" s="95">
        <f t="shared" si="70"/>
        <v>0</v>
      </c>
      <c r="DF42" s="120"/>
    </row>
    <row r="43" spans="2:110" x14ac:dyDescent="0.35">
      <c r="B43" s="52" t="s">
        <v>42</v>
      </c>
      <c r="C43" s="21">
        <v>179</v>
      </c>
      <c r="D43" s="21" t="s">
        <v>3</v>
      </c>
      <c r="E43" s="21">
        <v>57802</v>
      </c>
      <c r="F43" s="16" t="s">
        <v>66</v>
      </c>
      <c r="G43" s="16" t="s">
        <v>273</v>
      </c>
      <c r="H43" s="16" t="s">
        <v>288</v>
      </c>
      <c r="I43" s="16" t="s">
        <v>176</v>
      </c>
      <c r="J43" s="16" t="s">
        <v>88</v>
      </c>
      <c r="K43" s="34" t="s">
        <v>45</v>
      </c>
      <c r="L43" s="60">
        <f t="shared" si="55"/>
        <v>74.356666666666669</v>
      </c>
      <c r="M43" s="97">
        <f t="shared" si="56"/>
        <v>1</v>
      </c>
      <c r="N43" s="43">
        <f t="shared" si="52"/>
        <v>0</v>
      </c>
      <c r="O43" s="60">
        <f>IFERROR(AVERAGEIFS('Base Kpi'!$I:$I,'Base Kpi'!$B:$B,Cliente!$E43,'Base Kpi'!$G:$G,Cliente!O$5),0)</f>
        <v>25.71</v>
      </c>
      <c r="P43" s="92">
        <f>IFERROR(AVERAGEIFS('Base Kpi'!$I:$I,'Base Kpi'!$B:$B,Cliente!$E43,'Base Kpi'!$G:$G,Cliente!P$5),0)</f>
        <v>0</v>
      </c>
      <c r="Q43" s="92">
        <f>IFERROR(AVERAGEIFS('Base Kpi'!$I:$I,'Base Kpi'!$B:$B,Cliente!$E43,'Base Kpi'!$G:$G,Cliente!Q$5),0)</f>
        <v>3.4</v>
      </c>
      <c r="R43" s="92">
        <f>IFERROR(AVERAGEIFS('Base Kpi'!$I:$I,'Base Kpi'!$B:$B,Cliente!$E43,'Base Kpi'!$G:$G,Cliente!R$5),0)</f>
        <v>29.25</v>
      </c>
      <c r="S43" s="94">
        <f t="shared" si="57"/>
        <v>58.36</v>
      </c>
      <c r="T43" s="95">
        <f t="shared" si="58"/>
        <v>0</v>
      </c>
      <c r="U43" s="60">
        <f>IFERROR(AVERAGEIFS('Base Kpi'!$T:$T,'Base Kpi'!$M:$M,Cliente!$E43,'Base Kpi'!$S:$S,Cliente!U$5),0)</f>
        <v>25.71</v>
      </c>
      <c r="V43" s="92">
        <f>IFERROR(AVERAGEIFS('Base Kpi'!$T:$T,'Base Kpi'!$M:$M,Cliente!$E43,'Base Kpi'!$S:$S,Cliente!V$5),0)</f>
        <v>8</v>
      </c>
      <c r="W43" s="92">
        <f>IFERROR(AVERAGEIFS('Base Kpi'!$T:$T,'Base Kpi'!$M:$M,Cliente!$E43,'Base Kpi'!$S:$S,Cliente!W$5),0)</f>
        <v>12.75</v>
      </c>
      <c r="X43" s="92">
        <f>IFERROR(AVERAGEIFS('Base Kpi'!$T:$T,'Base Kpi'!$M:$M,Cliente!$E43,'Base Kpi'!$S:$S,Cliente!X$5),0)</f>
        <v>34.875</v>
      </c>
      <c r="Y43" s="94">
        <f t="shared" si="59"/>
        <v>81.335000000000008</v>
      </c>
      <c r="Z43" s="95">
        <f t="shared" si="60"/>
        <v>1</v>
      </c>
      <c r="AA43" s="60">
        <f>IFERROR(AVERAGEIFS('Base Kpi'!$AF:$AF,'Base Kpi'!$Y:$Y,Cliente!$E43,'Base Kpi'!$AE:$AE,Cliente!AA$5),0)</f>
        <v>30</v>
      </c>
      <c r="AB43" s="92">
        <f>IFERROR(AVERAGEIFS('Base Kpi'!$AF:$AF,'Base Kpi'!$Y:$Y,Cliente!$E43,'Base Kpi'!$AE:$AE,Cliente!AB$5),0)</f>
        <v>8</v>
      </c>
      <c r="AC43" s="92">
        <f>IFERROR(AVERAGEIFS('Base Kpi'!$AF:$AF,'Base Kpi'!$Y:$Y,Cliente!$E43,'Base Kpi'!$AE:$AE,Cliente!AC$5),0)</f>
        <v>12.75</v>
      </c>
      <c r="AD43" s="92">
        <f>IFERROR(AVERAGEIFS('Base Kpi'!$AF:$AF,'Base Kpi'!$Y:$Y,Cliente!$E43,'Base Kpi'!$AE:$AE,Cliente!AD$5),0)</f>
        <v>32.625</v>
      </c>
      <c r="AE43" s="94">
        <f t="shared" si="61"/>
        <v>83.375</v>
      </c>
      <c r="AF43" s="95">
        <f t="shared" si="62"/>
        <v>1</v>
      </c>
      <c r="AG43" s="60">
        <f t="shared" si="71"/>
        <v>47.051666666666669</v>
      </c>
      <c r="AH43" s="97">
        <f t="shared" si="72"/>
        <v>0</v>
      </c>
      <c r="AI43" s="88">
        <f t="shared" si="63"/>
        <v>0</v>
      </c>
      <c r="AJ43" s="92">
        <f>IFERROR(AVERAGEIFS('Base Kpi'!$AR:$AR,'Base Kpi'!$AK:$AK,Cliente!$E43,'Base Kpi'!$AQ:$AQ,AJ$5),0)</f>
        <v>0</v>
      </c>
      <c r="AK43" s="92">
        <f>IFERROR(AVERAGEIFS('Base Kpi'!$AR:$AR,'Base Kpi'!$AK:$AK,Cliente!$E43,'Base Kpi'!$AQ:$AQ,AK$5),0)</f>
        <v>0</v>
      </c>
      <c r="AL43" s="92">
        <f>IFERROR(AVERAGEIFS('Base Kpi'!$AR:$AR,'Base Kpi'!$AK:$AK,Cliente!$E43,'Base Kpi'!$AQ:$AQ,AL$5),0)</f>
        <v>0</v>
      </c>
      <c r="AM43" s="92">
        <f>IFERROR(AVERAGEIFS('Base Kpi'!$AR:$AR,'Base Kpi'!$AK:$AK,Cliente!$E43,'Base Kpi'!$AQ:$AQ,AM$5),0)</f>
        <v>0</v>
      </c>
      <c r="AN43" s="94">
        <f t="shared" si="53"/>
        <v>0</v>
      </c>
      <c r="AO43" s="95">
        <f t="shared" si="13"/>
        <v>0</v>
      </c>
      <c r="AP43" s="60">
        <f>IFERROR(AVERAGEIFS('Base Kpi'!$BD:$BD,'Base Kpi'!$AW:$AW,Cliente!$E43,'Base Kpi'!$BC:$BC,Cliente!AP$5),0)</f>
        <v>17.850000000000001</v>
      </c>
      <c r="AQ43" s="92">
        <f>IFERROR(AVERAGEIFS('Base Kpi'!$BD:$BD,'Base Kpi'!$AW:$AW,Cliente!$E43,'Base Kpi'!$BC:$BC,Cliente!AQ$5),0)</f>
        <v>1.665</v>
      </c>
      <c r="AR43" s="92">
        <f>IFERROR(AVERAGEIFS('Base Kpi'!$BD:$BD,'Base Kpi'!$AW:$AW,Cliente!$E43,'Base Kpi'!$BC:$BC,Cliente!AR$5),0)</f>
        <v>12</v>
      </c>
      <c r="AS43" s="92">
        <f>IFERROR(AVERAGEIFS('Base Kpi'!$BD:$BD,'Base Kpi'!$AW:$AW,Cliente!$E43,'Base Kpi'!$BC:$BC,Cliente!AS$5),0)</f>
        <v>26.08</v>
      </c>
      <c r="AT43" s="92">
        <f>IFERROR(AVERAGEIFS('Base Kpi'!$BD:$BD,'Base Kpi'!$AW:$AW,Cliente!$E43,'Base Kpi'!$BC:$BC,Cliente!AT$5),0)</f>
        <v>0</v>
      </c>
      <c r="AU43" s="94">
        <f t="shared" si="54"/>
        <v>57.594999999999999</v>
      </c>
      <c r="AV43" s="95">
        <f t="shared" si="78"/>
        <v>1</v>
      </c>
      <c r="AW43" s="60">
        <f>IFERROR(AVERAGEIFS('Base Kpi'!$BP:$BP,'Base Kpi'!$BI:$BI,Cliente!$E43,'Base Kpi'!$BO:$BO,Cliente!AW$5),0)</f>
        <v>25</v>
      </c>
      <c r="AX43" s="92">
        <f>IFERROR(AVERAGEIFS('Base Kpi'!$BP:$BP,'Base Kpi'!$BI:$BI,Cliente!$E43,'Base Kpi'!$BO:$BO,Cliente!AX$5),0)</f>
        <v>5</v>
      </c>
      <c r="AY43" s="92">
        <f>IFERROR(AVERAGEIFS('Base Kpi'!$BP:$BP,'Base Kpi'!$BI:$BI,Cliente!$E43,'Base Kpi'!$BO:$BO,Cliente!AY$5),0)</f>
        <v>6</v>
      </c>
      <c r="AZ43" s="92">
        <f>IFERROR(AVERAGEIFS('Base Kpi'!$BP:$BP,'Base Kpi'!$BI:$BI,Cliente!$E43,'Base Kpi'!$BO:$BO,Cliente!AZ$5),0)</f>
        <v>29.56</v>
      </c>
      <c r="BA43" s="92">
        <f>IFERROR(AVERAGEIFS('Base Kpi'!$BP:$BP,'Base Kpi'!$BI:$BI,Cliente!$E43,'Base Kpi'!$BO:$BO,Cliente!BA$5),0)</f>
        <v>18</v>
      </c>
      <c r="BB43" s="94">
        <f t="shared" si="73"/>
        <v>83.56</v>
      </c>
      <c r="BC43" s="95">
        <f t="shared" si="79"/>
        <v>1</v>
      </c>
      <c r="BD43" s="60">
        <f t="shared" si="42"/>
        <v>72.933333333333337</v>
      </c>
      <c r="BE43" s="97">
        <f t="shared" si="80"/>
        <v>1</v>
      </c>
      <c r="BF43" s="88">
        <f t="shared" si="81"/>
        <v>1</v>
      </c>
      <c r="BG43" s="60">
        <f>IFERROR(AVERAGEIFS('Base Kpi'!$CB:$CB,'Base Kpi'!$BU:$BU,Cliente!$E43,'Base Kpi'!$CA:$CA,Cliente!BG$5),0)</f>
        <v>25</v>
      </c>
      <c r="BH43" s="92">
        <f>IFERROR(AVERAGEIFS('Base Kpi'!$CB:$CB,'Base Kpi'!$BU:$BU,Cliente!$E43,'Base Kpi'!$CA:$CA,Cliente!BH$5),0)</f>
        <v>5</v>
      </c>
      <c r="BI43" s="92">
        <f>IFERROR(AVERAGEIFS('Base Kpi'!$CB:$CB,'Base Kpi'!$BU:$BU,Cliente!$E43,'Base Kpi'!$CA:$CA,Cliente!BI$5),0)</f>
        <v>6</v>
      </c>
      <c r="BJ43" s="92">
        <f>IFERROR(AVERAGEIFS('Base Kpi'!$CB:$CB,'Base Kpi'!$BU:$BU,Cliente!$E43,'Base Kpi'!$CA:$CA,Cliente!BJ$5),0)</f>
        <v>25.6</v>
      </c>
      <c r="BK43" s="92">
        <f>IFERROR(AVERAGEIFS('Base Kpi'!$CB:$CB,'Base Kpi'!$BU:$BU,Cliente!$E43,'Base Kpi'!$CA:$CA,Cliente!BK$5),0)</f>
        <v>9</v>
      </c>
      <c r="BL43" s="94">
        <f t="shared" si="74"/>
        <v>70.599999999999994</v>
      </c>
      <c r="BM43" s="95">
        <f t="shared" si="82"/>
        <v>1</v>
      </c>
      <c r="BN43" s="60">
        <f>IFERROR(AVERAGEIFS('Base Kpi'!$CN:$CN,'Base Kpi'!$CG:$CG,Cliente!$E43,'Base Kpi'!$CM:$CM,Cliente!BN$5),0)</f>
        <v>25</v>
      </c>
      <c r="BO43" s="92">
        <f>IFERROR(AVERAGEIFS('Base Kpi'!$CN:$CN,'Base Kpi'!$CG:$CG,Cliente!$E43,'Base Kpi'!$CM:$CM,Cliente!BO$5),0)</f>
        <v>5</v>
      </c>
      <c r="BP43" s="92">
        <f>IFERROR(AVERAGEIFS('Base Kpi'!$CN:$CN,'Base Kpi'!$CG:$CG,Cliente!$E43,'Base Kpi'!$CM:$CM,Cliente!BP$5),0)</f>
        <v>6</v>
      </c>
      <c r="BQ43" s="92">
        <f>IFERROR(AVERAGEIFS('Base Kpi'!$CN:$CN,'Base Kpi'!$CG:$CG,Cliente!$E43,'Base Kpi'!$CM:$CM,Cliente!BQ$5),0)</f>
        <v>28</v>
      </c>
      <c r="BR43" s="92">
        <f>IFERROR(AVERAGEIFS('Base Kpi'!$CN:$CN,'Base Kpi'!$CG:$CG,Cliente!$E43,'Base Kpi'!$CM:$CM,Cliente!BR$5),0)</f>
        <v>9</v>
      </c>
      <c r="BS43" s="94">
        <f t="shared" si="75"/>
        <v>73</v>
      </c>
      <c r="BT43" s="95">
        <f t="shared" si="83"/>
        <v>1</v>
      </c>
      <c r="BU43" s="60">
        <f>IFERROR(AVERAGEIFS('Base Kpi'!$CZ:$CZ,'Base Kpi'!$CS:$CS,Cliente!$E43,'Base Kpi'!$CY:$CY,Cliente!BU$5),0)</f>
        <v>25</v>
      </c>
      <c r="BV43" s="92">
        <f>IFERROR(AVERAGEIFS('Base Kpi'!$CZ:$CZ,'Base Kpi'!$CS:$CS,Cliente!$E43,'Base Kpi'!$CY:$CY,Cliente!BV$5),0)</f>
        <v>5</v>
      </c>
      <c r="BW43" s="92">
        <f>IFERROR(AVERAGEIFS('Base Kpi'!$CZ:$CZ,'Base Kpi'!$CS:$CS,Cliente!$E43,'Base Kpi'!$CY:$CY,Cliente!BW$5),0)</f>
        <v>9</v>
      </c>
      <c r="BX43" s="92">
        <f>IFERROR(AVERAGEIFS('Base Kpi'!$CZ:$CZ,'Base Kpi'!$CS:$CS,Cliente!$E43,'Base Kpi'!$CY:$CY,Cliente!BX$5),0)</f>
        <v>27.2</v>
      </c>
      <c r="BY43" s="92">
        <f>IFERROR(AVERAGEIFS('Base Kpi'!$CZ:$CZ,'Base Kpi'!$CS:$CS,Cliente!$E43,'Base Kpi'!$CY:$CY,Cliente!BY$5),0)</f>
        <v>9</v>
      </c>
      <c r="BZ43" s="94">
        <f t="shared" si="76"/>
        <v>75.2</v>
      </c>
      <c r="CA43" s="95">
        <f t="shared" si="84"/>
        <v>1</v>
      </c>
      <c r="CB43" s="60">
        <f t="shared" si="64"/>
        <v>40.733333333333334</v>
      </c>
      <c r="CC43" s="97">
        <f t="shared" si="65"/>
        <v>0</v>
      </c>
      <c r="CD43" s="43">
        <f t="shared" si="66"/>
        <v>0</v>
      </c>
      <c r="CE43" s="60" cm="1">
        <f t="array" ref="CE43">IFERROR(LARGE(_xlfn._xlws.FILTER('Base Kpi'!$DL:$DL,('Base Kpi'!$DK:$DK=$CE$5)*('Base Kpi'!$DE:$DE=Cliente!$E43)),1),0)</f>
        <v>28</v>
      </c>
      <c r="CF43" s="60" cm="1">
        <f t="array" ref="CF43">IFERROR(LARGE(_xlfn._xlws.FILTER('Base Kpi'!$DL:$DL,('Base Kpi'!$DK:$DK=$CF$5)*('Base Kpi'!$DE:$DE=Cliente!$E43)),1),0)</f>
        <v>0</v>
      </c>
      <c r="CG43" s="60" cm="1">
        <f t="array" ref="CG43">IFERROR(LARGE(_xlfn._xlws.FILTER('Base Kpi'!$DL:$DL,('Base Kpi'!$DK:$DK=$CG$5)*('Base Kpi'!$DE:$DE=Cliente!$E43)),1),0)</f>
        <v>5</v>
      </c>
      <c r="CH43" s="60" cm="1">
        <f t="array" ref="CH43">IFERROR(LARGE(_xlfn._xlws.FILTER('Base Kpi'!$DL:$DL,('Base Kpi'!$DK:$DK=$CH$5)*('Base Kpi'!$DE:$DE=Cliente!$E43)),1),0)</f>
        <v>9</v>
      </c>
      <c r="CI43" s="60" cm="1">
        <f t="array" ref="CI43">IFERROR(LARGE(_xlfn._xlws.FILTER('Base Kpi'!$DL:$DL,('Base Kpi'!$DK:$DK=$CI$5)*('Base Kpi'!$DE:$DE=Cliente!$E43)),1),0)</f>
        <v>25</v>
      </c>
      <c r="CJ43" s="60" cm="1">
        <f t="array" ref="CJ43">IFERROR(LARGE(_xlfn._xlws.FILTER('Base Kpi'!$DL:$DL,('Base Kpi'!$DK:$DK=$CJ$5)*('Base Kpi'!$DE:$DE=Cliente!$E43)),1),0)</f>
        <v>3</v>
      </c>
      <c r="CK43" s="60" cm="1">
        <f t="array" ref="CK43">IFERROR(LARGE(_xlfn._xlws.FILTER('Base Kpi'!$DL:$DL,('Base Kpi'!$DK:$DK=$CK$5)*('Base Kpi'!$DE:$DE=Cliente!$E43)),1),0)</f>
        <v>0</v>
      </c>
      <c r="CL43" s="94">
        <f t="shared" si="77"/>
        <v>70</v>
      </c>
      <c r="CM43" s="95">
        <f t="shared" si="47"/>
        <v>0</v>
      </c>
      <c r="CN43" s="60">
        <f>IFERROR(AVERAGEIFS('Base Kpi'!$DX:$DX,'Base Kpi'!$DQ:$DQ,Cliente!$E43,'Base Kpi'!$DW:$DW,Cliente!CN$5),0)</f>
        <v>13.2</v>
      </c>
      <c r="CO43" s="92">
        <f>IFERROR(AVERAGEIFS('Base Kpi'!$DX:$DX,'Base Kpi'!$DQ:$DQ,Cliente!$E43,'Base Kpi'!$DW:$DW,Cliente!CO$5),0)</f>
        <v>0</v>
      </c>
      <c r="CP43" s="92">
        <f>IFERROR(AVERAGEIFS('Base Kpi'!$DX:$DX,'Base Kpi'!$DQ:$DQ,Cliente!$E43,'Base Kpi'!$DW:$DW,Cliente!CP$5),0)</f>
        <v>5</v>
      </c>
      <c r="CQ43" s="92">
        <f>IFERROR(AVERAGEIFS('Base Kpi'!$DX:$DX,'Base Kpi'!$DQ:$DQ,Cliente!$E43,'Base Kpi'!$DW:$DW,Cliente!CQ$5),0)</f>
        <v>9</v>
      </c>
      <c r="CR43" s="92">
        <f>IFERROR(AVERAGEIFS('Base Kpi'!$DX:$DX,'Base Kpi'!$DQ:$DQ,Cliente!$E43,'Base Kpi'!$DW:$DW,Cliente!CR$5),0)</f>
        <v>25</v>
      </c>
      <c r="CS43" s="92">
        <f>IFERROR(AVERAGEIFS('Base Kpi'!$DX:$DX,'Base Kpi'!$DQ:$DQ,Cliente!$E43,'Base Kpi'!$DW:$DW,Cliente!CS$5),0)</f>
        <v>0</v>
      </c>
      <c r="CT43" s="92">
        <f>IFERROR(AVERAGEIFS('Base Kpi'!$DX:$DX,'Base Kpi'!$DQ:$DQ,Cliente!$E43,'Base Kpi'!$DW:$DW,Cliente!CT$5),0)</f>
        <v>0</v>
      </c>
      <c r="CU43" s="94">
        <f t="shared" si="67"/>
        <v>52.2</v>
      </c>
      <c r="CV43" s="95">
        <f t="shared" si="68"/>
        <v>1</v>
      </c>
      <c r="CW43" s="60">
        <f>IFERROR(AVERAGEIFS('Base Kpi'!$EJ:$EJ,'Base Kpi'!$EC:$EC,Cliente!$E43,'Base Kpi'!$EI:$EI,Cliente!CW$5),0)</f>
        <v>0</v>
      </c>
      <c r="CX43" s="92">
        <f>IFERROR(AVERAGEIFS('Base Kpi'!$EJ:$EJ,'Base Kpi'!$EC:$EC,Cliente!$E43,'Base Kpi'!$EI:$EI,Cliente!CX$5),0)</f>
        <v>0</v>
      </c>
      <c r="CY43" s="92">
        <f>IFERROR(AVERAGEIFS('Base Kpi'!$EJ:$EJ,'Base Kpi'!$EC:$EC,Cliente!$E43,'Base Kpi'!$EI:$EI,Cliente!CY$5),0)</f>
        <v>0</v>
      </c>
      <c r="CZ43" s="92">
        <f>IFERROR(AVERAGEIFS('Base Kpi'!$EJ:$EJ,'Base Kpi'!$EC:$EC,Cliente!$E43,'Base Kpi'!$EI:$EI,Cliente!CZ$5),0)</f>
        <v>0</v>
      </c>
      <c r="DA43" s="92">
        <f>IFERROR(AVERAGEIFS('Base Kpi'!$EJ:$EJ,'Base Kpi'!$EC:$EC,Cliente!$E43,'Base Kpi'!$EI:$EI,Cliente!DA$5),0)</f>
        <v>0</v>
      </c>
      <c r="DB43" s="92">
        <f>IFERROR(AVERAGEIFS('Base Kpi'!$EJ:$EJ,'Base Kpi'!$EC:$EC,Cliente!$E43,'Base Kpi'!$EI:$EI,Cliente!DB$5),0)</f>
        <v>0</v>
      </c>
      <c r="DC43" s="92">
        <f>IFERROR(AVERAGEIFS('Base Kpi'!$EJ:$EJ,'Base Kpi'!$EC:$EC,Cliente!$E43,'Base Kpi'!$EI:$EI,Cliente!DC$5),0)</f>
        <v>0</v>
      </c>
      <c r="DD43" s="94">
        <f t="shared" si="69"/>
        <v>0</v>
      </c>
      <c r="DE43" s="95">
        <f t="shared" si="70"/>
        <v>0</v>
      </c>
      <c r="DF43" s="120"/>
    </row>
    <row r="44" spans="2:110" x14ac:dyDescent="0.35">
      <c r="B44" s="52" t="s">
        <v>42</v>
      </c>
      <c r="C44" s="21">
        <v>179</v>
      </c>
      <c r="D44" s="21" t="s">
        <v>3</v>
      </c>
      <c r="E44" s="21">
        <v>181619</v>
      </c>
      <c r="F44" s="16" t="s">
        <v>65</v>
      </c>
      <c r="G44" s="16" t="s">
        <v>273</v>
      </c>
      <c r="H44" s="16" t="s">
        <v>289</v>
      </c>
      <c r="I44" s="16" t="s">
        <v>282</v>
      </c>
      <c r="J44" s="16" t="s">
        <v>88</v>
      </c>
      <c r="K44" s="34" t="s">
        <v>45</v>
      </c>
      <c r="L44" s="60">
        <f t="shared" si="55"/>
        <v>78.484999999999999</v>
      </c>
      <c r="M44" s="97">
        <f t="shared" si="56"/>
        <v>1</v>
      </c>
      <c r="N44" s="43">
        <f t="shared" si="52"/>
        <v>0</v>
      </c>
      <c r="O44" s="60">
        <f>IFERROR(AVERAGEIFS('Base Kpi'!$I:$I,'Base Kpi'!$B:$B,Cliente!$E44,'Base Kpi'!$G:$G,Cliente!O$5),0)</f>
        <v>25.71</v>
      </c>
      <c r="P44" s="92">
        <f>IFERROR(AVERAGEIFS('Base Kpi'!$I:$I,'Base Kpi'!$B:$B,Cliente!$E44,'Base Kpi'!$G:$G,Cliente!P$5),0)</f>
        <v>0</v>
      </c>
      <c r="Q44" s="92">
        <f>IFERROR(AVERAGEIFS('Base Kpi'!$I:$I,'Base Kpi'!$B:$B,Cliente!$E44,'Base Kpi'!$G:$G,Cliente!Q$5),0)</f>
        <v>10.199999999999999</v>
      </c>
      <c r="R44" s="92">
        <f>IFERROR(AVERAGEIFS('Base Kpi'!$I:$I,'Base Kpi'!$B:$B,Cliente!$E44,'Base Kpi'!$G:$G,Cliente!R$5),0)</f>
        <v>32.625</v>
      </c>
      <c r="S44" s="94">
        <f t="shared" si="57"/>
        <v>68.534999999999997</v>
      </c>
      <c r="T44" s="95">
        <f t="shared" si="58"/>
        <v>0</v>
      </c>
      <c r="U44" s="60">
        <f>IFERROR(AVERAGEIFS('Base Kpi'!$T:$T,'Base Kpi'!$M:$M,Cliente!$E44,'Base Kpi'!$S:$S,Cliente!U$5),0)</f>
        <v>25.71</v>
      </c>
      <c r="V44" s="92">
        <f>IFERROR(AVERAGEIFS('Base Kpi'!$T:$T,'Base Kpi'!$M:$M,Cliente!$E44,'Base Kpi'!$S:$S,Cliente!V$5),0)</f>
        <v>8</v>
      </c>
      <c r="W44" s="92">
        <f>IFERROR(AVERAGEIFS('Base Kpi'!$T:$T,'Base Kpi'!$M:$M,Cliente!$E44,'Base Kpi'!$S:$S,Cliente!W$5),0)</f>
        <v>17</v>
      </c>
      <c r="X44" s="92">
        <f>IFERROR(AVERAGEIFS('Base Kpi'!$T:$T,'Base Kpi'!$M:$M,Cliente!$E44,'Base Kpi'!$S:$S,Cliente!X$5),0)</f>
        <v>36</v>
      </c>
      <c r="Y44" s="94">
        <f t="shared" si="59"/>
        <v>86.710000000000008</v>
      </c>
      <c r="Z44" s="95">
        <f t="shared" si="60"/>
        <v>1</v>
      </c>
      <c r="AA44" s="60">
        <f>IFERROR(AVERAGEIFS('Base Kpi'!$AF:$AF,'Base Kpi'!$Y:$Y,Cliente!$E44,'Base Kpi'!$AE:$AE,Cliente!AA$5),0)</f>
        <v>25.71</v>
      </c>
      <c r="AB44" s="92">
        <f>IFERROR(AVERAGEIFS('Base Kpi'!$AF:$AF,'Base Kpi'!$Y:$Y,Cliente!$E44,'Base Kpi'!$AE:$AE,Cliente!AB$5),0)</f>
        <v>8</v>
      </c>
      <c r="AC44" s="92">
        <f>IFERROR(AVERAGEIFS('Base Kpi'!$AF:$AF,'Base Kpi'!$Y:$Y,Cliente!$E44,'Base Kpi'!$AE:$AE,Cliente!AC$5),0)</f>
        <v>12.75</v>
      </c>
      <c r="AD44" s="92">
        <f>IFERROR(AVERAGEIFS('Base Kpi'!$AF:$AF,'Base Kpi'!$Y:$Y,Cliente!$E44,'Base Kpi'!$AE:$AE,Cliente!AD$5),0)</f>
        <v>33.75</v>
      </c>
      <c r="AE44" s="94">
        <f t="shared" si="61"/>
        <v>80.210000000000008</v>
      </c>
      <c r="AF44" s="95">
        <f t="shared" si="62"/>
        <v>1</v>
      </c>
      <c r="AG44" s="60">
        <f t="shared" si="71"/>
        <v>41.446666666666665</v>
      </c>
      <c r="AH44" s="97">
        <f t="shared" si="72"/>
        <v>0</v>
      </c>
      <c r="AI44" s="88">
        <f t="shared" si="63"/>
        <v>0</v>
      </c>
      <c r="AJ44" s="92">
        <f>IFERROR(AVERAGEIFS('Base Kpi'!$AR:$AR,'Base Kpi'!$AK:$AK,Cliente!$E44,'Base Kpi'!$AQ:$AQ,AJ$5),0)</f>
        <v>0</v>
      </c>
      <c r="AK44" s="92">
        <f>IFERROR(AVERAGEIFS('Base Kpi'!$AR:$AR,'Base Kpi'!$AK:$AK,Cliente!$E44,'Base Kpi'!$AQ:$AQ,AK$5),0)</f>
        <v>0</v>
      </c>
      <c r="AL44" s="92">
        <f>IFERROR(AVERAGEIFS('Base Kpi'!$AR:$AR,'Base Kpi'!$AK:$AK,Cliente!$E44,'Base Kpi'!$AQ:$AQ,AL$5),0)</f>
        <v>0</v>
      </c>
      <c r="AM44" s="92">
        <f>IFERROR(AVERAGEIFS('Base Kpi'!$AR:$AR,'Base Kpi'!$AK:$AK,Cliente!$E44,'Base Kpi'!$AQ:$AQ,AM$5),0)</f>
        <v>0</v>
      </c>
      <c r="AN44" s="94">
        <f t="shared" si="53"/>
        <v>0</v>
      </c>
      <c r="AO44" s="95">
        <f t="shared" si="13"/>
        <v>0</v>
      </c>
      <c r="AP44" s="60">
        <f>IFERROR(AVERAGEIFS('Base Kpi'!$BD:$BD,'Base Kpi'!$AW:$AW,Cliente!$E44,'Base Kpi'!$BC:$BC,Cliente!AP$5),0)</f>
        <v>17.850000000000001</v>
      </c>
      <c r="AQ44" s="92">
        <f>IFERROR(AVERAGEIFS('Base Kpi'!$BD:$BD,'Base Kpi'!$AW:$AW,Cliente!$E44,'Base Kpi'!$BC:$BC,Cliente!AQ$5),0)</f>
        <v>1.665</v>
      </c>
      <c r="AR44" s="92">
        <f>IFERROR(AVERAGEIFS('Base Kpi'!$BD:$BD,'Base Kpi'!$AW:$AW,Cliente!$E44,'Base Kpi'!$BC:$BC,Cliente!AR$5),0)</f>
        <v>0</v>
      </c>
      <c r="AS44" s="92">
        <f>IFERROR(AVERAGEIFS('Base Kpi'!$BD:$BD,'Base Kpi'!$AW:$AW,Cliente!$E44,'Base Kpi'!$BC:$BC,Cliente!AS$5),0)</f>
        <v>29.56</v>
      </c>
      <c r="AT44" s="92">
        <f>IFERROR(AVERAGEIFS('Base Kpi'!$BD:$BD,'Base Kpi'!$AW:$AW,Cliente!$E44,'Base Kpi'!$BC:$BC,Cliente!AT$5),0)</f>
        <v>0</v>
      </c>
      <c r="AU44" s="94">
        <f t="shared" si="54"/>
        <v>49.075000000000003</v>
      </c>
      <c r="AV44" s="95">
        <f t="shared" si="78"/>
        <v>1</v>
      </c>
      <c r="AW44" s="60">
        <f>IFERROR(AVERAGEIFS('Base Kpi'!$BP:$BP,'Base Kpi'!$BI:$BI,Cliente!$E44,'Base Kpi'!$BO:$BO,Cliente!AW$5),0)</f>
        <v>21.425000000000001</v>
      </c>
      <c r="AX44" s="92">
        <f>IFERROR(AVERAGEIFS('Base Kpi'!$BP:$BP,'Base Kpi'!$BI:$BI,Cliente!$E44,'Base Kpi'!$BO:$BO,Cliente!AX$5),0)</f>
        <v>5</v>
      </c>
      <c r="AY44" s="92">
        <f>IFERROR(AVERAGEIFS('Base Kpi'!$BP:$BP,'Base Kpi'!$BI:$BI,Cliente!$E44,'Base Kpi'!$BO:$BO,Cliente!AY$5),0)</f>
        <v>3</v>
      </c>
      <c r="AZ44" s="92">
        <f>IFERROR(AVERAGEIFS('Base Kpi'!$BP:$BP,'Base Kpi'!$BI:$BI,Cliente!$E44,'Base Kpi'!$BO:$BO,Cliente!AZ$5),0)</f>
        <v>27.84</v>
      </c>
      <c r="BA44" s="92">
        <f>IFERROR(AVERAGEIFS('Base Kpi'!$BP:$BP,'Base Kpi'!$BI:$BI,Cliente!$E44,'Base Kpi'!$BO:$BO,Cliente!BA$5),0)</f>
        <v>18</v>
      </c>
      <c r="BB44" s="94">
        <f t="shared" si="73"/>
        <v>75.265000000000001</v>
      </c>
      <c r="BC44" s="95">
        <f t="shared" si="79"/>
        <v>1</v>
      </c>
      <c r="BD44" s="60">
        <f t="shared" si="42"/>
        <v>68.533333333333331</v>
      </c>
      <c r="BE44" s="97">
        <f t="shared" si="80"/>
        <v>1</v>
      </c>
      <c r="BF44" s="88">
        <f t="shared" si="81"/>
        <v>1</v>
      </c>
      <c r="BG44" s="60">
        <f>IFERROR(AVERAGEIFS('Base Kpi'!$CB:$CB,'Base Kpi'!$BU:$BU,Cliente!$E44,'Base Kpi'!$CA:$CA,Cliente!BG$5),0)</f>
        <v>25</v>
      </c>
      <c r="BH44" s="92">
        <f>IFERROR(AVERAGEIFS('Base Kpi'!$CB:$CB,'Base Kpi'!$BU:$BU,Cliente!$E44,'Base Kpi'!$CA:$CA,Cliente!BH$5),0)</f>
        <v>5</v>
      </c>
      <c r="BI44" s="92">
        <f>IFERROR(AVERAGEIFS('Base Kpi'!$CB:$CB,'Base Kpi'!$BU:$BU,Cliente!$E44,'Base Kpi'!$CA:$CA,Cliente!BI$5),0)</f>
        <v>3</v>
      </c>
      <c r="BJ44" s="92">
        <f>IFERROR(AVERAGEIFS('Base Kpi'!$CB:$CB,'Base Kpi'!$BU:$BU,Cliente!$E44,'Base Kpi'!$CA:$CA,Cliente!BJ$5),0)</f>
        <v>28</v>
      </c>
      <c r="BK44" s="92">
        <f>IFERROR(AVERAGEIFS('Base Kpi'!$CB:$CB,'Base Kpi'!$BU:$BU,Cliente!$E44,'Base Kpi'!$CA:$CA,Cliente!BK$5),0)</f>
        <v>0</v>
      </c>
      <c r="BL44" s="94">
        <f t="shared" si="74"/>
        <v>61</v>
      </c>
      <c r="BM44" s="95">
        <f t="shared" si="82"/>
        <v>1</v>
      </c>
      <c r="BN44" s="60">
        <f>IFERROR(AVERAGEIFS('Base Kpi'!$CN:$CN,'Base Kpi'!$CG:$CG,Cliente!$E44,'Base Kpi'!$CM:$CM,Cliente!BN$5),0)</f>
        <v>25</v>
      </c>
      <c r="BO44" s="92">
        <f>IFERROR(AVERAGEIFS('Base Kpi'!$CN:$CN,'Base Kpi'!$CG:$CG,Cliente!$E44,'Base Kpi'!$CM:$CM,Cliente!BO$5),0)</f>
        <v>5</v>
      </c>
      <c r="BP44" s="92">
        <f>IFERROR(AVERAGEIFS('Base Kpi'!$CN:$CN,'Base Kpi'!$CG:$CG,Cliente!$E44,'Base Kpi'!$CM:$CM,Cliente!BP$5),0)</f>
        <v>3</v>
      </c>
      <c r="BQ44" s="92">
        <f>IFERROR(AVERAGEIFS('Base Kpi'!$CN:$CN,'Base Kpi'!$CG:$CG,Cliente!$E44,'Base Kpi'!$CM:$CM,Cliente!BQ$5),0)</f>
        <v>28</v>
      </c>
      <c r="BR44" s="92">
        <f>IFERROR(AVERAGEIFS('Base Kpi'!$CN:$CN,'Base Kpi'!$CG:$CG,Cliente!$E44,'Base Kpi'!$CM:$CM,Cliente!BR$5),0)</f>
        <v>9</v>
      </c>
      <c r="BS44" s="94">
        <f t="shared" si="75"/>
        <v>70</v>
      </c>
      <c r="BT44" s="95">
        <f t="shared" si="83"/>
        <v>1</v>
      </c>
      <c r="BU44" s="60">
        <f>IFERROR(AVERAGEIFS('Base Kpi'!$CZ:$CZ,'Base Kpi'!$CS:$CS,Cliente!$E44,'Base Kpi'!$CY:$CY,Cliente!BU$5),0)</f>
        <v>25</v>
      </c>
      <c r="BV44" s="92">
        <f>IFERROR(AVERAGEIFS('Base Kpi'!$CZ:$CZ,'Base Kpi'!$CS:$CS,Cliente!$E44,'Base Kpi'!$CY:$CY,Cliente!BV$5),0)</f>
        <v>5</v>
      </c>
      <c r="BW44" s="92">
        <f>IFERROR(AVERAGEIFS('Base Kpi'!$CZ:$CZ,'Base Kpi'!$CS:$CS,Cliente!$E44,'Base Kpi'!$CY:$CY,Cliente!BW$5),0)</f>
        <v>6</v>
      </c>
      <c r="BX44" s="92">
        <f>IFERROR(AVERAGEIFS('Base Kpi'!$CZ:$CZ,'Base Kpi'!$CS:$CS,Cliente!$E44,'Base Kpi'!$CY:$CY,Cliente!BX$5),0)</f>
        <v>29.6</v>
      </c>
      <c r="BY44" s="92">
        <f>IFERROR(AVERAGEIFS('Base Kpi'!$CZ:$CZ,'Base Kpi'!$CS:$CS,Cliente!$E44,'Base Kpi'!$CY:$CY,Cliente!BY$5),0)</f>
        <v>9</v>
      </c>
      <c r="BZ44" s="94">
        <f t="shared" si="76"/>
        <v>74.599999999999994</v>
      </c>
      <c r="CA44" s="95">
        <f t="shared" si="84"/>
        <v>1</v>
      </c>
      <c r="CB44" s="60">
        <f t="shared" si="64"/>
        <v>45.333333333333336</v>
      </c>
      <c r="CC44" s="97">
        <f t="shared" si="65"/>
        <v>0</v>
      </c>
      <c r="CD44" s="43">
        <f t="shared" si="66"/>
        <v>0</v>
      </c>
      <c r="CE44" s="60" cm="1">
        <f t="array" ref="CE44">IFERROR(LARGE(_xlfn._xlws.FILTER('Base Kpi'!$DL:$DL,('Base Kpi'!$DK:$DK=$CE$5)*('Base Kpi'!$DE:$DE=Cliente!$E44)),1),0)</f>
        <v>26.4</v>
      </c>
      <c r="CF44" s="60" cm="1">
        <f t="array" ref="CF44">IFERROR(LARGE(_xlfn._xlws.FILTER('Base Kpi'!$DL:$DL,('Base Kpi'!$DK:$DK=$CF$5)*('Base Kpi'!$DE:$DE=Cliente!$E44)),1),0)</f>
        <v>0</v>
      </c>
      <c r="CG44" s="60" cm="1">
        <f t="array" ref="CG44">IFERROR(LARGE(_xlfn._xlws.FILTER('Base Kpi'!$DL:$DL,('Base Kpi'!$DK:$DK=$CG$5)*('Base Kpi'!$DE:$DE=Cliente!$E44)),1),0)</f>
        <v>5</v>
      </c>
      <c r="CH44" s="60" cm="1">
        <f t="array" ref="CH44">IFERROR(LARGE(_xlfn._xlws.FILTER('Base Kpi'!$DL:$DL,('Base Kpi'!$DK:$DK=$CH$5)*('Base Kpi'!$DE:$DE=Cliente!$E44)),1),0)</f>
        <v>9</v>
      </c>
      <c r="CI44" s="60" cm="1">
        <f t="array" ref="CI44">IFERROR(LARGE(_xlfn._xlws.FILTER('Base Kpi'!$DL:$DL,('Base Kpi'!$DK:$DK=$CI$5)*('Base Kpi'!$DE:$DE=Cliente!$E44)),1),0)</f>
        <v>25</v>
      </c>
      <c r="CJ44" s="60" cm="1">
        <f t="array" ref="CJ44">IFERROR(LARGE(_xlfn._xlws.FILTER('Base Kpi'!$DL:$DL,('Base Kpi'!$DK:$DK=$CJ$5)*('Base Kpi'!$DE:$DE=Cliente!$E44)),1),0)</f>
        <v>3</v>
      </c>
      <c r="CK44" s="60" cm="1">
        <f t="array" ref="CK44">IFERROR(LARGE(_xlfn._xlws.FILTER('Base Kpi'!$DL:$DL,('Base Kpi'!$DK:$DK=$CK$5)*('Base Kpi'!$DE:$DE=Cliente!$E44)),1),0)</f>
        <v>0</v>
      </c>
      <c r="CL44" s="94">
        <f t="shared" si="77"/>
        <v>68.400000000000006</v>
      </c>
      <c r="CM44" s="95">
        <f t="shared" si="47"/>
        <v>0</v>
      </c>
      <c r="CN44" s="60">
        <f>IFERROR(AVERAGEIFS('Base Kpi'!$DX:$DX,'Base Kpi'!$DQ:$DQ,Cliente!$E44,'Base Kpi'!$DW:$DW,Cliente!CN$5),0)</f>
        <v>25.6</v>
      </c>
      <c r="CO44" s="92">
        <f>IFERROR(AVERAGEIFS('Base Kpi'!$DX:$DX,'Base Kpi'!$DQ:$DQ,Cliente!$E44,'Base Kpi'!$DW:$DW,Cliente!CO$5),0)</f>
        <v>0</v>
      </c>
      <c r="CP44" s="92">
        <f>IFERROR(AVERAGEIFS('Base Kpi'!$DX:$DX,'Base Kpi'!$DQ:$DQ,Cliente!$E44,'Base Kpi'!$DW:$DW,Cliente!CP$5),0)</f>
        <v>5</v>
      </c>
      <c r="CQ44" s="92">
        <f>IFERROR(AVERAGEIFS('Base Kpi'!$DX:$DX,'Base Kpi'!$DQ:$DQ,Cliente!$E44,'Base Kpi'!$DW:$DW,Cliente!CQ$5),0)</f>
        <v>9</v>
      </c>
      <c r="CR44" s="92">
        <f>IFERROR(AVERAGEIFS('Base Kpi'!$DX:$DX,'Base Kpi'!$DQ:$DQ,Cliente!$E44,'Base Kpi'!$DW:$DW,Cliente!CR$5),0)</f>
        <v>25</v>
      </c>
      <c r="CS44" s="92">
        <f>IFERROR(AVERAGEIFS('Base Kpi'!$DX:$DX,'Base Kpi'!$DQ:$DQ,Cliente!$E44,'Base Kpi'!$DW:$DW,Cliente!CS$5),0)</f>
        <v>3</v>
      </c>
      <c r="CT44" s="92">
        <f>IFERROR(AVERAGEIFS('Base Kpi'!$DX:$DX,'Base Kpi'!$DQ:$DQ,Cliente!$E44,'Base Kpi'!$DW:$DW,Cliente!CT$5),0)</f>
        <v>0</v>
      </c>
      <c r="CU44" s="94">
        <f t="shared" si="67"/>
        <v>67.599999999999994</v>
      </c>
      <c r="CV44" s="95">
        <f t="shared" si="68"/>
        <v>1</v>
      </c>
      <c r="CW44" s="60">
        <f>IFERROR(AVERAGEIFS('Base Kpi'!$EJ:$EJ,'Base Kpi'!$EC:$EC,Cliente!$E44,'Base Kpi'!$EI:$EI,Cliente!CW$5),0)</f>
        <v>0</v>
      </c>
      <c r="CX44" s="92">
        <f>IFERROR(AVERAGEIFS('Base Kpi'!$EJ:$EJ,'Base Kpi'!$EC:$EC,Cliente!$E44,'Base Kpi'!$EI:$EI,Cliente!CX$5),0)</f>
        <v>0</v>
      </c>
      <c r="CY44" s="92">
        <f>IFERROR(AVERAGEIFS('Base Kpi'!$EJ:$EJ,'Base Kpi'!$EC:$EC,Cliente!$E44,'Base Kpi'!$EI:$EI,Cliente!CY$5),0)</f>
        <v>0</v>
      </c>
      <c r="CZ44" s="92">
        <f>IFERROR(AVERAGEIFS('Base Kpi'!$EJ:$EJ,'Base Kpi'!$EC:$EC,Cliente!$E44,'Base Kpi'!$EI:$EI,Cliente!CZ$5),0)</f>
        <v>0</v>
      </c>
      <c r="DA44" s="92">
        <f>IFERROR(AVERAGEIFS('Base Kpi'!$EJ:$EJ,'Base Kpi'!$EC:$EC,Cliente!$E44,'Base Kpi'!$EI:$EI,Cliente!DA$5),0)</f>
        <v>0</v>
      </c>
      <c r="DB44" s="92">
        <f>IFERROR(AVERAGEIFS('Base Kpi'!$EJ:$EJ,'Base Kpi'!$EC:$EC,Cliente!$E44,'Base Kpi'!$EI:$EI,Cliente!DB$5),0)</f>
        <v>0</v>
      </c>
      <c r="DC44" s="92">
        <f>IFERROR(AVERAGEIFS('Base Kpi'!$EJ:$EJ,'Base Kpi'!$EC:$EC,Cliente!$E44,'Base Kpi'!$EI:$EI,Cliente!DC$5),0)</f>
        <v>0</v>
      </c>
      <c r="DD44" s="94">
        <f t="shared" si="69"/>
        <v>0</v>
      </c>
      <c r="DE44" s="95">
        <f t="shared" si="70"/>
        <v>0</v>
      </c>
      <c r="DF44" s="120"/>
    </row>
    <row r="45" spans="2:110" x14ac:dyDescent="0.35">
      <c r="B45" s="52" t="s">
        <v>42</v>
      </c>
      <c r="C45" s="21">
        <v>359</v>
      </c>
      <c r="D45" s="21" t="s">
        <v>433</v>
      </c>
      <c r="E45" s="21">
        <v>132039</v>
      </c>
      <c r="F45" s="16" t="s">
        <v>17</v>
      </c>
      <c r="G45" s="16" t="s">
        <v>224</v>
      </c>
      <c r="H45" s="16" t="s">
        <v>234</v>
      </c>
      <c r="I45" s="16" t="s">
        <v>235</v>
      </c>
      <c r="J45" s="16" t="s">
        <v>90</v>
      </c>
      <c r="K45" s="34" t="s">
        <v>52</v>
      </c>
      <c r="L45" s="60">
        <f t="shared" si="55"/>
        <v>76.970000000000013</v>
      </c>
      <c r="M45" s="97">
        <f t="shared" si="56"/>
        <v>1</v>
      </c>
      <c r="N45" s="43">
        <f t="shared" si="52"/>
        <v>0</v>
      </c>
      <c r="O45" s="60">
        <f>IFERROR(AVERAGEIFS('Base Kpi'!$I:$I,'Base Kpi'!$B:$B,Cliente!$E45,'Base Kpi'!$G:$G,Cliente!O$5),0)</f>
        <v>30</v>
      </c>
      <c r="P45" s="92">
        <f>IFERROR(AVERAGEIFS('Base Kpi'!$I:$I,'Base Kpi'!$B:$B,Cliente!$E45,'Base Kpi'!$G:$G,Cliente!P$5),0)</f>
        <v>8</v>
      </c>
      <c r="Q45" s="92">
        <f>IFERROR(AVERAGEIFS('Base Kpi'!$I:$I,'Base Kpi'!$B:$B,Cliente!$E45,'Base Kpi'!$G:$G,Cliente!Q$5),0)</f>
        <v>10.199999999999999</v>
      </c>
      <c r="R45" s="92">
        <f>IFERROR(AVERAGEIFS('Base Kpi'!$I:$I,'Base Kpi'!$B:$B,Cliente!$E45,'Base Kpi'!$G:$G,Cliente!R$5),0)</f>
        <v>28.125</v>
      </c>
      <c r="S45" s="94">
        <f t="shared" si="57"/>
        <v>76.325000000000003</v>
      </c>
      <c r="T45" s="95">
        <f t="shared" si="58"/>
        <v>0</v>
      </c>
      <c r="U45" s="60">
        <f>IFERROR(AVERAGEIFS('Base Kpi'!$T:$T,'Base Kpi'!$M:$M,Cliente!$E45,'Base Kpi'!$S:$S,Cliente!U$5),0)</f>
        <v>25.71</v>
      </c>
      <c r="V45" s="92">
        <f>IFERROR(AVERAGEIFS('Base Kpi'!$T:$T,'Base Kpi'!$M:$M,Cliente!$E45,'Base Kpi'!$S:$S,Cliente!V$5),0)</f>
        <v>8</v>
      </c>
      <c r="W45" s="92">
        <f>IFERROR(AVERAGEIFS('Base Kpi'!$T:$T,'Base Kpi'!$M:$M,Cliente!$E45,'Base Kpi'!$S:$S,Cliente!W$5),0)</f>
        <v>12.75</v>
      </c>
      <c r="X45" s="92">
        <f>IFERROR(AVERAGEIFS('Base Kpi'!$T:$T,'Base Kpi'!$M:$M,Cliente!$E45,'Base Kpi'!$S:$S,Cliente!X$5),0)</f>
        <v>27</v>
      </c>
      <c r="Y45" s="94">
        <f t="shared" si="59"/>
        <v>73.460000000000008</v>
      </c>
      <c r="Z45" s="95">
        <f t="shared" si="60"/>
        <v>0</v>
      </c>
      <c r="AA45" s="60">
        <f>IFERROR(AVERAGEIFS('Base Kpi'!$AF:$AF,'Base Kpi'!$Y:$Y,Cliente!$E45,'Base Kpi'!$AE:$AE,Cliente!AA$5),0)</f>
        <v>30</v>
      </c>
      <c r="AB45" s="92">
        <f>IFERROR(AVERAGEIFS('Base Kpi'!$AF:$AF,'Base Kpi'!$Y:$Y,Cliente!$E45,'Base Kpi'!$AE:$AE,Cliente!AB$5),0)</f>
        <v>8</v>
      </c>
      <c r="AC45" s="92">
        <f>IFERROR(AVERAGEIFS('Base Kpi'!$AF:$AF,'Base Kpi'!$Y:$Y,Cliente!$E45,'Base Kpi'!$AE:$AE,Cliente!AC$5),0)</f>
        <v>12.75</v>
      </c>
      <c r="AD45" s="92">
        <f>IFERROR(AVERAGEIFS('Base Kpi'!$AF:$AF,'Base Kpi'!$Y:$Y,Cliente!$E45,'Base Kpi'!$AE:$AE,Cliente!AD$5),0)</f>
        <v>30.375</v>
      </c>
      <c r="AE45" s="94">
        <f t="shared" si="61"/>
        <v>81.125</v>
      </c>
      <c r="AF45" s="95">
        <f t="shared" si="62"/>
        <v>1</v>
      </c>
      <c r="AG45" s="60">
        <f t="shared" si="71"/>
        <v>73.201666666666668</v>
      </c>
      <c r="AH45" s="97">
        <f t="shared" si="72"/>
        <v>1</v>
      </c>
      <c r="AI45" s="88">
        <f t="shared" si="63"/>
        <v>1</v>
      </c>
      <c r="AJ45" s="92">
        <f>IFERROR(AVERAGEIFS('Base Kpi'!$AR:$AR,'Base Kpi'!$AK:$AK,Cliente!$E45,'Base Kpi'!$AQ:$AQ,AJ$5),0)</f>
        <v>25</v>
      </c>
      <c r="AK45" s="92">
        <f>IFERROR(AVERAGEIFS('Base Kpi'!$AR:$AR,'Base Kpi'!$AK:$AK,Cliente!$E45,'Base Kpi'!$AQ:$AQ,AK$5),0)</f>
        <v>2.5</v>
      </c>
      <c r="AL45" s="92">
        <f>IFERROR(AVERAGEIFS('Base Kpi'!$AR:$AR,'Base Kpi'!$AK:$AK,Cliente!$E45,'Base Kpi'!$AQ:$AQ,AL$5),0)</f>
        <v>12</v>
      </c>
      <c r="AM45" s="92">
        <f>IFERROR(AVERAGEIFS('Base Kpi'!$AR:$AR,'Base Kpi'!$AK:$AK,Cliente!$E45,'Base Kpi'!$AQ:$AQ,AM$5),0)</f>
        <v>27.84</v>
      </c>
      <c r="AN45" s="94">
        <f t="shared" si="53"/>
        <v>67.34</v>
      </c>
      <c r="AO45" s="95">
        <f t="shared" si="13"/>
        <v>0</v>
      </c>
      <c r="AP45" s="60">
        <f>IFERROR(AVERAGEIFS('Base Kpi'!$BD:$BD,'Base Kpi'!$AW:$AW,Cliente!$E45,'Base Kpi'!$BC:$BC,Cliente!AP$5),0)</f>
        <v>25</v>
      </c>
      <c r="AQ45" s="92">
        <f>IFERROR(AVERAGEIFS('Base Kpi'!$BD:$BD,'Base Kpi'!$AW:$AW,Cliente!$E45,'Base Kpi'!$BC:$BC,Cliente!AQ$5),0)</f>
        <v>1.665</v>
      </c>
      <c r="AR45" s="92">
        <f>IFERROR(AVERAGEIFS('Base Kpi'!$BD:$BD,'Base Kpi'!$AW:$AW,Cliente!$E45,'Base Kpi'!$BC:$BC,Cliente!AR$5),0)</f>
        <v>9</v>
      </c>
      <c r="AS45" s="92">
        <f>IFERROR(AVERAGEIFS('Base Kpi'!$BD:$BD,'Base Kpi'!$AW:$AW,Cliente!$E45,'Base Kpi'!$BC:$BC,Cliente!AS$5),0)</f>
        <v>28.68</v>
      </c>
      <c r="AT45" s="92">
        <f>IFERROR(AVERAGEIFS('Base Kpi'!$BD:$BD,'Base Kpi'!$AW:$AW,Cliente!$E45,'Base Kpi'!$BC:$BC,Cliente!AT$5),0)</f>
        <v>0</v>
      </c>
      <c r="AU45" s="94">
        <f t="shared" si="54"/>
        <v>64.344999999999999</v>
      </c>
      <c r="AV45" s="95">
        <f t="shared" si="78"/>
        <v>1</v>
      </c>
      <c r="AW45" s="60">
        <f>IFERROR(AVERAGEIFS('Base Kpi'!$BP:$BP,'Base Kpi'!$BI:$BI,Cliente!$E45,'Base Kpi'!$BO:$BO,Cliente!AW$5),0)</f>
        <v>25</v>
      </c>
      <c r="AX45" s="92">
        <f>IFERROR(AVERAGEIFS('Base Kpi'!$BP:$BP,'Base Kpi'!$BI:$BI,Cliente!$E45,'Base Kpi'!$BO:$BO,Cliente!AX$5),0)</f>
        <v>5</v>
      </c>
      <c r="AY45" s="92">
        <f>IFERROR(AVERAGEIFS('Base Kpi'!$BP:$BP,'Base Kpi'!$BI:$BI,Cliente!$E45,'Base Kpi'!$BO:$BO,Cliente!AY$5),0)</f>
        <v>6</v>
      </c>
      <c r="AZ45" s="92">
        <f>IFERROR(AVERAGEIFS('Base Kpi'!$BP:$BP,'Base Kpi'!$BI:$BI,Cliente!$E45,'Base Kpi'!$BO:$BO,Cliente!AZ$5),0)</f>
        <v>33.92</v>
      </c>
      <c r="BA45" s="92">
        <f>IFERROR(AVERAGEIFS('Base Kpi'!$BP:$BP,'Base Kpi'!$BI:$BI,Cliente!$E45,'Base Kpi'!$BO:$BO,Cliente!BA$5),0)</f>
        <v>18</v>
      </c>
      <c r="BB45" s="94">
        <f t="shared" si="73"/>
        <v>87.92</v>
      </c>
      <c r="BC45" s="95">
        <f t="shared" si="79"/>
        <v>1</v>
      </c>
      <c r="BD45" s="60">
        <f t="shared" si="42"/>
        <v>91.270833333333329</v>
      </c>
      <c r="BE45" s="97">
        <f t="shared" si="80"/>
        <v>1</v>
      </c>
      <c r="BF45" s="88">
        <f t="shared" si="81"/>
        <v>1</v>
      </c>
      <c r="BG45" s="60">
        <f>IFERROR(AVERAGEIFS('Base Kpi'!$CB:$CB,'Base Kpi'!$BU:$BU,Cliente!$E45,'Base Kpi'!$CA:$CA,Cliente!BG$5),0)</f>
        <v>23.212499999999999</v>
      </c>
      <c r="BH45" s="92">
        <f>IFERROR(AVERAGEIFS('Base Kpi'!$CB:$CB,'Base Kpi'!$BU:$BU,Cliente!$E45,'Base Kpi'!$CA:$CA,Cliente!BH$5),0)</f>
        <v>5</v>
      </c>
      <c r="BI45" s="92">
        <f>IFERROR(AVERAGEIFS('Base Kpi'!$CB:$CB,'Base Kpi'!$BU:$BU,Cliente!$E45,'Base Kpi'!$CA:$CA,Cliente!BI$5),0)</f>
        <v>9</v>
      </c>
      <c r="BJ45" s="92">
        <f>IFERROR(AVERAGEIFS('Base Kpi'!$CB:$CB,'Base Kpi'!$BU:$BU,Cliente!$E45,'Base Kpi'!$CA:$CA,Cliente!BJ$5),0)</f>
        <v>35.6</v>
      </c>
      <c r="BK45" s="92">
        <f>IFERROR(AVERAGEIFS('Base Kpi'!$CB:$CB,'Base Kpi'!$BU:$BU,Cliente!$E45,'Base Kpi'!$CA:$CA,Cliente!BK$5),0)</f>
        <v>18</v>
      </c>
      <c r="BL45" s="94">
        <f t="shared" si="74"/>
        <v>90.8125</v>
      </c>
      <c r="BM45" s="95">
        <f t="shared" si="82"/>
        <v>1</v>
      </c>
      <c r="BN45" s="60">
        <f>IFERROR(AVERAGEIFS('Base Kpi'!$CN:$CN,'Base Kpi'!$CG:$CG,Cliente!$E45,'Base Kpi'!$CM:$CM,Cliente!BN$5),0)</f>
        <v>25</v>
      </c>
      <c r="BO45" s="92">
        <f>IFERROR(AVERAGEIFS('Base Kpi'!$CN:$CN,'Base Kpi'!$CG:$CG,Cliente!$E45,'Base Kpi'!$CM:$CM,Cliente!BO$5),0)</f>
        <v>5</v>
      </c>
      <c r="BP45" s="92">
        <f>IFERROR(AVERAGEIFS('Base Kpi'!$CN:$CN,'Base Kpi'!$CG:$CG,Cliente!$E45,'Base Kpi'!$CM:$CM,Cliente!BP$5),0)</f>
        <v>12</v>
      </c>
      <c r="BQ45" s="92">
        <f>IFERROR(AVERAGEIFS('Base Kpi'!$CN:$CN,'Base Kpi'!$CG:$CG,Cliente!$E45,'Base Kpi'!$CM:$CM,Cliente!BQ$5),0)</f>
        <v>35.200000000000003</v>
      </c>
      <c r="BR45" s="92">
        <f>IFERROR(AVERAGEIFS('Base Kpi'!$CN:$CN,'Base Kpi'!$CG:$CG,Cliente!$E45,'Base Kpi'!$CM:$CM,Cliente!BR$5),0)</f>
        <v>18</v>
      </c>
      <c r="BS45" s="94">
        <f t="shared" si="75"/>
        <v>95.2</v>
      </c>
      <c r="BT45" s="95">
        <f t="shared" si="83"/>
        <v>1</v>
      </c>
      <c r="BU45" s="60">
        <f>IFERROR(AVERAGEIFS('Base Kpi'!$CZ:$CZ,'Base Kpi'!$CS:$CS,Cliente!$E45,'Base Kpi'!$CY:$CY,Cliente!BU$5),0)</f>
        <v>25</v>
      </c>
      <c r="BV45" s="92">
        <f>IFERROR(AVERAGEIFS('Base Kpi'!$CZ:$CZ,'Base Kpi'!$CS:$CS,Cliente!$E45,'Base Kpi'!$CY:$CY,Cliente!BV$5),0)</f>
        <v>5</v>
      </c>
      <c r="BW45" s="92">
        <f>IFERROR(AVERAGEIFS('Base Kpi'!$CZ:$CZ,'Base Kpi'!$CS:$CS,Cliente!$E45,'Base Kpi'!$CY:$CY,Cliente!BW$5),0)</f>
        <v>12</v>
      </c>
      <c r="BX45" s="92">
        <f>IFERROR(AVERAGEIFS('Base Kpi'!$CZ:$CZ,'Base Kpi'!$CS:$CS,Cliente!$E45,'Base Kpi'!$CY:$CY,Cliente!BX$5),0)</f>
        <v>36.799999999999997</v>
      </c>
      <c r="BY45" s="92">
        <f>IFERROR(AVERAGEIFS('Base Kpi'!$CZ:$CZ,'Base Kpi'!$CS:$CS,Cliente!$E45,'Base Kpi'!$CY:$CY,Cliente!BY$5),0)</f>
        <v>9</v>
      </c>
      <c r="BZ45" s="94">
        <f t="shared" si="76"/>
        <v>87.8</v>
      </c>
      <c r="CA45" s="95">
        <f t="shared" si="84"/>
        <v>1</v>
      </c>
      <c r="CB45" s="60">
        <f t="shared" si="64"/>
        <v>97.866666666666674</v>
      </c>
      <c r="CC45" s="97">
        <f t="shared" si="65"/>
        <v>1</v>
      </c>
      <c r="CD45" s="43">
        <f t="shared" si="66"/>
        <v>1</v>
      </c>
      <c r="CE45" s="60" cm="1">
        <f t="array" ref="CE45">IFERROR(LARGE(_xlfn._xlws.FILTER('Base Kpi'!$DL:$DL,('Base Kpi'!$DK:$DK=$CE$5)*('Base Kpi'!$DE:$DE=Cliente!$E45)),1),0)</f>
        <v>37.6</v>
      </c>
      <c r="CF45" s="60" cm="1">
        <f t="array" ref="CF45">IFERROR(LARGE(_xlfn._xlws.FILTER('Base Kpi'!$DL:$DL,('Base Kpi'!$DK:$DK=$CF$5)*('Base Kpi'!$DE:$DE=Cliente!$E45)),1),0)</f>
        <v>5</v>
      </c>
      <c r="CG45" s="60" cm="1">
        <f t="array" ref="CG45">IFERROR(LARGE(_xlfn._xlws.FILTER('Base Kpi'!$DL:$DL,('Base Kpi'!$DK:$DK=$CG$5)*('Base Kpi'!$DE:$DE=Cliente!$E45)),1),0)</f>
        <v>5</v>
      </c>
      <c r="CH45" s="60" cm="1">
        <f t="array" ref="CH45">IFERROR(LARGE(_xlfn._xlws.FILTER('Base Kpi'!$DL:$DL,('Base Kpi'!$DK:$DK=$CH$5)*('Base Kpi'!$DE:$DE=Cliente!$E45)),1),0)</f>
        <v>9</v>
      </c>
      <c r="CI45" s="60" cm="1">
        <f t="array" ref="CI45">IFERROR(LARGE(_xlfn._xlws.FILTER('Base Kpi'!$DL:$DL,('Base Kpi'!$DK:$DK=$CI$5)*('Base Kpi'!$DE:$DE=Cliente!$E45)),1),0)</f>
        <v>25</v>
      </c>
      <c r="CJ45" s="60" cm="1">
        <f t="array" ref="CJ45">IFERROR(LARGE(_xlfn._xlws.FILTER('Base Kpi'!$DL:$DL,('Base Kpi'!$DK:$DK=$CJ$5)*('Base Kpi'!$DE:$DE=Cliente!$E45)),1),0)</f>
        <v>12</v>
      </c>
      <c r="CK45" s="60" cm="1">
        <f t="array" ref="CK45">IFERROR(LARGE(_xlfn._xlws.FILTER('Base Kpi'!$DL:$DL,('Base Kpi'!$DK:$DK=$CK$5)*('Base Kpi'!$DE:$DE=Cliente!$E45)),1),0)</f>
        <v>0</v>
      </c>
      <c r="CL45" s="94">
        <f t="shared" si="77"/>
        <v>93.6</v>
      </c>
      <c r="CM45" s="95">
        <f t="shared" si="47"/>
        <v>1</v>
      </c>
      <c r="CN45" s="60">
        <f>IFERROR(AVERAGEIFS('Base Kpi'!$DX:$DX,'Base Kpi'!$DQ:$DQ,Cliente!$E45,'Base Kpi'!$DW:$DW,Cliente!CN$5),0)</f>
        <v>35.200000000000003</v>
      </c>
      <c r="CO45" s="92">
        <f>IFERROR(AVERAGEIFS('Base Kpi'!$DX:$DX,'Base Kpi'!$DQ:$DQ,Cliente!$E45,'Base Kpi'!$DW:$DW,Cliente!CO$5),0)</f>
        <v>4.8</v>
      </c>
      <c r="CP45" s="92">
        <f>IFERROR(AVERAGEIFS('Base Kpi'!$DX:$DX,'Base Kpi'!$DQ:$DQ,Cliente!$E45,'Base Kpi'!$DW:$DW,Cliente!CP$5),0)</f>
        <v>5</v>
      </c>
      <c r="CQ45" s="92">
        <f>IFERROR(AVERAGEIFS('Base Kpi'!$DX:$DX,'Base Kpi'!$DQ:$DQ,Cliente!$E45,'Base Kpi'!$DW:$DW,Cliente!CQ$5),0)</f>
        <v>18</v>
      </c>
      <c r="CR45" s="92">
        <f>IFERROR(AVERAGEIFS('Base Kpi'!$DX:$DX,'Base Kpi'!$DQ:$DQ,Cliente!$E45,'Base Kpi'!$DW:$DW,Cliente!CR$5),0)</f>
        <v>25</v>
      </c>
      <c r="CS45" s="92">
        <f>IFERROR(AVERAGEIFS('Base Kpi'!$DX:$DX,'Base Kpi'!$DQ:$DQ,Cliente!$E45,'Base Kpi'!$DW:$DW,Cliente!CS$5),0)</f>
        <v>12</v>
      </c>
      <c r="CT45" s="92">
        <f>IFERROR(AVERAGEIFS('Base Kpi'!$DX:$DX,'Base Kpi'!$DQ:$DQ,Cliente!$E45,'Base Kpi'!$DW:$DW,Cliente!CT$5),0)</f>
        <v>0</v>
      </c>
      <c r="CU45" s="94">
        <f t="shared" si="67"/>
        <v>100</v>
      </c>
      <c r="CV45" s="95">
        <f t="shared" si="68"/>
        <v>1</v>
      </c>
      <c r="CW45" s="60">
        <f>IFERROR(AVERAGEIFS('Base Kpi'!$EJ:$EJ,'Base Kpi'!$EC:$EC,Cliente!$E45,'Base Kpi'!$EI:$EI,Cliente!CW$5),0)</f>
        <v>36.799999999999997</v>
      </c>
      <c r="CX45" s="92">
        <f>IFERROR(AVERAGEIFS('Base Kpi'!$EJ:$EJ,'Base Kpi'!$EC:$EC,Cliente!$E45,'Base Kpi'!$EI:$EI,Cliente!CX$5),0)</f>
        <v>3.2</v>
      </c>
      <c r="CY45" s="92">
        <f>IFERROR(AVERAGEIFS('Base Kpi'!$EJ:$EJ,'Base Kpi'!$EC:$EC,Cliente!$E45,'Base Kpi'!$EI:$EI,Cliente!CY$5),0)</f>
        <v>5</v>
      </c>
      <c r="CZ45" s="92">
        <f>IFERROR(AVERAGEIFS('Base Kpi'!$EJ:$EJ,'Base Kpi'!$EC:$EC,Cliente!$E45,'Base Kpi'!$EI:$EI,Cliente!CZ$5),0)</f>
        <v>18</v>
      </c>
      <c r="DA45" s="92">
        <f>IFERROR(AVERAGEIFS('Base Kpi'!$EJ:$EJ,'Base Kpi'!$EC:$EC,Cliente!$E45,'Base Kpi'!$EI:$EI,Cliente!DA$5),0)</f>
        <v>25</v>
      </c>
      <c r="DB45" s="92">
        <f>IFERROR(AVERAGEIFS('Base Kpi'!$EJ:$EJ,'Base Kpi'!$EC:$EC,Cliente!$E45,'Base Kpi'!$EI:$EI,Cliente!DB$5),0)</f>
        <v>12</v>
      </c>
      <c r="DC45" s="92">
        <f>IFERROR(AVERAGEIFS('Base Kpi'!$EJ:$EJ,'Base Kpi'!$EC:$EC,Cliente!$E45,'Base Kpi'!$EI:$EI,Cliente!DC$5),0)</f>
        <v>0</v>
      </c>
      <c r="DD45" s="94">
        <f t="shared" si="69"/>
        <v>100</v>
      </c>
      <c r="DE45" s="95">
        <f t="shared" si="70"/>
        <v>1</v>
      </c>
      <c r="DF45" s="120"/>
    </row>
    <row r="46" spans="2:110" x14ac:dyDescent="0.35">
      <c r="B46" s="52" t="s">
        <v>42</v>
      </c>
      <c r="C46" s="21">
        <v>359</v>
      </c>
      <c r="D46" s="21" t="s">
        <v>433</v>
      </c>
      <c r="E46" s="21">
        <v>168551</v>
      </c>
      <c r="F46" s="16" t="s">
        <v>17</v>
      </c>
      <c r="G46" s="16" t="s">
        <v>224</v>
      </c>
      <c r="H46" s="16" t="s">
        <v>236</v>
      </c>
      <c r="I46" s="16" t="s">
        <v>235</v>
      </c>
      <c r="J46" s="16" t="s">
        <v>90</v>
      </c>
      <c r="K46" s="34" t="s">
        <v>52</v>
      </c>
      <c r="L46" s="60">
        <f t="shared" si="55"/>
        <v>65.339166666666671</v>
      </c>
      <c r="M46" s="97">
        <f t="shared" si="56"/>
        <v>1</v>
      </c>
      <c r="N46" s="43">
        <f t="shared" si="52"/>
        <v>0</v>
      </c>
      <c r="O46" s="60">
        <f>IFERROR(AVERAGEIFS('Base Kpi'!$I:$I,'Base Kpi'!$B:$B,Cliente!$E46,'Base Kpi'!$G:$G,Cliente!O$5),0)</f>
        <v>25.71</v>
      </c>
      <c r="P46" s="92">
        <f>IFERROR(AVERAGEIFS('Base Kpi'!$I:$I,'Base Kpi'!$B:$B,Cliente!$E46,'Base Kpi'!$G:$G,Cliente!P$5),0)</f>
        <v>8</v>
      </c>
      <c r="Q46" s="92">
        <f>IFERROR(AVERAGEIFS('Base Kpi'!$I:$I,'Base Kpi'!$B:$B,Cliente!$E46,'Base Kpi'!$G:$G,Cliente!Q$5),0)</f>
        <v>10.199999999999999</v>
      </c>
      <c r="R46" s="92">
        <f>IFERROR(AVERAGEIFS('Base Kpi'!$I:$I,'Base Kpi'!$B:$B,Cliente!$E46,'Base Kpi'!$G:$G,Cliente!R$5),0)</f>
        <v>31.5</v>
      </c>
      <c r="S46" s="94">
        <f t="shared" si="57"/>
        <v>75.41</v>
      </c>
      <c r="T46" s="95">
        <f t="shared" si="58"/>
        <v>0</v>
      </c>
      <c r="U46" s="60">
        <f>IFERROR(AVERAGEIFS('Base Kpi'!$T:$T,'Base Kpi'!$M:$M,Cliente!$E46,'Base Kpi'!$S:$S,Cliente!U$5),0)</f>
        <v>25.71</v>
      </c>
      <c r="V46" s="92">
        <f>IFERROR(AVERAGEIFS('Base Kpi'!$T:$T,'Base Kpi'!$M:$M,Cliente!$E46,'Base Kpi'!$S:$S,Cliente!V$5),0)</f>
        <v>0</v>
      </c>
      <c r="W46" s="92">
        <f>IFERROR(AVERAGEIFS('Base Kpi'!$T:$T,'Base Kpi'!$M:$M,Cliente!$E46,'Base Kpi'!$S:$S,Cliente!W$5),0)</f>
        <v>8.5</v>
      </c>
      <c r="X46" s="92">
        <f>IFERROR(AVERAGEIFS('Base Kpi'!$T:$T,'Base Kpi'!$M:$M,Cliente!$E46,'Base Kpi'!$S:$S,Cliente!X$5),0)</f>
        <v>14.0625</v>
      </c>
      <c r="Y46" s="94">
        <f t="shared" si="59"/>
        <v>48.272500000000001</v>
      </c>
      <c r="Z46" s="95">
        <f t="shared" si="60"/>
        <v>0</v>
      </c>
      <c r="AA46" s="60">
        <f>IFERROR(AVERAGEIFS('Base Kpi'!$AF:$AF,'Base Kpi'!$Y:$Y,Cliente!$E46,'Base Kpi'!$AE:$AE,Cliente!AA$5),0)</f>
        <v>25.71</v>
      </c>
      <c r="AB46" s="92">
        <f>IFERROR(AVERAGEIFS('Base Kpi'!$AF:$AF,'Base Kpi'!$Y:$Y,Cliente!$E46,'Base Kpi'!$AE:$AE,Cliente!AB$5),0)</f>
        <v>8</v>
      </c>
      <c r="AC46" s="92">
        <f>IFERROR(AVERAGEIFS('Base Kpi'!$AF:$AF,'Base Kpi'!$Y:$Y,Cliente!$E46,'Base Kpi'!$AE:$AE,Cliente!AC$5),0)</f>
        <v>12.75</v>
      </c>
      <c r="AD46" s="92">
        <f>IFERROR(AVERAGEIFS('Base Kpi'!$AF:$AF,'Base Kpi'!$Y:$Y,Cliente!$E46,'Base Kpi'!$AE:$AE,Cliente!AD$5),0)</f>
        <v>25.875</v>
      </c>
      <c r="AE46" s="94">
        <f t="shared" si="61"/>
        <v>72.335000000000008</v>
      </c>
      <c r="AF46" s="95">
        <f t="shared" si="62"/>
        <v>0</v>
      </c>
      <c r="AG46" s="60">
        <f t="shared" si="71"/>
        <v>70.173333333333332</v>
      </c>
      <c r="AH46" s="97">
        <f t="shared" si="72"/>
        <v>1</v>
      </c>
      <c r="AI46" s="88">
        <f t="shared" si="63"/>
        <v>1</v>
      </c>
      <c r="AJ46" s="92">
        <f>IFERROR(AVERAGEIFS('Base Kpi'!$AR:$AR,'Base Kpi'!$AK:$AK,Cliente!$E46,'Base Kpi'!$AQ:$AQ,AJ$5),0)</f>
        <v>21.425000000000001</v>
      </c>
      <c r="AK46" s="92">
        <f>IFERROR(AVERAGEIFS('Base Kpi'!$AR:$AR,'Base Kpi'!$AK:$AK,Cliente!$E46,'Base Kpi'!$AQ:$AQ,AK$5),0)</f>
        <v>2.5</v>
      </c>
      <c r="AL46" s="92">
        <f>IFERROR(AVERAGEIFS('Base Kpi'!$AR:$AR,'Base Kpi'!$AK:$AK,Cliente!$E46,'Base Kpi'!$AQ:$AQ,AL$5),0)</f>
        <v>9</v>
      </c>
      <c r="AM46" s="92">
        <f>IFERROR(AVERAGEIFS('Base Kpi'!$AR:$AR,'Base Kpi'!$AK:$AK,Cliente!$E46,'Base Kpi'!$AQ:$AQ,AM$5),0)</f>
        <v>26.96</v>
      </c>
      <c r="AN46" s="94">
        <f t="shared" si="53"/>
        <v>59.884999999999998</v>
      </c>
      <c r="AO46" s="95">
        <f t="shared" si="13"/>
        <v>0</v>
      </c>
      <c r="AP46" s="60">
        <f>IFERROR(AVERAGEIFS('Base Kpi'!$BD:$BD,'Base Kpi'!$AW:$AW,Cliente!$E46,'Base Kpi'!$BC:$BC,Cliente!AP$5),0)</f>
        <v>21.425000000000001</v>
      </c>
      <c r="AQ46" s="92">
        <f>IFERROR(AVERAGEIFS('Base Kpi'!$BD:$BD,'Base Kpi'!$AW:$AW,Cliente!$E46,'Base Kpi'!$BC:$BC,Cliente!AQ$5),0)</f>
        <v>1.665</v>
      </c>
      <c r="AR46" s="92">
        <f>IFERROR(AVERAGEIFS('Base Kpi'!$BD:$BD,'Base Kpi'!$AW:$AW,Cliente!$E46,'Base Kpi'!$BC:$BC,Cliente!AR$5),0)</f>
        <v>12</v>
      </c>
      <c r="AS46" s="92">
        <f>IFERROR(AVERAGEIFS('Base Kpi'!$BD:$BD,'Base Kpi'!$AW:$AW,Cliente!$E46,'Base Kpi'!$BC:$BC,Cliente!AS$5),0)</f>
        <v>26.96</v>
      </c>
      <c r="AT46" s="92">
        <f>IFERROR(AVERAGEIFS('Base Kpi'!$BD:$BD,'Base Kpi'!$AW:$AW,Cliente!$E46,'Base Kpi'!$BC:$BC,Cliente!AT$5),0)</f>
        <v>0</v>
      </c>
      <c r="AU46" s="94">
        <f t="shared" si="54"/>
        <v>62.050000000000004</v>
      </c>
      <c r="AV46" s="95">
        <f t="shared" si="78"/>
        <v>1</v>
      </c>
      <c r="AW46" s="60">
        <f>IFERROR(AVERAGEIFS('Base Kpi'!$BP:$BP,'Base Kpi'!$BI:$BI,Cliente!$E46,'Base Kpi'!$BO:$BO,Cliente!AW$5),0)</f>
        <v>21.425000000000001</v>
      </c>
      <c r="AX46" s="92">
        <f>IFERROR(AVERAGEIFS('Base Kpi'!$BP:$BP,'Base Kpi'!$BI:$BI,Cliente!$E46,'Base Kpi'!$BO:$BO,Cliente!AX$5),0)</f>
        <v>5</v>
      </c>
      <c r="AY46" s="92">
        <f>IFERROR(AVERAGEIFS('Base Kpi'!$BP:$BP,'Base Kpi'!$BI:$BI,Cliente!$E46,'Base Kpi'!$BO:$BO,Cliente!AY$5),0)</f>
        <v>12</v>
      </c>
      <c r="AZ46" s="92">
        <f>IFERROR(AVERAGEIFS('Base Kpi'!$BP:$BP,'Base Kpi'!$BI:$BI,Cliente!$E46,'Base Kpi'!$BO:$BO,Cliente!AZ$5),0)</f>
        <v>32.159999999999997</v>
      </c>
      <c r="BA46" s="92">
        <f>IFERROR(AVERAGEIFS('Base Kpi'!$BP:$BP,'Base Kpi'!$BI:$BI,Cliente!$E46,'Base Kpi'!$BO:$BO,Cliente!BA$5),0)</f>
        <v>18</v>
      </c>
      <c r="BB46" s="94">
        <f t="shared" si="73"/>
        <v>88.584999999999994</v>
      </c>
      <c r="BC46" s="95">
        <f t="shared" si="79"/>
        <v>1</v>
      </c>
      <c r="BD46" s="60">
        <f t="shared" si="42"/>
        <v>90.370833333333323</v>
      </c>
      <c r="BE46" s="97">
        <f t="shared" si="80"/>
        <v>1</v>
      </c>
      <c r="BF46" s="88">
        <f t="shared" si="81"/>
        <v>1</v>
      </c>
      <c r="BG46" s="60">
        <f>IFERROR(AVERAGEIFS('Base Kpi'!$CB:$CB,'Base Kpi'!$BU:$BU,Cliente!$E46,'Base Kpi'!$CA:$CA,Cliente!BG$5),0)</f>
        <v>23.212499999999999</v>
      </c>
      <c r="BH46" s="92">
        <f>IFERROR(AVERAGEIFS('Base Kpi'!$CB:$CB,'Base Kpi'!$BU:$BU,Cliente!$E46,'Base Kpi'!$CA:$CA,Cliente!BH$5),0)</f>
        <v>5</v>
      </c>
      <c r="BI46" s="92">
        <f>IFERROR(AVERAGEIFS('Base Kpi'!$CB:$CB,'Base Kpi'!$BU:$BU,Cliente!$E46,'Base Kpi'!$CA:$CA,Cliente!BI$5),0)</f>
        <v>10.5</v>
      </c>
      <c r="BJ46" s="92">
        <f>IFERROR(AVERAGEIFS('Base Kpi'!$CB:$CB,'Base Kpi'!$BU:$BU,Cliente!$E46,'Base Kpi'!$CA:$CA,Cliente!BJ$5),0)</f>
        <v>36.4</v>
      </c>
      <c r="BK46" s="92">
        <f>IFERROR(AVERAGEIFS('Base Kpi'!$CB:$CB,'Base Kpi'!$BU:$BU,Cliente!$E46,'Base Kpi'!$CA:$CA,Cliente!BK$5),0)</f>
        <v>9</v>
      </c>
      <c r="BL46" s="94">
        <f t="shared" si="74"/>
        <v>84.112499999999997</v>
      </c>
      <c r="BM46" s="95">
        <f t="shared" si="82"/>
        <v>1</v>
      </c>
      <c r="BN46" s="60">
        <f>IFERROR(AVERAGEIFS('Base Kpi'!$CN:$CN,'Base Kpi'!$CG:$CG,Cliente!$E46,'Base Kpi'!$CM:$CM,Cliente!BN$5),0)</f>
        <v>25</v>
      </c>
      <c r="BO46" s="92">
        <f>IFERROR(AVERAGEIFS('Base Kpi'!$CN:$CN,'Base Kpi'!$CG:$CG,Cliente!$E46,'Base Kpi'!$CM:$CM,Cliente!BO$5),0)</f>
        <v>5</v>
      </c>
      <c r="BP46" s="92">
        <f>IFERROR(AVERAGEIFS('Base Kpi'!$CN:$CN,'Base Kpi'!$CG:$CG,Cliente!$E46,'Base Kpi'!$CM:$CM,Cliente!BP$5),0)</f>
        <v>12</v>
      </c>
      <c r="BQ46" s="92">
        <f>IFERROR(AVERAGEIFS('Base Kpi'!$CN:$CN,'Base Kpi'!$CG:$CG,Cliente!$E46,'Base Kpi'!$CM:$CM,Cliente!BQ$5),0)</f>
        <v>38.4</v>
      </c>
      <c r="BR46" s="92">
        <f>IFERROR(AVERAGEIFS('Base Kpi'!$CN:$CN,'Base Kpi'!$CG:$CG,Cliente!$E46,'Base Kpi'!$CM:$CM,Cliente!BR$5),0)</f>
        <v>9</v>
      </c>
      <c r="BS46" s="94">
        <f t="shared" si="75"/>
        <v>89.4</v>
      </c>
      <c r="BT46" s="95">
        <f t="shared" si="83"/>
        <v>1</v>
      </c>
      <c r="BU46" s="60">
        <f>IFERROR(AVERAGEIFS('Base Kpi'!$CZ:$CZ,'Base Kpi'!$CS:$CS,Cliente!$E46,'Base Kpi'!$CY:$CY,Cliente!BU$5),0)</f>
        <v>25</v>
      </c>
      <c r="BV46" s="92">
        <f>IFERROR(AVERAGEIFS('Base Kpi'!$CZ:$CZ,'Base Kpi'!$CS:$CS,Cliente!$E46,'Base Kpi'!$CY:$CY,Cliente!BV$5),0)</f>
        <v>5</v>
      </c>
      <c r="BW46" s="92">
        <f>IFERROR(AVERAGEIFS('Base Kpi'!$CZ:$CZ,'Base Kpi'!$CS:$CS,Cliente!$E46,'Base Kpi'!$CY:$CY,Cliente!BW$5),0)</f>
        <v>12</v>
      </c>
      <c r="BX46" s="92">
        <f>IFERROR(AVERAGEIFS('Base Kpi'!$CZ:$CZ,'Base Kpi'!$CS:$CS,Cliente!$E46,'Base Kpi'!$CY:$CY,Cliente!BX$5),0)</f>
        <v>37.6</v>
      </c>
      <c r="BY46" s="92">
        <f>IFERROR(AVERAGEIFS('Base Kpi'!$CZ:$CZ,'Base Kpi'!$CS:$CS,Cliente!$E46,'Base Kpi'!$CY:$CY,Cliente!BY$5),0)</f>
        <v>18</v>
      </c>
      <c r="BZ46" s="94">
        <f t="shared" si="76"/>
        <v>97.6</v>
      </c>
      <c r="CA46" s="95">
        <f t="shared" si="84"/>
        <v>1</v>
      </c>
      <c r="CB46" s="60">
        <f t="shared" si="64"/>
        <v>97.2</v>
      </c>
      <c r="CC46" s="97">
        <f t="shared" si="65"/>
        <v>1</v>
      </c>
      <c r="CD46" s="43">
        <f t="shared" si="66"/>
        <v>1</v>
      </c>
      <c r="CE46" s="60" cm="1">
        <f t="array" ref="CE46">IFERROR(LARGE(_xlfn._xlws.FILTER('Base Kpi'!$DL:$DL,('Base Kpi'!$DK:$DK=$CE$5)*('Base Kpi'!$DE:$DE=Cliente!$E46)),1),0)</f>
        <v>36.799999999999997</v>
      </c>
      <c r="CF46" s="60" cm="1">
        <f t="array" ref="CF46">IFERROR(LARGE(_xlfn._xlws.FILTER('Base Kpi'!$DL:$DL,('Base Kpi'!$DK:$DK=$CF$5)*('Base Kpi'!$DE:$DE=Cliente!$E46)),1),0)</f>
        <v>5</v>
      </c>
      <c r="CG46" s="60" cm="1">
        <f t="array" ref="CG46">IFERROR(LARGE(_xlfn._xlws.FILTER('Base Kpi'!$DL:$DL,('Base Kpi'!$DK:$DK=$CG$5)*('Base Kpi'!$DE:$DE=Cliente!$E46)),1),0)</f>
        <v>5</v>
      </c>
      <c r="CH46" s="60" cm="1">
        <f t="array" ref="CH46">IFERROR(LARGE(_xlfn._xlws.FILTER('Base Kpi'!$DL:$DL,('Base Kpi'!$DK:$DK=$CH$5)*('Base Kpi'!$DE:$DE=Cliente!$E46)),1),0)</f>
        <v>9</v>
      </c>
      <c r="CI46" s="60" cm="1">
        <f t="array" ref="CI46">IFERROR(LARGE(_xlfn._xlws.FILTER('Base Kpi'!$DL:$DL,('Base Kpi'!$DK:$DK=$CI$5)*('Base Kpi'!$DE:$DE=Cliente!$E46)),1),0)</f>
        <v>25</v>
      </c>
      <c r="CJ46" s="60" cm="1">
        <f t="array" ref="CJ46">IFERROR(LARGE(_xlfn._xlws.FILTER('Base Kpi'!$DL:$DL,('Base Kpi'!$DK:$DK=$CJ$5)*('Base Kpi'!$DE:$DE=Cliente!$E46)),1),0)</f>
        <v>12</v>
      </c>
      <c r="CK46" s="60" cm="1">
        <f t="array" ref="CK46">IFERROR(LARGE(_xlfn._xlws.FILTER('Base Kpi'!$DL:$DL,('Base Kpi'!$DK:$DK=$CK$5)*('Base Kpi'!$DE:$DE=Cliente!$E46)),1),0)</f>
        <v>0</v>
      </c>
      <c r="CL46" s="94">
        <f t="shared" si="77"/>
        <v>92.8</v>
      </c>
      <c r="CM46" s="95">
        <f t="shared" si="47"/>
        <v>1</v>
      </c>
      <c r="CN46" s="60">
        <f>IFERROR(AVERAGEIFS('Base Kpi'!$DX:$DX,'Base Kpi'!$DQ:$DQ,Cliente!$E46,'Base Kpi'!$DW:$DW,Cliente!CN$5),0)</f>
        <v>36.799999999999997</v>
      </c>
      <c r="CO46" s="92">
        <f>IFERROR(AVERAGEIFS('Base Kpi'!$DX:$DX,'Base Kpi'!$DQ:$DQ,Cliente!$E46,'Base Kpi'!$DW:$DW,Cliente!CO$5),0)</f>
        <v>5</v>
      </c>
      <c r="CP46" s="92">
        <f>IFERROR(AVERAGEIFS('Base Kpi'!$DX:$DX,'Base Kpi'!$DQ:$DQ,Cliente!$E46,'Base Kpi'!$DW:$DW,Cliente!CP$5),0)</f>
        <v>5</v>
      </c>
      <c r="CQ46" s="92">
        <f>IFERROR(AVERAGEIFS('Base Kpi'!$DX:$DX,'Base Kpi'!$DQ:$DQ,Cliente!$E46,'Base Kpi'!$DW:$DW,Cliente!CQ$5),0)</f>
        <v>18</v>
      </c>
      <c r="CR46" s="92">
        <f>IFERROR(AVERAGEIFS('Base Kpi'!$DX:$DX,'Base Kpi'!$DQ:$DQ,Cliente!$E46,'Base Kpi'!$DW:$DW,Cliente!CR$5),0)</f>
        <v>25</v>
      </c>
      <c r="CS46" s="92">
        <f>IFERROR(AVERAGEIFS('Base Kpi'!$DX:$DX,'Base Kpi'!$DQ:$DQ,Cliente!$E46,'Base Kpi'!$DW:$DW,Cliente!CS$5),0)</f>
        <v>9</v>
      </c>
      <c r="CT46" s="92">
        <f>IFERROR(AVERAGEIFS('Base Kpi'!$DX:$DX,'Base Kpi'!$DQ:$DQ,Cliente!$E46,'Base Kpi'!$DW:$DW,Cliente!CT$5),0)</f>
        <v>0</v>
      </c>
      <c r="CU46" s="94">
        <f t="shared" si="67"/>
        <v>98.8</v>
      </c>
      <c r="CV46" s="95">
        <f t="shared" si="68"/>
        <v>1</v>
      </c>
      <c r="CW46" s="60">
        <f>IFERROR(AVERAGEIFS('Base Kpi'!$EJ:$EJ,'Base Kpi'!$EC:$EC,Cliente!$E46,'Base Kpi'!$EI:$EI,Cliente!CW$5),0)</f>
        <v>36</v>
      </c>
      <c r="CX46" s="92">
        <f>IFERROR(AVERAGEIFS('Base Kpi'!$EJ:$EJ,'Base Kpi'!$EC:$EC,Cliente!$E46,'Base Kpi'!$EI:$EI,Cliente!CX$5),0)</f>
        <v>4</v>
      </c>
      <c r="CY46" s="92">
        <f>IFERROR(AVERAGEIFS('Base Kpi'!$EJ:$EJ,'Base Kpi'!$EC:$EC,Cliente!$E46,'Base Kpi'!$EI:$EI,Cliente!CY$5),0)</f>
        <v>5</v>
      </c>
      <c r="CZ46" s="92">
        <f>IFERROR(AVERAGEIFS('Base Kpi'!$EJ:$EJ,'Base Kpi'!$EC:$EC,Cliente!$E46,'Base Kpi'!$EI:$EI,Cliente!CZ$5),0)</f>
        <v>18</v>
      </c>
      <c r="DA46" s="92">
        <f>IFERROR(AVERAGEIFS('Base Kpi'!$EJ:$EJ,'Base Kpi'!$EC:$EC,Cliente!$E46,'Base Kpi'!$EI:$EI,Cliente!DA$5),0)</f>
        <v>25</v>
      </c>
      <c r="DB46" s="92">
        <f>IFERROR(AVERAGEIFS('Base Kpi'!$EJ:$EJ,'Base Kpi'!$EC:$EC,Cliente!$E46,'Base Kpi'!$EI:$EI,Cliente!DB$5),0)</f>
        <v>12</v>
      </c>
      <c r="DC46" s="92">
        <f>IFERROR(AVERAGEIFS('Base Kpi'!$EJ:$EJ,'Base Kpi'!$EC:$EC,Cliente!$E46,'Base Kpi'!$EI:$EI,Cliente!DC$5),0)</f>
        <v>0</v>
      </c>
      <c r="DD46" s="94">
        <f t="shared" si="69"/>
        <v>100</v>
      </c>
      <c r="DE46" s="95">
        <f t="shared" si="70"/>
        <v>1</v>
      </c>
      <c r="DF46" s="120"/>
    </row>
    <row r="47" spans="2:110" x14ac:dyDescent="0.35">
      <c r="B47" s="52" t="s">
        <v>42</v>
      </c>
      <c r="C47" s="21">
        <v>359</v>
      </c>
      <c r="D47" s="21" t="s">
        <v>433</v>
      </c>
      <c r="E47" s="21">
        <v>178205</v>
      </c>
      <c r="F47" s="16" t="s">
        <v>56</v>
      </c>
      <c r="G47" s="16" t="s">
        <v>225</v>
      </c>
      <c r="H47" s="16" t="s">
        <v>226</v>
      </c>
      <c r="I47" s="16" t="s">
        <v>183</v>
      </c>
      <c r="J47" s="16" t="s">
        <v>90</v>
      </c>
      <c r="K47" s="34" t="s">
        <v>57</v>
      </c>
      <c r="L47" s="60">
        <f t="shared" si="55"/>
        <v>64.351666666666674</v>
      </c>
      <c r="M47" s="97">
        <f t="shared" si="56"/>
        <v>1</v>
      </c>
      <c r="N47" s="43">
        <f t="shared" si="52"/>
        <v>0</v>
      </c>
      <c r="O47" s="60">
        <f>IFERROR(AVERAGEIFS('Base Kpi'!$I:$I,'Base Kpi'!$B:$B,Cliente!$E47,'Base Kpi'!$G:$G,Cliente!O$5),0)</f>
        <v>25.71</v>
      </c>
      <c r="P47" s="92">
        <f>IFERROR(AVERAGEIFS('Base Kpi'!$I:$I,'Base Kpi'!$B:$B,Cliente!$E47,'Base Kpi'!$G:$G,Cliente!P$5),0)</f>
        <v>0</v>
      </c>
      <c r="Q47" s="92">
        <f>IFERROR(AVERAGEIFS('Base Kpi'!$I:$I,'Base Kpi'!$B:$B,Cliente!$E47,'Base Kpi'!$G:$G,Cliente!Q$5),0)</f>
        <v>6.8</v>
      </c>
      <c r="R47" s="92">
        <f>IFERROR(AVERAGEIFS('Base Kpi'!$I:$I,'Base Kpi'!$B:$B,Cliente!$E47,'Base Kpi'!$G:$G,Cliente!R$5),0)</f>
        <v>13.5</v>
      </c>
      <c r="S47" s="94">
        <f t="shared" si="57"/>
        <v>46.01</v>
      </c>
      <c r="T47" s="95">
        <f t="shared" si="58"/>
        <v>0</v>
      </c>
      <c r="U47" s="60">
        <f>IFERROR(AVERAGEIFS('Base Kpi'!$T:$T,'Base Kpi'!$M:$M,Cliente!$E47,'Base Kpi'!$S:$S,Cliente!U$5),0)</f>
        <v>25.71</v>
      </c>
      <c r="V47" s="92">
        <f>IFERROR(AVERAGEIFS('Base Kpi'!$T:$T,'Base Kpi'!$M:$M,Cliente!$E47,'Base Kpi'!$S:$S,Cliente!V$5),0)</f>
        <v>0</v>
      </c>
      <c r="W47" s="92">
        <f>IFERROR(AVERAGEIFS('Base Kpi'!$T:$T,'Base Kpi'!$M:$M,Cliente!$E47,'Base Kpi'!$S:$S,Cliente!W$5),0)</f>
        <v>8.5</v>
      </c>
      <c r="X47" s="92">
        <f>IFERROR(AVERAGEIFS('Base Kpi'!$T:$T,'Base Kpi'!$M:$M,Cliente!$E47,'Base Kpi'!$S:$S,Cliente!X$5),0)</f>
        <v>31.5</v>
      </c>
      <c r="Y47" s="94">
        <f t="shared" si="59"/>
        <v>65.710000000000008</v>
      </c>
      <c r="Z47" s="95">
        <f t="shared" si="60"/>
        <v>0</v>
      </c>
      <c r="AA47" s="60">
        <f>IFERROR(AVERAGEIFS('Base Kpi'!$AF:$AF,'Base Kpi'!$Y:$Y,Cliente!$E47,'Base Kpi'!$AE:$AE,Cliente!AA$5),0)</f>
        <v>25.71</v>
      </c>
      <c r="AB47" s="92">
        <f>IFERROR(AVERAGEIFS('Base Kpi'!$AF:$AF,'Base Kpi'!$Y:$Y,Cliente!$E47,'Base Kpi'!$AE:$AE,Cliente!AB$5),0)</f>
        <v>8</v>
      </c>
      <c r="AC47" s="92">
        <f>IFERROR(AVERAGEIFS('Base Kpi'!$AF:$AF,'Base Kpi'!$Y:$Y,Cliente!$E47,'Base Kpi'!$AE:$AE,Cliente!AC$5),0)</f>
        <v>12.75</v>
      </c>
      <c r="AD47" s="92">
        <f>IFERROR(AVERAGEIFS('Base Kpi'!$AF:$AF,'Base Kpi'!$Y:$Y,Cliente!$E47,'Base Kpi'!$AE:$AE,Cliente!AD$5),0)</f>
        <v>34.875</v>
      </c>
      <c r="AE47" s="94">
        <f t="shared" si="61"/>
        <v>81.335000000000008</v>
      </c>
      <c r="AF47" s="95">
        <f t="shared" si="62"/>
        <v>1</v>
      </c>
      <c r="AG47" s="60">
        <f t="shared" si="71"/>
        <v>61.77</v>
      </c>
      <c r="AH47" s="97">
        <f t="shared" si="72"/>
        <v>1</v>
      </c>
      <c r="AI47" s="88">
        <f t="shared" si="63"/>
        <v>1</v>
      </c>
      <c r="AJ47" s="92">
        <f>IFERROR(AVERAGEIFS('Base Kpi'!$AR:$AR,'Base Kpi'!$AK:$AK,Cliente!$E47,'Base Kpi'!$AQ:$AQ,AJ$5),0)</f>
        <v>25</v>
      </c>
      <c r="AK47" s="92">
        <f>IFERROR(AVERAGEIFS('Base Kpi'!$AR:$AR,'Base Kpi'!$AK:$AK,Cliente!$E47,'Base Kpi'!$AQ:$AQ,AK$5),0)</f>
        <v>2.5</v>
      </c>
      <c r="AL47" s="92">
        <f>IFERROR(AVERAGEIFS('Base Kpi'!$AR:$AR,'Base Kpi'!$AK:$AK,Cliente!$E47,'Base Kpi'!$AQ:$AQ,AL$5),0)</f>
        <v>6</v>
      </c>
      <c r="AM47" s="92">
        <f>IFERROR(AVERAGEIFS('Base Kpi'!$AR:$AR,'Base Kpi'!$AK:$AK,Cliente!$E47,'Base Kpi'!$AQ:$AQ,AM$5),0)</f>
        <v>29.56</v>
      </c>
      <c r="AN47" s="94">
        <f t="shared" si="53"/>
        <v>63.06</v>
      </c>
      <c r="AO47" s="95">
        <f t="shared" si="13"/>
        <v>0</v>
      </c>
      <c r="AP47" s="60">
        <f>IFERROR(AVERAGEIFS('Base Kpi'!$BD:$BD,'Base Kpi'!$AW:$AW,Cliente!$E47,'Base Kpi'!$BC:$BC,Cliente!AP$5),0)</f>
        <v>25</v>
      </c>
      <c r="AQ47" s="92">
        <f>IFERROR(AVERAGEIFS('Base Kpi'!$BD:$BD,'Base Kpi'!$AW:$AW,Cliente!$E47,'Base Kpi'!$BC:$BC,Cliente!AQ$5),0)</f>
        <v>1.665</v>
      </c>
      <c r="AR47" s="92">
        <f>IFERROR(AVERAGEIFS('Base Kpi'!$BD:$BD,'Base Kpi'!$AW:$AW,Cliente!$E47,'Base Kpi'!$BC:$BC,Cliente!AR$5),0)</f>
        <v>6</v>
      </c>
      <c r="AS47" s="92">
        <f>IFERROR(AVERAGEIFS('Base Kpi'!$BD:$BD,'Base Kpi'!$AW:$AW,Cliente!$E47,'Base Kpi'!$BC:$BC,Cliente!AS$5),0)</f>
        <v>29.56</v>
      </c>
      <c r="AT47" s="92">
        <f>IFERROR(AVERAGEIFS('Base Kpi'!$BD:$BD,'Base Kpi'!$AW:$AW,Cliente!$E47,'Base Kpi'!$BC:$BC,Cliente!AT$5),0)</f>
        <v>0</v>
      </c>
      <c r="AU47" s="94">
        <f t="shared" si="54"/>
        <v>62.224999999999994</v>
      </c>
      <c r="AV47" s="95">
        <f t="shared" si="78"/>
        <v>1</v>
      </c>
      <c r="AW47" s="60">
        <f>IFERROR(AVERAGEIFS('Base Kpi'!$BP:$BP,'Base Kpi'!$BI:$BI,Cliente!$E47,'Base Kpi'!$BO:$BO,Cliente!AW$5),0)</f>
        <v>25</v>
      </c>
      <c r="AX47" s="92">
        <f>IFERROR(AVERAGEIFS('Base Kpi'!$BP:$BP,'Base Kpi'!$BI:$BI,Cliente!$E47,'Base Kpi'!$BO:$BO,Cliente!AX$5),0)</f>
        <v>1.665</v>
      </c>
      <c r="AY47" s="92">
        <f>IFERROR(AVERAGEIFS('Base Kpi'!$BP:$BP,'Base Kpi'!$BI:$BI,Cliente!$E47,'Base Kpi'!$BO:$BO,Cliente!AY$5),0)</f>
        <v>9</v>
      </c>
      <c r="AZ47" s="92">
        <f>IFERROR(AVERAGEIFS('Base Kpi'!$BP:$BP,'Base Kpi'!$BI:$BI,Cliente!$E47,'Base Kpi'!$BO:$BO,Cliente!AZ$5),0)</f>
        <v>24.36</v>
      </c>
      <c r="BA47" s="92">
        <f>IFERROR(AVERAGEIFS('Base Kpi'!$BP:$BP,'Base Kpi'!$BI:$BI,Cliente!$E47,'Base Kpi'!$BO:$BO,Cliente!BA$5),0)</f>
        <v>0</v>
      </c>
      <c r="BB47" s="94">
        <f t="shared" si="73"/>
        <v>60.024999999999999</v>
      </c>
      <c r="BC47" s="95">
        <f t="shared" si="79"/>
        <v>1</v>
      </c>
      <c r="BD47" s="60">
        <f t="shared" si="42"/>
        <v>73.096666666666678</v>
      </c>
      <c r="BE47" s="97">
        <f t="shared" si="80"/>
        <v>1</v>
      </c>
      <c r="BF47" s="88">
        <f t="shared" si="81"/>
        <v>1</v>
      </c>
      <c r="BG47" s="60">
        <f>IFERROR(AVERAGEIFS('Base Kpi'!$CB:$CB,'Base Kpi'!$BU:$BU,Cliente!$E47,'Base Kpi'!$CA:$CA,Cliente!BG$5),0)</f>
        <v>21.425000000000001</v>
      </c>
      <c r="BH47" s="92">
        <f>IFERROR(AVERAGEIFS('Base Kpi'!$CB:$CB,'Base Kpi'!$BU:$BU,Cliente!$E47,'Base Kpi'!$CA:$CA,Cliente!BH$5),0)</f>
        <v>1.665</v>
      </c>
      <c r="BI47" s="92">
        <f>IFERROR(AVERAGEIFS('Base Kpi'!$CB:$CB,'Base Kpi'!$BU:$BU,Cliente!$E47,'Base Kpi'!$CA:$CA,Cliente!BI$5),0)</f>
        <v>9</v>
      </c>
      <c r="BJ47" s="92">
        <f>IFERROR(AVERAGEIFS('Base Kpi'!$CB:$CB,'Base Kpi'!$BU:$BU,Cliente!$E47,'Base Kpi'!$CA:$CA,Cliente!BJ$5),0)</f>
        <v>28</v>
      </c>
      <c r="BK47" s="92">
        <f>IFERROR(AVERAGEIFS('Base Kpi'!$CB:$CB,'Base Kpi'!$BU:$BU,Cliente!$E47,'Base Kpi'!$CA:$CA,Cliente!BK$5),0)</f>
        <v>0</v>
      </c>
      <c r="BL47" s="94">
        <f t="shared" si="74"/>
        <v>60.09</v>
      </c>
      <c r="BM47" s="95">
        <f t="shared" si="82"/>
        <v>1</v>
      </c>
      <c r="BN47" s="60">
        <f>IFERROR(AVERAGEIFS('Base Kpi'!$CN:$CN,'Base Kpi'!$CG:$CG,Cliente!$E47,'Base Kpi'!$CM:$CM,Cliente!BN$5),0)</f>
        <v>25</v>
      </c>
      <c r="BO47" s="92">
        <f>IFERROR(AVERAGEIFS('Base Kpi'!$CN:$CN,'Base Kpi'!$CG:$CG,Cliente!$E47,'Base Kpi'!$CM:$CM,Cliente!BO$5),0)</f>
        <v>5</v>
      </c>
      <c r="BP47" s="92">
        <f>IFERROR(AVERAGEIFS('Base Kpi'!$CN:$CN,'Base Kpi'!$CG:$CG,Cliente!$E47,'Base Kpi'!$CM:$CM,Cliente!BP$5),0)</f>
        <v>6</v>
      </c>
      <c r="BQ47" s="92">
        <f>IFERROR(AVERAGEIFS('Base Kpi'!$CN:$CN,'Base Kpi'!$CG:$CG,Cliente!$E47,'Base Kpi'!$CM:$CM,Cliente!BQ$5),0)</f>
        <v>30.4</v>
      </c>
      <c r="BR47" s="92">
        <f>IFERROR(AVERAGEIFS('Base Kpi'!$CN:$CN,'Base Kpi'!$CG:$CG,Cliente!$E47,'Base Kpi'!$CM:$CM,Cliente!BR$5),0)</f>
        <v>9</v>
      </c>
      <c r="BS47" s="94">
        <f t="shared" si="75"/>
        <v>75.400000000000006</v>
      </c>
      <c r="BT47" s="95">
        <f t="shared" si="83"/>
        <v>1</v>
      </c>
      <c r="BU47" s="60">
        <f>IFERROR(AVERAGEIFS('Base Kpi'!$CZ:$CZ,'Base Kpi'!$CS:$CS,Cliente!$E47,'Base Kpi'!$CY:$CY,Cliente!BU$5),0)</f>
        <v>25</v>
      </c>
      <c r="BV47" s="92">
        <f>IFERROR(AVERAGEIFS('Base Kpi'!$CZ:$CZ,'Base Kpi'!$CS:$CS,Cliente!$E47,'Base Kpi'!$CY:$CY,Cliente!BV$5),0)</f>
        <v>5</v>
      </c>
      <c r="BW47" s="92">
        <f>IFERROR(AVERAGEIFS('Base Kpi'!$CZ:$CZ,'Base Kpi'!$CS:$CS,Cliente!$E47,'Base Kpi'!$CY:$CY,Cliente!BW$5),0)</f>
        <v>12</v>
      </c>
      <c r="BX47" s="92">
        <f>IFERROR(AVERAGEIFS('Base Kpi'!$CZ:$CZ,'Base Kpi'!$CS:$CS,Cliente!$E47,'Base Kpi'!$CY:$CY,Cliente!BX$5),0)</f>
        <v>32.799999999999997</v>
      </c>
      <c r="BY47" s="92">
        <f>IFERROR(AVERAGEIFS('Base Kpi'!$CZ:$CZ,'Base Kpi'!$CS:$CS,Cliente!$E47,'Base Kpi'!$CY:$CY,Cliente!BY$5),0)</f>
        <v>9</v>
      </c>
      <c r="BZ47" s="94">
        <f t="shared" si="76"/>
        <v>83.8</v>
      </c>
      <c r="CA47" s="95">
        <f t="shared" si="84"/>
        <v>1</v>
      </c>
      <c r="CB47" s="60">
        <f t="shared" si="64"/>
        <v>87.941666666666677</v>
      </c>
      <c r="CC47" s="97">
        <f t="shared" si="65"/>
        <v>1</v>
      </c>
      <c r="CD47" s="43">
        <f t="shared" si="66"/>
        <v>1</v>
      </c>
      <c r="CE47" s="60" cm="1">
        <f t="array" ref="CE47">IFERROR(LARGE(_xlfn._xlws.FILTER('Base Kpi'!$DL:$DL,('Base Kpi'!$DK:$DK=$CE$5)*('Base Kpi'!$DE:$DE=Cliente!$E47)),1),0)</f>
        <v>34.4</v>
      </c>
      <c r="CF47" s="60" cm="1">
        <f t="array" ref="CF47">IFERROR(LARGE(_xlfn._xlws.FILTER('Base Kpi'!$DL:$DL,('Base Kpi'!$DK:$DK=$CF$5)*('Base Kpi'!$DE:$DE=Cliente!$E47)),1),0)</f>
        <v>5</v>
      </c>
      <c r="CG47" s="60" cm="1">
        <f t="array" ref="CG47">IFERROR(LARGE(_xlfn._xlws.FILTER('Base Kpi'!$DL:$DL,('Base Kpi'!$DK:$DK=$CG$5)*('Base Kpi'!$DE:$DE=Cliente!$E47)),1),0)</f>
        <v>5</v>
      </c>
      <c r="CH47" s="60" cm="1">
        <f t="array" ref="CH47">IFERROR(LARGE(_xlfn._xlws.FILTER('Base Kpi'!$DL:$DL,('Base Kpi'!$DK:$DK=$CH$5)*('Base Kpi'!$DE:$DE=Cliente!$E47)),1),0)</f>
        <v>9</v>
      </c>
      <c r="CI47" s="60" cm="1">
        <f t="array" ref="CI47">IFERROR(LARGE(_xlfn._xlws.FILTER('Base Kpi'!$DL:$DL,('Base Kpi'!$DK:$DK=$CI$5)*('Base Kpi'!$DE:$DE=Cliente!$E47)),1),0)</f>
        <v>25</v>
      </c>
      <c r="CJ47" s="60" cm="1">
        <f t="array" ref="CJ47">IFERROR(LARGE(_xlfn._xlws.FILTER('Base Kpi'!$DL:$DL,('Base Kpi'!$DK:$DK=$CJ$5)*('Base Kpi'!$DE:$DE=Cliente!$E47)),1),0)</f>
        <v>12</v>
      </c>
      <c r="CK47" s="60" cm="1">
        <f t="array" ref="CK47">IFERROR(LARGE(_xlfn._xlws.FILTER('Base Kpi'!$DL:$DL,('Base Kpi'!$DK:$DK=$CK$5)*('Base Kpi'!$DE:$DE=Cliente!$E47)),1),0)</f>
        <v>0</v>
      </c>
      <c r="CL47" s="94">
        <f t="shared" si="77"/>
        <v>90.4</v>
      </c>
      <c r="CM47" s="95">
        <f t="shared" si="47"/>
        <v>1</v>
      </c>
      <c r="CN47" s="60">
        <f>IFERROR(AVERAGEIFS('Base Kpi'!$DX:$DX,'Base Kpi'!$DQ:$DQ,Cliente!$E47,'Base Kpi'!$DW:$DW,Cliente!CN$5),0)</f>
        <v>34.4</v>
      </c>
      <c r="CO47" s="92">
        <f>IFERROR(AVERAGEIFS('Base Kpi'!$DX:$DX,'Base Kpi'!$DQ:$DQ,Cliente!$E47,'Base Kpi'!$DW:$DW,Cliente!CO$5),0)</f>
        <v>5</v>
      </c>
      <c r="CP47" s="92">
        <f>IFERROR(AVERAGEIFS('Base Kpi'!$DX:$DX,'Base Kpi'!$DQ:$DQ,Cliente!$E47,'Base Kpi'!$DW:$DW,Cliente!CP$5),0)</f>
        <v>5</v>
      </c>
      <c r="CQ47" s="92">
        <f>IFERROR(AVERAGEIFS('Base Kpi'!$DX:$DX,'Base Kpi'!$DQ:$DQ,Cliente!$E47,'Base Kpi'!$DW:$DW,Cliente!CQ$5),0)</f>
        <v>9</v>
      </c>
      <c r="CR47" s="92">
        <f>IFERROR(AVERAGEIFS('Base Kpi'!$DX:$DX,'Base Kpi'!$DQ:$DQ,Cliente!$E47,'Base Kpi'!$DW:$DW,Cliente!CR$5),0)</f>
        <v>21.425000000000001</v>
      </c>
      <c r="CS47" s="92">
        <f>IFERROR(AVERAGEIFS('Base Kpi'!$DX:$DX,'Base Kpi'!$DQ:$DQ,Cliente!$E47,'Base Kpi'!$DW:$DW,Cliente!CS$5),0)</f>
        <v>9</v>
      </c>
      <c r="CT47" s="92">
        <f>IFERROR(AVERAGEIFS('Base Kpi'!$DX:$DX,'Base Kpi'!$DQ:$DQ,Cliente!$E47,'Base Kpi'!$DW:$DW,Cliente!CT$5),0)</f>
        <v>0</v>
      </c>
      <c r="CU47" s="94">
        <f t="shared" si="67"/>
        <v>83.825000000000003</v>
      </c>
      <c r="CV47" s="95">
        <f t="shared" si="68"/>
        <v>1</v>
      </c>
      <c r="CW47" s="60">
        <f>IFERROR(AVERAGEIFS('Base Kpi'!$EJ:$EJ,'Base Kpi'!$EC:$EC,Cliente!$E47,'Base Kpi'!$EI:$EI,Cliente!CW$5),0)</f>
        <v>33.6</v>
      </c>
      <c r="CX47" s="92">
        <f>IFERROR(AVERAGEIFS('Base Kpi'!$EJ:$EJ,'Base Kpi'!$EC:$EC,Cliente!$E47,'Base Kpi'!$EI:$EI,Cliente!CX$5),0)</f>
        <v>5</v>
      </c>
      <c r="CY47" s="92">
        <f>IFERROR(AVERAGEIFS('Base Kpi'!$EJ:$EJ,'Base Kpi'!$EC:$EC,Cliente!$E47,'Base Kpi'!$EI:$EI,Cliente!CY$5),0)</f>
        <v>5</v>
      </c>
      <c r="CZ47" s="92">
        <f>IFERROR(AVERAGEIFS('Base Kpi'!$EJ:$EJ,'Base Kpi'!$EC:$EC,Cliente!$E47,'Base Kpi'!$EI:$EI,Cliente!CZ$5),0)</f>
        <v>9</v>
      </c>
      <c r="DA47" s="92">
        <f>IFERROR(AVERAGEIFS('Base Kpi'!$EJ:$EJ,'Base Kpi'!$EC:$EC,Cliente!$E47,'Base Kpi'!$EI:$EI,Cliente!DA$5),0)</f>
        <v>25</v>
      </c>
      <c r="DB47" s="92">
        <f>IFERROR(AVERAGEIFS('Base Kpi'!$EJ:$EJ,'Base Kpi'!$EC:$EC,Cliente!$E47,'Base Kpi'!$EI:$EI,Cliente!DB$5),0)</f>
        <v>12</v>
      </c>
      <c r="DC47" s="92">
        <f>IFERROR(AVERAGEIFS('Base Kpi'!$EJ:$EJ,'Base Kpi'!$EC:$EC,Cliente!$E47,'Base Kpi'!$EI:$EI,Cliente!DC$5),0)</f>
        <v>0</v>
      </c>
      <c r="DD47" s="94">
        <f t="shared" si="69"/>
        <v>89.6</v>
      </c>
      <c r="DE47" s="95">
        <f t="shared" si="70"/>
        <v>1</v>
      </c>
      <c r="DF47" s="120"/>
    </row>
    <row r="48" spans="2:110" x14ac:dyDescent="0.35">
      <c r="B48" s="52" t="s">
        <v>42</v>
      </c>
      <c r="C48" s="21">
        <v>359</v>
      </c>
      <c r="D48" s="21" t="s">
        <v>433</v>
      </c>
      <c r="E48" s="21">
        <v>48248</v>
      </c>
      <c r="F48" s="16" t="s">
        <v>7</v>
      </c>
      <c r="G48" s="16" t="s">
        <v>227</v>
      </c>
      <c r="H48" s="16" t="s">
        <v>228</v>
      </c>
      <c r="I48" s="16" t="s">
        <v>176</v>
      </c>
      <c r="J48" s="16" t="s">
        <v>90</v>
      </c>
      <c r="K48" s="34" t="s">
        <v>49</v>
      </c>
      <c r="L48" s="60">
        <f t="shared" si="55"/>
        <v>70.226666666666674</v>
      </c>
      <c r="M48" s="97">
        <f t="shared" si="56"/>
        <v>1</v>
      </c>
      <c r="N48" s="43">
        <f t="shared" si="52"/>
        <v>0</v>
      </c>
      <c r="O48" s="60">
        <f>IFERROR(AVERAGEIFS('Base Kpi'!$I:$I,'Base Kpi'!$B:$B,Cliente!$E48,'Base Kpi'!$G:$G,Cliente!O$5),0)</f>
        <v>30</v>
      </c>
      <c r="P48" s="92">
        <f>IFERROR(AVERAGEIFS('Base Kpi'!$I:$I,'Base Kpi'!$B:$B,Cliente!$E48,'Base Kpi'!$G:$G,Cliente!P$5),0)</f>
        <v>0</v>
      </c>
      <c r="Q48" s="92">
        <f>IFERROR(AVERAGEIFS('Base Kpi'!$I:$I,'Base Kpi'!$B:$B,Cliente!$E48,'Base Kpi'!$G:$G,Cliente!Q$5),0)</f>
        <v>6.8</v>
      </c>
      <c r="R48" s="92">
        <f>IFERROR(AVERAGEIFS('Base Kpi'!$I:$I,'Base Kpi'!$B:$B,Cliente!$E48,'Base Kpi'!$G:$G,Cliente!R$5),0)</f>
        <v>29.25</v>
      </c>
      <c r="S48" s="94">
        <f t="shared" si="57"/>
        <v>66.05</v>
      </c>
      <c r="T48" s="95">
        <f t="shared" si="58"/>
        <v>0</v>
      </c>
      <c r="U48" s="60">
        <f>IFERROR(AVERAGEIFS('Base Kpi'!$T:$T,'Base Kpi'!$M:$M,Cliente!$E48,'Base Kpi'!$S:$S,Cliente!U$5),0)</f>
        <v>21.42</v>
      </c>
      <c r="V48" s="92">
        <f>IFERROR(AVERAGEIFS('Base Kpi'!$T:$T,'Base Kpi'!$M:$M,Cliente!$E48,'Base Kpi'!$S:$S,Cliente!V$5),0)</f>
        <v>8</v>
      </c>
      <c r="W48" s="92">
        <f>IFERROR(AVERAGEIFS('Base Kpi'!$T:$T,'Base Kpi'!$M:$M,Cliente!$E48,'Base Kpi'!$S:$S,Cliente!W$5),0)</f>
        <v>12.75</v>
      </c>
      <c r="X48" s="92">
        <f>IFERROR(AVERAGEIFS('Base Kpi'!$T:$T,'Base Kpi'!$M:$M,Cliente!$E48,'Base Kpi'!$S:$S,Cliente!X$5),0)</f>
        <v>25.875</v>
      </c>
      <c r="Y48" s="94">
        <f t="shared" si="59"/>
        <v>68.045000000000002</v>
      </c>
      <c r="Z48" s="95">
        <f t="shared" si="60"/>
        <v>0</v>
      </c>
      <c r="AA48" s="60">
        <f>IFERROR(AVERAGEIFS('Base Kpi'!$AF:$AF,'Base Kpi'!$Y:$Y,Cliente!$E48,'Base Kpi'!$AE:$AE,Cliente!AA$5),0)</f>
        <v>25.71</v>
      </c>
      <c r="AB48" s="92">
        <f>IFERROR(AVERAGEIFS('Base Kpi'!$AF:$AF,'Base Kpi'!$Y:$Y,Cliente!$E48,'Base Kpi'!$AE:$AE,Cliente!AB$5),0)</f>
        <v>8</v>
      </c>
      <c r="AC48" s="92">
        <f>IFERROR(AVERAGEIFS('Base Kpi'!$AF:$AF,'Base Kpi'!$Y:$Y,Cliente!$E48,'Base Kpi'!$AE:$AE,Cliente!AC$5),0)</f>
        <v>17</v>
      </c>
      <c r="AD48" s="92">
        <f>IFERROR(AVERAGEIFS('Base Kpi'!$AF:$AF,'Base Kpi'!$Y:$Y,Cliente!$E48,'Base Kpi'!$AE:$AE,Cliente!AD$5),0)</f>
        <v>25.875</v>
      </c>
      <c r="AE48" s="94">
        <f t="shared" si="61"/>
        <v>76.585000000000008</v>
      </c>
      <c r="AF48" s="95">
        <f t="shared" si="62"/>
        <v>0</v>
      </c>
      <c r="AG48" s="60">
        <f t="shared" si="71"/>
        <v>42.998333333333335</v>
      </c>
      <c r="AH48" s="97">
        <f t="shared" si="72"/>
        <v>0</v>
      </c>
      <c r="AI48" s="88">
        <f t="shared" si="63"/>
        <v>0</v>
      </c>
      <c r="AJ48" s="92">
        <f>IFERROR(AVERAGEIFS('Base Kpi'!$AR:$AR,'Base Kpi'!$AK:$AK,Cliente!$E48,'Base Kpi'!$AQ:$AQ,AJ$5),0)</f>
        <v>0</v>
      </c>
      <c r="AK48" s="92">
        <f>IFERROR(AVERAGEIFS('Base Kpi'!$AR:$AR,'Base Kpi'!$AK:$AK,Cliente!$E48,'Base Kpi'!$AQ:$AQ,AK$5),0)</f>
        <v>0</v>
      </c>
      <c r="AL48" s="92">
        <f>IFERROR(AVERAGEIFS('Base Kpi'!$AR:$AR,'Base Kpi'!$AK:$AK,Cliente!$E48,'Base Kpi'!$AQ:$AQ,AL$5),0)</f>
        <v>0</v>
      </c>
      <c r="AM48" s="92">
        <f>IFERROR(AVERAGEIFS('Base Kpi'!$AR:$AR,'Base Kpi'!$AK:$AK,Cliente!$E48,'Base Kpi'!$AQ:$AQ,AM$5),0)</f>
        <v>0</v>
      </c>
      <c r="AN48" s="94">
        <f t="shared" si="53"/>
        <v>0</v>
      </c>
      <c r="AO48" s="95">
        <f t="shared" si="13"/>
        <v>0</v>
      </c>
      <c r="AP48" s="60">
        <f>IFERROR(AVERAGEIFS('Base Kpi'!$BD:$BD,'Base Kpi'!$AW:$AW,Cliente!$E48,'Base Kpi'!$BC:$BC,Cliente!AP$5),0)</f>
        <v>25</v>
      </c>
      <c r="AQ48" s="92">
        <f>IFERROR(AVERAGEIFS('Base Kpi'!$BD:$BD,'Base Kpi'!$AW:$AW,Cliente!$E48,'Base Kpi'!$BC:$BC,Cliente!AQ$5),0)</f>
        <v>1.665</v>
      </c>
      <c r="AR48" s="92">
        <f>IFERROR(AVERAGEIFS('Base Kpi'!$BD:$BD,'Base Kpi'!$AW:$AW,Cliente!$E48,'Base Kpi'!$BC:$BC,Cliente!AR$5),0)</f>
        <v>9</v>
      </c>
      <c r="AS48" s="92">
        <f>IFERROR(AVERAGEIFS('Base Kpi'!$BD:$BD,'Base Kpi'!$AW:$AW,Cliente!$E48,'Base Kpi'!$BC:$BC,Cliente!AS$5),0)</f>
        <v>23.48</v>
      </c>
      <c r="AT48" s="92">
        <f>IFERROR(AVERAGEIFS('Base Kpi'!$BD:$BD,'Base Kpi'!$AW:$AW,Cliente!$E48,'Base Kpi'!$BC:$BC,Cliente!AT$5),0)</f>
        <v>0</v>
      </c>
      <c r="AU48" s="94">
        <f t="shared" si="54"/>
        <v>59.144999999999996</v>
      </c>
      <c r="AV48" s="95">
        <f t="shared" si="78"/>
        <v>1</v>
      </c>
      <c r="AW48" s="60">
        <f>IFERROR(AVERAGEIFS('Base Kpi'!$BP:$BP,'Base Kpi'!$BI:$BI,Cliente!$E48,'Base Kpi'!$BO:$BO,Cliente!AW$5),0)</f>
        <v>17.850000000000001</v>
      </c>
      <c r="AX48" s="92">
        <f>IFERROR(AVERAGEIFS('Base Kpi'!$BP:$BP,'Base Kpi'!$BI:$BI,Cliente!$E48,'Base Kpi'!$BO:$BO,Cliente!AX$5),0)</f>
        <v>5</v>
      </c>
      <c r="AY48" s="92">
        <f>IFERROR(AVERAGEIFS('Base Kpi'!$BP:$BP,'Base Kpi'!$BI:$BI,Cliente!$E48,'Base Kpi'!$BO:$BO,Cliente!AY$5),0)</f>
        <v>9</v>
      </c>
      <c r="AZ48" s="92">
        <f>IFERROR(AVERAGEIFS('Base Kpi'!$BP:$BP,'Base Kpi'!$BI:$BI,Cliente!$E48,'Base Kpi'!$BO:$BO,Cliente!AZ$5),0)</f>
        <v>20</v>
      </c>
      <c r="BA48" s="92">
        <f>IFERROR(AVERAGEIFS('Base Kpi'!$BP:$BP,'Base Kpi'!$BI:$BI,Cliente!$E48,'Base Kpi'!$BO:$BO,Cliente!BA$5),0)</f>
        <v>18</v>
      </c>
      <c r="BB48" s="94">
        <f t="shared" si="73"/>
        <v>69.849999999999994</v>
      </c>
      <c r="BC48" s="95">
        <f t="shared" si="79"/>
        <v>1</v>
      </c>
      <c r="BD48" s="60" t="str">
        <f t="shared" si="42"/>
        <v/>
      </c>
      <c r="BE48" s="97">
        <f t="shared" si="80"/>
        <v>0</v>
      </c>
      <c r="BF48" s="88">
        <f t="shared" si="81"/>
        <v>0</v>
      </c>
      <c r="BG48" s="60">
        <f>IFERROR(AVERAGEIFS('Base Kpi'!$CB:$CB,'Base Kpi'!$BU:$BU,Cliente!$E48,'Base Kpi'!$CA:$CA,Cliente!BG$5),0)</f>
        <v>0</v>
      </c>
      <c r="BH48" s="92">
        <f>IFERROR(AVERAGEIFS('Base Kpi'!$CB:$CB,'Base Kpi'!$BU:$BU,Cliente!$E48,'Base Kpi'!$CA:$CA,Cliente!BH$5),0)</f>
        <v>0</v>
      </c>
      <c r="BI48" s="92">
        <f>IFERROR(AVERAGEIFS('Base Kpi'!$CB:$CB,'Base Kpi'!$BU:$BU,Cliente!$E48,'Base Kpi'!$CA:$CA,Cliente!BI$5),0)</f>
        <v>0</v>
      </c>
      <c r="BJ48" s="92">
        <f>IFERROR(AVERAGEIFS('Base Kpi'!$CB:$CB,'Base Kpi'!$BU:$BU,Cliente!$E48,'Base Kpi'!$CA:$CA,Cliente!BJ$5),0)</f>
        <v>0</v>
      </c>
      <c r="BK48" s="92">
        <f>IFERROR(AVERAGEIFS('Base Kpi'!$CB:$CB,'Base Kpi'!$BU:$BU,Cliente!$E48,'Base Kpi'!$CA:$CA,Cliente!BK$5),0)</f>
        <v>0</v>
      </c>
      <c r="BL48" s="94">
        <f t="shared" si="74"/>
        <v>0</v>
      </c>
      <c r="BM48" s="95">
        <f t="shared" si="82"/>
        <v>0</v>
      </c>
      <c r="BN48" s="60">
        <f>IFERROR(AVERAGEIFS('Base Kpi'!$CN:$CN,'Base Kpi'!$CG:$CG,Cliente!$E48,'Base Kpi'!$CM:$CM,Cliente!BN$5),0)</f>
        <v>0</v>
      </c>
      <c r="BO48" s="92">
        <f>IFERROR(AVERAGEIFS('Base Kpi'!$CN:$CN,'Base Kpi'!$CG:$CG,Cliente!$E48,'Base Kpi'!$CM:$CM,Cliente!BO$5),0)</f>
        <v>0</v>
      </c>
      <c r="BP48" s="92">
        <f>IFERROR(AVERAGEIFS('Base Kpi'!$CN:$CN,'Base Kpi'!$CG:$CG,Cliente!$E48,'Base Kpi'!$CM:$CM,Cliente!BP$5),0)</f>
        <v>0</v>
      </c>
      <c r="BQ48" s="92">
        <f>IFERROR(AVERAGEIFS('Base Kpi'!$CN:$CN,'Base Kpi'!$CG:$CG,Cliente!$E48,'Base Kpi'!$CM:$CM,Cliente!BQ$5),0)</f>
        <v>0</v>
      </c>
      <c r="BR48" s="92">
        <f>IFERROR(AVERAGEIFS('Base Kpi'!$CN:$CN,'Base Kpi'!$CG:$CG,Cliente!$E48,'Base Kpi'!$CM:$CM,Cliente!BR$5),0)</f>
        <v>0</v>
      </c>
      <c r="BS48" s="94">
        <f t="shared" si="75"/>
        <v>0</v>
      </c>
      <c r="BT48" s="95">
        <f t="shared" si="83"/>
        <v>0</v>
      </c>
      <c r="BU48" s="60">
        <f>IFERROR(AVERAGEIFS('Base Kpi'!$CZ:$CZ,'Base Kpi'!$CS:$CS,Cliente!$E48,'Base Kpi'!$CY:$CY,Cliente!BU$5),0)</f>
        <v>0</v>
      </c>
      <c r="BV48" s="92">
        <f>IFERROR(AVERAGEIFS('Base Kpi'!$CZ:$CZ,'Base Kpi'!$CS:$CS,Cliente!$E48,'Base Kpi'!$CY:$CY,Cliente!BV$5),0)</f>
        <v>0</v>
      </c>
      <c r="BW48" s="92">
        <f>IFERROR(AVERAGEIFS('Base Kpi'!$CZ:$CZ,'Base Kpi'!$CS:$CS,Cliente!$E48,'Base Kpi'!$CY:$CY,Cliente!BW$5),0)</f>
        <v>0</v>
      </c>
      <c r="BX48" s="92">
        <f>IFERROR(AVERAGEIFS('Base Kpi'!$CZ:$CZ,'Base Kpi'!$CS:$CS,Cliente!$E48,'Base Kpi'!$CY:$CY,Cliente!BX$5),0)</f>
        <v>0</v>
      </c>
      <c r="BY48" s="92">
        <f>IFERROR(AVERAGEIFS('Base Kpi'!$CZ:$CZ,'Base Kpi'!$CS:$CS,Cliente!$E48,'Base Kpi'!$CY:$CY,Cliente!BY$5),0)</f>
        <v>0</v>
      </c>
      <c r="BZ48" s="94">
        <f t="shared" si="76"/>
        <v>0</v>
      </c>
      <c r="CA48" s="95">
        <f t="shared" si="84"/>
        <v>0</v>
      </c>
      <c r="CB48" s="60">
        <f t="shared" si="64"/>
        <v>58.616666666666667</v>
      </c>
      <c r="CC48" s="97">
        <f t="shared" si="65"/>
        <v>0</v>
      </c>
      <c r="CD48" s="43">
        <f t="shared" si="66"/>
        <v>0</v>
      </c>
      <c r="CE48" s="60" cm="1">
        <f t="array" ref="CE48">IFERROR(LARGE(_xlfn._xlws.FILTER('Base Kpi'!$DL:$DL,('Base Kpi'!$DK:$DK=$CE$5)*('Base Kpi'!$DE:$DE=Cliente!$E48)),1),0)</f>
        <v>0</v>
      </c>
      <c r="CF48" s="60" cm="1">
        <f t="array" ref="CF48">IFERROR(LARGE(_xlfn._xlws.FILTER('Base Kpi'!$DL:$DL,('Base Kpi'!$DK:$DK=$CF$5)*('Base Kpi'!$DE:$DE=Cliente!$E48)),1),0)</f>
        <v>0</v>
      </c>
      <c r="CG48" s="60" cm="1">
        <f t="array" ref="CG48">IFERROR(LARGE(_xlfn._xlws.FILTER('Base Kpi'!$DL:$DL,('Base Kpi'!$DK:$DK=$CG$5)*('Base Kpi'!$DE:$DE=Cliente!$E48)),1),0)</f>
        <v>0</v>
      </c>
      <c r="CH48" s="60" cm="1">
        <f t="array" ref="CH48">IFERROR(LARGE(_xlfn._xlws.FILTER('Base Kpi'!$DL:$DL,('Base Kpi'!$DK:$DK=$CH$5)*('Base Kpi'!$DE:$DE=Cliente!$E48)),1),0)</f>
        <v>0</v>
      </c>
      <c r="CI48" s="60" cm="1">
        <f t="array" ref="CI48">IFERROR(LARGE(_xlfn._xlws.FILTER('Base Kpi'!$DL:$DL,('Base Kpi'!$DK:$DK=$CI$5)*('Base Kpi'!$DE:$DE=Cliente!$E48)),1),0)</f>
        <v>0</v>
      </c>
      <c r="CJ48" s="60" cm="1">
        <f t="array" ref="CJ48">IFERROR(LARGE(_xlfn._xlws.FILTER('Base Kpi'!$DL:$DL,('Base Kpi'!$DK:$DK=$CJ$5)*('Base Kpi'!$DE:$DE=Cliente!$E48)),1),0)</f>
        <v>0</v>
      </c>
      <c r="CK48" s="60" cm="1">
        <f t="array" ref="CK48">IFERROR(LARGE(_xlfn._xlws.FILTER('Base Kpi'!$DL:$DL,('Base Kpi'!$DK:$DK=$CK$5)*('Base Kpi'!$DE:$DE=Cliente!$E48)),1),0)</f>
        <v>0</v>
      </c>
      <c r="CL48" s="94">
        <f t="shared" si="77"/>
        <v>0</v>
      </c>
      <c r="CM48" s="95">
        <f t="shared" si="47"/>
        <v>0</v>
      </c>
      <c r="CN48" s="60">
        <f>IFERROR(AVERAGEIFS('Base Kpi'!$DX:$DX,'Base Kpi'!$DQ:$DQ,Cliente!$E48,'Base Kpi'!$DW:$DW,Cliente!CN$5),0)</f>
        <v>27.2</v>
      </c>
      <c r="CO48" s="92">
        <f>IFERROR(AVERAGEIFS('Base Kpi'!$DX:$DX,'Base Kpi'!$DQ:$DQ,Cliente!$E48,'Base Kpi'!$DW:$DW,Cliente!CO$5),0)</f>
        <v>5</v>
      </c>
      <c r="CP48" s="92">
        <f>IFERROR(AVERAGEIFS('Base Kpi'!$DX:$DX,'Base Kpi'!$DQ:$DQ,Cliente!$E48,'Base Kpi'!$DW:$DW,Cliente!CP$5),0)</f>
        <v>5</v>
      </c>
      <c r="CQ48" s="92">
        <f>IFERROR(AVERAGEIFS('Base Kpi'!$DX:$DX,'Base Kpi'!$DQ:$DQ,Cliente!$E48,'Base Kpi'!$DW:$DW,Cliente!CQ$5),0)</f>
        <v>18</v>
      </c>
      <c r="CR48" s="92">
        <f>IFERROR(AVERAGEIFS('Base Kpi'!$DX:$DX,'Base Kpi'!$DQ:$DQ,Cliente!$E48,'Base Kpi'!$DW:$DW,Cliente!CR$5),0)</f>
        <v>21.425000000000001</v>
      </c>
      <c r="CS48" s="92">
        <f>IFERROR(AVERAGEIFS('Base Kpi'!$DX:$DX,'Base Kpi'!$DQ:$DQ,Cliente!$E48,'Base Kpi'!$DW:$DW,Cliente!CS$5),0)</f>
        <v>12</v>
      </c>
      <c r="CT48" s="92">
        <f>IFERROR(AVERAGEIFS('Base Kpi'!$DX:$DX,'Base Kpi'!$DQ:$DQ,Cliente!$E48,'Base Kpi'!$DW:$DW,Cliente!CT$5),0)</f>
        <v>0</v>
      </c>
      <c r="CU48" s="94">
        <f t="shared" si="67"/>
        <v>88.625</v>
      </c>
      <c r="CV48" s="95">
        <f t="shared" si="68"/>
        <v>1</v>
      </c>
      <c r="CW48" s="60">
        <f>IFERROR(AVERAGEIFS('Base Kpi'!$EJ:$EJ,'Base Kpi'!$EC:$EC,Cliente!$E48,'Base Kpi'!$EI:$EI,Cliente!CW$5),0)</f>
        <v>28.8</v>
      </c>
      <c r="CX48" s="92">
        <f>IFERROR(AVERAGEIFS('Base Kpi'!$EJ:$EJ,'Base Kpi'!$EC:$EC,Cliente!$E48,'Base Kpi'!$EI:$EI,Cliente!CX$5),0)</f>
        <v>5</v>
      </c>
      <c r="CY48" s="92">
        <f>IFERROR(AVERAGEIFS('Base Kpi'!$EJ:$EJ,'Base Kpi'!$EC:$EC,Cliente!$E48,'Base Kpi'!$EI:$EI,Cliente!CY$5),0)</f>
        <v>5</v>
      </c>
      <c r="CZ48" s="92">
        <f>IFERROR(AVERAGEIFS('Base Kpi'!$EJ:$EJ,'Base Kpi'!$EC:$EC,Cliente!$E48,'Base Kpi'!$EI:$EI,Cliente!CZ$5),0)</f>
        <v>18</v>
      </c>
      <c r="DA48" s="92">
        <f>IFERROR(AVERAGEIFS('Base Kpi'!$EJ:$EJ,'Base Kpi'!$EC:$EC,Cliente!$E48,'Base Kpi'!$EI:$EI,Cliente!DA$5),0)</f>
        <v>21.425000000000001</v>
      </c>
      <c r="DB48" s="92">
        <f>IFERROR(AVERAGEIFS('Base Kpi'!$EJ:$EJ,'Base Kpi'!$EC:$EC,Cliente!$E48,'Base Kpi'!$EI:$EI,Cliente!DB$5),0)</f>
        <v>9</v>
      </c>
      <c r="DC48" s="92">
        <f>IFERROR(AVERAGEIFS('Base Kpi'!$EJ:$EJ,'Base Kpi'!$EC:$EC,Cliente!$E48,'Base Kpi'!$EI:$EI,Cliente!DC$5),0)</f>
        <v>0</v>
      </c>
      <c r="DD48" s="94">
        <f t="shared" si="69"/>
        <v>87.224999999999994</v>
      </c>
      <c r="DE48" s="95">
        <f t="shared" si="70"/>
        <v>1</v>
      </c>
      <c r="DF48" s="120"/>
    </row>
    <row r="49" spans="2:110" x14ac:dyDescent="0.35">
      <c r="B49" s="52" t="s">
        <v>42</v>
      </c>
      <c r="C49" s="21">
        <v>359</v>
      </c>
      <c r="D49" s="21" t="s">
        <v>433</v>
      </c>
      <c r="E49" s="21">
        <v>64883</v>
      </c>
      <c r="F49" s="16" t="s">
        <v>7</v>
      </c>
      <c r="G49" s="16" t="s">
        <v>227</v>
      </c>
      <c r="H49" s="16" t="s">
        <v>229</v>
      </c>
      <c r="I49" s="16" t="s">
        <v>230</v>
      </c>
      <c r="J49" s="16" t="s">
        <v>88</v>
      </c>
      <c r="K49" s="34" t="s">
        <v>49</v>
      </c>
      <c r="L49" s="60">
        <f t="shared" si="55"/>
        <v>78.693333333333342</v>
      </c>
      <c r="M49" s="97">
        <f t="shared" si="56"/>
        <v>1</v>
      </c>
      <c r="N49" s="43">
        <f t="shared" si="52"/>
        <v>0</v>
      </c>
      <c r="O49" s="60">
        <f>IFERROR(AVERAGEIFS('Base Kpi'!$I:$I,'Base Kpi'!$B:$B,Cliente!$E49,'Base Kpi'!$G:$G,Cliente!O$5),0)</f>
        <v>25.71</v>
      </c>
      <c r="P49" s="92">
        <f>IFERROR(AVERAGEIFS('Base Kpi'!$I:$I,'Base Kpi'!$B:$B,Cliente!$E49,'Base Kpi'!$G:$G,Cliente!P$5),0)</f>
        <v>8</v>
      </c>
      <c r="Q49" s="92">
        <f>IFERROR(AVERAGEIFS('Base Kpi'!$I:$I,'Base Kpi'!$B:$B,Cliente!$E49,'Base Kpi'!$G:$G,Cliente!Q$5),0)</f>
        <v>10.199999999999999</v>
      </c>
      <c r="R49" s="92">
        <f>IFERROR(AVERAGEIFS('Base Kpi'!$I:$I,'Base Kpi'!$B:$B,Cliente!$E49,'Base Kpi'!$G:$G,Cliente!R$5),0)</f>
        <v>32.625</v>
      </c>
      <c r="S49" s="94">
        <f t="shared" si="57"/>
        <v>76.534999999999997</v>
      </c>
      <c r="T49" s="95">
        <f t="shared" si="58"/>
        <v>0</v>
      </c>
      <c r="U49" s="60">
        <f>IFERROR(AVERAGEIFS('Base Kpi'!$T:$T,'Base Kpi'!$M:$M,Cliente!$E49,'Base Kpi'!$S:$S,Cliente!U$5),0)</f>
        <v>25.71</v>
      </c>
      <c r="V49" s="92">
        <f>IFERROR(AVERAGEIFS('Base Kpi'!$T:$T,'Base Kpi'!$M:$M,Cliente!$E49,'Base Kpi'!$S:$S,Cliente!V$5),0)</f>
        <v>8</v>
      </c>
      <c r="W49" s="92">
        <f>IFERROR(AVERAGEIFS('Base Kpi'!$T:$T,'Base Kpi'!$M:$M,Cliente!$E49,'Base Kpi'!$S:$S,Cliente!W$5),0)</f>
        <v>8.5</v>
      </c>
      <c r="X49" s="92">
        <f>IFERROR(AVERAGEIFS('Base Kpi'!$T:$T,'Base Kpi'!$M:$M,Cliente!$E49,'Base Kpi'!$S:$S,Cliente!X$5),0)</f>
        <v>34.875</v>
      </c>
      <c r="Y49" s="94">
        <f t="shared" si="59"/>
        <v>77.085000000000008</v>
      </c>
      <c r="Z49" s="95">
        <f t="shared" si="60"/>
        <v>0</v>
      </c>
      <c r="AA49" s="60">
        <f>IFERROR(AVERAGEIFS('Base Kpi'!$AF:$AF,'Base Kpi'!$Y:$Y,Cliente!$E49,'Base Kpi'!$AE:$AE,Cliente!AA$5),0)</f>
        <v>25.71</v>
      </c>
      <c r="AB49" s="92">
        <f>IFERROR(AVERAGEIFS('Base Kpi'!$AF:$AF,'Base Kpi'!$Y:$Y,Cliente!$E49,'Base Kpi'!$AE:$AE,Cliente!AB$5),0)</f>
        <v>8</v>
      </c>
      <c r="AC49" s="92">
        <f>IFERROR(AVERAGEIFS('Base Kpi'!$AF:$AF,'Base Kpi'!$Y:$Y,Cliente!$E49,'Base Kpi'!$AE:$AE,Cliente!AC$5),0)</f>
        <v>12.75</v>
      </c>
      <c r="AD49" s="92">
        <f>IFERROR(AVERAGEIFS('Base Kpi'!$AF:$AF,'Base Kpi'!$Y:$Y,Cliente!$E49,'Base Kpi'!$AE:$AE,Cliente!AD$5),0)</f>
        <v>36</v>
      </c>
      <c r="AE49" s="94">
        <f t="shared" si="61"/>
        <v>82.460000000000008</v>
      </c>
      <c r="AF49" s="95">
        <f t="shared" si="62"/>
        <v>1</v>
      </c>
      <c r="AG49" s="60">
        <f t="shared" si="71"/>
        <v>45.056666666666672</v>
      </c>
      <c r="AH49" s="97">
        <f t="shared" si="72"/>
        <v>0</v>
      </c>
      <c r="AI49" s="88">
        <f t="shared" si="63"/>
        <v>0</v>
      </c>
      <c r="AJ49" s="92">
        <f>IFERROR(AVERAGEIFS('Base Kpi'!$AR:$AR,'Base Kpi'!$AK:$AK,Cliente!$E49,'Base Kpi'!$AQ:$AQ,AJ$5),0)</f>
        <v>0</v>
      </c>
      <c r="AK49" s="92">
        <f>IFERROR(AVERAGEIFS('Base Kpi'!$AR:$AR,'Base Kpi'!$AK:$AK,Cliente!$E49,'Base Kpi'!$AQ:$AQ,AK$5),0)</f>
        <v>0</v>
      </c>
      <c r="AL49" s="92">
        <f>IFERROR(AVERAGEIFS('Base Kpi'!$AR:$AR,'Base Kpi'!$AK:$AK,Cliente!$E49,'Base Kpi'!$AQ:$AQ,AL$5),0)</f>
        <v>0</v>
      </c>
      <c r="AM49" s="92">
        <f>IFERROR(AVERAGEIFS('Base Kpi'!$AR:$AR,'Base Kpi'!$AK:$AK,Cliente!$E49,'Base Kpi'!$AQ:$AQ,AM$5),0)</f>
        <v>0</v>
      </c>
      <c r="AN49" s="94">
        <f t="shared" si="53"/>
        <v>0</v>
      </c>
      <c r="AO49" s="95">
        <f t="shared" si="13"/>
        <v>0</v>
      </c>
      <c r="AP49" s="60">
        <f>IFERROR(AVERAGEIFS('Base Kpi'!$BD:$BD,'Base Kpi'!$AW:$AW,Cliente!$E49,'Base Kpi'!$BC:$BC,Cliente!AP$5),0)</f>
        <v>25</v>
      </c>
      <c r="AQ49" s="92">
        <f>IFERROR(AVERAGEIFS('Base Kpi'!$BD:$BD,'Base Kpi'!$AW:$AW,Cliente!$E49,'Base Kpi'!$BC:$BC,Cliente!AQ$5),0)</f>
        <v>1.665</v>
      </c>
      <c r="AR49" s="92">
        <f>IFERROR(AVERAGEIFS('Base Kpi'!$BD:$BD,'Base Kpi'!$AW:$AW,Cliente!$E49,'Base Kpi'!$BC:$BC,Cliente!AR$5),0)</f>
        <v>9</v>
      </c>
      <c r="AS49" s="92">
        <f>IFERROR(AVERAGEIFS('Base Kpi'!$BD:$BD,'Base Kpi'!$AW:$AW,Cliente!$E49,'Base Kpi'!$BC:$BC,Cliente!AS$5),0)</f>
        <v>23.48</v>
      </c>
      <c r="AT49" s="92">
        <f>IFERROR(AVERAGEIFS('Base Kpi'!$BD:$BD,'Base Kpi'!$AW:$AW,Cliente!$E49,'Base Kpi'!$BC:$BC,Cliente!AT$5),0)</f>
        <v>0</v>
      </c>
      <c r="AU49" s="94">
        <f t="shared" si="54"/>
        <v>59.144999999999996</v>
      </c>
      <c r="AV49" s="95">
        <f t="shared" si="78"/>
        <v>1</v>
      </c>
      <c r="AW49" s="60">
        <f>IFERROR(AVERAGEIFS('Base Kpi'!$BP:$BP,'Base Kpi'!$BI:$BI,Cliente!$E49,'Base Kpi'!$BO:$BO,Cliente!AW$5),0)</f>
        <v>21.425000000000001</v>
      </c>
      <c r="AX49" s="92">
        <f>IFERROR(AVERAGEIFS('Base Kpi'!$BP:$BP,'Base Kpi'!$BI:$BI,Cliente!$E49,'Base Kpi'!$BO:$BO,Cliente!AX$5),0)</f>
        <v>5</v>
      </c>
      <c r="AY49" s="92">
        <f>IFERROR(AVERAGEIFS('Base Kpi'!$BP:$BP,'Base Kpi'!$BI:$BI,Cliente!$E49,'Base Kpi'!$BO:$BO,Cliente!AY$5),0)</f>
        <v>9</v>
      </c>
      <c r="AZ49" s="92">
        <f>IFERROR(AVERAGEIFS('Base Kpi'!$BP:$BP,'Base Kpi'!$BI:$BI,Cliente!$E49,'Base Kpi'!$BO:$BO,Cliente!AZ$5),0)</f>
        <v>22.6</v>
      </c>
      <c r="BA49" s="92">
        <f>IFERROR(AVERAGEIFS('Base Kpi'!$BP:$BP,'Base Kpi'!$BI:$BI,Cliente!$E49,'Base Kpi'!$BO:$BO,Cliente!BA$5),0)</f>
        <v>18</v>
      </c>
      <c r="BB49" s="94">
        <f t="shared" si="73"/>
        <v>76.025000000000006</v>
      </c>
      <c r="BC49" s="95">
        <f t="shared" si="79"/>
        <v>1</v>
      </c>
      <c r="BD49" s="60">
        <f t="shared" si="42"/>
        <v>27.8</v>
      </c>
      <c r="BE49" s="97">
        <f t="shared" si="80"/>
        <v>0</v>
      </c>
      <c r="BF49" s="88">
        <f t="shared" si="81"/>
        <v>0</v>
      </c>
      <c r="BG49" s="60">
        <f>IFERROR(AVERAGEIFS('Base Kpi'!$CB:$CB,'Base Kpi'!$BU:$BU,Cliente!$E49,'Base Kpi'!$CA:$CA,Cliente!BG$5),0)</f>
        <v>0</v>
      </c>
      <c r="BH49" s="92">
        <f>IFERROR(AVERAGEIFS('Base Kpi'!$CB:$CB,'Base Kpi'!$BU:$BU,Cliente!$E49,'Base Kpi'!$CA:$CA,Cliente!BH$5),0)</f>
        <v>0</v>
      </c>
      <c r="BI49" s="92">
        <f>IFERROR(AVERAGEIFS('Base Kpi'!$CB:$CB,'Base Kpi'!$BU:$BU,Cliente!$E49,'Base Kpi'!$CA:$CA,Cliente!BI$5),0)</f>
        <v>0</v>
      </c>
      <c r="BJ49" s="92">
        <f>IFERROR(AVERAGEIFS('Base Kpi'!$CB:$CB,'Base Kpi'!$BU:$BU,Cliente!$E49,'Base Kpi'!$CA:$CA,Cliente!BJ$5),0)</f>
        <v>0</v>
      </c>
      <c r="BK49" s="92">
        <f>IFERROR(AVERAGEIFS('Base Kpi'!$CB:$CB,'Base Kpi'!$BU:$BU,Cliente!$E49,'Base Kpi'!$CA:$CA,Cliente!BK$5),0)</f>
        <v>0</v>
      </c>
      <c r="BL49" s="94">
        <f t="shared" si="74"/>
        <v>0</v>
      </c>
      <c r="BM49" s="95">
        <f t="shared" si="82"/>
        <v>0</v>
      </c>
      <c r="BN49" s="60">
        <f>IFERROR(AVERAGEIFS('Base Kpi'!$CN:$CN,'Base Kpi'!$CG:$CG,Cliente!$E49,'Base Kpi'!$CM:$CM,Cliente!BN$5),0)</f>
        <v>0</v>
      </c>
      <c r="BO49" s="92">
        <f>IFERROR(AVERAGEIFS('Base Kpi'!$CN:$CN,'Base Kpi'!$CG:$CG,Cliente!$E49,'Base Kpi'!$CM:$CM,Cliente!BO$5),0)</f>
        <v>0</v>
      </c>
      <c r="BP49" s="92">
        <f>IFERROR(AVERAGEIFS('Base Kpi'!$CN:$CN,'Base Kpi'!$CG:$CG,Cliente!$E49,'Base Kpi'!$CM:$CM,Cliente!BP$5),0)</f>
        <v>0</v>
      </c>
      <c r="BQ49" s="92">
        <f>IFERROR(AVERAGEIFS('Base Kpi'!$CN:$CN,'Base Kpi'!$CG:$CG,Cliente!$E49,'Base Kpi'!$CM:$CM,Cliente!BQ$5),0)</f>
        <v>0</v>
      </c>
      <c r="BR49" s="92">
        <f>IFERROR(AVERAGEIFS('Base Kpi'!$CN:$CN,'Base Kpi'!$CG:$CG,Cliente!$E49,'Base Kpi'!$CM:$CM,Cliente!BR$5),0)</f>
        <v>0</v>
      </c>
      <c r="BS49" s="94">
        <f t="shared" si="75"/>
        <v>0</v>
      </c>
      <c r="BT49" s="95">
        <f t="shared" si="83"/>
        <v>0</v>
      </c>
      <c r="BU49" s="60">
        <f>IFERROR(AVERAGEIFS('Base Kpi'!$CZ:$CZ,'Base Kpi'!$CS:$CS,Cliente!$E49,'Base Kpi'!$CY:$CY,Cliente!BU$5),0)</f>
        <v>25</v>
      </c>
      <c r="BV49" s="92">
        <f>IFERROR(AVERAGEIFS('Base Kpi'!$CZ:$CZ,'Base Kpi'!$CS:$CS,Cliente!$E49,'Base Kpi'!$CY:$CY,Cliente!BV$5),0)</f>
        <v>5</v>
      </c>
      <c r="BW49" s="92">
        <f>IFERROR(AVERAGEIFS('Base Kpi'!$CZ:$CZ,'Base Kpi'!$CS:$CS,Cliente!$E49,'Base Kpi'!$CY:$CY,Cliente!BW$5),0)</f>
        <v>9</v>
      </c>
      <c r="BX49" s="92">
        <f>IFERROR(AVERAGEIFS('Base Kpi'!$CZ:$CZ,'Base Kpi'!$CS:$CS,Cliente!$E49,'Base Kpi'!$CY:$CY,Cliente!BX$5),0)</f>
        <v>26.4</v>
      </c>
      <c r="BY49" s="92">
        <f>IFERROR(AVERAGEIFS('Base Kpi'!$CZ:$CZ,'Base Kpi'!$CS:$CS,Cliente!$E49,'Base Kpi'!$CY:$CY,Cliente!BY$5),0)</f>
        <v>18</v>
      </c>
      <c r="BZ49" s="94">
        <f t="shared" si="76"/>
        <v>83.4</v>
      </c>
      <c r="CA49" s="95">
        <f t="shared" si="84"/>
        <v>1</v>
      </c>
      <c r="CB49" s="60">
        <f t="shared" si="64"/>
        <v>89.283333333333346</v>
      </c>
      <c r="CC49" s="97">
        <f t="shared" si="65"/>
        <v>1</v>
      </c>
      <c r="CD49" s="43">
        <f t="shared" si="66"/>
        <v>1</v>
      </c>
      <c r="CE49" s="60" cm="1">
        <f t="array" ref="CE49">IFERROR(LARGE(_xlfn._xlws.FILTER('Base Kpi'!$DL:$DL,('Base Kpi'!$DK:$DK=$CE$5)*('Base Kpi'!$DE:$DE=Cliente!$E49)),1),0)</f>
        <v>27.2</v>
      </c>
      <c r="CF49" s="60" cm="1">
        <f t="array" ref="CF49">IFERROR(LARGE(_xlfn._xlws.FILTER('Base Kpi'!$DL:$DL,('Base Kpi'!$DK:$DK=$CF$5)*('Base Kpi'!$DE:$DE=Cliente!$E49)),1),0)</f>
        <v>5</v>
      </c>
      <c r="CG49" s="60" cm="1">
        <f t="array" ref="CG49">IFERROR(LARGE(_xlfn._xlws.FILTER('Base Kpi'!$DL:$DL,('Base Kpi'!$DK:$DK=$CG$5)*('Base Kpi'!$DE:$DE=Cliente!$E49)),1),0)</f>
        <v>5</v>
      </c>
      <c r="CH49" s="60" cm="1">
        <f t="array" ref="CH49">IFERROR(LARGE(_xlfn._xlws.FILTER('Base Kpi'!$DL:$DL,('Base Kpi'!$DK:$DK=$CH$5)*('Base Kpi'!$DE:$DE=Cliente!$E49)),1),0)</f>
        <v>18</v>
      </c>
      <c r="CI49" s="60" cm="1">
        <f t="array" ref="CI49">IFERROR(LARGE(_xlfn._xlws.FILTER('Base Kpi'!$DL:$DL,('Base Kpi'!$DK:$DK=$CI$5)*('Base Kpi'!$DE:$DE=Cliente!$E49)),1),0)</f>
        <v>25</v>
      </c>
      <c r="CJ49" s="60" cm="1">
        <f t="array" ref="CJ49">IFERROR(LARGE(_xlfn._xlws.FILTER('Base Kpi'!$DL:$DL,('Base Kpi'!$DK:$DK=$CJ$5)*('Base Kpi'!$DE:$DE=Cliente!$E49)),1),0)</f>
        <v>12</v>
      </c>
      <c r="CK49" s="60" cm="1">
        <f t="array" ref="CK49">IFERROR(LARGE(_xlfn._xlws.FILTER('Base Kpi'!$DL:$DL,('Base Kpi'!$DK:$DK=$CK$5)*('Base Kpi'!$DE:$DE=Cliente!$E49)),1),0)</f>
        <v>0</v>
      </c>
      <c r="CL49" s="94">
        <f t="shared" si="77"/>
        <v>92.2</v>
      </c>
      <c r="CM49" s="95">
        <f t="shared" si="47"/>
        <v>1</v>
      </c>
      <c r="CN49" s="60">
        <f>IFERROR(AVERAGEIFS('Base Kpi'!$DX:$DX,'Base Kpi'!$DQ:$DQ,Cliente!$E49,'Base Kpi'!$DW:$DW,Cliente!CN$5),0)</f>
        <v>25.6</v>
      </c>
      <c r="CO49" s="92">
        <f>IFERROR(AVERAGEIFS('Base Kpi'!$DX:$DX,'Base Kpi'!$DQ:$DQ,Cliente!$E49,'Base Kpi'!$DW:$DW,Cliente!CO$5),0)</f>
        <v>5</v>
      </c>
      <c r="CP49" s="92">
        <f>IFERROR(AVERAGEIFS('Base Kpi'!$DX:$DX,'Base Kpi'!$DQ:$DQ,Cliente!$E49,'Base Kpi'!$DW:$DW,Cliente!CP$5),0)</f>
        <v>5</v>
      </c>
      <c r="CQ49" s="92">
        <f>IFERROR(AVERAGEIFS('Base Kpi'!$DX:$DX,'Base Kpi'!$DQ:$DQ,Cliente!$E49,'Base Kpi'!$DW:$DW,Cliente!CQ$5),0)</f>
        <v>18</v>
      </c>
      <c r="CR49" s="92">
        <f>IFERROR(AVERAGEIFS('Base Kpi'!$DX:$DX,'Base Kpi'!$DQ:$DQ,Cliente!$E49,'Base Kpi'!$DW:$DW,Cliente!CR$5),0)</f>
        <v>21.425000000000001</v>
      </c>
      <c r="CS49" s="92">
        <f>IFERROR(AVERAGEIFS('Base Kpi'!$DX:$DX,'Base Kpi'!$DQ:$DQ,Cliente!$E49,'Base Kpi'!$DW:$DW,Cliente!CS$5),0)</f>
        <v>12</v>
      </c>
      <c r="CT49" s="92">
        <f>IFERROR(AVERAGEIFS('Base Kpi'!$DX:$DX,'Base Kpi'!$DQ:$DQ,Cliente!$E49,'Base Kpi'!$DW:$DW,Cliente!CT$5),0)</f>
        <v>0</v>
      </c>
      <c r="CU49" s="94">
        <f t="shared" si="67"/>
        <v>87.025000000000006</v>
      </c>
      <c r="CV49" s="95">
        <f t="shared" si="68"/>
        <v>1</v>
      </c>
      <c r="CW49" s="60">
        <f>IFERROR(AVERAGEIFS('Base Kpi'!$EJ:$EJ,'Base Kpi'!$EC:$EC,Cliente!$E49,'Base Kpi'!$EI:$EI,Cliente!CW$5),0)</f>
        <v>27.2</v>
      </c>
      <c r="CX49" s="92">
        <f>IFERROR(AVERAGEIFS('Base Kpi'!$EJ:$EJ,'Base Kpi'!$EC:$EC,Cliente!$E49,'Base Kpi'!$EI:$EI,Cliente!CX$5),0)</f>
        <v>5</v>
      </c>
      <c r="CY49" s="92">
        <f>IFERROR(AVERAGEIFS('Base Kpi'!$EJ:$EJ,'Base Kpi'!$EC:$EC,Cliente!$E49,'Base Kpi'!$EI:$EI,Cliente!CY$5),0)</f>
        <v>5</v>
      </c>
      <c r="CZ49" s="92">
        <f>IFERROR(AVERAGEIFS('Base Kpi'!$EJ:$EJ,'Base Kpi'!$EC:$EC,Cliente!$E49,'Base Kpi'!$EI:$EI,Cliente!CZ$5),0)</f>
        <v>18</v>
      </c>
      <c r="DA49" s="92">
        <f>IFERROR(AVERAGEIFS('Base Kpi'!$EJ:$EJ,'Base Kpi'!$EC:$EC,Cliente!$E49,'Base Kpi'!$EI:$EI,Cliente!DA$5),0)</f>
        <v>21.425000000000001</v>
      </c>
      <c r="DB49" s="92">
        <f>IFERROR(AVERAGEIFS('Base Kpi'!$EJ:$EJ,'Base Kpi'!$EC:$EC,Cliente!$E49,'Base Kpi'!$EI:$EI,Cliente!DB$5),0)</f>
        <v>12</v>
      </c>
      <c r="DC49" s="92">
        <f>IFERROR(AVERAGEIFS('Base Kpi'!$EJ:$EJ,'Base Kpi'!$EC:$EC,Cliente!$E49,'Base Kpi'!$EI:$EI,Cliente!DC$5),0)</f>
        <v>0</v>
      </c>
      <c r="DD49" s="94">
        <f t="shared" si="69"/>
        <v>88.625</v>
      </c>
      <c r="DE49" s="95">
        <f t="shared" si="70"/>
        <v>1</v>
      </c>
      <c r="DF49" s="120"/>
    </row>
    <row r="50" spans="2:110" x14ac:dyDescent="0.35">
      <c r="B50" s="52" t="s">
        <v>42</v>
      </c>
      <c r="C50" s="21">
        <v>359</v>
      </c>
      <c r="D50" s="21" t="s">
        <v>433</v>
      </c>
      <c r="E50" s="21">
        <v>73977</v>
      </c>
      <c r="F50" s="16" t="s">
        <v>7</v>
      </c>
      <c r="G50" s="16" t="s">
        <v>227</v>
      </c>
      <c r="H50" s="16" t="s">
        <v>231</v>
      </c>
      <c r="I50" s="16" t="s">
        <v>176</v>
      </c>
      <c r="J50" s="16" t="s">
        <v>90</v>
      </c>
      <c r="K50" s="34" t="s">
        <v>49</v>
      </c>
      <c r="L50" s="60">
        <f t="shared" si="55"/>
        <v>67.541666666666671</v>
      </c>
      <c r="M50" s="97">
        <f t="shared" si="56"/>
        <v>1</v>
      </c>
      <c r="N50" s="43">
        <f t="shared" si="52"/>
        <v>0</v>
      </c>
      <c r="O50" s="60">
        <f>IFERROR(AVERAGEIFS('Base Kpi'!$I:$I,'Base Kpi'!$B:$B,Cliente!$E50,'Base Kpi'!$G:$G,Cliente!O$5),0)</f>
        <v>25.71</v>
      </c>
      <c r="P50" s="92">
        <f>IFERROR(AVERAGEIFS('Base Kpi'!$I:$I,'Base Kpi'!$B:$B,Cliente!$E50,'Base Kpi'!$G:$G,Cliente!P$5),0)</f>
        <v>0</v>
      </c>
      <c r="Q50" s="92">
        <f>IFERROR(AVERAGEIFS('Base Kpi'!$I:$I,'Base Kpi'!$B:$B,Cliente!$E50,'Base Kpi'!$G:$G,Cliente!Q$5),0)</f>
        <v>10.199999999999999</v>
      </c>
      <c r="R50" s="92">
        <f>IFERROR(AVERAGEIFS('Base Kpi'!$I:$I,'Base Kpi'!$B:$B,Cliente!$E50,'Base Kpi'!$G:$G,Cliente!R$5),0)</f>
        <v>29.25</v>
      </c>
      <c r="S50" s="94">
        <f t="shared" si="57"/>
        <v>65.16</v>
      </c>
      <c r="T50" s="95">
        <f t="shared" si="58"/>
        <v>0</v>
      </c>
      <c r="U50" s="60">
        <f>IFERROR(AVERAGEIFS('Base Kpi'!$T:$T,'Base Kpi'!$M:$M,Cliente!$E50,'Base Kpi'!$S:$S,Cliente!U$5),0)</f>
        <v>21.42</v>
      </c>
      <c r="V50" s="92">
        <f>IFERROR(AVERAGEIFS('Base Kpi'!$T:$T,'Base Kpi'!$M:$M,Cliente!$E50,'Base Kpi'!$S:$S,Cliente!V$5),0)</f>
        <v>8</v>
      </c>
      <c r="W50" s="92">
        <f>IFERROR(AVERAGEIFS('Base Kpi'!$T:$T,'Base Kpi'!$M:$M,Cliente!$E50,'Base Kpi'!$S:$S,Cliente!W$5),0)</f>
        <v>8.5</v>
      </c>
      <c r="X50" s="92">
        <f>IFERROR(AVERAGEIFS('Base Kpi'!$T:$T,'Base Kpi'!$M:$M,Cliente!$E50,'Base Kpi'!$S:$S,Cliente!X$5),0)</f>
        <v>28.125</v>
      </c>
      <c r="Y50" s="94">
        <f t="shared" si="59"/>
        <v>66.045000000000002</v>
      </c>
      <c r="Z50" s="95">
        <f t="shared" si="60"/>
        <v>0</v>
      </c>
      <c r="AA50" s="60">
        <f>IFERROR(AVERAGEIFS('Base Kpi'!$AF:$AF,'Base Kpi'!$Y:$Y,Cliente!$E50,'Base Kpi'!$AE:$AE,Cliente!AA$5),0)</f>
        <v>21.42</v>
      </c>
      <c r="AB50" s="92">
        <f>IFERROR(AVERAGEIFS('Base Kpi'!$AF:$AF,'Base Kpi'!$Y:$Y,Cliente!$E50,'Base Kpi'!$AE:$AE,Cliente!AB$5),0)</f>
        <v>8</v>
      </c>
      <c r="AC50" s="92">
        <f>IFERROR(AVERAGEIFS('Base Kpi'!$AF:$AF,'Base Kpi'!$Y:$Y,Cliente!$E50,'Base Kpi'!$AE:$AE,Cliente!AC$5),0)</f>
        <v>12.75</v>
      </c>
      <c r="AD50" s="92">
        <f>IFERROR(AVERAGEIFS('Base Kpi'!$AF:$AF,'Base Kpi'!$Y:$Y,Cliente!$E50,'Base Kpi'!$AE:$AE,Cliente!AD$5),0)</f>
        <v>29.25</v>
      </c>
      <c r="AE50" s="94">
        <f t="shared" si="61"/>
        <v>71.42</v>
      </c>
      <c r="AF50" s="95">
        <f t="shared" si="62"/>
        <v>0</v>
      </c>
      <c r="AG50" s="60">
        <f t="shared" si="71"/>
        <v>42.03</v>
      </c>
      <c r="AH50" s="97">
        <f t="shared" si="72"/>
        <v>0</v>
      </c>
      <c r="AI50" s="88">
        <f t="shared" si="63"/>
        <v>0</v>
      </c>
      <c r="AJ50" s="92">
        <f>IFERROR(AVERAGEIFS('Base Kpi'!$AR:$AR,'Base Kpi'!$AK:$AK,Cliente!$E50,'Base Kpi'!$AQ:$AQ,AJ$5),0)</f>
        <v>0</v>
      </c>
      <c r="AK50" s="92">
        <f>IFERROR(AVERAGEIFS('Base Kpi'!$AR:$AR,'Base Kpi'!$AK:$AK,Cliente!$E50,'Base Kpi'!$AQ:$AQ,AK$5),0)</f>
        <v>0</v>
      </c>
      <c r="AL50" s="92">
        <f>IFERROR(AVERAGEIFS('Base Kpi'!$AR:$AR,'Base Kpi'!$AK:$AK,Cliente!$E50,'Base Kpi'!$AQ:$AQ,AL$5),0)</f>
        <v>0</v>
      </c>
      <c r="AM50" s="92">
        <f>IFERROR(AVERAGEIFS('Base Kpi'!$AR:$AR,'Base Kpi'!$AK:$AK,Cliente!$E50,'Base Kpi'!$AQ:$AQ,AM$5),0)</f>
        <v>0</v>
      </c>
      <c r="AN50" s="94">
        <f t="shared" si="53"/>
        <v>0</v>
      </c>
      <c r="AO50" s="95">
        <f t="shared" si="13"/>
        <v>0</v>
      </c>
      <c r="AP50" s="60">
        <f>IFERROR(AVERAGEIFS('Base Kpi'!$BD:$BD,'Base Kpi'!$AW:$AW,Cliente!$E50,'Base Kpi'!$BC:$BC,Cliente!AP$5),0)</f>
        <v>25</v>
      </c>
      <c r="AQ50" s="92">
        <f>IFERROR(AVERAGEIFS('Base Kpi'!$BD:$BD,'Base Kpi'!$AW:$AW,Cliente!$E50,'Base Kpi'!$BC:$BC,Cliente!AQ$5),0)</f>
        <v>1.665</v>
      </c>
      <c r="AR50" s="92">
        <f>IFERROR(AVERAGEIFS('Base Kpi'!$BD:$BD,'Base Kpi'!$AW:$AW,Cliente!$E50,'Base Kpi'!$BC:$BC,Cliente!AR$5),0)</f>
        <v>6</v>
      </c>
      <c r="AS50" s="92">
        <f>IFERROR(AVERAGEIFS('Base Kpi'!$BD:$BD,'Base Kpi'!$AW:$AW,Cliente!$E50,'Base Kpi'!$BC:$BC,Cliente!AS$5),0)</f>
        <v>24.36</v>
      </c>
      <c r="AT50" s="92">
        <f>IFERROR(AVERAGEIFS('Base Kpi'!$BD:$BD,'Base Kpi'!$AW:$AW,Cliente!$E50,'Base Kpi'!$BC:$BC,Cliente!AT$5),0)</f>
        <v>0</v>
      </c>
      <c r="AU50" s="94">
        <f t="shared" si="54"/>
        <v>57.024999999999999</v>
      </c>
      <c r="AV50" s="95">
        <f t="shared" si="78"/>
        <v>1</v>
      </c>
      <c r="AW50" s="60">
        <f>IFERROR(AVERAGEIFS('Base Kpi'!$BP:$BP,'Base Kpi'!$BI:$BI,Cliente!$E50,'Base Kpi'!$BO:$BO,Cliente!AW$5),0)</f>
        <v>17.850000000000001</v>
      </c>
      <c r="AX50" s="92">
        <f>IFERROR(AVERAGEIFS('Base Kpi'!$BP:$BP,'Base Kpi'!$BI:$BI,Cliente!$E50,'Base Kpi'!$BO:$BO,Cliente!AX$5),0)</f>
        <v>3.335</v>
      </c>
      <c r="AY50" s="92">
        <f>IFERROR(AVERAGEIFS('Base Kpi'!$BP:$BP,'Base Kpi'!$BI:$BI,Cliente!$E50,'Base Kpi'!$BO:$BO,Cliente!AY$5),0)</f>
        <v>9</v>
      </c>
      <c r="AZ50" s="92">
        <f>IFERROR(AVERAGEIFS('Base Kpi'!$BP:$BP,'Base Kpi'!$BI:$BI,Cliente!$E50,'Base Kpi'!$BO:$BO,Cliente!AZ$5),0)</f>
        <v>20.88</v>
      </c>
      <c r="BA50" s="92">
        <f>IFERROR(AVERAGEIFS('Base Kpi'!$BP:$BP,'Base Kpi'!$BI:$BI,Cliente!$E50,'Base Kpi'!$BO:$BO,Cliente!BA$5),0)</f>
        <v>18</v>
      </c>
      <c r="BB50" s="94">
        <f t="shared" si="73"/>
        <v>69.064999999999998</v>
      </c>
      <c r="BC50" s="95">
        <f t="shared" si="79"/>
        <v>1</v>
      </c>
      <c r="BD50" s="60" t="str">
        <f t="shared" si="42"/>
        <v/>
      </c>
      <c r="BE50" s="97">
        <f t="shared" si="80"/>
        <v>0</v>
      </c>
      <c r="BF50" s="88">
        <f t="shared" si="81"/>
        <v>0</v>
      </c>
      <c r="BG50" s="60">
        <f>IFERROR(AVERAGEIFS('Base Kpi'!$CB:$CB,'Base Kpi'!$BU:$BU,Cliente!$E50,'Base Kpi'!$CA:$CA,Cliente!BG$5),0)</f>
        <v>0</v>
      </c>
      <c r="BH50" s="92">
        <f>IFERROR(AVERAGEIFS('Base Kpi'!$CB:$CB,'Base Kpi'!$BU:$BU,Cliente!$E50,'Base Kpi'!$CA:$CA,Cliente!BH$5),0)</f>
        <v>0</v>
      </c>
      <c r="BI50" s="92">
        <f>IFERROR(AVERAGEIFS('Base Kpi'!$CB:$CB,'Base Kpi'!$BU:$BU,Cliente!$E50,'Base Kpi'!$CA:$CA,Cliente!BI$5),0)</f>
        <v>0</v>
      </c>
      <c r="BJ50" s="92">
        <f>IFERROR(AVERAGEIFS('Base Kpi'!$CB:$CB,'Base Kpi'!$BU:$BU,Cliente!$E50,'Base Kpi'!$CA:$CA,Cliente!BJ$5),0)</f>
        <v>0</v>
      </c>
      <c r="BK50" s="92">
        <f>IFERROR(AVERAGEIFS('Base Kpi'!$CB:$CB,'Base Kpi'!$BU:$BU,Cliente!$E50,'Base Kpi'!$CA:$CA,Cliente!BK$5),0)</f>
        <v>0</v>
      </c>
      <c r="BL50" s="94">
        <f t="shared" si="74"/>
        <v>0</v>
      </c>
      <c r="BM50" s="95">
        <f t="shared" si="82"/>
        <v>0</v>
      </c>
      <c r="BN50" s="60">
        <f>IFERROR(AVERAGEIFS('Base Kpi'!$CN:$CN,'Base Kpi'!$CG:$CG,Cliente!$E50,'Base Kpi'!$CM:$CM,Cliente!BN$5),0)</f>
        <v>0</v>
      </c>
      <c r="BO50" s="92">
        <f>IFERROR(AVERAGEIFS('Base Kpi'!$CN:$CN,'Base Kpi'!$CG:$CG,Cliente!$E50,'Base Kpi'!$CM:$CM,Cliente!BO$5),0)</f>
        <v>0</v>
      </c>
      <c r="BP50" s="92">
        <f>IFERROR(AVERAGEIFS('Base Kpi'!$CN:$CN,'Base Kpi'!$CG:$CG,Cliente!$E50,'Base Kpi'!$CM:$CM,Cliente!BP$5),0)</f>
        <v>0</v>
      </c>
      <c r="BQ50" s="92">
        <f>IFERROR(AVERAGEIFS('Base Kpi'!$CN:$CN,'Base Kpi'!$CG:$CG,Cliente!$E50,'Base Kpi'!$CM:$CM,Cliente!BQ$5),0)</f>
        <v>0</v>
      </c>
      <c r="BR50" s="92">
        <f>IFERROR(AVERAGEIFS('Base Kpi'!$CN:$CN,'Base Kpi'!$CG:$CG,Cliente!$E50,'Base Kpi'!$CM:$CM,Cliente!BR$5),0)</f>
        <v>0</v>
      </c>
      <c r="BS50" s="94">
        <f t="shared" si="75"/>
        <v>0</v>
      </c>
      <c r="BT50" s="95">
        <f t="shared" si="83"/>
        <v>0</v>
      </c>
      <c r="BU50" s="60">
        <f>IFERROR(AVERAGEIFS('Base Kpi'!$CZ:$CZ,'Base Kpi'!$CS:$CS,Cliente!$E50,'Base Kpi'!$CY:$CY,Cliente!BU$5),0)</f>
        <v>0</v>
      </c>
      <c r="BV50" s="92">
        <f>IFERROR(AVERAGEIFS('Base Kpi'!$CZ:$CZ,'Base Kpi'!$CS:$CS,Cliente!$E50,'Base Kpi'!$CY:$CY,Cliente!BV$5),0)</f>
        <v>0</v>
      </c>
      <c r="BW50" s="92">
        <f>IFERROR(AVERAGEIFS('Base Kpi'!$CZ:$CZ,'Base Kpi'!$CS:$CS,Cliente!$E50,'Base Kpi'!$CY:$CY,Cliente!BW$5),0)</f>
        <v>0</v>
      </c>
      <c r="BX50" s="92">
        <f>IFERROR(AVERAGEIFS('Base Kpi'!$CZ:$CZ,'Base Kpi'!$CS:$CS,Cliente!$E50,'Base Kpi'!$CY:$CY,Cliente!BX$5),0)</f>
        <v>0</v>
      </c>
      <c r="BY50" s="92">
        <f>IFERROR(AVERAGEIFS('Base Kpi'!$CZ:$CZ,'Base Kpi'!$CS:$CS,Cliente!$E50,'Base Kpi'!$CY:$CY,Cliente!BY$5),0)</f>
        <v>0</v>
      </c>
      <c r="BZ50" s="94">
        <f t="shared" si="76"/>
        <v>0</v>
      </c>
      <c r="CA50" s="95">
        <f t="shared" si="84"/>
        <v>0</v>
      </c>
      <c r="CB50" s="60" t="str">
        <f t="shared" si="64"/>
        <v/>
      </c>
      <c r="CC50" s="97">
        <f t="shared" si="65"/>
        <v>0</v>
      </c>
      <c r="CD50" s="43">
        <f t="shared" si="66"/>
        <v>0</v>
      </c>
      <c r="CE50" s="60" cm="1">
        <f t="array" ref="CE50">IFERROR(LARGE(_xlfn._xlws.FILTER('Base Kpi'!$DL:$DL,('Base Kpi'!$DK:$DK=$CE$5)*('Base Kpi'!$DE:$DE=Cliente!$E50)),1),0)</f>
        <v>0</v>
      </c>
      <c r="CF50" s="60" cm="1">
        <f t="array" ref="CF50">IFERROR(LARGE(_xlfn._xlws.FILTER('Base Kpi'!$DL:$DL,('Base Kpi'!$DK:$DK=$CF$5)*('Base Kpi'!$DE:$DE=Cliente!$E50)),1),0)</f>
        <v>0</v>
      </c>
      <c r="CG50" s="60" cm="1">
        <f t="array" ref="CG50">IFERROR(LARGE(_xlfn._xlws.FILTER('Base Kpi'!$DL:$DL,('Base Kpi'!$DK:$DK=$CG$5)*('Base Kpi'!$DE:$DE=Cliente!$E50)),1),0)</f>
        <v>0</v>
      </c>
      <c r="CH50" s="60" cm="1">
        <f t="array" ref="CH50">IFERROR(LARGE(_xlfn._xlws.FILTER('Base Kpi'!$DL:$DL,('Base Kpi'!$DK:$DK=$CH$5)*('Base Kpi'!$DE:$DE=Cliente!$E50)),1),0)</f>
        <v>0</v>
      </c>
      <c r="CI50" s="60" cm="1">
        <f t="array" ref="CI50">IFERROR(LARGE(_xlfn._xlws.FILTER('Base Kpi'!$DL:$DL,('Base Kpi'!$DK:$DK=$CI$5)*('Base Kpi'!$DE:$DE=Cliente!$E50)),1),0)</f>
        <v>0</v>
      </c>
      <c r="CJ50" s="60" cm="1">
        <f t="array" ref="CJ50">IFERROR(LARGE(_xlfn._xlws.FILTER('Base Kpi'!$DL:$DL,('Base Kpi'!$DK:$DK=$CJ$5)*('Base Kpi'!$DE:$DE=Cliente!$E50)),1),0)</f>
        <v>0</v>
      </c>
      <c r="CK50" s="60" cm="1">
        <f t="array" ref="CK50">IFERROR(LARGE(_xlfn._xlws.FILTER('Base Kpi'!$DL:$DL,('Base Kpi'!$DK:$DK=$CK$5)*('Base Kpi'!$DE:$DE=Cliente!$E50)),1),0)</f>
        <v>0</v>
      </c>
      <c r="CL50" s="94">
        <f t="shared" si="77"/>
        <v>0</v>
      </c>
      <c r="CM50" s="95">
        <f t="shared" si="47"/>
        <v>0</v>
      </c>
      <c r="CN50" s="60">
        <f>IFERROR(AVERAGEIFS('Base Kpi'!$DX:$DX,'Base Kpi'!$DQ:$DQ,Cliente!$E50,'Base Kpi'!$DW:$DW,Cliente!CN$5),0)</f>
        <v>0</v>
      </c>
      <c r="CO50" s="92">
        <f>IFERROR(AVERAGEIFS('Base Kpi'!$DX:$DX,'Base Kpi'!$DQ:$DQ,Cliente!$E50,'Base Kpi'!$DW:$DW,Cliente!CO$5),0)</f>
        <v>0</v>
      </c>
      <c r="CP50" s="92">
        <f>IFERROR(AVERAGEIFS('Base Kpi'!$DX:$DX,'Base Kpi'!$DQ:$DQ,Cliente!$E50,'Base Kpi'!$DW:$DW,Cliente!CP$5),0)</f>
        <v>0</v>
      </c>
      <c r="CQ50" s="92">
        <f>IFERROR(AVERAGEIFS('Base Kpi'!$DX:$DX,'Base Kpi'!$DQ:$DQ,Cliente!$E50,'Base Kpi'!$DW:$DW,Cliente!CQ$5),0)</f>
        <v>0</v>
      </c>
      <c r="CR50" s="92">
        <f>IFERROR(AVERAGEIFS('Base Kpi'!$DX:$DX,'Base Kpi'!$DQ:$DQ,Cliente!$E50,'Base Kpi'!$DW:$DW,Cliente!CR$5),0)</f>
        <v>0</v>
      </c>
      <c r="CS50" s="92">
        <f>IFERROR(AVERAGEIFS('Base Kpi'!$DX:$DX,'Base Kpi'!$DQ:$DQ,Cliente!$E50,'Base Kpi'!$DW:$DW,Cliente!CS$5),0)</f>
        <v>0</v>
      </c>
      <c r="CT50" s="92">
        <f>IFERROR(AVERAGEIFS('Base Kpi'!$DX:$DX,'Base Kpi'!$DQ:$DQ,Cliente!$E50,'Base Kpi'!$DW:$DW,Cliente!CT$5),0)</f>
        <v>0</v>
      </c>
      <c r="CU50" s="94">
        <f t="shared" si="67"/>
        <v>0</v>
      </c>
      <c r="CV50" s="95">
        <f t="shared" si="68"/>
        <v>0</v>
      </c>
      <c r="CW50" s="60">
        <f>IFERROR(AVERAGEIFS('Base Kpi'!$EJ:$EJ,'Base Kpi'!$EC:$EC,Cliente!$E50,'Base Kpi'!$EI:$EI,Cliente!CW$5),0)</f>
        <v>0</v>
      </c>
      <c r="CX50" s="92">
        <f>IFERROR(AVERAGEIFS('Base Kpi'!$EJ:$EJ,'Base Kpi'!$EC:$EC,Cliente!$E50,'Base Kpi'!$EI:$EI,Cliente!CX$5),0)</f>
        <v>0</v>
      </c>
      <c r="CY50" s="92">
        <f>IFERROR(AVERAGEIFS('Base Kpi'!$EJ:$EJ,'Base Kpi'!$EC:$EC,Cliente!$E50,'Base Kpi'!$EI:$EI,Cliente!CY$5),0)</f>
        <v>0</v>
      </c>
      <c r="CZ50" s="92">
        <f>IFERROR(AVERAGEIFS('Base Kpi'!$EJ:$EJ,'Base Kpi'!$EC:$EC,Cliente!$E50,'Base Kpi'!$EI:$EI,Cliente!CZ$5),0)</f>
        <v>0</v>
      </c>
      <c r="DA50" s="92">
        <f>IFERROR(AVERAGEIFS('Base Kpi'!$EJ:$EJ,'Base Kpi'!$EC:$EC,Cliente!$E50,'Base Kpi'!$EI:$EI,Cliente!DA$5),0)</f>
        <v>0</v>
      </c>
      <c r="DB50" s="92">
        <f>IFERROR(AVERAGEIFS('Base Kpi'!$EJ:$EJ,'Base Kpi'!$EC:$EC,Cliente!$E50,'Base Kpi'!$EI:$EI,Cliente!DB$5),0)</f>
        <v>0</v>
      </c>
      <c r="DC50" s="92">
        <f>IFERROR(AVERAGEIFS('Base Kpi'!$EJ:$EJ,'Base Kpi'!$EC:$EC,Cliente!$E50,'Base Kpi'!$EI:$EI,Cliente!DC$5),0)</f>
        <v>0</v>
      </c>
      <c r="DD50" s="94">
        <f t="shared" si="69"/>
        <v>0</v>
      </c>
      <c r="DE50" s="95">
        <f t="shared" si="70"/>
        <v>0</v>
      </c>
      <c r="DF50" s="120"/>
    </row>
    <row r="51" spans="2:110" x14ac:dyDescent="0.35">
      <c r="B51" s="52" t="s">
        <v>42</v>
      </c>
      <c r="C51" s="21">
        <v>359</v>
      </c>
      <c r="D51" s="21" t="s">
        <v>433</v>
      </c>
      <c r="E51" s="21">
        <v>184994</v>
      </c>
      <c r="F51" s="16" t="s">
        <v>7</v>
      </c>
      <c r="G51" s="16" t="s">
        <v>227</v>
      </c>
      <c r="H51" s="16" t="s">
        <v>232</v>
      </c>
      <c r="I51" s="16" t="s">
        <v>233</v>
      </c>
      <c r="J51" s="16" t="s">
        <v>87</v>
      </c>
      <c r="K51" s="34" t="s">
        <v>49</v>
      </c>
      <c r="L51" s="60">
        <f t="shared" si="55"/>
        <v>76.438333333333333</v>
      </c>
      <c r="M51" s="97">
        <f t="shared" si="56"/>
        <v>1</v>
      </c>
      <c r="N51" s="43">
        <f t="shared" si="52"/>
        <v>0</v>
      </c>
      <c r="O51" s="60">
        <f>IFERROR(AVERAGEIFS('Base Kpi'!$I:$I,'Base Kpi'!$B:$B,Cliente!$E51,'Base Kpi'!$G:$G,Cliente!O$5),0)</f>
        <v>25.71</v>
      </c>
      <c r="P51" s="92">
        <f>IFERROR(AVERAGEIFS('Base Kpi'!$I:$I,'Base Kpi'!$B:$B,Cliente!$E51,'Base Kpi'!$G:$G,Cliente!P$5),0)</f>
        <v>8</v>
      </c>
      <c r="Q51" s="92">
        <f>IFERROR(AVERAGEIFS('Base Kpi'!$I:$I,'Base Kpi'!$B:$B,Cliente!$E51,'Base Kpi'!$G:$G,Cliente!Q$5),0)</f>
        <v>13.6</v>
      </c>
      <c r="R51" s="92">
        <f>IFERROR(AVERAGEIFS('Base Kpi'!$I:$I,'Base Kpi'!$B:$B,Cliente!$E51,'Base Kpi'!$G:$G,Cliente!R$5),0)</f>
        <v>31.5</v>
      </c>
      <c r="S51" s="94">
        <f t="shared" si="57"/>
        <v>78.81</v>
      </c>
      <c r="T51" s="95">
        <f t="shared" si="58"/>
        <v>0</v>
      </c>
      <c r="U51" s="60">
        <f>IFERROR(AVERAGEIFS('Base Kpi'!$T:$T,'Base Kpi'!$M:$M,Cliente!$E51,'Base Kpi'!$S:$S,Cliente!U$5),0)</f>
        <v>25.71</v>
      </c>
      <c r="V51" s="92">
        <f>IFERROR(AVERAGEIFS('Base Kpi'!$T:$T,'Base Kpi'!$M:$M,Cliente!$E51,'Base Kpi'!$S:$S,Cliente!V$5),0)</f>
        <v>8</v>
      </c>
      <c r="W51" s="92">
        <f>IFERROR(AVERAGEIFS('Base Kpi'!$T:$T,'Base Kpi'!$M:$M,Cliente!$E51,'Base Kpi'!$S:$S,Cliente!W$5),0)</f>
        <v>12.75</v>
      </c>
      <c r="X51" s="92">
        <f>IFERROR(AVERAGEIFS('Base Kpi'!$T:$T,'Base Kpi'!$M:$M,Cliente!$E51,'Base Kpi'!$S:$S,Cliente!X$5),0)</f>
        <v>33.75</v>
      </c>
      <c r="Y51" s="94">
        <f t="shared" si="59"/>
        <v>80.210000000000008</v>
      </c>
      <c r="Z51" s="95">
        <f t="shared" si="60"/>
        <v>1</v>
      </c>
      <c r="AA51" s="60">
        <f>IFERROR(AVERAGEIFS('Base Kpi'!$AF:$AF,'Base Kpi'!$Y:$Y,Cliente!$E51,'Base Kpi'!$AE:$AE,Cliente!AA$5),0)</f>
        <v>21.42</v>
      </c>
      <c r="AB51" s="92">
        <f>IFERROR(AVERAGEIFS('Base Kpi'!$AF:$AF,'Base Kpi'!$Y:$Y,Cliente!$E51,'Base Kpi'!$AE:$AE,Cliente!AB$5),0)</f>
        <v>8</v>
      </c>
      <c r="AC51" s="92">
        <f>IFERROR(AVERAGEIFS('Base Kpi'!$AF:$AF,'Base Kpi'!$Y:$Y,Cliente!$E51,'Base Kpi'!$AE:$AE,Cliente!AC$5),0)</f>
        <v>12.75</v>
      </c>
      <c r="AD51" s="92">
        <f>IFERROR(AVERAGEIFS('Base Kpi'!$AF:$AF,'Base Kpi'!$Y:$Y,Cliente!$E51,'Base Kpi'!$AE:$AE,Cliente!AD$5),0)</f>
        <v>28.125</v>
      </c>
      <c r="AE51" s="94">
        <f t="shared" si="61"/>
        <v>70.295000000000002</v>
      </c>
      <c r="AF51" s="95">
        <f t="shared" si="62"/>
        <v>0</v>
      </c>
      <c r="AG51" s="60">
        <f t="shared" si="71"/>
        <v>33.375</v>
      </c>
      <c r="AH51" s="97">
        <f t="shared" si="72"/>
        <v>0</v>
      </c>
      <c r="AI51" s="88">
        <f t="shared" si="63"/>
        <v>0</v>
      </c>
      <c r="AJ51" s="92">
        <f>IFERROR(AVERAGEIFS('Base Kpi'!$AR:$AR,'Base Kpi'!$AK:$AK,Cliente!$E51,'Base Kpi'!$AQ:$AQ,AJ$5),0)</f>
        <v>0</v>
      </c>
      <c r="AK51" s="92">
        <f>IFERROR(AVERAGEIFS('Base Kpi'!$AR:$AR,'Base Kpi'!$AK:$AK,Cliente!$E51,'Base Kpi'!$AQ:$AQ,AK$5),0)</f>
        <v>0</v>
      </c>
      <c r="AL51" s="92">
        <f>IFERROR(AVERAGEIFS('Base Kpi'!$AR:$AR,'Base Kpi'!$AK:$AK,Cliente!$E51,'Base Kpi'!$AQ:$AQ,AL$5),0)</f>
        <v>0</v>
      </c>
      <c r="AM51" s="92">
        <f>IFERROR(AVERAGEIFS('Base Kpi'!$AR:$AR,'Base Kpi'!$AK:$AK,Cliente!$E51,'Base Kpi'!$AQ:$AQ,AM$5),0)</f>
        <v>0</v>
      </c>
      <c r="AN51" s="94">
        <f t="shared" si="53"/>
        <v>0</v>
      </c>
      <c r="AO51" s="95">
        <f t="shared" si="13"/>
        <v>0</v>
      </c>
      <c r="AP51" s="60">
        <f>IFERROR(AVERAGEIFS('Base Kpi'!$BD:$BD,'Base Kpi'!$AW:$AW,Cliente!$E51,'Base Kpi'!$BC:$BC,Cliente!AP$5),0)</f>
        <v>21.425000000000001</v>
      </c>
      <c r="AQ51" s="92">
        <f>IFERROR(AVERAGEIFS('Base Kpi'!$BD:$BD,'Base Kpi'!$AW:$AW,Cliente!$E51,'Base Kpi'!$BC:$BC,Cliente!AQ$5),0)</f>
        <v>1.665</v>
      </c>
      <c r="AR51" s="92">
        <f>IFERROR(AVERAGEIFS('Base Kpi'!$BD:$BD,'Base Kpi'!$AW:$AW,Cliente!$E51,'Base Kpi'!$BC:$BC,Cliente!AR$5),0)</f>
        <v>12</v>
      </c>
      <c r="AS51" s="92">
        <f>IFERROR(AVERAGEIFS('Base Kpi'!$BD:$BD,'Base Kpi'!$AW:$AW,Cliente!$E51,'Base Kpi'!$BC:$BC,Cliente!AS$5),0)</f>
        <v>26.08</v>
      </c>
      <c r="AT51" s="92">
        <f>IFERROR(AVERAGEIFS('Base Kpi'!$BD:$BD,'Base Kpi'!$AW:$AW,Cliente!$E51,'Base Kpi'!$BC:$BC,Cliente!AT$5),0)</f>
        <v>0</v>
      </c>
      <c r="AU51" s="94">
        <f t="shared" si="54"/>
        <v>61.17</v>
      </c>
      <c r="AV51" s="95">
        <f t="shared" si="78"/>
        <v>1</v>
      </c>
      <c r="AW51" s="60">
        <f>IFERROR(AVERAGEIFS('Base Kpi'!$BP:$BP,'Base Kpi'!$BI:$BI,Cliente!$E51,'Base Kpi'!$BO:$BO,Cliente!AW$5),0)</f>
        <v>17.850000000000001</v>
      </c>
      <c r="AX51" s="92">
        <f>IFERROR(AVERAGEIFS('Base Kpi'!$BP:$BP,'Base Kpi'!$BI:$BI,Cliente!$E51,'Base Kpi'!$BO:$BO,Cliente!AX$5),0)</f>
        <v>1.665</v>
      </c>
      <c r="AY51" s="92">
        <f>IFERROR(AVERAGEIFS('Base Kpi'!$BP:$BP,'Base Kpi'!$BI:$BI,Cliente!$E51,'Base Kpi'!$BO:$BO,Cliente!AY$5),0)</f>
        <v>9</v>
      </c>
      <c r="AZ51" s="92">
        <f>IFERROR(AVERAGEIFS('Base Kpi'!$BP:$BP,'Base Kpi'!$BI:$BI,Cliente!$E51,'Base Kpi'!$BO:$BO,Cliente!AZ$5),0)</f>
        <v>10.44</v>
      </c>
      <c r="BA51" s="92">
        <f>IFERROR(AVERAGEIFS('Base Kpi'!$BP:$BP,'Base Kpi'!$BI:$BI,Cliente!$E51,'Base Kpi'!$BO:$BO,Cliente!BA$5),0)</f>
        <v>0</v>
      </c>
      <c r="BB51" s="94">
        <f t="shared" si="73"/>
        <v>38.954999999999998</v>
      </c>
      <c r="BC51" s="95">
        <f t="shared" si="79"/>
        <v>1</v>
      </c>
      <c r="BD51" s="60" t="str">
        <f t="shared" si="42"/>
        <v/>
      </c>
      <c r="BE51" s="97">
        <f t="shared" si="80"/>
        <v>0</v>
      </c>
      <c r="BF51" s="88">
        <f t="shared" si="81"/>
        <v>0</v>
      </c>
      <c r="BG51" s="60">
        <f>IFERROR(AVERAGEIFS('Base Kpi'!$CB:$CB,'Base Kpi'!$BU:$BU,Cliente!$E51,'Base Kpi'!$CA:$CA,Cliente!BG$5),0)</f>
        <v>0</v>
      </c>
      <c r="BH51" s="92">
        <f>IFERROR(AVERAGEIFS('Base Kpi'!$CB:$CB,'Base Kpi'!$BU:$BU,Cliente!$E51,'Base Kpi'!$CA:$CA,Cliente!BH$5),0)</f>
        <v>0</v>
      </c>
      <c r="BI51" s="92">
        <f>IFERROR(AVERAGEIFS('Base Kpi'!$CB:$CB,'Base Kpi'!$BU:$BU,Cliente!$E51,'Base Kpi'!$CA:$CA,Cliente!BI$5),0)</f>
        <v>0</v>
      </c>
      <c r="BJ51" s="92">
        <f>IFERROR(AVERAGEIFS('Base Kpi'!$CB:$CB,'Base Kpi'!$BU:$BU,Cliente!$E51,'Base Kpi'!$CA:$CA,Cliente!BJ$5),0)</f>
        <v>0</v>
      </c>
      <c r="BK51" s="92">
        <f>IFERROR(AVERAGEIFS('Base Kpi'!$CB:$CB,'Base Kpi'!$BU:$BU,Cliente!$E51,'Base Kpi'!$CA:$CA,Cliente!BK$5),0)</f>
        <v>0</v>
      </c>
      <c r="BL51" s="94">
        <f t="shared" si="74"/>
        <v>0</v>
      </c>
      <c r="BM51" s="95">
        <f t="shared" si="82"/>
        <v>0</v>
      </c>
      <c r="BN51" s="60">
        <f>IFERROR(AVERAGEIFS('Base Kpi'!$CN:$CN,'Base Kpi'!$CG:$CG,Cliente!$E51,'Base Kpi'!$CM:$CM,Cliente!BN$5),0)</f>
        <v>0</v>
      </c>
      <c r="BO51" s="92">
        <f>IFERROR(AVERAGEIFS('Base Kpi'!$CN:$CN,'Base Kpi'!$CG:$CG,Cliente!$E51,'Base Kpi'!$CM:$CM,Cliente!BO$5),0)</f>
        <v>0</v>
      </c>
      <c r="BP51" s="92">
        <f>IFERROR(AVERAGEIFS('Base Kpi'!$CN:$CN,'Base Kpi'!$CG:$CG,Cliente!$E51,'Base Kpi'!$CM:$CM,Cliente!BP$5),0)</f>
        <v>0</v>
      </c>
      <c r="BQ51" s="92">
        <f>IFERROR(AVERAGEIFS('Base Kpi'!$CN:$CN,'Base Kpi'!$CG:$CG,Cliente!$E51,'Base Kpi'!$CM:$CM,Cliente!BQ$5),0)</f>
        <v>0</v>
      </c>
      <c r="BR51" s="92">
        <f>IFERROR(AVERAGEIFS('Base Kpi'!$CN:$CN,'Base Kpi'!$CG:$CG,Cliente!$E51,'Base Kpi'!$CM:$CM,Cliente!BR$5),0)</f>
        <v>0</v>
      </c>
      <c r="BS51" s="94">
        <f t="shared" si="75"/>
        <v>0</v>
      </c>
      <c r="BT51" s="95">
        <f t="shared" si="83"/>
        <v>0</v>
      </c>
      <c r="BU51" s="60">
        <f>IFERROR(AVERAGEIFS('Base Kpi'!$CZ:$CZ,'Base Kpi'!$CS:$CS,Cliente!$E51,'Base Kpi'!$CY:$CY,Cliente!BU$5),0)</f>
        <v>0</v>
      </c>
      <c r="BV51" s="92">
        <f>IFERROR(AVERAGEIFS('Base Kpi'!$CZ:$CZ,'Base Kpi'!$CS:$CS,Cliente!$E51,'Base Kpi'!$CY:$CY,Cliente!BV$5),0)</f>
        <v>0</v>
      </c>
      <c r="BW51" s="92">
        <f>IFERROR(AVERAGEIFS('Base Kpi'!$CZ:$CZ,'Base Kpi'!$CS:$CS,Cliente!$E51,'Base Kpi'!$CY:$CY,Cliente!BW$5),0)</f>
        <v>0</v>
      </c>
      <c r="BX51" s="92">
        <f>IFERROR(AVERAGEIFS('Base Kpi'!$CZ:$CZ,'Base Kpi'!$CS:$CS,Cliente!$E51,'Base Kpi'!$CY:$CY,Cliente!BX$5),0)</f>
        <v>0</v>
      </c>
      <c r="BY51" s="92">
        <f>IFERROR(AVERAGEIFS('Base Kpi'!$CZ:$CZ,'Base Kpi'!$CS:$CS,Cliente!$E51,'Base Kpi'!$CY:$CY,Cliente!BY$5),0)</f>
        <v>0</v>
      </c>
      <c r="BZ51" s="94">
        <f t="shared" si="76"/>
        <v>0</v>
      </c>
      <c r="CA51" s="95">
        <f t="shared" si="84"/>
        <v>0</v>
      </c>
      <c r="CB51" s="60">
        <f t="shared" si="64"/>
        <v>28.8</v>
      </c>
      <c r="CC51" s="97">
        <f t="shared" si="65"/>
        <v>0</v>
      </c>
      <c r="CD51" s="43">
        <f t="shared" si="66"/>
        <v>0</v>
      </c>
      <c r="CE51" s="60" cm="1">
        <f t="array" ref="CE51">IFERROR(LARGE(_xlfn._xlws.FILTER('Base Kpi'!$DL:$DL,('Base Kpi'!$DK:$DK=$CE$5)*('Base Kpi'!$DE:$DE=Cliente!$E51)),1),0)</f>
        <v>0</v>
      </c>
      <c r="CF51" s="60" cm="1">
        <f t="array" ref="CF51">IFERROR(LARGE(_xlfn._xlws.FILTER('Base Kpi'!$DL:$DL,('Base Kpi'!$DK:$DK=$CF$5)*('Base Kpi'!$DE:$DE=Cliente!$E51)),1),0)</f>
        <v>0</v>
      </c>
      <c r="CG51" s="60" cm="1">
        <f t="array" ref="CG51">IFERROR(LARGE(_xlfn._xlws.FILTER('Base Kpi'!$DL:$DL,('Base Kpi'!$DK:$DK=$CG$5)*('Base Kpi'!$DE:$DE=Cliente!$E51)),1),0)</f>
        <v>0</v>
      </c>
      <c r="CH51" s="60" cm="1">
        <f t="array" ref="CH51">IFERROR(LARGE(_xlfn._xlws.FILTER('Base Kpi'!$DL:$DL,('Base Kpi'!$DK:$DK=$CH$5)*('Base Kpi'!$DE:$DE=Cliente!$E51)),1),0)</f>
        <v>0</v>
      </c>
      <c r="CI51" s="60" cm="1">
        <f t="array" ref="CI51">IFERROR(LARGE(_xlfn._xlws.FILTER('Base Kpi'!$DL:$DL,('Base Kpi'!$DK:$DK=$CI$5)*('Base Kpi'!$DE:$DE=Cliente!$E51)),1),0)</f>
        <v>0</v>
      </c>
      <c r="CJ51" s="60" cm="1">
        <f t="array" ref="CJ51">IFERROR(LARGE(_xlfn._xlws.FILTER('Base Kpi'!$DL:$DL,('Base Kpi'!$DK:$DK=$CJ$5)*('Base Kpi'!$DE:$DE=Cliente!$E51)),1),0)</f>
        <v>0</v>
      </c>
      <c r="CK51" s="60" cm="1">
        <f t="array" ref="CK51">IFERROR(LARGE(_xlfn._xlws.FILTER('Base Kpi'!$DL:$DL,('Base Kpi'!$DK:$DK=$CK$5)*('Base Kpi'!$DE:$DE=Cliente!$E51)),1),0)</f>
        <v>0</v>
      </c>
      <c r="CL51" s="94">
        <f t="shared" si="77"/>
        <v>0</v>
      </c>
      <c r="CM51" s="95">
        <f t="shared" si="47"/>
        <v>0</v>
      </c>
      <c r="CN51" s="60">
        <f>IFERROR(AVERAGEIFS('Base Kpi'!$DX:$DX,'Base Kpi'!$DQ:$DQ,Cliente!$E51,'Base Kpi'!$DW:$DW,Cliente!CN$5),0)</f>
        <v>0</v>
      </c>
      <c r="CO51" s="92">
        <f>IFERROR(AVERAGEIFS('Base Kpi'!$DX:$DX,'Base Kpi'!$DQ:$DQ,Cliente!$E51,'Base Kpi'!$DW:$DW,Cliente!CO$5),0)</f>
        <v>0</v>
      </c>
      <c r="CP51" s="92">
        <f>IFERROR(AVERAGEIFS('Base Kpi'!$DX:$DX,'Base Kpi'!$DQ:$DQ,Cliente!$E51,'Base Kpi'!$DW:$DW,Cliente!CP$5),0)</f>
        <v>0</v>
      </c>
      <c r="CQ51" s="92">
        <f>IFERROR(AVERAGEIFS('Base Kpi'!$DX:$DX,'Base Kpi'!$DQ:$DQ,Cliente!$E51,'Base Kpi'!$DW:$DW,Cliente!CQ$5),0)</f>
        <v>0</v>
      </c>
      <c r="CR51" s="92">
        <f>IFERROR(AVERAGEIFS('Base Kpi'!$DX:$DX,'Base Kpi'!$DQ:$DQ,Cliente!$E51,'Base Kpi'!$DW:$DW,Cliente!CR$5),0)</f>
        <v>0</v>
      </c>
      <c r="CS51" s="92">
        <f>IFERROR(AVERAGEIFS('Base Kpi'!$DX:$DX,'Base Kpi'!$DQ:$DQ,Cliente!$E51,'Base Kpi'!$DW:$DW,Cliente!CS$5),0)</f>
        <v>0</v>
      </c>
      <c r="CT51" s="92">
        <f>IFERROR(AVERAGEIFS('Base Kpi'!$DX:$DX,'Base Kpi'!$DQ:$DQ,Cliente!$E51,'Base Kpi'!$DW:$DW,Cliente!CT$5),0)</f>
        <v>0</v>
      </c>
      <c r="CU51" s="94">
        <f t="shared" si="67"/>
        <v>0</v>
      </c>
      <c r="CV51" s="95">
        <f t="shared" si="68"/>
        <v>0</v>
      </c>
      <c r="CW51" s="60">
        <f>IFERROR(AVERAGEIFS('Base Kpi'!$EJ:$EJ,'Base Kpi'!$EC:$EC,Cliente!$E51,'Base Kpi'!$EI:$EI,Cliente!CW$5),0)</f>
        <v>30.4</v>
      </c>
      <c r="CX51" s="92">
        <f>IFERROR(AVERAGEIFS('Base Kpi'!$EJ:$EJ,'Base Kpi'!$EC:$EC,Cliente!$E51,'Base Kpi'!$EI:$EI,Cliente!CX$5),0)</f>
        <v>5</v>
      </c>
      <c r="CY51" s="92">
        <f>IFERROR(AVERAGEIFS('Base Kpi'!$EJ:$EJ,'Base Kpi'!$EC:$EC,Cliente!$E51,'Base Kpi'!$EI:$EI,Cliente!CY$5),0)</f>
        <v>5</v>
      </c>
      <c r="CZ51" s="92">
        <f>IFERROR(AVERAGEIFS('Base Kpi'!$EJ:$EJ,'Base Kpi'!$EC:$EC,Cliente!$E51,'Base Kpi'!$EI:$EI,Cliente!CZ$5),0)</f>
        <v>9</v>
      </c>
      <c r="DA51" s="92">
        <f>IFERROR(AVERAGEIFS('Base Kpi'!$EJ:$EJ,'Base Kpi'!$EC:$EC,Cliente!$E51,'Base Kpi'!$EI:$EI,Cliente!DA$5),0)</f>
        <v>25</v>
      </c>
      <c r="DB51" s="92">
        <f>IFERROR(AVERAGEIFS('Base Kpi'!$EJ:$EJ,'Base Kpi'!$EC:$EC,Cliente!$E51,'Base Kpi'!$EI:$EI,Cliente!DB$5),0)</f>
        <v>12</v>
      </c>
      <c r="DC51" s="92">
        <f>IFERROR(AVERAGEIFS('Base Kpi'!$EJ:$EJ,'Base Kpi'!$EC:$EC,Cliente!$E51,'Base Kpi'!$EI:$EI,Cliente!DC$5),0)</f>
        <v>0</v>
      </c>
      <c r="DD51" s="94">
        <f t="shared" si="69"/>
        <v>86.4</v>
      </c>
      <c r="DE51" s="95">
        <f t="shared" si="70"/>
        <v>1</v>
      </c>
      <c r="DF51" s="120"/>
    </row>
    <row r="52" spans="2:110" x14ac:dyDescent="0.35">
      <c r="B52" s="52" t="s">
        <v>42</v>
      </c>
      <c r="C52" s="21">
        <v>3655</v>
      </c>
      <c r="D52" s="21" t="s">
        <v>434</v>
      </c>
      <c r="E52" s="21">
        <v>48951</v>
      </c>
      <c r="F52" s="16" t="s">
        <v>79</v>
      </c>
      <c r="G52" s="16" t="s">
        <v>203</v>
      </c>
      <c r="H52" s="16" t="s">
        <v>435</v>
      </c>
      <c r="I52" s="16" t="s">
        <v>176</v>
      </c>
      <c r="J52" s="16" t="s">
        <v>90</v>
      </c>
      <c r="K52" s="34" t="s">
        <v>81</v>
      </c>
      <c r="L52" s="60">
        <f t="shared" si="55"/>
        <v>82.804999999999993</v>
      </c>
      <c r="M52" s="97">
        <f t="shared" si="56"/>
        <v>1</v>
      </c>
      <c r="N52" s="43">
        <f t="shared" si="52"/>
        <v>1</v>
      </c>
      <c r="O52" s="60">
        <f>IFERROR(AVERAGEIFS('Base Kpi'!$I:$I,'Base Kpi'!$B:$B,Cliente!$E52,'Base Kpi'!$G:$G,Cliente!O$5),0)</f>
        <v>25.71</v>
      </c>
      <c r="P52" s="92">
        <f>IFERROR(AVERAGEIFS('Base Kpi'!$I:$I,'Base Kpi'!$B:$B,Cliente!$E52,'Base Kpi'!$G:$G,Cliente!P$5),0)</f>
        <v>8</v>
      </c>
      <c r="Q52" s="92">
        <f>IFERROR(AVERAGEIFS('Base Kpi'!$I:$I,'Base Kpi'!$B:$B,Cliente!$E52,'Base Kpi'!$G:$G,Cliente!Q$5),0)</f>
        <v>10.199999999999999</v>
      </c>
      <c r="R52" s="92">
        <f>IFERROR(AVERAGEIFS('Base Kpi'!$I:$I,'Base Kpi'!$B:$B,Cliente!$E52,'Base Kpi'!$G:$G,Cliente!R$5),0)</f>
        <v>39.375</v>
      </c>
      <c r="S52" s="94">
        <f t="shared" si="57"/>
        <v>83.284999999999997</v>
      </c>
      <c r="T52" s="95">
        <f t="shared" si="58"/>
        <v>1</v>
      </c>
      <c r="U52" s="60">
        <f>IFERROR(AVERAGEIFS('Base Kpi'!$T:$T,'Base Kpi'!$M:$M,Cliente!$E52,'Base Kpi'!$S:$S,Cliente!U$5),0)</f>
        <v>21.42</v>
      </c>
      <c r="V52" s="92">
        <f>IFERROR(AVERAGEIFS('Base Kpi'!$T:$T,'Base Kpi'!$M:$M,Cliente!$E52,'Base Kpi'!$S:$S,Cliente!V$5),0)</f>
        <v>8</v>
      </c>
      <c r="W52" s="92">
        <f>IFERROR(AVERAGEIFS('Base Kpi'!$T:$T,'Base Kpi'!$M:$M,Cliente!$E52,'Base Kpi'!$S:$S,Cliente!W$5),0)</f>
        <v>8.5</v>
      </c>
      <c r="X52" s="92">
        <f>IFERROR(AVERAGEIFS('Base Kpi'!$T:$T,'Base Kpi'!$M:$M,Cliente!$E52,'Base Kpi'!$S:$S,Cliente!X$5),0)</f>
        <v>37.125</v>
      </c>
      <c r="Y52" s="94">
        <f t="shared" si="59"/>
        <v>75.045000000000002</v>
      </c>
      <c r="Z52" s="95">
        <f t="shared" si="60"/>
        <v>0</v>
      </c>
      <c r="AA52" s="60">
        <f>IFERROR(AVERAGEIFS('Base Kpi'!$AF:$AF,'Base Kpi'!$Y:$Y,Cliente!$E52,'Base Kpi'!$AE:$AE,Cliente!AA$5),0)</f>
        <v>25.71</v>
      </c>
      <c r="AB52" s="92">
        <f>IFERROR(AVERAGEIFS('Base Kpi'!$AF:$AF,'Base Kpi'!$Y:$Y,Cliente!$E52,'Base Kpi'!$AE:$AE,Cliente!AB$5),0)</f>
        <v>8</v>
      </c>
      <c r="AC52" s="92">
        <f>IFERROR(AVERAGEIFS('Base Kpi'!$AF:$AF,'Base Kpi'!$Y:$Y,Cliente!$E52,'Base Kpi'!$AE:$AE,Cliente!AC$5),0)</f>
        <v>17</v>
      </c>
      <c r="AD52" s="92">
        <f>IFERROR(AVERAGEIFS('Base Kpi'!$AF:$AF,'Base Kpi'!$Y:$Y,Cliente!$E52,'Base Kpi'!$AE:$AE,Cliente!AD$5),0)</f>
        <v>39.375</v>
      </c>
      <c r="AE52" s="94">
        <f t="shared" si="61"/>
        <v>90.085000000000008</v>
      </c>
      <c r="AF52" s="95">
        <f t="shared" si="62"/>
        <v>1</v>
      </c>
      <c r="AG52" s="60">
        <f t="shared" si="71"/>
        <v>69.73833333333333</v>
      </c>
      <c r="AH52" s="97">
        <f t="shared" si="72"/>
        <v>1</v>
      </c>
      <c r="AI52" s="88">
        <f t="shared" si="63"/>
        <v>1</v>
      </c>
      <c r="AJ52" s="92">
        <f>IFERROR(AVERAGEIFS('Base Kpi'!$AR:$AR,'Base Kpi'!$AK:$AK,Cliente!$E52,'Base Kpi'!$AQ:$AQ,AJ$5),0)</f>
        <v>21.425000000000001</v>
      </c>
      <c r="AK52" s="92">
        <f>IFERROR(AVERAGEIFS('Base Kpi'!$AR:$AR,'Base Kpi'!$AK:$AK,Cliente!$E52,'Base Kpi'!$AQ:$AQ,AK$5),0)</f>
        <v>2.5</v>
      </c>
      <c r="AL52" s="92">
        <f>IFERROR(AVERAGEIFS('Base Kpi'!$AR:$AR,'Base Kpi'!$AK:$AK,Cliente!$E52,'Base Kpi'!$AQ:$AQ,AL$5),0)</f>
        <v>9</v>
      </c>
      <c r="AM52" s="92">
        <f>IFERROR(AVERAGEIFS('Base Kpi'!$AR:$AR,'Base Kpi'!$AK:$AK,Cliente!$E52,'Base Kpi'!$AQ:$AQ,AM$5),0)</f>
        <v>34.799999999999997</v>
      </c>
      <c r="AN52" s="94">
        <f t="shared" si="53"/>
        <v>67.724999999999994</v>
      </c>
      <c r="AO52" s="95">
        <f t="shared" si="13"/>
        <v>0</v>
      </c>
      <c r="AP52" s="60">
        <f>IFERROR(AVERAGEIFS('Base Kpi'!$BD:$BD,'Base Kpi'!$AW:$AW,Cliente!$E52,'Base Kpi'!$BC:$BC,Cliente!AP$5),0)</f>
        <v>25</v>
      </c>
      <c r="AQ52" s="92">
        <f>IFERROR(AVERAGEIFS('Base Kpi'!$BD:$BD,'Base Kpi'!$AW:$AW,Cliente!$E52,'Base Kpi'!$BC:$BC,Cliente!AQ$5),0)</f>
        <v>1.665</v>
      </c>
      <c r="AR52" s="92">
        <f>IFERROR(AVERAGEIFS('Base Kpi'!$BD:$BD,'Base Kpi'!$AW:$AW,Cliente!$E52,'Base Kpi'!$BC:$BC,Cliente!AR$5),0)</f>
        <v>9</v>
      </c>
      <c r="AS52" s="92">
        <f>IFERROR(AVERAGEIFS('Base Kpi'!$BD:$BD,'Base Kpi'!$AW:$AW,Cliente!$E52,'Base Kpi'!$BC:$BC,Cliente!AS$5),0)</f>
        <v>30.44</v>
      </c>
      <c r="AT52" s="92">
        <f>IFERROR(AVERAGEIFS('Base Kpi'!$BD:$BD,'Base Kpi'!$AW:$AW,Cliente!$E52,'Base Kpi'!$BC:$BC,Cliente!AT$5),0)</f>
        <v>0</v>
      </c>
      <c r="AU52" s="94">
        <f t="shared" si="54"/>
        <v>66.105000000000004</v>
      </c>
      <c r="AV52" s="95">
        <f t="shared" si="78"/>
        <v>1</v>
      </c>
      <c r="AW52" s="60">
        <f>IFERROR(AVERAGEIFS('Base Kpi'!$BP:$BP,'Base Kpi'!$BI:$BI,Cliente!$E52,'Base Kpi'!$BO:$BO,Cliente!AW$5),0)</f>
        <v>25</v>
      </c>
      <c r="AX52" s="92">
        <f>IFERROR(AVERAGEIFS('Base Kpi'!$BP:$BP,'Base Kpi'!$BI:$BI,Cliente!$E52,'Base Kpi'!$BO:$BO,Cliente!AX$5),0)</f>
        <v>1.665</v>
      </c>
      <c r="AY52" s="92">
        <f>IFERROR(AVERAGEIFS('Base Kpi'!$BP:$BP,'Base Kpi'!$BI:$BI,Cliente!$E52,'Base Kpi'!$BO:$BO,Cliente!AY$5),0)</f>
        <v>9</v>
      </c>
      <c r="AZ52" s="92">
        <f>IFERROR(AVERAGEIFS('Base Kpi'!$BP:$BP,'Base Kpi'!$BI:$BI,Cliente!$E52,'Base Kpi'!$BO:$BO,Cliente!AZ$5),0)</f>
        <v>21.72</v>
      </c>
      <c r="BA52" s="92">
        <f>IFERROR(AVERAGEIFS('Base Kpi'!$BP:$BP,'Base Kpi'!$BI:$BI,Cliente!$E52,'Base Kpi'!$BO:$BO,Cliente!BA$5),0)</f>
        <v>18</v>
      </c>
      <c r="BB52" s="94">
        <f t="shared" si="73"/>
        <v>75.384999999999991</v>
      </c>
      <c r="BC52" s="95">
        <f t="shared" si="79"/>
        <v>1</v>
      </c>
      <c r="BD52" s="60">
        <f t="shared" si="42"/>
        <v>77.52</v>
      </c>
      <c r="BE52" s="97">
        <f t="shared" si="80"/>
        <v>1</v>
      </c>
      <c r="BF52" s="88">
        <f t="shared" si="81"/>
        <v>1</v>
      </c>
      <c r="BG52" s="60">
        <f>IFERROR(AVERAGEIFS('Base Kpi'!$CB:$CB,'Base Kpi'!$BU:$BU,Cliente!$E52,'Base Kpi'!$CA:$CA,Cliente!BG$5),0)</f>
        <v>25</v>
      </c>
      <c r="BH52" s="92">
        <f>IFERROR(AVERAGEIFS('Base Kpi'!$CB:$CB,'Base Kpi'!$BU:$BU,Cliente!$E52,'Base Kpi'!$CA:$CA,Cliente!BH$5),0)</f>
        <v>3.335</v>
      </c>
      <c r="BI52" s="92">
        <f>IFERROR(AVERAGEIFS('Base Kpi'!$CB:$CB,'Base Kpi'!$BU:$BU,Cliente!$E52,'Base Kpi'!$CA:$CA,Cliente!BI$5),0)</f>
        <v>12</v>
      </c>
      <c r="BJ52" s="92">
        <f>IFERROR(AVERAGEIFS('Base Kpi'!$CB:$CB,'Base Kpi'!$BU:$BU,Cliente!$E52,'Base Kpi'!$CA:$CA,Cliente!BJ$5),0)</f>
        <v>32</v>
      </c>
      <c r="BK52" s="92">
        <f>IFERROR(AVERAGEIFS('Base Kpi'!$CB:$CB,'Base Kpi'!$BU:$BU,Cliente!$E52,'Base Kpi'!$CA:$CA,Cliente!BK$5),0)</f>
        <v>9</v>
      </c>
      <c r="BL52" s="94">
        <f t="shared" si="74"/>
        <v>81.335000000000008</v>
      </c>
      <c r="BM52" s="95">
        <f t="shared" si="82"/>
        <v>1</v>
      </c>
      <c r="BN52" s="60">
        <f>IFERROR(AVERAGEIFS('Base Kpi'!$CN:$CN,'Base Kpi'!$CG:$CG,Cliente!$E52,'Base Kpi'!$CM:$CM,Cliente!BN$5),0)</f>
        <v>25</v>
      </c>
      <c r="BO52" s="92">
        <f>IFERROR(AVERAGEIFS('Base Kpi'!$CN:$CN,'Base Kpi'!$CG:$CG,Cliente!$E52,'Base Kpi'!$CM:$CM,Cliente!BO$5),0)</f>
        <v>5</v>
      </c>
      <c r="BP52" s="92">
        <f>IFERROR(AVERAGEIFS('Base Kpi'!$CN:$CN,'Base Kpi'!$CG:$CG,Cliente!$E52,'Base Kpi'!$CM:$CM,Cliente!BP$5),0)</f>
        <v>12</v>
      </c>
      <c r="BQ52" s="92">
        <f>IFERROR(AVERAGEIFS('Base Kpi'!$CN:$CN,'Base Kpi'!$CG:$CG,Cliente!$E52,'Base Kpi'!$CM:$CM,Cliente!BQ$5),0)</f>
        <v>33.6</v>
      </c>
      <c r="BR52" s="92">
        <f>IFERROR(AVERAGEIFS('Base Kpi'!$CN:$CN,'Base Kpi'!$CG:$CG,Cliente!$E52,'Base Kpi'!$CM:$CM,Cliente!BR$5),0)</f>
        <v>9</v>
      </c>
      <c r="BS52" s="94">
        <f t="shared" si="75"/>
        <v>84.6</v>
      </c>
      <c r="BT52" s="95">
        <f t="shared" si="83"/>
        <v>1</v>
      </c>
      <c r="BU52" s="60">
        <f>IFERROR(AVERAGEIFS('Base Kpi'!$CZ:$CZ,'Base Kpi'!$CS:$CS,Cliente!$E52,'Base Kpi'!$CY:$CY,Cliente!BU$5),0)</f>
        <v>21.425000000000001</v>
      </c>
      <c r="BV52" s="92">
        <f>IFERROR(AVERAGEIFS('Base Kpi'!$CZ:$CZ,'Base Kpi'!$CS:$CS,Cliente!$E52,'Base Kpi'!$CY:$CY,Cliente!BV$5),0)</f>
        <v>5</v>
      </c>
      <c r="BW52" s="92">
        <f>IFERROR(AVERAGEIFS('Base Kpi'!$CZ:$CZ,'Base Kpi'!$CS:$CS,Cliente!$E52,'Base Kpi'!$CY:$CY,Cliente!BW$5),0)</f>
        <v>9</v>
      </c>
      <c r="BX52" s="92">
        <f>IFERROR(AVERAGEIFS('Base Kpi'!$CZ:$CZ,'Base Kpi'!$CS:$CS,Cliente!$E52,'Base Kpi'!$CY:$CY,Cliente!BX$5),0)</f>
        <v>13.2</v>
      </c>
      <c r="BY52" s="92">
        <f>IFERROR(AVERAGEIFS('Base Kpi'!$CZ:$CZ,'Base Kpi'!$CS:$CS,Cliente!$E52,'Base Kpi'!$CY:$CY,Cliente!BY$5),0)</f>
        <v>18</v>
      </c>
      <c r="BZ52" s="94">
        <f t="shared" si="76"/>
        <v>66.625</v>
      </c>
      <c r="CA52" s="95">
        <f t="shared" si="84"/>
        <v>1</v>
      </c>
      <c r="CB52" s="60">
        <f t="shared" si="64"/>
        <v>64.024999999999991</v>
      </c>
      <c r="CC52" s="97">
        <f t="shared" si="65"/>
        <v>0</v>
      </c>
      <c r="CD52" s="43">
        <f t="shared" si="66"/>
        <v>0</v>
      </c>
      <c r="CE52" s="60" cm="1">
        <f t="array" ref="CE52">IFERROR(LARGE(_xlfn._xlws.FILTER('Base Kpi'!$DL:$DL,('Base Kpi'!$DK:$DK=$CE$5)*('Base Kpi'!$DE:$DE=Cliente!$E52)),1),0)</f>
        <v>0</v>
      </c>
      <c r="CF52" s="60" cm="1">
        <f t="array" ref="CF52">IFERROR(LARGE(_xlfn._xlws.FILTER('Base Kpi'!$DL:$DL,('Base Kpi'!$DK:$DK=$CF$5)*('Base Kpi'!$DE:$DE=Cliente!$E52)),1),0)</f>
        <v>0</v>
      </c>
      <c r="CG52" s="60" cm="1">
        <f t="array" ref="CG52">IFERROR(LARGE(_xlfn._xlws.FILTER('Base Kpi'!$DL:$DL,('Base Kpi'!$DK:$DK=$CG$5)*('Base Kpi'!$DE:$DE=Cliente!$E52)),1),0)</f>
        <v>0</v>
      </c>
      <c r="CH52" s="60" cm="1">
        <f t="array" ref="CH52">IFERROR(LARGE(_xlfn._xlws.FILTER('Base Kpi'!$DL:$DL,('Base Kpi'!$DK:$DK=$CH$5)*('Base Kpi'!$DE:$DE=Cliente!$E52)),1),0)</f>
        <v>0</v>
      </c>
      <c r="CI52" s="60" cm="1">
        <f t="array" ref="CI52">IFERROR(LARGE(_xlfn._xlws.FILTER('Base Kpi'!$DL:$DL,('Base Kpi'!$DK:$DK=$CI$5)*('Base Kpi'!$DE:$DE=Cliente!$E52)),1),0)</f>
        <v>0</v>
      </c>
      <c r="CJ52" s="60" cm="1">
        <f t="array" ref="CJ52">IFERROR(LARGE(_xlfn._xlws.FILTER('Base Kpi'!$DL:$DL,('Base Kpi'!$DK:$DK=$CJ$5)*('Base Kpi'!$DE:$DE=Cliente!$E52)),1),0)</f>
        <v>0</v>
      </c>
      <c r="CK52" s="60" cm="1">
        <f t="array" ref="CK52">IFERROR(LARGE(_xlfn._xlws.FILTER('Base Kpi'!$DL:$DL,('Base Kpi'!$DK:$DK=$CK$5)*('Base Kpi'!$DE:$DE=Cliente!$E52)),1),0)</f>
        <v>0</v>
      </c>
      <c r="CL52" s="94">
        <f t="shared" si="77"/>
        <v>0</v>
      </c>
      <c r="CM52" s="95">
        <f t="shared" si="47"/>
        <v>0</v>
      </c>
      <c r="CN52" s="60">
        <f>IFERROR(AVERAGEIFS('Base Kpi'!$DX:$DX,'Base Kpi'!$DQ:$DQ,Cliente!$E52,'Base Kpi'!$DW:$DW,Cliente!CN$5),0)</f>
        <v>35.200000000000003</v>
      </c>
      <c r="CO52" s="92">
        <f>IFERROR(AVERAGEIFS('Base Kpi'!$DX:$DX,'Base Kpi'!$DQ:$DQ,Cliente!$E52,'Base Kpi'!$DW:$DW,Cliente!CO$5),0)</f>
        <v>5</v>
      </c>
      <c r="CP52" s="92">
        <f>IFERROR(AVERAGEIFS('Base Kpi'!$DX:$DX,'Base Kpi'!$DQ:$DQ,Cliente!$E52,'Base Kpi'!$DW:$DW,Cliente!CP$5),0)</f>
        <v>5</v>
      </c>
      <c r="CQ52" s="92">
        <f>IFERROR(AVERAGEIFS('Base Kpi'!$DX:$DX,'Base Kpi'!$DQ:$DQ,Cliente!$E52,'Base Kpi'!$DW:$DW,Cliente!CQ$5),0)</f>
        <v>18</v>
      </c>
      <c r="CR52" s="92">
        <f>IFERROR(AVERAGEIFS('Base Kpi'!$DX:$DX,'Base Kpi'!$DQ:$DQ,Cliente!$E52,'Base Kpi'!$DW:$DW,Cliente!CR$5),0)</f>
        <v>21.425000000000001</v>
      </c>
      <c r="CS52" s="92">
        <f>IFERROR(AVERAGEIFS('Base Kpi'!$DX:$DX,'Base Kpi'!$DQ:$DQ,Cliente!$E52,'Base Kpi'!$DW:$DW,Cliente!CS$5),0)</f>
        <v>12</v>
      </c>
      <c r="CT52" s="92">
        <f>IFERROR(AVERAGEIFS('Base Kpi'!$DX:$DX,'Base Kpi'!$DQ:$DQ,Cliente!$E52,'Base Kpi'!$DW:$DW,Cliente!CT$5),0)</f>
        <v>0</v>
      </c>
      <c r="CU52" s="94">
        <f t="shared" si="67"/>
        <v>96.625</v>
      </c>
      <c r="CV52" s="95">
        <f t="shared" si="68"/>
        <v>1</v>
      </c>
      <c r="CW52" s="60">
        <f>IFERROR(AVERAGEIFS('Base Kpi'!$EJ:$EJ,'Base Kpi'!$EC:$EC,Cliente!$E52,'Base Kpi'!$EI:$EI,Cliente!CW$5),0)</f>
        <v>37.6</v>
      </c>
      <c r="CX52" s="92">
        <f>IFERROR(AVERAGEIFS('Base Kpi'!$EJ:$EJ,'Base Kpi'!$EC:$EC,Cliente!$E52,'Base Kpi'!$EI:$EI,Cliente!CX$5),0)</f>
        <v>5</v>
      </c>
      <c r="CY52" s="92">
        <f>IFERROR(AVERAGEIFS('Base Kpi'!$EJ:$EJ,'Base Kpi'!$EC:$EC,Cliente!$E52,'Base Kpi'!$EI:$EI,Cliente!CY$5),0)</f>
        <v>5</v>
      </c>
      <c r="CZ52" s="92">
        <f>IFERROR(AVERAGEIFS('Base Kpi'!$EJ:$EJ,'Base Kpi'!$EC:$EC,Cliente!$E52,'Base Kpi'!$EI:$EI,Cliente!CZ$5),0)</f>
        <v>18</v>
      </c>
      <c r="DA52" s="92">
        <f>IFERROR(AVERAGEIFS('Base Kpi'!$EJ:$EJ,'Base Kpi'!$EC:$EC,Cliente!$E52,'Base Kpi'!$EI:$EI,Cliente!DA$5),0)</f>
        <v>17.850000000000001</v>
      </c>
      <c r="DB52" s="92">
        <f>IFERROR(AVERAGEIFS('Base Kpi'!$EJ:$EJ,'Base Kpi'!$EC:$EC,Cliente!$E52,'Base Kpi'!$EI:$EI,Cliente!DB$5),0)</f>
        <v>12</v>
      </c>
      <c r="DC52" s="92">
        <f>IFERROR(AVERAGEIFS('Base Kpi'!$EJ:$EJ,'Base Kpi'!$EC:$EC,Cliente!$E52,'Base Kpi'!$EI:$EI,Cliente!DC$5),0)</f>
        <v>0</v>
      </c>
      <c r="DD52" s="94">
        <f t="shared" si="69"/>
        <v>95.449999999999989</v>
      </c>
      <c r="DE52" s="95">
        <f t="shared" si="70"/>
        <v>1</v>
      </c>
      <c r="DF52" s="120"/>
    </row>
    <row r="53" spans="2:110" x14ac:dyDescent="0.35">
      <c r="B53" s="101" t="s">
        <v>42</v>
      </c>
      <c r="C53" s="102">
        <v>3655</v>
      </c>
      <c r="D53" s="102" t="s">
        <v>434</v>
      </c>
      <c r="E53" s="102">
        <v>107838</v>
      </c>
      <c r="F53" s="103" t="s">
        <v>78</v>
      </c>
      <c r="G53" s="103" t="s">
        <v>201</v>
      </c>
      <c r="H53" s="103" t="s">
        <v>205</v>
      </c>
      <c r="I53" s="103" t="s">
        <v>206</v>
      </c>
      <c r="J53" s="103" t="s">
        <v>90</v>
      </c>
      <c r="K53" s="108" t="s">
        <v>81</v>
      </c>
      <c r="L53" s="60">
        <f t="shared" si="55"/>
        <v>65.428333333333327</v>
      </c>
      <c r="M53" s="97">
        <f t="shared" si="56"/>
        <v>1</v>
      </c>
      <c r="N53" s="43">
        <f t="shared" si="52"/>
        <v>0</v>
      </c>
      <c r="O53" s="60">
        <f>IFERROR(AVERAGEIFS('Base Kpi'!$I:$I,'Base Kpi'!$B:$B,Cliente!$E53,'Base Kpi'!$G:$G,Cliente!O$5),0)</f>
        <v>12.87</v>
      </c>
      <c r="P53" s="92">
        <f>IFERROR(AVERAGEIFS('Base Kpi'!$I:$I,'Base Kpi'!$B:$B,Cliente!$E53,'Base Kpi'!$G:$G,Cliente!P$5),0)</f>
        <v>8</v>
      </c>
      <c r="Q53" s="92">
        <f>IFERROR(AVERAGEIFS('Base Kpi'!$I:$I,'Base Kpi'!$B:$B,Cliente!$E53,'Base Kpi'!$G:$G,Cliente!Q$5),0)</f>
        <v>10.199999999999999</v>
      </c>
      <c r="R53" s="92">
        <f>IFERROR(AVERAGEIFS('Base Kpi'!$I:$I,'Base Kpi'!$B:$B,Cliente!$E53,'Base Kpi'!$G:$G,Cliente!R$5),0)</f>
        <v>27</v>
      </c>
      <c r="S53" s="94">
        <f t="shared" si="57"/>
        <v>58.069999999999993</v>
      </c>
      <c r="T53" s="95">
        <f t="shared" si="58"/>
        <v>0</v>
      </c>
      <c r="U53" s="60">
        <f>IFERROR(AVERAGEIFS('Base Kpi'!$T:$T,'Base Kpi'!$M:$M,Cliente!$E53,'Base Kpi'!$S:$S,Cliente!U$5),0)</f>
        <v>17.13</v>
      </c>
      <c r="V53" s="92">
        <f>IFERROR(AVERAGEIFS('Base Kpi'!$T:$T,'Base Kpi'!$M:$M,Cliente!$E53,'Base Kpi'!$S:$S,Cliente!V$5),0)</f>
        <v>0</v>
      </c>
      <c r="W53" s="92">
        <f>IFERROR(AVERAGEIFS('Base Kpi'!$T:$T,'Base Kpi'!$M:$M,Cliente!$E53,'Base Kpi'!$S:$S,Cliente!W$5),0)</f>
        <v>8.5</v>
      </c>
      <c r="X53" s="92">
        <f>IFERROR(AVERAGEIFS('Base Kpi'!$T:$T,'Base Kpi'!$M:$M,Cliente!$E53,'Base Kpi'!$S:$S,Cliente!X$5),0)</f>
        <v>30.375</v>
      </c>
      <c r="Y53" s="94">
        <f t="shared" si="59"/>
        <v>56.004999999999995</v>
      </c>
      <c r="Z53" s="95">
        <f t="shared" si="60"/>
        <v>0</v>
      </c>
      <c r="AA53" s="60">
        <f>IFERROR(AVERAGEIFS('Base Kpi'!$AF:$AF,'Base Kpi'!$Y:$Y,Cliente!$E53,'Base Kpi'!$AE:$AE,Cliente!AA$5),0)</f>
        <v>25.71</v>
      </c>
      <c r="AB53" s="92">
        <f>IFERROR(AVERAGEIFS('Base Kpi'!$AF:$AF,'Base Kpi'!$Y:$Y,Cliente!$E53,'Base Kpi'!$AE:$AE,Cliente!AB$5),0)</f>
        <v>8</v>
      </c>
      <c r="AC53" s="92">
        <f>IFERROR(AVERAGEIFS('Base Kpi'!$AF:$AF,'Base Kpi'!$Y:$Y,Cliente!$E53,'Base Kpi'!$AE:$AE,Cliente!AC$5),0)</f>
        <v>17</v>
      </c>
      <c r="AD53" s="92">
        <f>IFERROR(AVERAGEIFS('Base Kpi'!$AF:$AF,'Base Kpi'!$Y:$Y,Cliente!$E53,'Base Kpi'!$AE:$AE,Cliente!AD$5),0)</f>
        <v>31.5</v>
      </c>
      <c r="AE53" s="94">
        <f t="shared" si="61"/>
        <v>82.210000000000008</v>
      </c>
      <c r="AF53" s="95">
        <f t="shared" si="62"/>
        <v>1</v>
      </c>
      <c r="AG53" s="60">
        <f t="shared" si="71"/>
        <v>62.238333333333337</v>
      </c>
      <c r="AH53" s="97">
        <f t="shared" si="72"/>
        <v>1</v>
      </c>
      <c r="AI53" s="88">
        <f t="shared" si="63"/>
        <v>1</v>
      </c>
      <c r="AJ53" s="92">
        <f>IFERROR(AVERAGEIFS('Base Kpi'!$AR:$AR,'Base Kpi'!$AK:$AK,Cliente!$E53,'Base Kpi'!$AQ:$AQ,AJ$5),0)</f>
        <v>14.275</v>
      </c>
      <c r="AK53" s="92">
        <f>IFERROR(AVERAGEIFS('Base Kpi'!$AR:$AR,'Base Kpi'!$AK:$AK,Cliente!$E53,'Base Kpi'!$AQ:$AQ,AK$5),0)</f>
        <v>2.5</v>
      </c>
      <c r="AL53" s="92">
        <f>IFERROR(AVERAGEIFS('Base Kpi'!$AR:$AR,'Base Kpi'!$AK:$AK,Cliente!$E53,'Base Kpi'!$AQ:$AQ,AL$5),0)</f>
        <v>12</v>
      </c>
      <c r="AM53" s="92">
        <f>IFERROR(AVERAGEIFS('Base Kpi'!$AR:$AR,'Base Kpi'!$AK:$AK,Cliente!$E53,'Base Kpi'!$AQ:$AQ,AM$5),0)</f>
        <v>22.6</v>
      </c>
      <c r="AN53" s="94">
        <f t="shared" si="53"/>
        <v>51.375</v>
      </c>
      <c r="AO53" s="95">
        <f t="shared" si="13"/>
        <v>0</v>
      </c>
      <c r="AP53" s="60">
        <f>IFERROR(AVERAGEIFS('Base Kpi'!$BD:$BD,'Base Kpi'!$AW:$AW,Cliente!$E53,'Base Kpi'!$BC:$BC,Cliente!AP$5),0)</f>
        <v>25</v>
      </c>
      <c r="AQ53" s="92">
        <f>IFERROR(AVERAGEIFS('Base Kpi'!$BD:$BD,'Base Kpi'!$AW:$AW,Cliente!$E53,'Base Kpi'!$BC:$BC,Cliente!AQ$5),0)</f>
        <v>1.665</v>
      </c>
      <c r="AR53" s="92">
        <f>IFERROR(AVERAGEIFS('Base Kpi'!$BD:$BD,'Base Kpi'!$AW:$AW,Cliente!$E53,'Base Kpi'!$BC:$BC,Cliente!AR$5),0)</f>
        <v>6</v>
      </c>
      <c r="AS53" s="92">
        <f>IFERROR(AVERAGEIFS('Base Kpi'!$BD:$BD,'Base Kpi'!$AW:$AW,Cliente!$E53,'Base Kpi'!$BC:$BC,Cliente!AS$5),0)</f>
        <v>12.18</v>
      </c>
      <c r="AT53" s="92">
        <f>IFERROR(AVERAGEIFS('Base Kpi'!$BD:$BD,'Base Kpi'!$AW:$AW,Cliente!$E53,'Base Kpi'!$BC:$BC,Cliente!AT$5),0)</f>
        <v>0</v>
      </c>
      <c r="AU53" s="94">
        <f t="shared" si="54"/>
        <v>44.844999999999999</v>
      </c>
      <c r="AV53" s="95">
        <f t="shared" si="78"/>
        <v>1</v>
      </c>
      <c r="AW53" s="60">
        <f>IFERROR(AVERAGEIFS('Base Kpi'!$BP:$BP,'Base Kpi'!$BI:$BI,Cliente!$E53,'Base Kpi'!$BO:$BO,Cliente!AW$5),0)</f>
        <v>25</v>
      </c>
      <c r="AX53" s="92">
        <f>IFERROR(AVERAGEIFS('Base Kpi'!$BP:$BP,'Base Kpi'!$BI:$BI,Cliente!$E53,'Base Kpi'!$BO:$BO,Cliente!AX$5),0)</f>
        <v>3.335</v>
      </c>
      <c r="AY53" s="92">
        <f>IFERROR(AVERAGEIFS('Base Kpi'!$BP:$BP,'Base Kpi'!$BI:$BI,Cliente!$E53,'Base Kpi'!$BO:$BO,Cliente!AY$5),0)</f>
        <v>12</v>
      </c>
      <c r="AZ53" s="92">
        <f>IFERROR(AVERAGEIFS('Base Kpi'!$BP:$BP,'Base Kpi'!$BI:$BI,Cliente!$E53,'Base Kpi'!$BO:$BO,Cliente!AZ$5),0)</f>
        <v>32.159999999999997</v>
      </c>
      <c r="BA53" s="92">
        <f>IFERROR(AVERAGEIFS('Base Kpi'!$BP:$BP,'Base Kpi'!$BI:$BI,Cliente!$E53,'Base Kpi'!$BO:$BO,Cliente!BA$5),0)</f>
        <v>18</v>
      </c>
      <c r="BB53" s="94">
        <f t="shared" si="73"/>
        <v>90.495000000000005</v>
      </c>
      <c r="BC53" s="95">
        <f t="shared" si="79"/>
        <v>1</v>
      </c>
      <c r="BD53" s="60">
        <f t="shared" si="42"/>
        <v>79.053333333333327</v>
      </c>
      <c r="BE53" s="97">
        <f t="shared" si="80"/>
        <v>1</v>
      </c>
      <c r="BF53" s="88">
        <f t="shared" si="81"/>
        <v>1</v>
      </c>
      <c r="BG53" s="60">
        <f>IFERROR(AVERAGEIFS('Base Kpi'!$CB:$CB,'Base Kpi'!$BU:$BU,Cliente!$E53,'Base Kpi'!$CA:$CA,Cliente!BG$5),0)</f>
        <v>21.425000000000001</v>
      </c>
      <c r="BH53" s="92">
        <f>IFERROR(AVERAGEIFS('Base Kpi'!$CB:$CB,'Base Kpi'!$BU:$BU,Cliente!$E53,'Base Kpi'!$CA:$CA,Cliente!BH$5),0)</f>
        <v>3.335</v>
      </c>
      <c r="BI53" s="92">
        <f>IFERROR(AVERAGEIFS('Base Kpi'!$CB:$CB,'Base Kpi'!$BU:$BU,Cliente!$E53,'Base Kpi'!$CA:$CA,Cliente!BI$5),0)</f>
        <v>12</v>
      </c>
      <c r="BJ53" s="92">
        <f>IFERROR(AVERAGEIFS('Base Kpi'!$CB:$CB,'Base Kpi'!$BU:$BU,Cliente!$E53,'Base Kpi'!$CA:$CA,Cliente!BJ$5),0)</f>
        <v>24.8</v>
      </c>
      <c r="BK53" s="92">
        <f>IFERROR(AVERAGEIFS('Base Kpi'!$CB:$CB,'Base Kpi'!$BU:$BU,Cliente!$E53,'Base Kpi'!$CA:$CA,Cliente!BK$5),0)</f>
        <v>9</v>
      </c>
      <c r="BL53" s="94">
        <f t="shared" si="74"/>
        <v>70.56</v>
      </c>
      <c r="BM53" s="95">
        <f t="shared" si="82"/>
        <v>1</v>
      </c>
      <c r="BN53" s="60">
        <f>IFERROR(AVERAGEIFS('Base Kpi'!$CN:$CN,'Base Kpi'!$CG:$CG,Cliente!$E53,'Base Kpi'!$CM:$CM,Cliente!BN$5),0)</f>
        <v>25</v>
      </c>
      <c r="BO53" s="92">
        <f>IFERROR(AVERAGEIFS('Base Kpi'!$CN:$CN,'Base Kpi'!$CG:$CG,Cliente!$E53,'Base Kpi'!$CM:$CM,Cliente!BO$5),0)</f>
        <v>5</v>
      </c>
      <c r="BP53" s="92">
        <f>IFERROR(AVERAGEIFS('Base Kpi'!$CN:$CN,'Base Kpi'!$CG:$CG,Cliente!$E53,'Base Kpi'!$CM:$CM,Cliente!BP$5),0)</f>
        <v>12</v>
      </c>
      <c r="BQ53" s="92">
        <f>IFERROR(AVERAGEIFS('Base Kpi'!$CN:$CN,'Base Kpi'!$CG:$CG,Cliente!$E53,'Base Kpi'!$CM:$CM,Cliente!BQ$5),0)</f>
        <v>35.200000000000003</v>
      </c>
      <c r="BR53" s="92">
        <f>IFERROR(AVERAGEIFS('Base Kpi'!$CN:$CN,'Base Kpi'!$CG:$CG,Cliente!$E53,'Base Kpi'!$CM:$CM,Cliente!BR$5),0)</f>
        <v>0</v>
      </c>
      <c r="BS53" s="94">
        <f t="shared" si="75"/>
        <v>77.2</v>
      </c>
      <c r="BT53" s="95">
        <f t="shared" si="83"/>
        <v>1</v>
      </c>
      <c r="BU53" s="60">
        <f>IFERROR(AVERAGEIFS('Base Kpi'!$CZ:$CZ,'Base Kpi'!$CS:$CS,Cliente!$E53,'Base Kpi'!$CY:$CY,Cliente!BU$5),0)</f>
        <v>25</v>
      </c>
      <c r="BV53" s="92">
        <f>IFERROR(AVERAGEIFS('Base Kpi'!$CZ:$CZ,'Base Kpi'!$CS:$CS,Cliente!$E53,'Base Kpi'!$CY:$CY,Cliente!BV$5),0)</f>
        <v>5</v>
      </c>
      <c r="BW53" s="92">
        <f>IFERROR(AVERAGEIFS('Base Kpi'!$CZ:$CZ,'Base Kpi'!$CS:$CS,Cliente!$E53,'Base Kpi'!$CY:$CY,Cliente!BW$5),0)</f>
        <v>12</v>
      </c>
      <c r="BX53" s="92">
        <f>IFERROR(AVERAGEIFS('Base Kpi'!$CZ:$CZ,'Base Kpi'!$CS:$CS,Cliente!$E53,'Base Kpi'!$CY:$CY,Cliente!BX$5),0)</f>
        <v>38.4</v>
      </c>
      <c r="BY53" s="92">
        <f>IFERROR(AVERAGEIFS('Base Kpi'!$CZ:$CZ,'Base Kpi'!$CS:$CS,Cliente!$E53,'Base Kpi'!$CY:$CY,Cliente!BY$5),0)</f>
        <v>9</v>
      </c>
      <c r="BZ53" s="94">
        <f t="shared" si="76"/>
        <v>89.4</v>
      </c>
      <c r="CA53" s="95">
        <f t="shared" si="84"/>
        <v>1</v>
      </c>
      <c r="CB53" s="60">
        <f t="shared" si="64"/>
        <v>62.933333333333337</v>
      </c>
      <c r="CC53" s="97">
        <f t="shared" si="65"/>
        <v>0</v>
      </c>
      <c r="CD53" s="43">
        <f t="shared" si="66"/>
        <v>0</v>
      </c>
      <c r="CE53" s="60" cm="1">
        <f t="array" ref="CE53">IFERROR(LARGE(_xlfn._xlws.FILTER('Base Kpi'!$DL:$DL,('Base Kpi'!$DK:$DK=$CE$5)*('Base Kpi'!$DE:$DE=Cliente!$E53)),1),0)</f>
        <v>38.4</v>
      </c>
      <c r="CF53" s="60" cm="1">
        <f t="array" ref="CF53">IFERROR(LARGE(_xlfn._xlws.FILTER('Base Kpi'!$DL:$DL,('Base Kpi'!$DK:$DK=$CF$5)*('Base Kpi'!$DE:$DE=Cliente!$E53)),1),0)</f>
        <v>5</v>
      </c>
      <c r="CG53" s="60" cm="1">
        <f t="array" ref="CG53">IFERROR(LARGE(_xlfn._xlws.FILTER('Base Kpi'!$DL:$DL,('Base Kpi'!$DK:$DK=$CG$5)*('Base Kpi'!$DE:$DE=Cliente!$E53)),1),0)</f>
        <v>5</v>
      </c>
      <c r="CH53" s="60" cm="1">
        <f t="array" ref="CH53">IFERROR(LARGE(_xlfn._xlws.FILTER('Base Kpi'!$DL:$DL,('Base Kpi'!$DK:$DK=$CH$5)*('Base Kpi'!$DE:$DE=Cliente!$E53)),1),0)</f>
        <v>9</v>
      </c>
      <c r="CI53" s="60" cm="1">
        <f t="array" ref="CI53">IFERROR(LARGE(_xlfn._xlws.FILTER('Base Kpi'!$DL:$DL,('Base Kpi'!$DK:$DK=$CI$5)*('Base Kpi'!$DE:$DE=Cliente!$E53)),1),0)</f>
        <v>25</v>
      </c>
      <c r="CJ53" s="60" cm="1">
        <f t="array" ref="CJ53">IFERROR(LARGE(_xlfn._xlws.FILTER('Base Kpi'!$DL:$DL,('Base Kpi'!$DK:$DK=$CJ$5)*('Base Kpi'!$DE:$DE=Cliente!$E53)),1),0)</f>
        <v>12</v>
      </c>
      <c r="CK53" s="60" cm="1">
        <f t="array" ref="CK53">IFERROR(LARGE(_xlfn._xlws.FILTER('Base Kpi'!$DL:$DL,('Base Kpi'!$DK:$DK=$CK$5)*('Base Kpi'!$DE:$DE=Cliente!$E53)),1),0)</f>
        <v>0</v>
      </c>
      <c r="CL53" s="94">
        <f t="shared" si="77"/>
        <v>94.4</v>
      </c>
      <c r="CM53" s="95">
        <f t="shared" si="47"/>
        <v>1</v>
      </c>
      <c r="CN53" s="60">
        <f>IFERROR(AVERAGEIFS('Base Kpi'!$DX:$DX,'Base Kpi'!$DQ:$DQ,Cliente!$E53,'Base Kpi'!$DW:$DW,Cliente!CN$5),0)</f>
        <v>38.4</v>
      </c>
      <c r="CO53" s="92">
        <f>IFERROR(AVERAGEIFS('Base Kpi'!$DX:$DX,'Base Kpi'!$DQ:$DQ,Cliente!$E53,'Base Kpi'!$DW:$DW,Cliente!CO$5),0)</f>
        <v>5</v>
      </c>
      <c r="CP53" s="92">
        <f>IFERROR(AVERAGEIFS('Base Kpi'!$DX:$DX,'Base Kpi'!$DQ:$DQ,Cliente!$E53,'Base Kpi'!$DW:$DW,Cliente!CP$5),0)</f>
        <v>5</v>
      </c>
      <c r="CQ53" s="92">
        <f>IFERROR(AVERAGEIFS('Base Kpi'!$DX:$DX,'Base Kpi'!$DQ:$DQ,Cliente!$E53,'Base Kpi'!$DW:$DW,Cliente!CQ$5),0)</f>
        <v>9</v>
      </c>
      <c r="CR53" s="92">
        <f>IFERROR(AVERAGEIFS('Base Kpi'!$DX:$DX,'Base Kpi'!$DQ:$DQ,Cliente!$E53,'Base Kpi'!$DW:$DW,Cliente!CR$5),0)</f>
        <v>25</v>
      </c>
      <c r="CS53" s="92">
        <f>IFERROR(AVERAGEIFS('Base Kpi'!$DX:$DX,'Base Kpi'!$DQ:$DQ,Cliente!$E53,'Base Kpi'!$DW:$DW,Cliente!CS$5),0)</f>
        <v>12</v>
      </c>
      <c r="CT53" s="92">
        <f>IFERROR(AVERAGEIFS('Base Kpi'!$DX:$DX,'Base Kpi'!$DQ:$DQ,Cliente!$E53,'Base Kpi'!$DW:$DW,Cliente!CT$5),0)</f>
        <v>0</v>
      </c>
      <c r="CU53" s="94">
        <f t="shared" si="67"/>
        <v>94.4</v>
      </c>
      <c r="CV53" s="95">
        <f t="shared" si="68"/>
        <v>1</v>
      </c>
      <c r="CW53" s="60">
        <f>IFERROR(AVERAGEIFS('Base Kpi'!$EJ:$EJ,'Base Kpi'!$EC:$EC,Cliente!$E53,'Base Kpi'!$EI:$EI,Cliente!CW$5),0)</f>
        <v>0</v>
      </c>
      <c r="CX53" s="92">
        <f>IFERROR(AVERAGEIFS('Base Kpi'!$EJ:$EJ,'Base Kpi'!$EC:$EC,Cliente!$E53,'Base Kpi'!$EI:$EI,Cliente!CX$5),0)</f>
        <v>0</v>
      </c>
      <c r="CY53" s="92">
        <f>IFERROR(AVERAGEIFS('Base Kpi'!$EJ:$EJ,'Base Kpi'!$EC:$EC,Cliente!$E53,'Base Kpi'!$EI:$EI,Cliente!CY$5),0)</f>
        <v>0</v>
      </c>
      <c r="CZ53" s="92">
        <f>IFERROR(AVERAGEIFS('Base Kpi'!$EJ:$EJ,'Base Kpi'!$EC:$EC,Cliente!$E53,'Base Kpi'!$EI:$EI,Cliente!CZ$5),0)</f>
        <v>0</v>
      </c>
      <c r="DA53" s="92">
        <f>IFERROR(AVERAGEIFS('Base Kpi'!$EJ:$EJ,'Base Kpi'!$EC:$EC,Cliente!$E53,'Base Kpi'!$EI:$EI,Cliente!DA$5),0)</f>
        <v>0</v>
      </c>
      <c r="DB53" s="92">
        <f>IFERROR(AVERAGEIFS('Base Kpi'!$EJ:$EJ,'Base Kpi'!$EC:$EC,Cliente!$E53,'Base Kpi'!$EI:$EI,Cliente!DB$5),0)</f>
        <v>0</v>
      </c>
      <c r="DC53" s="92">
        <f>IFERROR(AVERAGEIFS('Base Kpi'!$EJ:$EJ,'Base Kpi'!$EC:$EC,Cliente!$E53,'Base Kpi'!$EI:$EI,Cliente!DC$5),0)</f>
        <v>0</v>
      </c>
      <c r="DD53" s="94">
        <f t="shared" si="69"/>
        <v>0</v>
      </c>
      <c r="DE53" s="95">
        <f t="shared" si="70"/>
        <v>0</v>
      </c>
      <c r="DF53" s="120"/>
    </row>
    <row r="54" spans="2:110" x14ac:dyDescent="0.35">
      <c r="B54" s="101" t="s">
        <v>42</v>
      </c>
      <c r="C54" s="102">
        <v>3655</v>
      </c>
      <c r="D54" s="102" t="s">
        <v>434</v>
      </c>
      <c r="E54" s="102">
        <v>124155</v>
      </c>
      <c r="F54" s="103" t="s">
        <v>76</v>
      </c>
      <c r="G54" s="103" t="s">
        <v>208</v>
      </c>
      <c r="H54" s="103" t="s">
        <v>209</v>
      </c>
      <c r="I54" s="103" t="s">
        <v>176</v>
      </c>
      <c r="J54" s="103" t="s">
        <v>88</v>
      </c>
      <c r="K54" s="108" t="s">
        <v>81</v>
      </c>
      <c r="L54" s="60">
        <f t="shared" si="55"/>
        <v>74.943333333333328</v>
      </c>
      <c r="M54" s="97">
        <f t="shared" si="56"/>
        <v>1</v>
      </c>
      <c r="N54" s="43">
        <f t="shared" si="52"/>
        <v>0</v>
      </c>
      <c r="O54" s="60">
        <f>IFERROR(AVERAGEIFS('Base Kpi'!$I:$I,'Base Kpi'!$B:$B,Cliente!$E54,'Base Kpi'!$G:$G,Cliente!O$5),0)</f>
        <v>25.71</v>
      </c>
      <c r="P54" s="92">
        <f>IFERROR(AVERAGEIFS('Base Kpi'!$I:$I,'Base Kpi'!$B:$B,Cliente!$E54,'Base Kpi'!$G:$G,Cliente!P$5),0)</f>
        <v>8</v>
      </c>
      <c r="Q54" s="92">
        <f>IFERROR(AVERAGEIFS('Base Kpi'!$I:$I,'Base Kpi'!$B:$B,Cliente!$E54,'Base Kpi'!$G:$G,Cliente!Q$5),0)</f>
        <v>10.199999999999999</v>
      </c>
      <c r="R54" s="92">
        <f>IFERROR(AVERAGEIFS('Base Kpi'!$I:$I,'Base Kpi'!$B:$B,Cliente!$E54,'Base Kpi'!$G:$G,Cliente!R$5),0)</f>
        <v>38.25</v>
      </c>
      <c r="S54" s="94">
        <f t="shared" si="57"/>
        <v>82.16</v>
      </c>
      <c r="T54" s="95">
        <f t="shared" si="58"/>
        <v>1</v>
      </c>
      <c r="U54" s="60">
        <f>IFERROR(AVERAGEIFS('Base Kpi'!$T:$T,'Base Kpi'!$M:$M,Cliente!$E54,'Base Kpi'!$S:$S,Cliente!U$5),0)</f>
        <v>30</v>
      </c>
      <c r="V54" s="92">
        <f>IFERROR(AVERAGEIFS('Base Kpi'!$T:$T,'Base Kpi'!$M:$M,Cliente!$E54,'Base Kpi'!$S:$S,Cliente!V$5),0)</f>
        <v>8</v>
      </c>
      <c r="W54" s="92">
        <f>IFERROR(AVERAGEIFS('Base Kpi'!$T:$T,'Base Kpi'!$M:$M,Cliente!$E54,'Base Kpi'!$S:$S,Cliente!W$5),0)</f>
        <v>12.75</v>
      </c>
      <c r="X54" s="92">
        <f>IFERROR(AVERAGEIFS('Base Kpi'!$T:$T,'Base Kpi'!$M:$M,Cliente!$E54,'Base Kpi'!$S:$S,Cliente!X$5),0)</f>
        <v>18</v>
      </c>
      <c r="Y54" s="94">
        <f t="shared" si="59"/>
        <v>68.75</v>
      </c>
      <c r="Z54" s="95">
        <f t="shared" si="60"/>
        <v>0</v>
      </c>
      <c r="AA54" s="60">
        <f>IFERROR(AVERAGEIFS('Base Kpi'!$AF:$AF,'Base Kpi'!$Y:$Y,Cliente!$E54,'Base Kpi'!$AE:$AE,Cliente!AA$5),0)</f>
        <v>21.42</v>
      </c>
      <c r="AB54" s="92">
        <f>IFERROR(AVERAGEIFS('Base Kpi'!$AF:$AF,'Base Kpi'!$Y:$Y,Cliente!$E54,'Base Kpi'!$AE:$AE,Cliente!AB$5),0)</f>
        <v>8</v>
      </c>
      <c r="AC54" s="92">
        <f>IFERROR(AVERAGEIFS('Base Kpi'!$AF:$AF,'Base Kpi'!$Y:$Y,Cliente!$E54,'Base Kpi'!$AE:$AE,Cliente!AC$5),0)</f>
        <v>8.5</v>
      </c>
      <c r="AD54" s="92">
        <f>IFERROR(AVERAGEIFS('Base Kpi'!$AF:$AF,'Base Kpi'!$Y:$Y,Cliente!$E54,'Base Kpi'!$AE:$AE,Cliente!AD$5),0)</f>
        <v>36</v>
      </c>
      <c r="AE54" s="94">
        <f t="shared" si="61"/>
        <v>73.92</v>
      </c>
      <c r="AF54" s="95">
        <f t="shared" si="62"/>
        <v>0</v>
      </c>
      <c r="AG54" s="60">
        <f t="shared" si="71"/>
        <v>67.026666666666671</v>
      </c>
      <c r="AH54" s="97">
        <f t="shared" si="72"/>
        <v>1</v>
      </c>
      <c r="AI54" s="88">
        <f t="shared" si="63"/>
        <v>1</v>
      </c>
      <c r="AJ54" s="92">
        <f>IFERROR(AVERAGEIFS('Base Kpi'!$AR:$AR,'Base Kpi'!$AK:$AK,Cliente!$E54,'Base Kpi'!$AQ:$AQ,AJ$5),0)</f>
        <v>25</v>
      </c>
      <c r="AK54" s="92">
        <f>IFERROR(AVERAGEIFS('Base Kpi'!$AR:$AR,'Base Kpi'!$AK:$AK,Cliente!$E54,'Base Kpi'!$AQ:$AQ,AK$5),0)</f>
        <v>2.5</v>
      </c>
      <c r="AL54" s="92">
        <f>IFERROR(AVERAGEIFS('Base Kpi'!$AR:$AR,'Base Kpi'!$AK:$AK,Cliente!$E54,'Base Kpi'!$AQ:$AQ,AL$5),0)</f>
        <v>9</v>
      </c>
      <c r="AM54" s="92">
        <f>IFERROR(AVERAGEIFS('Base Kpi'!$AR:$AR,'Base Kpi'!$AK:$AK,Cliente!$E54,'Base Kpi'!$AQ:$AQ,AM$5),0)</f>
        <v>33.04</v>
      </c>
      <c r="AN54" s="94">
        <f t="shared" si="53"/>
        <v>69.539999999999992</v>
      </c>
      <c r="AO54" s="95">
        <f t="shared" si="13"/>
        <v>0</v>
      </c>
      <c r="AP54" s="60">
        <f>IFERROR(AVERAGEIFS('Base Kpi'!$BD:$BD,'Base Kpi'!$AW:$AW,Cliente!$E54,'Base Kpi'!$BC:$BC,Cliente!AP$5),0)</f>
        <v>21.425000000000001</v>
      </c>
      <c r="AQ54" s="92">
        <f>IFERROR(AVERAGEIFS('Base Kpi'!$BD:$BD,'Base Kpi'!$AW:$AW,Cliente!$E54,'Base Kpi'!$BC:$BC,Cliente!AQ$5),0)</f>
        <v>1.665</v>
      </c>
      <c r="AR54" s="92">
        <f>IFERROR(AVERAGEIFS('Base Kpi'!$BD:$BD,'Base Kpi'!$AW:$AW,Cliente!$E54,'Base Kpi'!$BC:$BC,Cliente!AR$5),0)</f>
        <v>12</v>
      </c>
      <c r="AS54" s="92">
        <f>IFERROR(AVERAGEIFS('Base Kpi'!$BD:$BD,'Base Kpi'!$AW:$AW,Cliente!$E54,'Base Kpi'!$BC:$BC,Cliente!AS$5),0)</f>
        <v>33.92</v>
      </c>
      <c r="AT54" s="92">
        <f>IFERROR(AVERAGEIFS('Base Kpi'!$BD:$BD,'Base Kpi'!$AW:$AW,Cliente!$E54,'Base Kpi'!$BC:$BC,Cliente!AT$5),0)</f>
        <v>0</v>
      </c>
      <c r="AU54" s="94">
        <f t="shared" si="54"/>
        <v>69.010000000000005</v>
      </c>
      <c r="AV54" s="95">
        <f t="shared" si="78"/>
        <v>1</v>
      </c>
      <c r="AW54" s="60">
        <f>IFERROR(AVERAGEIFS('Base Kpi'!$BP:$BP,'Base Kpi'!$BI:$BI,Cliente!$E54,'Base Kpi'!$BO:$BO,Cliente!AW$5),0)</f>
        <v>21.425000000000001</v>
      </c>
      <c r="AX54" s="92">
        <f>IFERROR(AVERAGEIFS('Base Kpi'!$BP:$BP,'Base Kpi'!$BI:$BI,Cliente!$E54,'Base Kpi'!$BO:$BO,Cliente!AX$5),0)</f>
        <v>1.665</v>
      </c>
      <c r="AY54" s="92">
        <f>IFERROR(AVERAGEIFS('Base Kpi'!$BP:$BP,'Base Kpi'!$BI:$BI,Cliente!$E54,'Base Kpi'!$BO:$BO,Cliente!AY$5),0)</f>
        <v>9</v>
      </c>
      <c r="AZ54" s="92">
        <f>IFERROR(AVERAGEIFS('Base Kpi'!$BP:$BP,'Base Kpi'!$BI:$BI,Cliente!$E54,'Base Kpi'!$BO:$BO,Cliente!AZ$5),0)</f>
        <v>30.44</v>
      </c>
      <c r="BA54" s="92">
        <f>IFERROR(AVERAGEIFS('Base Kpi'!$BP:$BP,'Base Kpi'!$BI:$BI,Cliente!$E54,'Base Kpi'!$BO:$BO,Cliente!BA$5),0)</f>
        <v>0</v>
      </c>
      <c r="BB54" s="94">
        <f t="shared" si="73"/>
        <v>62.53</v>
      </c>
      <c r="BC54" s="95">
        <f t="shared" si="79"/>
        <v>1</v>
      </c>
      <c r="BD54" s="60">
        <f t="shared" si="42"/>
        <v>58.741666666666674</v>
      </c>
      <c r="BE54" s="97">
        <f t="shared" si="80"/>
        <v>0</v>
      </c>
      <c r="BF54" s="88">
        <f t="shared" si="81"/>
        <v>0</v>
      </c>
      <c r="BG54" s="60">
        <f>IFERROR(AVERAGEIFS('Base Kpi'!$CB:$CB,'Base Kpi'!$BU:$BU,Cliente!$E54,'Base Kpi'!$CA:$CA,Cliente!BG$5),0)</f>
        <v>21.425000000000001</v>
      </c>
      <c r="BH54" s="92">
        <f>IFERROR(AVERAGEIFS('Base Kpi'!$CB:$CB,'Base Kpi'!$BU:$BU,Cliente!$E54,'Base Kpi'!$CA:$CA,Cliente!BH$5),0)</f>
        <v>5</v>
      </c>
      <c r="BI54" s="92">
        <f>IFERROR(AVERAGEIFS('Base Kpi'!$CB:$CB,'Base Kpi'!$BU:$BU,Cliente!$E54,'Base Kpi'!$CA:$CA,Cliente!BI$5),0)</f>
        <v>12</v>
      </c>
      <c r="BJ54" s="92">
        <f>IFERROR(AVERAGEIFS('Base Kpi'!$CB:$CB,'Base Kpi'!$BU:$BU,Cliente!$E54,'Base Kpi'!$CA:$CA,Cliente!BJ$5),0)</f>
        <v>33.6</v>
      </c>
      <c r="BK54" s="92">
        <f>IFERROR(AVERAGEIFS('Base Kpi'!$CB:$CB,'Base Kpi'!$BU:$BU,Cliente!$E54,'Base Kpi'!$CA:$CA,Cliente!BK$5),0)</f>
        <v>9</v>
      </c>
      <c r="BL54" s="94">
        <f t="shared" si="74"/>
        <v>81.025000000000006</v>
      </c>
      <c r="BM54" s="95">
        <f t="shared" si="82"/>
        <v>1</v>
      </c>
      <c r="BN54" s="60">
        <f>IFERROR(AVERAGEIFS('Base Kpi'!$CN:$CN,'Base Kpi'!$CG:$CG,Cliente!$E54,'Base Kpi'!$CM:$CM,Cliente!BN$5),0)</f>
        <v>0</v>
      </c>
      <c r="BO54" s="92">
        <f>IFERROR(AVERAGEIFS('Base Kpi'!$CN:$CN,'Base Kpi'!$CG:$CG,Cliente!$E54,'Base Kpi'!$CM:$CM,Cliente!BO$5),0)</f>
        <v>0</v>
      </c>
      <c r="BP54" s="92">
        <f>IFERROR(AVERAGEIFS('Base Kpi'!$CN:$CN,'Base Kpi'!$CG:$CG,Cliente!$E54,'Base Kpi'!$CM:$CM,Cliente!BP$5),0)</f>
        <v>0</v>
      </c>
      <c r="BQ54" s="92">
        <f>IFERROR(AVERAGEIFS('Base Kpi'!$CN:$CN,'Base Kpi'!$CG:$CG,Cliente!$E54,'Base Kpi'!$CM:$CM,Cliente!BQ$5),0)</f>
        <v>0</v>
      </c>
      <c r="BR54" s="92">
        <f>IFERROR(AVERAGEIFS('Base Kpi'!$CN:$CN,'Base Kpi'!$CG:$CG,Cliente!$E54,'Base Kpi'!$CM:$CM,Cliente!BR$5),0)</f>
        <v>0</v>
      </c>
      <c r="BS54" s="94">
        <f t="shared" si="75"/>
        <v>0</v>
      </c>
      <c r="BT54" s="95">
        <f t="shared" si="83"/>
        <v>0</v>
      </c>
      <c r="BU54" s="60">
        <f>IFERROR(AVERAGEIFS('Base Kpi'!$CZ:$CZ,'Base Kpi'!$CS:$CS,Cliente!$E54,'Base Kpi'!$CY:$CY,Cliente!BU$5),0)</f>
        <v>25</v>
      </c>
      <c r="BV54" s="92">
        <f>IFERROR(AVERAGEIFS('Base Kpi'!$CZ:$CZ,'Base Kpi'!$CS:$CS,Cliente!$E54,'Base Kpi'!$CY:$CY,Cliente!BV$5),0)</f>
        <v>5</v>
      </c>
      <c r="BW54" s="92">
        <f>IFERROR(AVERAGEIFS('Base Kpi'!$CZ:$CZ,'Base Kpi'!$CS:$CS,Cliente!$E54,'Base Kpi'!$CY:$CY,Cliente!BW$5),0)</f>
        <v>12</v>
      </c>
      <c r="BX54" s="92">
        <f>IFERROR(AVERAGEIFS('Base Kpi'!$CZ:$CZ,'Base Kpi'!$CS:$CS,Cliente!$E54,'Base Kpi'!$CY:$CY,Cliente!BX$5),0)</f>
        <v>35.200000000000003</v>
      </c>
      <c r="BY54" s="92">
        <f>IFERROR(AVERAGEIFS('Base Kpi'!$CZ:$CZ,'Base Kpi'!$CS:$CS,Cliente!$E54,'Base Kpi'!$CY:$CY,Cliente!BY$5),0)</f>
        <v>18</v>
      </c>
      <c r="BZ54" s="94">
        <f t="shared" si="76"/>
        <v>95.2</v>
      </c>
      <c r="CA54" s="95">
        <f t="shared" si="84"/>
        <v>1</v>
      </c>
      <c r="CB54" s="60" t="str">
        <f t="shared" si="64"/>
        <v/>
      </c>
      <c r="CC54" s="97">
        <f t="shared" si="65"/>
        <v>0</v>
      </c>
      <c r="CD54" s="43">
        <f t="shared" si="66"/>
        <v>0</v>
      </c>
      <c r="CE54" s="60" cm="1">
        <f t="array" ref="CE54">IFERROR(LARGE(_xlfn._xlws.FILTER('Base Kpi'!$DL:$DL,('Base Kpi'!$DK:$DK=$CE$5)*('Base Kpi'!$DE:$DE=Cliente!$E54)),1),0)</f>
        <v>0</v>
      </c>
      <c r="CF54" s="60" cm="1">
        <f t="array" ref="CF54">IFERROR(LARGE(_xlfn._xlws.FILTER('Base Kpi'!$DL:$DL,('Base Kpi'!$DK:$DK=$CF$5)*('Base Kpi'!$DE:$DE=Cliente!$E54)),1),0)</f>
        <v>0</v>
      </c>
      <c r="CG54" s="60" cm="1">
        <f t="array" ref="CG54">IFERROR(LARGE(_xlfn._xlws.FILTER('Base Kpi'!$DL:$DL,('Base Kpi'!$DK:$DK=$CG$5)*('Base Kpi'!$DE:$DE=Cliente!$E54)),1),0)</f>
        <v>0</v>
      </c>
      <c r="CH54" s="60" cm="1">
        <f t="array" ref="CH54">IFERROR(LARGE(_xlfn._xlws.FILTER('Base Kpi'!$DL:$DL,('Base Kpi'!$DK:$DK=$CH$5)*('Base Kpi'!$DE:$DE=Cliente!$E54)),1),0)</f>
        <v>0</v>
      </c>
      <c r="CI54" s="60" cm="1">
        <f t="array" ref="CI54">IFERROR(LARGE(_xlfn._xlws.FILTER('Base Kpi'!$DL:$DL,('Base Kpi'!$DK:$DK=$CI$5)*('Base Kpi'!$DE:$DE=Cliente!$E54)),1),0)</f>
        <v>0</v>
      </c>
      <c r="CJ54" s="60" cm="1">
        <f t="array" ref="CJ54">IFERROR(LARGE(_xlfn._xlws.FILTER('Base Kpi'!$DL:$DL,('Base Kpi'!$DK:$DK=$CJ$5)*('Base Kpi'!$DE:$DE=Cliente!$E54)),1),0)</f>
        <v>0</v>
      </c>
      <c r="CK54" s="60" cm="1">
        <f t="array" ref="CK54">IFERROR(LARGE(_xlfn._xlws.FILTER('Base Kpi'!$DL:$DL,('Base Kpi'!$DK:$DK=$CK$5)*('Base Kpi'!$DE:$DE=Cliente!$E54)),1),0)</f>
        <v>0</v>
      </c>
      <c r="CL54" s="94">
        <f t="shared" si="77"/>
        <v>0</v>
      </c>
      <c r="CM54" s="95">
        <f t="shared" si="47"/>
        <v>0</v>
      </c>
      <c r="CN54" s="60">
        <f>IFERROR(AVERAGEIFS('Base Kpi'!$DX:$DX,'Base Kpi'!$DQ:$DQ,Cliente!$E54,'Base Kpi'!$DW:$DW,Cliente!CN$5),0)</f>
        <v>0</v>
      </c>
      <c r="CO54" s="92">
        <f>IFERROR(AVERAGEIFS('Base Kpi'!$DX:$DX,'Base Kpi'!$DQ:$DQ,Cliente!$E54,'Base Kpi'!$DW:$DW,Cliente!CO$5),0)</f>
        <v>0</v>
      </c>
      <c r="CP54" s="92">
        <f>IFERROR(AVERAGEIFS('Base Kpi'!$DX:$DX,'Base Kpi'!$DQ:$DQ,Cliente!$E54,'Base Kpi'!$DW:$DW,Cliente!CP$5),0)</f>
        <v>0</v>
      </c>
      <c r="CQ54" s="92">
        <f>IFERROR(AVERAGEIFS('Base Kpi'!$DX:$DX,'Base Kpi'!$DQ:$DQ,Cliente!$E54,'Base Kpi'!$DW:$DW,Cliente!CQ$5),0)</f>
        <v>0</v>
      </c>
      <c r="CR54" s="92">
        <f>IFERROR(AVERAGEIFS('Base Kpi'!$DX:$DX,'Base Kpi'!$DQ:$DQ,Cliente!$E54,'Base Kpi'!$DW:$DW,Cliente!CR$5),0)</f>
        <v>0</v>
      </c>
      <c r="CS54" s="92">
        <f>IFERROR(AVERAGEIFS('Base Kpi'!$DX:$DX,'Base Kpi'!$DQ:$DQ,Cliente!$E54,'Base Kpi'!$DW:$DW,Cliente!CS$5),0)</f>
        <v>0</v>
      </c>
      <c r="CT54" s="92">
        <f>IFERROR(AVERAGEIFS('Base Kpi'!$DX:$DX,'Base Kpi'!$DQ:$DQ,Cliente!$E54,'Base Kpi'!$DW:$DW,Cliente!CT$5),0)</f>
        <v>0</v>
      </c>
      <c r="CU54" s="94">
        <f t="shared" si="67"/>
        <v>0</v>
      </c>
      <c r="CV54" s="95">
        <f t="shared" si="68"/>
        <v>0</v>
      </c>
      <c r="CW54" s="60">
        <f>IFERROR(AVERAGEIFS('Base Kpi'!$EJ:$EJ,'Base Kpi'!$EC:$EC,Cliente!$E54,'Base Kpi'!$EI:$EI,Cliente!CW$5),0)</f>
        <v>0</v>
      </c>
      <c r="CX54" s="92">
        <f>IFERROR(AVERAGEIFS('Base Kpi'!$EJ:$EJ,'Base Kpi'!$EC:$EC,Cliente!$E54,'Base Kpi'!$EI:$EI,Cliente!CX$5),0)</f>
        <v>0</v>
      </c>
      <c r="CY54" s="92">
        <f>IFERROR(AVERAGEIFS('Base Kpi'!$EJ:$EJ,'Base Kpi'!$EC:$EC,Cliente!$E54,'Base Kpi'!$EI:$EI,Cliente!CY$5),0)</f>
        <v>0</v>
      </c>
      <c r="CZ54" s="92">
        <f>IFERROR(AVERAGEIFS('Base Kpi'!$EJ:$EJ,'Base Kpi'!$EC:$EC,Cliente!$E54,'Base Kpi'!$EI:$EI,Cliente!CZ$5),0)</f>
        <v>0</v>
      </c>
      <c r="DA54" s="92">
        <f>IFERROR(AVERAGEIFS('Base Kpi'!$EJ:$EJ,'Base Kpi'!$EC:$EC,Cliente!$E54,'Base Kpi'!$EI:$EI,Cliente!DA$5),0)</f>
        <v>0</v>
      </c>
      <c r="DB54" s="92">
        <f>IFERROR(AVERAGEIFS('Base Kpi'!$EJ:$EJ,'Base Kpi'!$EC:$EC,Cliente!$E54,'Base Kpi'!$EI:$EI,Cliente!DB$5),0)</f>
        <v>0</v>
      </c>
      <c r="DC54" s="92">
        <f>IFERROR(AVERAGEIFS('Base Kpi'!$EJ:$EJ,'Base Kpi'!$EC:$EC,Cliente!$E54,'Base Kpi'!$EI:$EI,Cliente!DC$5),0)</f>
        <v>0</v>
      </c>
      <c r="DD54" s="94">
        <f t="shared" si="69"/>
        <v>0</v>
      </c>
      <c r="DE54" s="95">
        <f t="shared" si="70"/>
        <v>0</v>
      </c>
      <c r="DF54" s="120"/>
    </row>
    <row r="55" spans="2:110" x14ac:dyDescent="0.35">
      <c r="B55" s="101" t="s">
        <v>42</v>
      </c>
      <c r="C55" s="102">
        <v>3655</v>
      </c>
      <c r="D55" s="102" t="s">
        <v>434</v>
      </c>
      <c r="E55" s="102">
        <v>144056</v>
      </c>
      <c r="F55" s="103" t="s">
        <v>77</v>
      </c>
      <c r="G55" s="103" t="s">
        <v>201</v>
      </c>
      <c r="H55" s="103" t="s">
        <v>436</v>
      </c>
      <c r="I55" s="103" t="s">
        <v>207</v>
      </c>
      <c r="J55" s="103" t="s">
        <v>87</v>
      </c>
      <c r="K55" s="108" t="s">
        <v>81</v>
      </c>
      <c r="L55" s="60">
        <f t="shared" si="55"/>
        <v>47.035000000000004</v>
      </c>
      <c r="M55" s="97">
        <f t="shared" si="56"/>
        <v>0</v>
      </c>
      <c r="N55" s="43">
        <f t="shared" si="52"/>
        <v>0</v>
      </c>
      <c r="O55" s="60">
        <f>IFERROR(AVERAGEIFS('Base Kpi'!$I:$I,'Base Kpi'!$B:$B,Cliente!$E55,'Base Kpi'!$G:$G,Cliente!O$5),0)</f>
        <v>25.71</v>
      </c>
      <c r="P55" s="92">
        <f>IFERROR(AVERAGEIFS('Base Kpi'!$I:$I,'Base Kpi'!$B:$B,Cliente!$E55,'Base Kpi'!$G:$G,Cliente!P$5),0)</f>
        <v>0</v>
      </c>
      <c r="Q55" s="92">
        <f>IFERROR(AVERAGEIFS('Base Kpi'!$I:$I,'Base Kpi'!$B:$B,Cliente!$E55,'Base Kpi'!$G:$G,Cliente!Q$5),0)</f>
        <v>13.6</v>
      </c>
      <c r="R55" s="92">
        <f>IFERROR(AVERAGEIFS('Base Kpi'!$I:$I,'Base Kpi'!$B:$B,Cliente!$E55,'Base Kpi'!$G:$G,Cliente!R$5),0)</f>
        <v>30.375</v>
      </c>
      <c r="S55" s="94">
        <f t="shared" si="57"/>
        <v>69.685000000000002</v>
      </c>
      <c r="T55" s="95">
        <f t="shared" si="58"/>
        <v>0</v>
      </c>
      <c r="U55" s="60">
        <f>IFERROR(AVERAGEIFS('Base Kpi'!$T:$T,'Base Kpi'!$M:$M,Cliente!$E55,'Base Kpi'!$S:$S,Cliente!U$5),0)</f>
        <v>0</v>
      </c>
      <c r="V55" s="92">
        <f>IFERROR(AVERAGEIFS('Base Kpi'!$T:$T,'Base Kpi'!$M:$M,Cliente!$E55,'Base Kpi'!$S:$S,Cliente!V$5),0)</f>
        <v>0</v>
      </c>
      <c r="W55" s="92">
        <f>IFERROR(AVERAGEIFS('Base Kpi'!$T:$T,'Base Kpi'!$M:$M,Cliente!$E55,'Base Kpi'!$S:$S,Cliente!W$5),0)</f>
        <v>0</v>
      </c>
      <c r="X55" s="92">
        <f>IFERROR(AVERAGEIFS('Base Kpi'!$T:$T,'Base Kpi'!$M:$M,Cliente!$E55,'Base Kpi'!$S:$S,Cliente!X$5),0)</f>
        <v>0</v>
      </c>
      <c r="Y55" s="94">
        <f t="shared" si="59"/>
        <v>0</v>
      </c>
      <c r="Z55" s="95">
        <f t="shared" si="60"/>
        <v>0</v>
      </c>
      <c r="AA55" s="60">
        <f>IFERROR(AVERAGEIFS('Base Kpi'!$AF:$AF,'Base Kpi'!$Y:$Y,Cliente!$E55,'Base Kpi'!$AE:$AE,Cliente!AA$5),0)</f>
        <v>21.42</v>
      </c>
      <c r="AB55" s="92">
        <f>IFERROR(AVERAGEIFS('Base Kpi'!$AF:$AF,'Base Kpi'!$Y:$Y,Cliente!$E55,'Base Kpi'!$AE:$AE,Cliente!AB$5),0)</f>
        <v>8</v>
      </c>
      <c r="AC55" s="92">
        <f>IFERROR(AVERAGEIFS('Base Kpi'!$AF:$AF,'Base Kpi'!$Y:$Y,Cliente!$E55,'Base Kpi'!$AE:$AE,Cliente!AC$5),0)</f>
        <v>12.75</v>
      </c>
      <c r="AD55" s="92">
        <f>IFERROR(AVERAGEIFS('Base Kpi'!$AF:$AF,'Base Kpi'!$Y:$Y,Cliente!$E55,'Base Kpi'!$AE:$AE,Cliente!AD$5),0)</f>
        <v>29.25</v>
      </c>
      <c r="AE55" s="94">
        <f t="shared" si="61"/>
        <v>71.42</v>
      </c>
      <c r="AF55" s="95">
        <f t="shared" si="62"/>
        <v>0</v>
      </c>
      <c r="AG55" s="60">
        <f t="shared" si="71"/>
        <v>68.045000000000002</v>
      </c>
      <c r="AH55" s="97">
        <f t="shared" si="72"/>
        <v>1</v>
      </c>
      <c r="AI55" s="88">
        <f t="shared" si="63"/>
        <v>1</v>
      </c>
      <c r="AJ55" s="92">
        <f>IFERROR(AVERAGEIFS('Base Kpi'!$AR:$AR,'Base Kpi'!$AK:$AK,Cliente!$E55,'Base Kpi'!$AQ:$AQ,AJ$5),0)</f>
        <v>17.850000000000001</v>
      </c>
      <c r="AK55" s="92">
        <f>IFERROR(AVERAGEIFS('Base Kpi'!$AR:$AR,'Base Kpi'!$AK:$AK,Cliente!$E55,'Base Kpi'!$AQ:$AQ,AK$5),0)</f>
        <v>2.5</v>
      </c>
      <c r="AL55" s="92">
        <f>IFERROR(AVERAGEIFS('Base Kpi'!$AR:$AR,'Base Kpi'!$AK:$AK,Cliente!$E55,'Base Kpi'!$AQ:$AQ,AL$5),0)</f>
        <v>9</v>
      </c>
      <c r="AM55" s="92">
        <f>IFERROR(AVERAGEIFS('Base Kpi'!$AR:$AR,'Base Kpi'!$AK:$AK,Cliente!$E55,'Base Kpi'!$AQ:$AQ,AM$5),0)</f>
        <v>27.84</v>
      </c>
      <c r="AN55" s="94">
        <f t="shared" si="53"/>
        <v>57.19</v>
      </c>
      <c r="AO55" s="95">
        <f t="shared" si="13"/>
        <v>0</v>
      </c>
      <c r="AP55" s="60">
        <f>IFERROR(AVERAGEIFS('Base Kpi'!$BD:$BD,'Base Kpi'!$AW:$AW,Cliente!$E55,'Base Kpi'!$BC:$BC,Cliente!AP$5),0)</f>
        <v>25</v>
      </c>
      <c r="AQ55" s="92">
        <f>IFERROR(AVERAGEIFS('Base Kpi'!$BD:$BD,'Base Kpi'!$AW:$AW,Cliente!$E55,'Base Kpi'!$BC:$BC,Cliente!AQ$5),0)</f>
        <v>1.665</v>
      </c>
      <c r="AR55" s="92">
        <f>IFERROR(AVERAGEIFS('Base Kpi'!$BD:$BD,'Base Kpi'!$AW:$AW,Cliente!$E55,'Base Kpi'!$BC:$BC,Cliente!AR$5),0)</f>
        <v>9</v>
      </c>
      <c r="AS55" s="92">
        <f>IFERROR(AVERAGEIFS('Base Kpi'!$BD:$BD,'Base Kpi'!$AW:$AW,Cliente!$E55,'Base Kpi'!$BC:$BC,Cliente!AS$5),0)</f>
        <v>30.44</v>
      </c>
      <c r="AT55" s="92">
        <f>IFERROR(AVERAGEIFS('Base Kpi'!$BD:$BD,'Base Kpi'!$AW:$AW,Cliente!$E55,'Base Kpi'!$BC:$BC,Cliente!AT$5),0)</f>
        <v>0</v>
      </c>
      <c r="AU55" s="94">
        <f t="shared" si="54"/>
        <v>66.105000000000004</v>
      </c>
      <c r="AV55" s="95">
        <f t="shared" si="78"/>
        <v>1</v>
      </c>
      <c r="AW55" s="60">
        <f>IFERROR(AVERAGEIFS('Base Kpi'!$BP:$BP,'Base Kpi'!$BI:$BI,Cliente!$E55,'Base Kpi'!$BO:$BO,Cliente!AW$5),0)</f>
        <v>21.425000000000001</v>
      </c>
      <c r="AX55" s="92">
        <f>IFERROR(AVERAGEIFS('Base Kpi'!$BP:$BP,'Base Kpi'!$BI:$BI,Cliente!$E55,'Base Kpi'!$BO:$BO,Cliente!AX$5),0)</f>
        <v>3.335</v>
      </c>
      <c r="AY55" s="92">
        <f>IFERROR(AVERAGEIFS('Base Kpi'!$BP:$BP,'Base Kpi'!$BI:$BI,Cliente!$E55,'Base Kpi'!$BO:$BO,Cliente!AY$5),0)</f>
        <v>12</v>
      </c>
      <c r="AZ55" s="92">
        <f>IFERROR(AVERAGEIFS('Base Kpi'!$BP:$BP,'Base Kpi'!$BI:$BI,Cliente!$E55,'Base Kpi'!$BO:$BO,Cliente!AZ$5),0)</f>
        <v>26.08</v>
      </c>
      <c r="BA55" s="92">
        <f>IFERROR(AVERAGEIFS('Base Kpi'!$BP:$BP,'Base Kpi'!$BI:$BI,Cliente!$E55,'Base Kpi'!$BO:$BO,Cliente!BA$5),0)</f>
        <v>18</v>
      </c>
      <c r="BB55" s="94">
        <f t="shared" si="73"/>
        <v>80.84</v>
      </c>
      <c r="BC55" s="95">
        <f t="shared" si="79"/>
        <v>1</v>
      </c>
      <c r="BD55" s="60">
        <f t="shared" si="42"/>
        <v>86.978333333333339</v>
      </c>
      <c r="BE55" s="97">
        <f t="shared" si="80"/>
        <v>1</v>
      </c>
      <c r="BF55" s="88">
        <f t="shared" si="81"/>
        <v>1</v>
      </c>
      <c r="BG55" s="60">
        <f>IFERROR(AVERAGEIFS('Base Kpi'!$CB:$CB,'Base Kpi'!$BU:$BU,Cliente!$E55,'Base Kpi'!$CA:$CA,Cliente!BG$5),0)</f>
        <v>25</v>
      </c>
      <c r="BH55" s="92">
        <f>IFERROR(AVERAGEIFS('Base Kpi'!$CB:$CB,'Base Kpi'!$BU:$BU,Cliente!$E55,'Base Kpi'!$CA:$CA,Cliente!BH$5),0)</f>
        <v>3.335</v>
      </c>
      <c r="BI55" s="92">
        <f>IFERROR(AVERAGEIFS('Base Kpi'!$CB:$CB,'Base Kpi'!$BU:$BU,Cliente!$E55,'Base Kpi'!$CA:$CA,Cliente!BI$5),0)</f>
        <v>9</v>
      </c>
      <c r="BJ55" s="92">
        <f>IFERROR(AVERAGEIFS('Base Kpi'!$CB:$CB,'Base Kpi'!$BU:$BU,Cliente!$E55,'Base Kpi'!$CA:$CA,Cliente!BJ$5),0)</f>
        <v>25.6</v>
      </c>
      <c r="BK55" s="92">
        <f>IFERROR(AVERAGEIFS('Base Kpi'!$CB:$CB,'Base Kpi'!$BU:$BU,Cliente!$E55,'Base Kpi'!$CA:$CA,Cliente!BK$5),0)</f>
        <v>9</v>
      </c>
      <c r="BL55" s="94">
        <f t="shared" si="74"/>
        <v>71.935000000000002</v>
      </c>
      <c r="BM55" s="95">
        <f t="shared" si="82"/>
        <v>1</v>
      </c>
      <c r="BN55" s="60">
        <f>IFERROR(AVERAGEIFS('Base Kpi'!$CN:$CN,'Base Kpi'!$CG:$CG,Cliente!$E55,'Base Kpi'!$CM:$CM,Cliente!BN$5),0)</f>
        <v>25</v>
      </c>
      <c r="BO55" s="92">
        <f>IFERROR(AVERAGEIFS('Base Kpi'!$CN:$CN,'Base Kpi'!$CG:$CG,Cliente!$E55,'Base Kpi'!$CM:$CM,Cliente!BO$5),0)</f>
        <v>5</v>
      </c>
      <c r="BP55" s="92">
        <f>IFERROR(AVERAGEIFS('Base Kpi'!$CN:$CN,'Base Kpi'!$CG:$CG,Cliente!$E55,'Base Kpi'!$CM:$CM,Cliente!BP$5),0)</f>
        <v>9</v>
      </c>
      <c r="BQ55" s="92">
        <f>IFERROR(AVERAGEIFS('Base Kpi'!$CN:$CN,'Base Kpi'!$CG:$CG,Cliente!$E55,'Base Kpi'!$CM:$CM,Cliente!BQ$5),0)</f>
        <v>36</v>
      </c>
      <c r="BR55" s="92">
        <f>IFERROR(AVERAGEIFS('Base Kpi'!$CN:$CN,'Base Kpi'!$CG:$CG,Cliente!$E55,'Base Kpi'!$CM:$CM,Cliente!BR$5),0)</f>
        <v>18</v>
      </c>
      <c r="BS55" s="94">
        <f t="shared" si="75"/>
        <v>93</v>
      </c>
      <c r="BT55" s="95">
        <f t="shared" si="83"/>
        <v>1</v>
      </c>
      <c r="BU55" s="60">
        <f>IFERROR(AVERAGEIFS('Base Kpi'!$CZ:$CZ,'Base Kpi'!$CS:$CS,Cliente!$E55,'Base Kpi'!$CY:$CY,Cliente!BU$5),0)</f>
        <v>25</v>
      </c>
      <c r="BV55" s="92">
        <f>IFERROR(AVERAGEIFS('Base Kpi'!$CZ:$CZ,'Base Kpi'!$CS:$CS,Cliente!$E55,'Base Kpi'!$CY:$CY,Cliente!BV$5),0)</f>
        <v>5</v>
      </c>
      <c r="BW55" s="92">
        <f>IFERROR(AVERAGEIFS('Base Kpi'!$CZ:$CZ,'Base Kpi'!$CS:$CS,Cliente!$E55,'Base Kpi'!$CY:$CY,Cliente!BW$5),0)</f>
        <v>12</v>
      </c>
      <c r="BX55" s="92">
        <f>IFERROR(AVERAGEIFS('Base Kpi'!$CZ:$CZ,'Base Kpi'!$CS:$CS,Cliente!$E55,'Base Kpi'!$CY:$CY,Cliente!BX$5),0)</f>
        <v>36</v>
      </c>
      <c r="BY55" s="92">
        <f>IFERROR(AVERAGEIFS('Base Kpi'!$CZ:$CZ,'Base Kpi'!$CS:$CS,Cliente!$E55,'Base Kpi'!$CY:$CY,Cliente!BY$5),0)</f>
        <v>18</v>
      </c>
      <c r="BZ55" s="94">
        <f t="shared" si="76"/>
        <v>96</v>
      </c>
      <c r="CA55" s="95">
        <f t="shared" si="84"/>
        <v>1</v>
      </c>
      <c r="CB55" s="60">
        <f t="shared" si="64"/>
        <v>32.741666666666667</v>
      </c>
      <c r="CC55" s="97">
        <f t="shared" si="65"/>
        <v>0</v>
      </c>
      <c r="CD55" s="43">
        <f t="shared" si="66"/>
        <v>0</v>
      </c>
      <c r="CE55" s="60" cm="1">
        <f t="array" ref="CE55">IFERROR(LARGE(_xlfn._xlws.FILTER('Base Kpi'!$DL:$DL,('Base Kpi'!$DK:$DK=$CE$5)*('Base Kpi'!$DE:$DE=Cliente!$E55)),1),0)</f>
        <v>36.799999999999997</v>
      </c>
      <c r="CF55" s="60" cm="1">
        <f t="array" ref="CF55">IFERROR(LARGE(_xlfn._xlws.FILTER('Base Kpi'!$DL:$DL,('Base Kpi'!$DK:$DK=$CF$5)*('Base Kpi'!$DE:$DE=Cliente!$E55)),1),0)</f>
        <v>5</v>
      </c>
      <c r="CG55" s="60" cm="1">
        <f t="array" ref="CG55">IFERROR(LARGE(_xlfn._xlws.FILTER('Base Kpi'!$DL:$DL,('Base Kpi'!$DK:$DK=$CG$5)*('Base Kpi'!$DE:$DE=Cliente!$E55)),1),0)</f>
        <v>5</v>
      </c>
      <c r="CH55" s="60" cm="1">
        <f t="array" ref="CH55">IFERROR(LARGE(_xlfn._xlws.FILTER('Base Kpi'!$DL:$DL,('Base Kpi'!$DK:$DK=$CH$5)*('Base Kpi'!$DE:$DE=Cliente!$E55)),1),0)</f>
        <v>18</v>
      </c>
      <c r="CI55" s="60" cm="1">
        <f t="array" ref="CI55">IFERROR(LARGE(_xlfn._xlws.FILTER('Base Kpi'!$DL:$DL,('Base Kpi'!$DK:$DK=$CI$5)*('Base Kpi'!$DE:$DE=Cliente!$E55)),1),0)</f>
        <v>21.425000000000001</v>
      </c>
      <c r="CJ55" s="60" cm="1">
        <f t="array" ref="CJ55">IFERROR(LARGE(_xlfn._xlws.FILTER('Base Kpi'!$DL:$DL,('Base Kpi'!$DK:$DK=$CJ$5)*('Base Kpi'!$DE:$DE=Cliente!$E55)),1),0)</f>
        <v>12</v>
      </c>
      <c r="CK55" s="60" cm="1">
        <f t="array" ref="CK55">IFERROR(LARGE(_xlfn._xlws.FILTER('Base Kpi'!$DL:$DL,('Base Kpi'!$DK:$DK=$CK$5)*('Base Kpi'!$DE:$DE=Cliente!$E55)),1),0)</f>
        <v>0</v>
      </c>
      <c r="CL55" s="94">
        <f t="shared" si="77"/>
        <v>98.224999999999994</v>
      </c>
      <c r="CM55" s="95">
        <f t="shared" si="47"/>
        <v>1</v>
      </c>
      <c r="CN55" s="60">
        <f>IFERROR(AVERAGEIFS('Base Kpi'!$DX:$DX,'Base Kpi'!$DQ:$DQ,Cliente!$E55,'Base Kpi'!$DW:$DW,Cliente!CN$5),0)</f>
        <v>0</v>
      </c>
      <c r="CO55" s="92">
        <f>IFERROR(AVERAGEIFS('Base Kpi'!$DX:$DX,'Base Kpi'!$DQ:$DQ,Cliente!$E55,'Base Kpi'!$DW:$DW,Cliente!CO$5),0)</f>
        <v>0</v>
      </c>
      <c r="CP55" s="92">
        <f>IFERROR(AVERAGEIFS('Base Kpi'!$DX:$DX,'Base Kpi'!$DQ:$DQ,Cliente!$E55,'Base Kpi'!$DW:$DW,Cliente!CP$5),0)</f>
        <v>0</v>
      </c>
      <c r="CQ55" s="92">
        <f>IFERROR(AVERAGEIFS('Base Kpi'!$DX:$DX,'Base Kpi'!$DQ:$DQ,Cliente!$E55,'Base Kpi'!$DW:$DW,Cliente!CQ$5),0)</f>
        <v>0</v>
      </c>
      <c r="CR55" s="92">
        <f>IFERROR(AVERAGEIFS('Base Kpi'!$DX:$DX,'Base Kpi'!$DQ:$DQ,Cliente!$E55,'Base Kpi'!$DW:$DW,Cliente!CR$5),0)</f>
        <v>0</v>
      </c>
      <c r="CS55" s="92">
        <f>IFERROR(AVERAGEIFS('Base Kpi'!$DX:$DX,'Base Kpi'!$DQ:$DQ,Cliente!$E55,'Base Kpi'!$DW:$DW,Cliente!CS$5),0)</f>
        <v>0</v>
      </c>
      <c r="CT55" s="92">
        <f>IFERROR(AVERAGEIFS('Base Kpi'!$DX:$DX,'Base Kpi'!$DQ:$DQ,Cliente!$E55,'Base Kpi'!$DW:$DW,Cliente!CT$5),0)</f>
        <v>0</v>
      </c>
      <c r="CU55" s="94">
        <f t="shared" si="67"/>
        <v>0</v>
      </c>
      <c r="CV55" s="95">
        <f t="shared" si="68"/>
        <v>0</v>
      </c>
      <c r="CW55" s="60">
        <f>IFERROR(AVERAGEIFS('Base Kpi'!$EJ:$EJ,'Base Kpi'!$EC:$EC,Cliente!$E55,'Base Kpi'!$EI:$EI,Cliente!CW$5),0)</f>
        <v>0</v>
      </c>
      <c r="CX55" s="92">
        <f>IFERROR(AVERAGEIFS('Base Kpi'!$EJ:$EJ,'Base Kpi'!$EC:$EC,Cliente!$E55,'Base Kpi'!$EI:$EI,Cliente!CX$5),0)</f>
        <v>0</v>
      </c>
      <c r="CY55" s="92">
        <f>IFERROR(AVERAGEIFS('Base Kpi'!$EJ:$EJ,'Base Kpi'!$EC:$EC,Cliente!$E55,'Base Kpi'!$EI:$EI,Cliente!CY$5),0)</f>
        <v>0</v>
      </c>
      <c r="CZ55" s="92">
        <f>IFERROR(AVERAGEIFS('Base Kpi'!$EJ:$EJ,'Base Kpi'!$EC:$EC,Cliente!$E55,'Base Kpi'!$EI:$EI,Cliente!CZ$5),0)</f>
        <v>0</v>
      </c>
      <c r="DA55" s="92">
        <f>IFERROR(AVERAGEIFS('Base Kpi'!$EJ:$EJ,'Base Kpi'!$EC:$EC,Cliente!$E55,'Base Kpi'!$EI:$EI,Cliente!DA$5),0)</f>
        <v>0</v>
      </c>
      <c r="DB55" s="92">
        <f>IFERROR(AVERAGEIFS('Base Kpi'!$EJ:$EJ,'Base Kpi'!$EC:$EC,Cliente!$E55,'Base Kpi'!$EI:$EI,Cliente!DB$5),0)</f>
        <v>0</v>
      </c>
      <c r="DC55" s="92">
        <f>IFERROR(AVERAGEIFS('Base Kpi'!$EJ:$EJ,'Base Kpi'!$EC:$EC,Cliente!$E55,'Base Kpi'!$EI:$EI,Cliente!DC$5),0)</f>
        <v>0</v>
      </c>
      <c r="DD55" s="94">
        <f t="shared" si="69"/>
        <v>0</v>
      </c>
      <c r="DE55" s="95">
        <f t="shared" si="70"/>
        <v>0</v>
      </c>
      <c r="DF55" s="120"/>
    </row>
    <row r="56" spans="2:110" x14ac:dyDescent="0.35">
      <c r="B56" s="101" t="s">
        <v>42</v>
      </c>
      <c r="C56" s="102">
        <v>3655</v>
      </c>
      <c r="D56" s="102" t="s">
        <v>434</v>
      </c>
      <c r="E56" s="102">
        <v>166873</v>
      </c>
      <c r="F56" s="103" t="s">
        <v>73</v>
      </c>
      <c r="G56" s="103" t="s">
        <v>182</v>
      </c>
      <c r="H56" s="103" t="s">
        <v>184</v>
      </c>
      <c r="I56" s="103" t="s">
        <v>185</v>
      </c>
      <c r="J56" s="103" t="s">
        <v>90</v>
      </c>
      <c r="K56" s="108" t="s">
        <v>81</v>
      </c>
      <c r="L56" s="60">
        <f t="shared" si="55"/>
        <v>60.462499999999999</v>
      </c>
      <c r="M56" s="97">
        <f t="shared" si="56"/>
        <v>1</v>
      </c>
      <c r="N56" s="43">
        <f t="shared" si="52"/>
        <v>0</v>
      </c>
      <c r="O56" s="60">
        <f>IFERROR(AVERAGEIFS('Base Kpi'!$I:$I,'Base Kpi'!$B:$B,Cliente!$E56,'Base Kpi'!$G:$G,Cliente!O$5),0)</f>
        <v>17.13</v>
      </c>
      <c r="P56" s="92">
        <f>IFERROR(AVERAGEIFS('Base Kpi'!$I:$I,'Base Kpi'!$B:$B,Cliente!$E56,'Base Kpi'!$G:$G,Cliente!P$5),0)</f>
        <v>8</v>
      </c>
      <c r="Q56" s="92">
        <f>IFERROR(AVERAGEIFS('Base Kpi'!$I:$I,'Base Kpi'!$B:$B,Cliente!$E56,'Base Kpi'!$G:$G,Cliente!Q$5),0)</f>
        <v>3.4</v>
      </c>
      <c r="R56" s="92">
        <f>IFERROR(AVERAGEIFS('Base Kpi'!$I:$I,'Base Kpi'!$B:$B,Cliente!$E56,'Base Kpi'!$G:$G,Cliente!R$5),0)</f>
        <v>12.375</v>
      </c>
      <c r="S56" s="94">
        <f t="shared" si="57"/>
        <v>40.905000000000001</v>
      </c>
      <c r="T56" s="95">
        <f t="shared" si="58"/>
        <v>0</v>
      </c>
      <c r="U56" s="60">
        <f>IFERROR(AVERAGEIFS('Base Kpi'!$T:$T,'Base Kpi'!$M:$M,Cliente!$E56,'Base Kpi'!$S:$S,Cliente!U$5),0)</f>
        <v>30</v>
      </c>
      <c r="V56" s="92">
        <f>IFERROR(AVERAGEIFS('Base Kpi'!$T:$T,'Base Kpi'!$M:$M,Cliente!$E56,'Base Kpi'!$S:$S,Cliente!V$5),0)</f>
        <v>8</v>
      </c>
      <c r="W56" s="92">
        <f>IFERROR(AVERAGEIFS('Base Kpi'!$T:$T,'Base Kpi'!$M:$M,Cliente!$E56,'Base Kpi'!$S:$S,Cliente!W$5),0)</f>
        <v>12.75</v>
      </c>
      <c r="X56" s="92">
        <f>IFERROR(AVERAGEIFS('Base Kpi'!$T:$T,'Base Kpi'!$M:$M,Cliente!$E56,'Base Kpi'!$S:$S,Cliente!X$5),0)</f>
        <v>16.3125</v>
      </c>
      <c r="Y56" s="94">
        <f t="shared" si="59"/>
        <v>67.0625</v>
      </c>
      <c r="Z56" s="95">
        <f t="shared" si="60"/>
        <v>0</v>
      </c>
      <c r="AA56" s="60">
        <f>IFERROR(AVERAGEIFS('Base Kpi'!$AF:$AF,'Base Kpi'!$Y:$Y,Cliente!$E56,'Base Kpi'!$AE:$AE,Cliente!AA$5),0)</f>
        <v>21.42</v>
      </c>
      <c r="AB56" s="92">
        <f>IFERROR(AVERAGEIFS('Base Kpi'!$AF:$AF,'Base Kpi'!$Y:$Y,Cliente!$E56,'Base Kpi'!$AE:$AE,Cliente!AB$5),0)</f>
        <v>8</v>
      </c>
      <c r="AC56" s="92">
        <f>IFERROR(AVERAGEIFS('Base Kpi'!$AF:$AF,'Base Kpi'!$Y:$Y,Cliente!$E56,'Base Kpi'!$AE:$AE,Cliente!AC$5),0)</f>
        <v>17</v>
      </c>
      <c r="AD56" s="92">
        <f>IFERROR(AVERAGEIFS('Base Kpi'!$AF:$AF,'Base Kpi'!$Y:$Y,Cliente!$E56,'Base Kpi'!$AE:$AE,Cliente!AD$5),0)</f>
        <v>27</v>
      </c>
      <c r="AE56" s="94">
        <f t="shared" si="61"/>
        <v>73.42</v>
      </c>
      <c r="AF56" s="95">
        <f t="shared" si="62"/>
        <v>0</v>
      </c>
      <c r="AG56" s="60">
        <f t="shared" si="71"/>
        <v>68.196666666666673</v>
      </c>
      <c r="AH56" s="97">
        <f t="shared" si="72"/>
        <v>1</v>
      </c>
      <c r="AI56" s="88">
        <f t="shared" si="63"/>
        <v>1</v>
      </c>
      <c r="AJ56" s="92">
        <f>IFERROR(AVERAGEIFS('Base Kpi'!$AR:$AR,'Base Kpi'!$AK:$AK,Cliente!$E56,'Base Kpi'!$AQ:$AQ,AJ$5),0)</f>
        <v>21.425000000000001</v>
      </c>
      <c r="AK56" s="92">
        <f>IFERROR(AVERAGEIFS('Base Kpi'!$AR:$AR,'Base Kpi'!$AK:$AK,Cliente!$E56,'Base Kpi'!$AQ:$AQ,AK$5),0)</f>
        <v>2.5</v>
      </c>
      <c r="AL56" s="92">
        <f>IFERROR(AVERAGEIFS('Base Kpi'!$AR:$AR,'Base Kpi'!$AK:$AK,Cliente!$E56,'Base Kpi'!$AQ:$AQ,AL$5),0)</f>
        <v>12</v>
      </c>
      <c r="AM56" s="92">
        <f>IFERROR(AVERAGEIFS('Base Kpi'!$AR:$AR,'Base Kpi'!$AK:$AK,Cliente!$E56,'Base Kpi'!$AQ:$AQ,AM$5),0)</f>
        <v>27.84</v>
      </c>
      <c r="AN56" s="94">
        <f t="shared" si="53"/>
        <v>63.765000000000001</v>
      </c>
      <c r="AO56" s="95">
        <f t="shared" si="13"/>
        <v>0</v>
      </c>
      <c r="AP56" s="60">
        <f>IFERROR(AVERAGEIFS('Base Kpi'!$BD:$BD,'Base Kpi'!$AW:$AW,Cliente!$E56,'Base Kpi'!$BC:$BC,Cliente!AP$5),0)</f>
        <v>25</v>
      </c>
      <c r="AQ56" s="92">
        <f>IFERROR(AVERAGEIFS('Base Kpi'!$BD:$BD,'Base Kpi'!$AW:$AW,Cliente!$E56,'Base Kpi'!$BC:$BC,Cliente!AQ$5),0)</f>
        <v>1.665</v>
      </c>
      <c r="AR56" s="92">
        <f>IFERROR(AVERAGEIFS('Base Kpi'!$BD:$BD,'Base Kpi'!$AW:$AW,Cliente!$E56,'Base Kpi'!$BC:$BC,Cliente!AR$5),0)</f>
        <v>9</v>
      </c>
      <c r="AS56" s="92">
        <f>IFERROR(AVERAGEIFS('Base Kpi'!$BD:$BD,'Base Kpi'!$AW:$AW,Cliente!$E56,'Base Kpi'!$BC:$BC,Cliente!AS$5),0)</f>
        <v>25.2</v>
      </c>
      <c r="AT56" s="92">
        <f>IFERROR(AVERAGEIFS('Base Kpi'!$BD:$BD,'Base Kpi'!$AW:$AW,Cliente!$E56,'Base Kpi'!$BC:$BC,Cliente!AT$5),0)</f>
        <v>0</v>
      </c>
      <c r="AU56" s="94">
        <f t="shared" si="54"/>
        <v>60.864999999999995</v>
      </c>
      <c r="AV56" s="95">
        <f t="shared" si="78"/>
        <v>1</v>
      </c>
      <c r="AW56" s="60">
        <f>IFERROR(AVERAGEIFS('Base Kpi'!$BP:$BP,'Base Kpi'!$BI:$BI,Cliente!$E56,'Base Kpi'!$BO:$BO,Cliente!AW$5),0)</f>
        <v>21.425000000000001</v>
      </c>
      <c r="AX56" s="92">
        <f>IFERROR(AVERAGEIFS('Base Kpi'!$BP:$BP,'Base Kpi'!$BI:$BI,Cliente!$E56,'Base Kpi'!$BO:$BO,Cliente!AX$5),0)</f>
        <v>3.335</v>
      </c>
      <c r="AY56" s="92">
        <f>IFERROR(AVERAGEIFS('Base Kpi'!$BP:$BP,'Base Kpi'!$BI:$BI,Cliente!$E56,'Base Kpi'!$BO:$BO,Cliente!AY$5),0)</f>
        <v>12</v>
      </c>
      <c r="AZ56" s="92">
        <f>IFERROR(AVERAGEIFS('Base Kpi'!$BP:$BP,'Base Kpi'!$BI:$BI,Cliente!$E56,'Base Kpi'!$BO:$BO,Cliente!AZ$5),0)</f>
        <v>25.2</v>
      </c>
      <c r="BA56" s="92">
        <f>IFERROR(AVERAGEIFS('Base Kpi'!$BP:$BP,'Base Kpi'!$BI:$BI,Cliente!$E56,'Base Kpi'!$BO:$BO,Cliente!BA$5),0)</f>
        <v>18</v>
      </c>
      <c r="BB56" s="94">
        <f t="shared" si="73"/>
        <v>79.960000000000008</v>
      </c>
      <c r="BC56" s="95">
        <f t="shared" si="79"/>
        <v>1</v>
      </c>
      <c r="BD56" s="60">
        <f t="shared" si="42"/>
        <v>87.519999999999982</v>
      </c>
      <c r="BE56" s="97">
        <f t="shared" si="80"/>
        <v>1</v>
      </c>
      <c r="BF56" s="88">
        <f t="shared" si="81"/>
        <v>1</v>
      </c>
      <c r="BG56" s="60">
        <f>IFERROR(AVERAGEIFS('Base Kpi'!$CB:$CB,'Base Kpi'!$BU:$BU,Cliente!$E56,'Base Kpi'!$CA:$CA,Cliente!BG$5),0)</f>
        <v>21.425000000000001</v>
      </c>
      <c r="BH56" s="92">
        <f>IFERROR(AVERAGEIFS('Base Kpi'!$CB:$CB,'Base Kpi'!$BU:$BU,Cliente!$E56,'Base Kpi'!$CA:$CA,Cliente!BH$5),0)</f>
        <v>3.335</v>
      </c>
      <c r="BI56" s="92">
        <f>IFERROR(AVERAGEIFS('Base Kpi'!$CB:$CB,'Base Kpi'!$BU:$BU,Cliente!$E56,'Base Kpi'!$CA:$CA,Cliente!BI$5),0)</f>
        <v>12</v>
      </c>
      <c r="BJ56" s="92">
        <f>IFERROR(AVERAGEIFS('Base Kpi'!$CB:$CB,'Base Kpi'!$BU:$BU,Cliente!$E56,'Base Kpi'!$CA:$CA,Cliente!BJ$5),0)</f>
        <v>22.4</v>
      </c>
      <c r="BK56" s="92">
        <f>IFERROR(AVERAGEIFS('Base Kpi'!$CB:$CB,'Base Kpi'!$BU:$BU,Cliente!$E56,'Base Kpi'!$CA:$CA,Cliente!BK$5),0)</f>
        <v>9</v>
      </c>
      <c r="BL56" s="94">
        <f t="shared" si="74"/>
        <v>68.16</v>
      </c>
      <c r="BM56" s="95">
        <f t="shared" si="82"/>
        <v>1</v>
      </c>
      <c r="BN56" s="60">
        <f>IFERROR(AVERAGEIFS('Base Kpi'!$CN:$CN,'Base Kpi'!$CG:$CG,Cliente!$E56,'Base Kpi'!$CM:$CM,Cliente!BN$5),0)</f>
        <v>25</v>
      </c>
      <c r="BO56" s="92">
        <f>IFERROR(AVERAGEIFS('Base Kpi'!$CN:$CN,'Base Kpi'!$CG:$CG,Cliente!$E56,'Base Kpi'!$CM:$CM,Cliente!BO$5),0)</f>
        <v>5</v>
      </c>
      <c r="BP56" s="92">
        <f>IFERROR(AVERAGEIFS('Base Kpi'!$CN:$CN,'Base Kpi'!$CG:$CG,Cliente!$E56,'Base Kpi'!$CM:$CM,Cliente!BP$5),0)</f>
        <v>12</v>
      </c>
      <c r="BQ56" s="92">
        <f>IFERROR(AVERAGEIFS('Base Kpi'!$CN:$CN,'Base Kpi'!$CG:$CG,Cliente!$E56,'Base Kpi'!$CM:$CM,Cliente!BQ$5),0)</f>
        <v>36.799999999999997</v>
      </c>
      <c r="BR56" s="92">
        <f>IFERROR(AVERAGEIFS('Base Kpi'!$CN:$CN,'Base Kpi'!$CG:$CG,Cliente!$E56,'Base Kpi'!$CM:$CM,Cliente!BR$5),0)</f>
        <v>18</v>
      </c>
      <c r="BS56" s="94">
        <f t="shared" si="75"/>
        <v>96.8</v>
      </c>
      <c r="BT56" s="95">
        <f t="shared" si="83"/>
        <v>1</v>
      </c>
      <c r="BU56" s="60">
        <f>IFERROR(AVERAGEIFS('Base Kpi'!$CZ:$CZ,'Base Kpi'!$CS:$CS,Cliente!$E56,'Base Kpi'!$CY:$CY,Cliente!BU$5),0)</f>
        <v>25</v>
      </c>
      <c r="BV56" s="92">
        <f>IFERROR(AVERAGEIFS('Base Kpi'!$CZ:$CZ,'Base Kpi'!$CS:$CS,Cliente!$E56,'Base Kpi'!$CY:$CY,Cliente!BV$5),0)</f>
        <v>5</v>
      </c>
      <c r="BW56" s="92">
        <f>IFERROR(AVERAGEIFS('Base Kpi'!$CZ:$CZ,'Base Kpi'!$CS:$CS,Cliente!$E56,'Base Kpi'!$CY:$CY,Cliente!BW$5),0)</f>
        <v>12</v>
      </c>
      <c r="BX56" s="92">
        <f>IFERROR(AVERAGEIFS('Base Kpi'!$CZ:$CZ,'Base Kpi'!$CS:$CS,Cliente!$E56,'Base Kpi'!$CY:$CY,Cliente!BX$5),0)</f>
        <v>37.6</v>
      </c>
      <c r="BY56" s="92">
        <f>IFERROR(AVERAGEIFS('Base Kpi'!$CZ:$CZ,'Base Kpi'!$CS:$CS,Cliente!$E56,'Base Kpi'!$CY:$CY,Cliente!BY$5),0)</f>
        <v>18</v>
      </c>
      <c r="BZ56" s="94">
        <f t="shared" si="76"/>
        <v>97.6</v>
      </c>
      <c r="CA56" s="95">
        <f t="shared" si="84"/>
        <v>1</v>
      </c>
      <c r="CB56" s="60">
        <f t="shared" si="64"/>
        <v>32.741666666666667</v>
      </c>
      <c r="CC56" s="97">
        <f t="shared" si="65"/>
        <v>0</v>
      </c>
      <c r="CD56" s="43">
        <f t="shared" si="66"/>
        <v>0</v>
      </c>
      <c r="CE56" s="60" cm="1">
        <f t="array" ref="CE56">IFERROR(LARGE(_xlfn._xlws.FILTER('Base Kpi'!$DL:$DL,('Base Kpi'!$DK:$DK=$CE$5)*('Base Kpi'!$DE:$DE=Cliente!$E56)),1),0)</f>
        <v>36.799999999999997</v>
      </c>
      <c r="CF56" s="60" cm="1">
        <f t="array" ref="CF56">IFERROR(LARGE(_xlfn._xlws.FILTER('Base Kpi'!$DL:$DL,('Base Kpi'!$DK:$DK=$CF$5)*('Base Kpi'!$DE:$DE=Cliente!$E56)),1),0)</f>
        <v>5</v>
      </c>
      <c r="CG56" s="60" cm="1">
        <f t="array" ref="CG56">IFERROR(LARGE(_xlfn._xlws.FILTER('Base Kpi'!$DL:$DL,('Base Kpi'!$DK:$DK=$CG$5)*('Base Kpi'!$DE:$DE=Cliente!$E56)),1),0)</f>
        <v>5</v>
      </c>
      <c r="CH56" s="60" cm="1">
        <f t="array" ref="CH56">IFERROR(LARGE(_xlfn._xlws.FILTER('Base Kpi'!$DL:$DL,('Base Kpi'!$DK:$DK=$CH$5)*('Base Kpi'!$DE:$DE=Cliente!$E56)),1),0)</f>
        <v>18</v>
      </c>
      <c r="CI56" s="60" cm="1">
        <f t="array" ref="CI56">IFERROR(LARGE(_xlfn._xlws.FILTER('Base Kpi'!$DL:$DL,('Base Kpi'!$DK:$DK=$CI$5)*('Base Kpi'!$DE:$DE=Cliente!$E56)),1),0)</f>
        <v>21.425000000000001</v>
      </c>
      <c r="CJ56" s="60" cm="1">
        <f t="array" ref="CJ56">IFERROR(LARGE(_xlfn._xlws.FILTER('Base Kpi'!$DL:$DL,('Base Kpi'!$DK:$DK=$CJ$5)*('Base Kpi'!$DE:$DE=Cliente!$E56)),1),0)</f>
        <v>12</v>
      </c>
      <c r="CK56" s="60" cm="1">
        <f t="array" ref="CK56">IFERROR(LARGE(_xlfn._xlws.FILTER('Base Kpi'!$DL:$DL,('Base Kpi'!$DK:$DK=$CK$5)*('Base Kpi'!$DE:$DE=Cliente!$E56)),1),0)</f>
        <v>0</v>
      </c>
      <c r="CL56" s="94">
        <f t="shared" si="77"/>
        <v>98.224999999999994</v>
      </c>
      <c r="CM56" s="95">
        <f t="shared" si="47"/>
        <v>1</v>
      </c>
      <c r="CN56" s="60">
        <f>IFERROR(AVERAGEIFS('Base Kpi'!$DX:$DX,'Base Kpi'!$DQ:$DQ,Cliente!$E56,'Base Kpi'!$DW:$DW,Cliente!CN$5),0)</f>
        <v>0</v>
      </c>
      <c r="CO56" s="92">
        <f>IFERROR(AVERAGEIFS('Base Kpi'!$DX:$DX,'Base Kpi'!$DQ:$DQ,Cliente!$E56,'Base Kpi'!$DW:$DW,Cliente!CO$5),0)</f>
        <v>0</v>
      </c>
      <c r="CP56" s="92">
        <f>IFERROR(AVERAGEIFS('Base Kpi'!$DX:$DX,'Base Kpi'!$DQ:$DQ,Cliente!$E56,'Base Kpi'!$DW:$DW,Cliente!CP$5),0)</f>
        <v>0</v>
      </c>
      <c r="CQ56" s="92">
        <f>IFERROR(AVERAGEIFS('Base Kpi'!$DX:$DX,'Base Kpi'!$DQ:$DQ,Cliente!$E56,'Base Kpi'!$DW:$DW,Cliente!CQ$5),0)</f>
        <v>0</v>
      </c>
      <c r="CR56" s="92">
        <f>IFERROR(AVERAGEIFS('Base Kpi'!$DX:$DX,'Base Kpi'!$DQ:$DQ,Cliente!$E56,'Base Kpi'!$DW:$DW,Cliente!CR$5),0)</f>
        <v>0</v>
      </c>
      <c r="CS56" s="92">
        <f>IFERROR(AVERAGEIFS('Base Kpi'!$DX:$DX,'Base Kpi'!$DQ:$DQ,Cliente!$E56,'Base Kpi'!$DW:$DW,Cliente!CS$5),0)</f>
        <v>0</v>
      </c>
      <c r="CT56" s="92">
        <f>IFERROR(AVERAGEIFS('Base Kpi'!$DX:$DX,'Base Kpi'!$DQ:$DQ,Cliente!$E56,'Base Kpi'!$DW:$DW,Cliente!CT$5),0)</f>
        <v>0</v>
      </c>
      <c r="CU56" s="94">
        <f t="shared" si="67"/>
        <v>0</v>
      </c>
      <c r="CV56" s="95">
        <f t="shared" si="68"/>
        <v>0</v>
      </c>
      <c r="CW56" s="60">
        <f>IFERROR(AVERAGEIFS('Base Kpi'!$EJ:$EJ,'Base Kpi'!$EC:$EC,Cliente!$E56,'Base Kpi'!$EI:$EI,Cliente!CW$5),0)</f>
        <v>0</v>
      </c>
      <c r="CX56" s="92">
        <f>IFERROR(AVERAGEIFS('Base Kpi'!$EJ:$EJ,'Base Kpi'!$EC:$EC,Cliente!$E56,'Base Kpi'!$EI:$EI,Cliente!CX$5),0)</f>
        <v>0</v>
      </c>
      <c r="CY56" s="92">
        <f>IFERROR(AVERAGEIFS('Base Kpi'!$EJ:$EJ,'Base Kpi'!$EC:$EC,Cliente!$E56,'Base Kpi'!$EI:$EI,Cliente!CY$5),0)</f>
        <v>0</v>
      </c>
      <c r="CZ56" s="92">
        <f>IFERROR(AVERAGEIFS('Base Kpi'!$EJ:$EJ,'Base Kpi'!$EC:$EC,Cliente!$E56,'Base Kpi'!$EI:$EI,Cliente!CZ$5),0)</f>
        <v>0</v>
      </c>
      <c r="DA56" s="92">
        <f>IFERROR(AVERAGEIFS('Base Kpi'!$EJ:$EJ,'Base Kpi'!$EC:$EC,Cliente!$E56,'Base Kpi'!$EI:$EI,Cliente!DA$5),0)</f>
        <v>0</v>
      </c>
      <c r="DB56" s="92">
        <f>IFERROR(AVERAGEIFS('Base Kpi'!$EJ:$EJ,'Base Kpi'!$EC:$EC,Cliente!$E56,'Base Kpi'!$EI:$EI,Cliente!DB$5),0)</f>
        <v>0</v>
      </c>
      <c r="DC56" s="92">
        <f>IFERROR(AVERAGEIFS('Base Kpi'!$EJ:$EJ,'Base Kpi'!$EC:$EC,Cliente!$E56,'Base Kpi'!$EI:$EI,Cliente!DC$5),0)</f>
        <v>0</v>
      </c>
      <c r="DD56" s="94">
        <f t="shared" si="69"/>
        <v>0</v>
      </c>
      <c r="DE56" s="95">
        <f t="shared" si="70"/>
        <v>0</v>
      </c>
      <c r="DF56" s="120"/>
    </row>
    <row r="57" spans="2:110" x14ac:dyDescent="0.35">
      <c r="B57" s="101" t="s">
        <v>42</v>
      </c>
      <c r="C57" s="102">
        <v>3655</v>
      </c>
      <c r="D57" s="102" t="s">
        <v>434</v>
      </c>
      <c r="E57" s="102">
        <v>186321</v>
      </c>
      <c r="F57" s="103" t="s">
        <v>117</v>
      </c>
      <c r="G57" s="103" t="s">
        <v>202</v>
      </c>
      <c r="H57" s="103" t="s">
        <v>437</v>
      </c>
      <c r="I57" s="103" t="s">
        <v>176</v>
      </c>
      <c r="J57" s="103" t="s">
        <v>90</v>
      </c>
      <c r="K57" s="108" t="s">
        <v>81</v>
      </c>
      <c r="L57" s="60">
        <f t="shared" si="55"/>
        <v>68.774999999999991</v>
      </c>
      <c r="M57" s="97">
        <f t="shared" si="56"/>
        <v>1</v>
      </c>
      <c r="N57" s="43">
        <f t="shared" si="52"/>
        <v>0</v>
      </c>
      <c r="O57" s="60">
        <f>IFERROR(AVERAGEIFS('Base Kpi'!$I:$I,'Base Kpi'!$B:$B,Cliente!$E57,'Base Kpi'!$G:$G,Cliente!O$5),0)</f>
        <v>25.71</v>
      </c>
      <c r="P57" s="92">
        <f>IFERROR(AVERAGEIFS('Base Kpi'!$I:$I,'Base Kpi'!$B:$B,Cliente!$E57,'Base Kpi'!$G:$G,Cliente!P$5),0)</f>
        <v>8</v>
      </c>
      <c r="Q57" s="92">
        <f>IFERROR(AVERAGEIFS('Base Kpi'!$I:$I,'Base Kpi'!$B:$B,Cliente!$E57,'Base Kpi'!$G:$G,Cliente!Q$5),0)</f>
        <v>10.199999999999999</v>
      </c>
      <c r="R57" s="92">
        <f>IFERROR(AVERAGEIFS('Base Kpi'!$I:$I,'Base Kpi'!$B:$B,Cliente!$E57,'Base Kpi'!$G:$G,Cliente!R$5),0)</f>
        <v>31.5</v>
      </c>
      <c r="S57" s="94">
        <f t="shared" si="57"/>
        <v>75.41</v>
      </c>
      <c r="T57" s="95">
        <f t="shared" si="58"/>
        <v>0</v>
      </c>
      <c r="U57" s="60">
        <f>IFERROR(AVERAGEIFS('Base Kpi'!$T:$T,'Base Kpi'!$M:$M,Cliente!$E57,'Base Kpi'!$S:$S,Cliente!U$5),0)</f>
        <v>12.87</v>
      </c>
      <c r="V57" s="92">
        <f>IFERROR(AVERAGEIFS('Base Kpi'!$T:$T,'Base Kpi'!$M:$M,Cliente!$E57,'Base Kpi'!$S:$S,Cliente!V$5),0)</f>
        <v>8</v>
      </c>
      <c r="W57" s="92">
        <f>IFERROR(AVERAGEIFS('Base Kpi'!$T:$T,'Base Kpi'!$M:$M,Cliente!$E57,'Base Kpi'!$S:$S,Cliente!W$5),0)</f>
        <v>8.5</v>
      </c>
      <c r="X57" s="92">
        <f>IFERROR(AVERAGEIFS('Base Kpi'!$T:$T,'Base Kpi'!$M:$M,Cliente!$E57,'Base Kpi'!$S:$S,Cliente!X$5),0)</f>
        <v>28.125</v>
      </c>
      <c r="Y57" s="94">
        <f t="shared" si="59"/>
        <v>57.494999999999997</v>
      </c>
      <c r="Z57" s="95">
        <f t="shared" si="60"/>
        <v>0</v>
      </c>
      <c r="AA57" s="60">
        <f>IFERROR(AVERAGEIFS('Base Kpi'!$AF:$AF,'Base Kpi'!$Y:$Y,Cliente!$E57,'Base Kpi'!$AE:$AE,Cliente!AA$5),0)</f>
        <v>21.42</v>
      </c>
      <c r="AB57" s="92">
        <f>IFERROR(AVERAGEIFS('Base Kpi'!$AF:$AF,'Base Kpi'!$Y:$Y,Cliente!$E57,'Base Kpi'!$AE:$AE,Cliente!AB$5),0)</f>
        <v>8</v>
      </c>
      <c r="AC57" s="92">
        <f>IFERROR(AVERAGEIFS('Base Kpi'!$AF:$AF,'Base Kpi'!$Y:$Y,Cliente!$E57,'Base Kpi'!$AE:$AE,Cliente!AC$5),0)</f>
        <v>17</v>
      </c>
      <c r="AD57" s="92">
        <f>IFERROR(AVERAGEIFS('Base Kpi'!$AF:$AF,'Base Kpi'!$Y:$Y,Cliente!$E57,'Base Kpi'!$AE:$AE,Cliente!AD$5),0)</f>
        <v>27</v>
      </c>
      <c r="AE57" s="94">
        <f t="shared" si="61"/>
        <v>73.42</v>
      </c>
      <c r="AF57" s="95">
        <f t="shared" si="62"/>
        <v>0</v>
      </c>
      <c r="AG57" s="60">
        <f t="shared" si="71"/>
        <v>65.986666666666665</v>
      </c>
      <c r="AH57" s="97">
        <f t="shared" si="72"/>
        <v>1</v>
      </c>
      <c r="AI57" s="88">
        <f t="shared" si="63"/>
        <v>1</v>
      </c>
      <c r="AJ57" s="92">
        <f>IFERROR(AVERAGEIFS('Base Kpi'!$AR:$AR,'Base Kpi'!$AK:$AK,Cliente!$E57,'Base Kpi'!$AQ:$AQ,AJ$5),0)</f>
        <v>17.850000000000001</v>
      </c>
      <c r="AK57" s="92">
        <f>IFERROR(AVERAGEIFS('Base Kpi'!$AR:$AR,'Base Kpi'!$AK:$AK,Cliente!$E57,'Base Kpi'!$AQ:$AQ,AK$5),0)</f>
        <v>2.5</v>
      </c>
      <c r="AL57" s="92">
        <f>IFERROR(AVERAGEIFS('Base Kpi'!$AR:$AR,'Base Kpi'!$AK:$AK,Cliente!$E57,'Base Kpi'!$AQ:$AQ,AL$5),0)</f>
        <v>12</v>
      </c>
      <c r="AM57" s="92">
        <f>IFERROR(AVERAGEIFS('Base Kpi'!$AR:$AR,'Base Kpi'!$AK:$AK,Cliente!$E57,'Base Kpi'!$AQ:$AQ,AM$5),0)</f>
        <v>24.36</v>
      </c>
      <c r="AN57" s="94">
        <f t="shared" si="53"/>
        <v>56.71</v>
      </c>
      <c r="AO57" s="95">
        <f t="shared" si="13"/>
        <v>0</v>
      </c>
      <c r="AP57" s="60">
        <f>IFERROR(AVERAGEIFS('Base Kpi'!$BD:$BD,'Base Kpi'!$AW:$AW,Cliente!$E57,'Base Kpi'!$BC:$BC,Cliente!AP$5),0)</f>
        <v>17.850000000000001</v>
      </c>
      <c r="AQ57" s="92">
        <f>IFERROR(AVERAGEIFS('Base Kpi'!$BD:$BD,'Base Kpi'!$AW:$AW,Cliente!$E57,'Base Kpi'!$BC:$BC,Cliente!AQ$5),0)</f>
        <v>1.665</v>
      </c>
      <c r="AR57" s="92">
        <f>IFERROR(AVERAGEIFS('Base Kpi'!$BD:$BD,'Base Kpi'!$AW:$AW,Cliente!$E57,'Base Kpi'!$BC:$BC,Cliente!AR$5),0)</f>
        <v>6</v>
      </c>
      <c r="AS57" s="92">
        <f>IFERROR(AVERAGEIFS('Base Kpi'!$BD:$BD,'Base Kpi'!$AW:$AW,Cliente!$E57,'Base Kpi'!$BC:$BC,Cliente!AS$5),0)</f>
        <v>27.84</v>
      </c>
      <c r="AT57" s="92">
        <f>IFERROR(AVERAGEIFS('Base Kpi'!$BD:$BD,'Base Kpi'!$AW:$AW,Cliente!$E57,'Base Kpi'!$BC:$BC,Cliente!AT$5),0)</f>
        <v>0</v>
      </c>
      <c r="AU57" s="94">
        <f t="shared" si="54"/>
        <v>53.355000000000004</v>
      </c>
      <c r="AV57" s="95">
        <f t="shared" si="78"/>
        <v>1</v>
      </c>
      <c r="AW57" s="60">
        <f>IFERROR(AVERAGEIFS('Base Kpi'!$BP:$BP,'Base Kpi'!$BI:$BI,Cliente!$E57,'Base Kpi'!$BO:$BO,Cliente!AW$5),0)</f>
        <v>25</v>
      </c>
      <c r="AX57" s="92">
        <f>IFERROR(AVERAGEIFS('Base Kpi'!$BP:$BP,'Base Kpi'!$BI:$BI,Cliente!$E57,'Base Kpi'!$BO:$BO,Cliente!AX$5),0)</f>
        <v>3.335</v>
      </c>
      <c r="AY57" s="92">
        <f>IFERROR(AVERAGEIFS('Base Kpi'!$BP:$BP,'Base Kpi'!$BI:$BI,Cliente!$E57,'Base Kpi'!$BO:$BO,Cliente!AY$5),0)</f>
        <v>12</v>
      </c>
      <c r="AZ57" s="92">
        <f>IFERROR(AVERAGEIFS('Base Kpi'!$BP:$BP,'Base Kpi'!$BI:$BI,Cliente!$E57,'Base Kpi'!$BO:$BO,Cliente!AZ$5),0)</f>
        <v>29.56</v>
      </c>
      <c r="BA57" s="92">
        <f>IFERROR(AVERAGEIFS('Base Kpi'!$BP:$BP,'Base Kpi'!$BI:$BI,Cliente!$E57,'Base Kpi'!$BO:$BO,Cliente!BA$5),0)</f>
        <v>18</v>
      </c>
      <c r="BB57" s="94">
        <f t="shared" si="73"/>
        <v>87.894999999999996</v>
      </c>
      <c r="BC57" s="95">
        <f t="shared" si="79"/>
        <v>1</v>
      </c>
      <c r="BD57" s="60">
        <f t="shared" si="42"/>
        <v>50.186666666666667</v>
      </c>
      <c r="BE57" s="97">
        <f t="shared" si="80"/>
        <v>0</v>
      </c>
      <c r="BF57" s="88">
        <f t="shared" si="81"/>
        <v>0</v>
      </c>
      <c r="BG57" s="60">
        <f>IFERROR(AVERAGEIFS('Base Kpi'!$CB:$CB,'Base Kpi'!$BU:$BU,Cliente!$E57,'Base Kpi'!$CA:$CA,Cliente!BG$5),0)</f>
        <v>25</v>
      </c>
      <c r="BH57" s="92">
        <f>IFERROR(AVERAGEIFS('Base Kpi'!$CB:$CB,'Base Kpi'!$BU:$BU,Cliente!$E57,'Base Kpi'!$CA:$CA,Cliente!BH$5),0)</f>
        <v>3.335</v>
      </c>
      <c r="BI57" s="92">
        <f>IFERROR(AVERAGEIFS('Base Kpi'!$CB:$CB,'Base Kpi'!$BU:$BU,Cliente!$E57,'Base Kpi'!$CA:$CA,Cliente!BI$5),0)</f>
        <v>9</v>
      </c>
      <c r="BJ57" s="92">
        <f>IFERROR(AVERAGEIFS('Base Kpi'!$CB:$CB,'Base Kpi'!$BU:$BU,Cliente!$E57,'Base Kpi'!$CA:$CA,Cliente!BJ$5),0)</f>
        <v>17.600000000000001</v>
      </c>
      <c r="BK57" s="92">
        <f>IFERROR(AVERAGEIFS('Base Kpi'!$CB:$CB,'Base Kpi'!$BU:$BU,Cliente!$E57,'Base Kpi'!$CA:$CA,Cliente!BK$5),0)</f>
        <v>9</v>
      </c>
      <c r="BL57" s="94">
        <f t="shared" si="74"/>
        <v>63.935000000000002</v>
      </c>
      <c r="BM57" s="95">
        <f t="shared" si="82"/>
        <v>1</v>
      </c>
      <c r="BN57" s="60">
        <f>IFERROR(AVERAGEIFS('Base Kpi'!$CN:$CN,'Base Kpi'!$CG:$CG,Cliente!$E57,'Base Kpi'!$CM:$CM,Cliente!BN$5),0)</f>
        <v>0</v>
      </c>
      <c r="BO57" s="92">
        <f>IFERROR(AVERAGEIFS('Base Kpi'!$CN:$CN,'Base Kpi'!$CG:$CG,Cliente!$E57,'Base Kpi'!$CM:$CM,Cliente!BO$5),0)</f>
        <v>0</v>
      </c>
      <c r="BP57" s="92">
        <f>IFERROR(AVERAGEIFS('Base Kpi'!$CN:$CN,'Base Kpi'!$CG:$CG,Cliente!$E57,'Base Kpi'!$CM:$CM,Cliente!BP$5),0)</f>
        <v>0</v>
      </c>
      <c r="BQ57" s="92">
        <f>IFERROR(AVERAGEIFS('Base Kpi'!$CN:$CN,'Base Kpi'!$CG:$CG,Cliente!$E57,'Base Kpi'!$CM:$CM,Cliente!BQ$5),0)</f>
        <v>0</v>
      </c>
      <c r="BR57" s="92">
        <f>IFERROR(AVERAGEIFS('Base Kpi'!$CN:$CN,'Base Kpi'!$CG:$CG,Cliente!$E57,'Base Kpi'!$CM:$CM,Cliente!BR$5),0)</f>
        <v>0</v>
      </c>
      <c r="BS57" s="94">
        <f t="shared" si="75"/>
        <v>0</v>
      </c>
      <c r="BT57" s="95">
        <f t="shared" si="83"/>
        <v>0</v>
      </c>
      <c r="BU57" s="60">
        <f>IFERROR(AVERAGEIFS('Base Kpi'!$CZ:$CZ,'Base Kpi'!$CS:$CS,Cliente!$E57,'Base Kpi'!$CY:$CY,Cliente!BU$5),0)</f>
        <v>21.425000000000001</v>
      </c>
      <c r="BV57" s="92">
        <f>IFERROR(AVERAGEIFS('Base Kpi'!$CZ:$CZ,'Base Kpi'!$CS:$CS,Cliente!$E57,'Base Kpi'!$CY:$CY,Cliente!BV$5),0)</f>
        <v>5</v>
      </c>
      <c r="BW57" s="92">
        <f>IFERROR(AVERAGEIFS('Base Kpi'!$CZ:$CZ,'Base Kpi'!$CS:$CS,Cliente!$E57,'Base Kpi'!$CY:$CY,Cliente!BW$5),0)</f>
        <v>12</v>
      </c>
      <c r="BX57" s="92">
        <f>IFERROR(AVERAGEIFS('Base Kpi'!$CZ:$CZ,'Base Kpi'!$CS:$CS,Cliente!$E57,'Base Kpi'!$CY:$CY,Cliente!BX$5),0)</f>
        <v>39.200000000000003</v>
      </c>
      <c r="BY57" s="92">
        <f>IFERROR(AVERAGEIFS('Base Kpi'!$CZ:$CZ,'Base Kpi'!$CS:$CS,Cliente!$E57,'Base Kpi'!$CY:$CY,Cliente!BY$5),0)</f>
        <v>9</v>
      </c>
      <c r="BZ57" s="94">
        <f t="shared" si="76"/>
        <v>86.625</v>
      </c>
      <c r="CA57" s="95">
        <f t="shared" si="84"/>
        <v>1</v>
      </c>
      <c r="CB57" s="60">
        <f t="shared" si="64"/>
        <v>52.67499999999999</v>
      </c>
      <c r="CC57" s="97">
        <f t="shared" si="65"/>
        <v>0</v>
      </c>
      <c r="CD57" s="43">
        <f t="shared" si="66"/>
        <v>0</v>
      </c>
      <c r="CE57" s="60" cm="1">
        <f t="array" ref="CE57">IFERROR(LARGE(_xlfn._xlws.FILTER('Base Kpi'!$DL:$DL,('Base Kpi'!$DK:$DK=$CE$5)*('Base Kpi'!$DE:$DE=Cliente!$E57)),1),0)</f>
        <v>18.8</v>
      </c>
      <c r="CF57" s="60" cm="1">
        <f t="array" ref="CF57">IFERROR(LARGE(_xlfn._xlws.FILTER('Base Kpi'!$DL:$DL,('Base Kpi'!$DK:$DK=$CF$5)*('Base Kpi'!$DE:$DE=Cliente!$E57)),1),0)</f>
        <v>5</v>
      </c>
      <c r="CG57" s="60" cm="1">
        <f t="array" ref="CG57">IFERROR(LARGE(_xlfn._xlws.FILTER('Base Kpi'!$DL:$DL,('Base Kpi'!$DK:$DK=$CG$5)*('Base Kpi'!$DE:$DE=Cliente!$E57)),1),0)</f>
        <v>5</v>
      </c>
      <c r="CH57" s="60" cm="1">
        <f t="array" ref="CH57">IFERROR(LARGE(_xlfn._xlws.FILTER('Base Kpi'!$DL:$DL,('Base Kpi'!$DK:$DK=$CH$5)*('Base Kpi'!$DE:$DE=Cliente!$E57)),1),0)</f>
        <v>9</v>
      </c>
      <c r="CI57" s="60" cm="1">
        <f t="array" ref="CI57">IFERROR(LARGE(_xlfn._xlws.FILTER('Base Kpi'!$DL:$DL,('Base Kpi'!$DK:$DK=$CI$5)*('Base Kpi'!$DE:$DE=Cliente!$E57)),1),0)</f>
        <v>25</v>
      </c>
      <c r="CJ57" s="60" cm="1">
        <f t="array" ref="CJ57">IFERROR(LARGE(_xlfn._xlws.FILTER('Base Kpi'!$DL:$DL,('Base Kpi'!$DK:$DK=$CJ$5)*('Base Kpi'!$DE:$DE=Cliente!$E57)),1),0)</f>
        <v>6</v>
      </c>
      <c r="CK57" s="60" cm="1">
        <f t="array" ref="CK57">IFERROR(LARGE(_xlfn._xlws.FILTER('Base Kpi'!$DL:$DL,('Base Kpi'!$DK:$DK=$CK$5)*('Base Kpi'!$DE:$DE=Cliente!$E57)),1),0)</f>
        <v>0</v>
      </c>
      <c r="CL57" s="94">
        <f t="shared" si="77"/>
        <v>68.8</v>
      </c>
      <c r="CM57" s="95">
        <f t="shared" si="47"/>
        <v>0</v>
      </c>
      <c r="CN57" s="60">
        <f>IFERROR(AVERAGEIFS('Base Kpi'!$DX:$DX,'Base Kpi'!$DQ:$DQ,Cliente!$E57,'Base Kpi'!$DW:$DW,Cliente!CN$5),0)</f>
        <v>36.799999999999997</v>
      </c>
      <c r="CO57" s="92">
        <f>IFERROR(AVERAGEIFS('Base Kpi'!$DX:$DX,'Base Kpi'!$DQ:$DQ,Cliente!$E57,'Base Kpi'!$DW:$DW,Cliente!CO$5),0)</f>
        <v>5</v>
      </c>
      <c r="CP57" s="92">
        <f>IFERROR(AVERAGEIFS('Base Kpi'!$DX:$DX,'Base Kpi'!$DQ:$DQ,Cliente!$E57,'Base Kpi'!$DW:$DW,Cliente!CP$5),0)</f>
        <v>5</v>
      </c>
      <c r="CQ57" s="92">
        <f>IFERROR(AVERAGEIFS('Base Kpi'!$DX:$DX,'Base Kpi'!$DQ:$DQ,Cliente!$E57,'Base Kpi'!$DW:$DW,Cliente!CQ$5),0)</f>
        <v>9</v>
      </c>
      <c r="CR57" s="92">
        <f>IFERROR(AVERAGEIFS('Base Kpi'!$DX:$DX,'Base Kpi'!$DQ:$DQ,Cliente!$E57,'Base Kpi'!$DW:$DW,Cliente!CR$5),0)</f>
        <v>21.425000000000001</v>
      </c>
      <c r="CS57" s="92">
        <f>IFERROR(AVERAGEIFS('Base Kpi'!$DX:$DX,'Base Kpi'!$DQ:$DQ,Cliente!$E57,'Base Kpi'!$DW:$DW,Cliente!CS$5),0)</f>
        <v>12</v>
      </c>
      <c r="CT57" s="92">
        <f>IFERROR(AVERAGEIFS('Base Kpi'!$DX:$DX,'Base Kpi'!$DQ:$DQ,Cliente!$E57,'Base Kpi'!$DW:$DW,Cliente!CT$5),0)</f>
        <v>0</v>
      </c>
      <c r="CU57" s="94">
        <f t="shared" si="67"/>
        <v>89.224999999999994</v>
      </c>
      <c r="CV57" s="95">
        <f t="shared" si="68"/>
        <v>1</v>
      </c>
      <c r="CW57" s="60">
        <f>IFERROR(AVERAGEIFS('Base Kpi'!$EJ:$EJ,'Base Kpi'!$EC:$EC,Cliente!$E57,'Base Kpi'!$EI:$EI,Cliente!CW$5),0)</f>
        <v>0</v>
      </c>
      <c r="CX57" s="92">
        <f>IFERROR(AVERAGEIFS('Base Kpi'!$EJ:$EJ,'Base Kpi'!$EC:$EC,Cliente!$E57,'Base Kpi'!$EI:$EI,Cliente!CX$5),0)</f>
        <v>0</v>
      </c>
      <c r="CY57" s="92">
        <f>IFERROR(AVERAGEIFS('Base Kpi'!$EJ:$EJ,'Base Kpi'!$EC:$EC,Cliente!$E57,'Base Kpi'!$EI:$EI,Cliente!CY$5),0)</f>
        <v>0</v>
      </c>
      <c r="CZ57" s="92">
        <f>IFERROR(AVERAGEIFS('Base Kpi'!$EJ:$EJ,'Base Kpi'!$EC:$EC,Cliente!$E57,'Base Kpi'!$EI:$EI,Cliente!CZ$5),0)</f>
        <v>0</v>
      </c>
      <c r="DA57" s="92">
        <f>IFERROR(AVERAGEIFS('Base Kpi'!$EJ:$EJ,'Base Kpi'!$EC:$EC,Cliente!$E57,'Base Kpi'!$EI:$EI,Cliente!DA$5),0)</f>
        <v>0</v>
      </c>
      <c r="DB57" s="92">
        <f>IFERROR(AVERAGEIFS('Base Kpi'!$EJ:$EJ,'Base Kpi'!$EC:$EC,Cliente!$E57,'Base Kpi'!$EI:$EI,Cliente!DB$5),0)</f>
        <v>0</v>
      </c>
      <c r="DC57" s="92">
        <f>IFERROR(AVERAGEIFS('Base Kpi'!$EJ:$EJ,'Base Kpi'!$EC:$EC,Cliente!$E57,'Base Kpi'!$EI:$EI,Cliente!DC$5),0)</f>
        <v>0</v>
      </c>
      <c r="DD57" s="94">
        <f t="shared" si="69"/>
        <v>0</v>
      </c>
      <c r="DE57" s="95">
        <f t="shared" si="70"/>
        <v>0</v>
      </c>
      <c r="DF57" s="120"/>
    </row>
    <row r="58" spans="2:110" x14ac:dyDescent="0.35">
      <c r="B58" s="101" t="s">
        <v>42</v>
      </c>
      <c r="C58" s="102">
        <v>3655</v>
      </c>
      <c r="D58" s="102" t="s">
        <v>434</v>
      </c>
      <c r="E58" s="102">
        <v>184830</v>
      </c>
      <c r="F58" s="103" t="s">
        <v>91</v>
      </c>
      <c r="G58" s="103" t="s">
        <v>181</v>
      </c>
      <c r="H58" s="103" t="s">
        <v>438</v>
      </c>
      <c r="I58" s="103" t="s">
        <v>177</v>
      </c>
      <c r="J58" s="103" t="s">
        <v>90</v>
      </c>
      <c r="K58" s="108" t="s">
        <v>81</v>
      </c>
      <c r="L58" s="60">
        <f t="shared" si="55"/>
        <v>49.276666666666664</v>
      </c>
      <c r="M58" s="97">
        <f t="shared" si="56"/>
        <v>0</v>
      </c>
      <c r="N58" s="43">
        <f t="shared" si="52"/>
        <v>0</v>
      </c>
      <c r="O58" s="60">
        <f>IFERROR(AVERAGEIFS('Base Kpi'!$I:$I,'Base Kpi'!$B:$B,Cliente!$E58,'Base Kpi'!$G:$G,Cliente!O$5),0)</f>
        <v>25.71</v>
      </c>
      <c r="P58" s="92">
        <f>IFERROR(AVERAGEIFS('Base Kpi'!$I:$I,'Base Kpi'!$B:$B,Cliente!$E58,'Base Kpi'!$G:$G,Cliente!P$5),0)</f>
        <v>0</v>
      </c>
      <c r="Q58" s="92">
        <f>IFERROR(AVERAGEIFS('Base Kpi'!$I:$I,'Base Kpi'!$B:$B,Cliente!$E58,'Base Kpi'!$G:$G,Cliente!Q$5),0)</f>
        <v>10.199999999999999</v>
      </c>
      <c r="R58" s="92">
        <f>IFERROR(AVERAGEIFS('Base Kpi'!$I:$I,'Base Kpi'!$B:$B,Cliente!$E58,'Base Kpi'!$G:$G,Cliente!R$5),0)</f>
        <v>34.875</v>
      </c>
      <c r="S58" s="94">
        <f t="shared" si="57"/>
        <v>70.784999999999997</v>
      </c>
      <c r="T58" s="95">
        <f t="shared" si="58"/>
        <v>0</v>
      </c>
      <c r="U58" s="60">
        <f>IFERROR(AVERAGEIFS('Base Kpi'!$T:$T,'Base Kpi'!$M:$M,Cliente!$E58,'Base Kpi'!$S:$S,Cliente!U$5),0)</f>
        <v>0</v>
      </c>
      <c r="V58" s="92">
        <f>IFERROR(AVERAGEIFS('Base Kpi'!$T:$T,'Base Kpi'!$M:$M,Cliente!$E58,'Base Kpi'!$S:$S,Cliente!V$5),0)</f>
        <v>0</v>
      </c>
      <c r="W58" s="92">
        <f>IFERROR(AVERAGEIFS('Base Kpi'!$T:$T,'Base Kpi'!$M:$M,Cliente!$E58,'Base Kpi'!$S:$S,Cliente!W$5),0)</f>
        <v>0</v>
      </c>
      <c r="X58" s="92">
        <f>IFERROR(AVERAGEIFS('Base Kpi'!$T:$T,'Base Kpi'!$M:$M,Cliente!$E58,'Base Kpi'!$S:$S,Cliente!X$5),0)</f>
        <v>0</v>
      </c>
      <c r="Y58" s="94">
        <f t="shared" si="59"/>
        <v>0</v>
      </c>
      <c r="Z58" s="95">
        <f t="shared" si="60"/>
        <v>0</v>
      </c>
      <c r="AA58" s="60">
        <f>IFERROR(AVERAGEIFS('Base Kpi'!$AF:$AF,'Base Kpi'!$Y:$Y,Cliente!$E58,'Base Kpi'!$AE:$AE,Cliente!AA$5),0)</f>
        <v>21.42</v>
      </c>
      <c r="AB58" s="92">
        <f>IFERROR(AVERAGEIFS('Base Kpi'!$AF:$AF,'Base Kpi'!$Y:$Y,Cliente!$E58,'Base Kpi'!$AE:$AE,Cliente!AB$5),0)</f>
        <v>8</v>
      </c>
      <c r="AC58" s="92">
        <f>IFERROR(AVERAGEIFS('Base Kpi'!$AF:$AF,'Base Kpi'!$Y:$Y,Cliente!$E58,'Base Kpi'!$AE:$AE,Cliente!AC$5),0)</f>
        <v>12.75</v>
      </c>
      <c r="AD58" s="92">
        <f>IFERROR(AVERAGEIFS('Base Kpi'!$AF:$AF,'Base Kpi'!$Y:$Y,Cliente!$E58,'Base Kpi'!$AE:$AE,Cliente!AD$5),0)</f>
        <v>34.875</v>
      </c>
      <c r="AE58" s="94">
        <f t="shared" si="61"/>
        <v>77.045000000000002</v>
      </c>
      <c r="AF58" s="95">
        <f t="shared" si="62"/>
        <v>0</v>
      </c>
      <c r="AG58" s="60">
        <f t="shared" si="71"/>
        <v>55.831666666666671</v>
      </c>
      <c r="AH58" s="97">
        <f t="shared" si="72"/>
        <v>1</v>
      </c>
      <c r="AI58" s="88">
        <f t="shared" si="63"/>
        <v>1</v>
      </c>
      <c r="AJ58" s="92">
        <f>IFERROR(AVERAGEIFS('Base Kpi'!$AR:$AR,'Base Kpi'!$AK:$AK,Cliente!$E58,'Base Kpi'!$AQ:$AQ,AJ$5),0)</f>
        <v>21.425000000000001</v>
      </c>
      <c r="AK58" s="92">
        <f>IFERROR(AVERAGEIFS('Base Kpi'!$AR:$AR,'Base Kpi'!$AK:$AK,Cliente!$E58,'Base Kpi'!$AQ:$AQ,AK$5),0)</f>
        <v>2.5</v>
      </c>
      <c r="AL58" s="92">
        <f>IFERROR(AVERAGEIFS('Base Kpi'!$AR:$AR,'Base Kpi'!$AK:$AK,Cliente!$E58,'Base Kpi'!$AQ:$AQ,AL$5),0)</f>
        <v>9</v>
      </c>
      <c r="AM58" s="92">
        <f>IFERROR(AVERAGEIFS('Base Kpi'!$AR:$AR,'Base Kpi'!$AK:$AK,Cliente!$E58,'Base Kpi'!$AQ:$AQ,AM$5),0)</f>
        <v>28.68</v>
      </c>
      <c r="AN58" s="94">
        <f t="shared" si="53"/>
        <v>61.604999999999997</v>
      </c>
      <c r="AO58" s="95">
        <f t="shared" si="13"/>
        <v>0</v>
      </c>
      <c r="AP58" s="60">
        <f>IFERROR(AVERAGEIFS('Base Kpi'!$BD:$BD,'Base Kpi'!$AW:$AW,Cliente!$E58,'Base Kpi'!$BC:$BC,Cliente!AP$5),0)</f>
        <v>21.425000000000001</v>
      </c>
      <c r="AQ58" s="92">
        <f>IFERROR(AVERAGEIFS('Base Kpi'!$BD:$BD,'Base Kpi'!$AW:$AW,Cliente!$E58,'Base Kpi'!$BC:$BC,Cliente!AQ$5),0)</f>
        <v>1.665</v>
      </c>
      <c r="AR58" s="92">
        <f>IFERROR(AVERAGEIFS('Base Kpi'!$BD:$BD,'Base Kpi'!$AW:$AW,Cliente!$E58,'Base Kpi'!$BC:$BC,Cliente!AR$5),0)</f>
        <v>6</v>
      </c>
      <c r="AS58" s="92">
        <f>IFERROR(AVERAGEIFS('Base Kpi'!$BD:$BD,'Base Kpi'!$AW:$AW,Cliente!$E58,'Base Kpi'!$BC:$BC,Cliente!AS$5),0)</f>
        <v>30.44</v>
      </c>
      <c r="AT58" s="92">
        <f>IFERROR(AVERAGEIFS('Base Kpi'!$BD:$BD,'Base Kpi'!$AW:$AW,Cliente!$E58,'Base Kpi'!$BC:$BC,Cliente!AT$5),0)</f>
        <v>0</v>
      </c>
      <c r="AU58" s="94">
        <f t="shared" si="54"/>
        <v>59.53</v>
      </c>
      <c r="AV58" s="95">
        <f t="shared" si="78"/>
        <v>1</v>
      </c>
      <c r="AW58" s="60">
        <f>IFERROR(AVERAGEIFS('Base Kpi'!$BP:$BP,'Base Kpi'!$BI:$BI,Cliente!$E58,'Base Kpi'!$BO:$BO,Cliente!AW$5),0)</f>
        <v>21.425000000000001</v>
      </c>
      <c r="AX58" s="92">
        <f>IFERROR(AVERAGEIFS('Base Kpi'!$BP:$BP,'Base Kpi'!$BI:$BI,Cliente!$E58,'Base Kpi'!$BO:$BO,Cliente!AX$5),0)</f>
        <v>3.335</v>
      </c>
      <c r="AY58" s="92">
        <f>IFERROR(AVERAGEIFS('Base Kpi'!$BP:$BP,'Base Kpi'!$BI:$BI,Cliente!$E58,'Base Kpi'!$BO:$BO,Cliente!AY$5),0)</f>
        <v>9</v>
      </c>
      <c r="AZ58" s="92">
        <f>IFERROR(AVERAGEIFS('Base Kpi'!$BP:$BP,'Base Kpi'!$BI:$BI,Cliente!$E58,'Base Kpi'!$BO:$BO,Cliente!AZ$5),0)</f>
        <v>12.6</v>
      </c>
      <c r="BA58" s="92">
        <f>IFERROR(AVERAGEIFS('Base Kpi'!$BP:$BP,'Base Kpi'!$BI:$BI,Cliente!$E58,'Base Kpi'!$BO:$BO,Cliente!BA$5),0)</f>
        <v>0</v>
      </c>
      <c r="BB58" s="94">
        <f t="shared" si="73"/>
        <v>46.360000000000007</v>
      </c>
      <c r="BC58" s="95">
        <f t="shared" si="79"/>
        <v>1</v>
      </c>
      <c r="BD58" s="60">
        <f t="shared" si="42"/>
        <v>82.586666666666673</v>
      </c>
      <c r="BE58" s="97">
        <f t="shared" si="80"/>
        <v>1</v>
      </c>
      <c r="BF58" s="88">
        <f t="shared" si="81"/>
        <v>1</v>
      </c>
      <c r="BG58" s="60">
        <f>IFERROR(AVERAGEIFS('Base Kpi'!$CB:$CB,'Base Kpi'!$BU:$BU,Cliente!$E58,'Base Kpi'!$CA:$CA,Cliente!BG$5),0)</f>
        <v>21.425000000000001</v>
      </c>
      <c r="BH58" s="92">
        <f>IFERROR(AVERAGEIFS('Base Kpi'!$CB:$CB,'Base Kpi'!$BU:$BU,Cliente!$E58,'Base Kpi'!$CA:$CA,Cliente!BH$5),0)</f>
        <v>3.335</v>
      </c>
      <c r="BI58" s="92">
        <f>IFERROR(AVERAGEIFS('Base Kpi'!$CB:$CB,'Base Kpi'!$BU:$BU,Cliente!$E58,'Base Kpi'!$CA:$CA,Cliente!BI$5),0)</f>
        <v>9</v>
      </c>
      <c r="BJ58" s="92">
        <f>IFERROR(AVERAGEIFS('Base Kpi'!$CB:$CB,'Base Kpi'!$BU:$BU,Cliente!$E58,'Base Kpi'!$CA:$CA,Cliente!BJ$5),0)</f>
        <v>29.6</v>
      </c>
      <c r="BK58" s="92">
        <f>IFERROR(AVERAGEIFS('Base Kpi'!$CB:$CB,'Base Kpi'!$BU:$BU,Cliente!$E58,'Base Kpi'!$CA:$CA,Cliente!BK$5),0)</f>
        <v>9</v>
      </c>
      <c r="BL58" s="94">
        <f t="shared" si="74"/>
        <v>72.360000000000014</v>
      </c>
      <c r="BM58" s="95">
        <f t="shared" si="82"/>
        <v>1</v>
      </c>
      <c r="BN58" s="60">
        <f>IFERROR(AVERAGEIFS('Base Kpi'!$CN:$CN,'Base Kpi'!$CG:$CG,Cliente!$E58,'Base Kpi'!$CM:$CM,Cliente!BN$5),0)</f>
        <v>25</v>
      </c>
      <c r="BO58" s="92">
        <f>IFERROR(AVERAGEIFS('Base Kpi'!$CN:$CN,'Base Kpi'!$CG:$CG,Cliente!$E58,'Base Kpi'!$CM:$CM,Cliente!BO$5),0)</f>
        <v>5</v>
      </c>
      <c r="BP58" s="92">
        <f>IFERROR(AVERAGEIFS('Base Kpi'!$CN:$CN,'Base Kpi'!$CG:$CG,Cliente!$E58,'Base Kpi'!$CM:$CM,Cliente!BP$5),0)</f>
        <v>6</v>
      </c>
      <c r="BQ58" s="92">
        <f>IFERROR(AVERAGEIFS('Base Kpi'!$CN:$CN,'Base Kpi'!$CG:$CG,Cliente!$E58,'Base Kpi'!$CM:$CM,Cliente!BQ$5),0)</f>
        <v>36</v>
      </c>
      <c r="BR58" s="92">
        <f>IFERROR(AVERAGEIFS('Base Kpi'!$CN:$CN,'Base Kpi'!$CG:$CG,Cliente!$E58,'Base Kpi'!$CM:$CM,Cliente!BR$5),0)</f>
        <v>9</v>
      </c>
      <c r="BS58" s="94">
        <f t="shared" si="75"/>
        <v>81</v>
      </c>
      <c r="BT58" s="95">
        <f t="shared" si="83"/>
        <v>1</v>
      </c>
      <c r="BU58" s="60">
        <f>IFERROR(AVERAGEIFS('Base Kpi'!$CZ:$CZ,'Base Kpi'!$CS:$CS,Cliente!$E58,'Base Kpi'!$CY:$CY,Cliente!BU$5),0)</f>
        <v>25</v>
      </c>
      <c r="BV58" s="92">
        <f>IFERROR(AVERAGEIFS('Base Kpi'!$CZ:$CZ,'Base Kpi'!$CS:$CS,Cliente!$E58,'Base Kpi'!$CY:$CY,Cliente!BV$5),0)</f>
        <v>5</v>
      </c>
      <c r="BW58" s="92">
        <f>IFERROR(AVERAGEIFS('Base Kpi'!$CZ:$CZ,'Base Kpi'!$CS:$CS,Cliente!$E58,'Base Kpi'!$CY:$CY,Cliente!BW$5),0)</f>
        <v>12</v>
      </c>
      <c r="BX58" s="92">
        <f>IFERROR(AVERAGEIFS('Base Kpi'!$CZ:$CZ,'Base Kpi'!$CS:$CS,Cliente!$E58,'Base Kpi'!$CY:$CY,Cliente!BX$5),0)</f>
        <v>34.4</v>
      </c>
      <c r="BY58" s="92">
        <f>IFERROR(AVERAGEIFS('Base Kpi'!$CZ:$CZ,'Base Kpi'!$CS:$CS,Cliente!$E58,'Base Kpi'!$CY:$CY,Cliente!BY$5),0)</f>
        <v>18</v>
      </c>
      <c r="BZ58" s="94">
        <f t="shared" si="76"/>
        <v>94.4</v>
      </c>
      <c r="CA58" s="95">
        <f t="shared" si="84"/>
        <v>1</v>
      </c>
      <c r="CB58" s="60">
        <f t="shared" si="64"/>
        <v>66.399999999999991</v>
      </c>
      <c r="CC58" s="97">
        <f t="shared" si="65"/>
        <v>0</v>
      </c>
      <c r="CD58" s="43">
        <f t="shared" si="66"/>
        <v>0</v>
      </c>
      <c r="CE58" s="60" cm="1">
        <f t="array" ref="CE58">IFERROR(LARGE(_xlfn._xlws.FILTER('Base Kpi'!$DL:$DL,('Base Kpi'!$DK:$DK=$CE$5)*('Base Kpi'!$DE:$DE=Cliente!$E58)),1),0)</f>
        <v>39.200000000000003</v>
      </c>
      <c r="CF58" s="60" cm="1">
        <f t="array" ref="CF58">IFERROR(LARGE(_xlfn._xlws.FILTER('Base Kpi'!$DL:$DL,('Base Kpi'!$DK:$DK=$CF$5)*('Base Kpi'!$DE:$DE=Cliente!$E58)),1),0)</f>
        <v>0</v>
      </c>
      <c r="CG58" s="60" cm="1">
        <f t="array" ref="CG58">IFERROR(LARGE(_xlfn._xlws.FILTER('Base Kpi'!$DL:$DL,('Base Kpi'!$DK:$DK=$CG$5)*('Base Kpi'!$DE:$DE=Cliente!$E58)),1),0)</f>
        <v>5</v>
      </c>
      <c r="CH58" s="60" cm="1">
        <f t="array" ref="CH58">IFERROR(LARGE(_xlfn._xlws.FILTER('Base Kpi'!$DL:$DL,('Base Kpi'!$DK:$DK=$CH$5)*('Base Kpi'!$DE:$DE=Cliente!$E58)),1),0)</f>
        <v>18</v>
      </c>
      <c r="CI58" s="60" cm="1">
        <f t="array" ref="CI58">IFERROR(LARGE(_xlfn._xlws.FILTER('Base Kpi'!$DL:$DL,('Base Kpi'!$DK:$DK=$CI$5)*('Base Kpi'!$DE:$DE=Cliente!$E58)),1),0)</f>
        <v>25</v>
      </c>
      <c r="CJ58" s="60" cm="1">
        <f t="array" ref="CJ58">IFERROR(LARGE(_xlfn._xlws.FILTER('Base Kpi'!$DL:$DL,('Base Kpi'!$DK:$DK=$CJ$5)*('Base Kpi'!$DE:$DE=Cliente!$E58)),1),0)</f>
        <v>12</v>
      </c>
      <c r="CK58" s="60" cm="1">
        <f t="array" ref="CK58">IFERROR(LARGE(_xlfn._xlws.FILTER('Base Kpi'!$DL:$DL,('Base Kpi'!$DK:$DK=$CK$5)*('Base Kpi'!$DE:$DE=Cliente!$E58)),1),0)</f>
        <v>0</v>
      </c>
      <c r="CL58" s="94">
        <f t="shared" si="77"/>
        <v>99.2</v>
      </c>
      <c r="CM58" s="95">
        <f t="shared" si="47"/>
        <v>1</v>
      </c>
      <c r="CN58" s="60">
        <f>IFERROR(AVERAGEIFS('Base Kpi'!$DX:$DX,'Base Kpi'!$DQ:$DQ,Cliente!$E58,'Base Kpi'!$DW:$DW,Cliente!CN$5),0)</f>
        <v>36</v>
      </c>
      <c r="CO58" s="92">
        <f>IFERROR(AVERAGEIFS('Base Kpi'!$DX:$DX,'Base Kpi'!$DQ:$DQ,Cliente!$E58,'Base Kpi'!$DW:$DW,Cliente!CO$5),0)</f>
        <v>4</v>
      </c>
      <c r="CP58" s="92">
        <f>IFERROR(AVERAGEIFS('Base Kpi'!$DX:$DX,'Base Kpi'!$DQ:$DQ,Cliente!$E58,'Base Kpi'!$DW:$DW,Cliente!CP$5),0)</f>
        <v>5</v>
      </c>
      <c r="CQ58" s="92">
        <f>IFERROR(AVERAGEIFS('Base Kpi'!$DX:$DX,'Base Kpi'!$DQ:$DQ,Cliente!$E58,'Base Kpi'!$DW:$DW,Cliente!CQ$5),0)</f>
        <v>18</v>
      </c>
      <c r="CR58" s="92">
        <f>IFERROR(AVERAGEIFS('Base Kpi'!$DX:$DX,'Base Kpi'!$DQ:$DQ,Cliente!$E58,'Base Kpi'!$DW:$DW,Cliente!CR$5),0)</f>
        <v>25</v>
      </c>
      <c r="CS58" s="92">
        <f>IFERROR(AVERAGEIFS('Base Kpi'!$DX:$DX,'Base Kpi'!$DQ:$DQ,Cliente!$E58,'Base Kpi'!$DW:$DW,Cliente!CS$5),0)</f>
        <v>12</v>
      </c>
      <c r="CT58" s="92">
        <f>IFERROR(AVERAGEIFS('Base Kpi'!$DX:$DX,'Base Kpi'!$DQ:$DQ,Cliente!$E58,'Base Kpi'!$DW:$DW,Cliente!CT$5),0)</f>
        <v>0</v>
      </c>
      <c r="CU58" s="94">
        <f t="shared" si="67"/>
        <v>100</v>
      </c>
      <c r="CV58" s="95">
        <f t="shared" si="68"/>
        <v>1</v>
      </c>
      <c r="CW58" s="60">
        <f>IFERROR(AVERAGEIFS('Base Kpi'!$EJ:$EJ,'Base Kpi'!$EC:$EC,Cliente!$E58,'Base Kpi'!$EI:$EI,Cliente!CW$5),0)</f>
        <v>0</v>
      </c>
      <c r="CX58" s="92">
        <f>IFERROR(AVERAGEIFS('Base Kpi'!$EJ:$EJ,'Base Kpi'!$EC:$EC,Cliente!$E58,'Base Kpi'!$EI:$EI,Cliente!CX$5),0)</f>
        <v>0</v>
      </c>
      <c r="CY58" s="92">
        <f>IFERROR(AVERAGEIFS('Base Kpi'!$EJ:$EJ,'Base Kpi'!$EC:$EC,Cliente!$E58,'Base Kpi'!$EI:$EI,Cliente!CY$5),0)</f>
        <v>0</v>
      </c>
      <c r="CZ58" s="92">
        <f>IFERROR(AVERAGEIFS('Base Kpi'!$EJ:$EJ,'Base Kpi'!$EC:$EC,Cliente!$E58,'Base Kpi'!$EI:$EI,Cliente!CZ$5),0)</f>
        <v>0</v>
      </c>
      <c r="DA58" s="92">
        <f>IFERROR(AVERAGEIFS('Base Kpi'!$EJ:$EJ,'Base Kpi'!$EC:$EC,Cliente!$E58,'Base Kpi'!$EI:$EI,Cliente!DA$5),0)</f>
        <v>0</v>
      </c>
      <c r="DB58" s="92">
        <f>IFERROR(AVERAGEIFS('Base Kpi'!$EJ:$EJ,'Base Kpi'!$EC:$EC,Cliente!$E58,'Base Kpi'!$EI:$EI,Cliente!DB$5),0)</f>
        <v>0</v>
      </c>
      <c r="DC58" s="92">
        <f>IFERROR(AVERAGEIFS('Base Kpi'!$EJ:$EJ,'Base Kpi'!$EC:$EC,Cliente!$E58,'Base Kpi'!$EI:$EI,Cliente!DC$5),0)</f>
        <v>0</v>
      </c>
      <c r="DD58" s="94">
        <f t="shared" si="69"/>
        <v>0</v>
      </c>
      <c r="DE58" s="95">
        <f t="shared" si="70"/>
        <v>0</v>
      </c>
      <c r="DF58" s="120"/>
    </row>
    <row r="59" spans="2:110" x14ac:dyDescent="0.35">
      <c r="B59" s="101" t="s">
        <v>42</v>
      </c>
      <c r="C59" s="102">
        <v>3655</v>
      </c>
      <c r="D59" s="102" t="s">
        <v>434</v>
      </c>
      <c r="E59" s="102">
        <v>187744</v>
      </c>
      <c r="F59" s="103" t="s">
        <v>117</v>
      </c>
      <c r="G59" s="103" t="s">
        <v>221</v>
      </c>
      <c r="H59" s="103" t="s">
        <v>325</v>
      </c>
      <c r="I59" s="103" t="s">
        <v>326</v>
      </c>
      <c r="J59" s="103" t="s">
        <v>89</v>
      </c>
      <c r="K59" s="108" t="s">
        <v>81</v>
      </c>
      <c r="L59" s="60">
        <f t="shared" si="55"/>
        <v>73.393333333333331</v>
      </c>
      <c r="M59" s="97">
        <f t="shared" si="56"/>
        <v>1</v>
      </c>
      <c r="N59" s="43">
        <f t="shared" si="52"/>
        <v>0</v>
      </c>
      <c r="O59" s="60">
        <f>IFERROR(AVERAGEIFS('Base Kpi'!$I:$I,'Base Kpi'!$B:$B,Cliente!$E59,'Base Kpi'!$G:$G,Cliente!O$5),0)</f>
        <v>25.71</v>
      </c>
      <c r="P59" s="92">
        <f>IFERROR(AVERAGEIFS('Base Kpi'!$I:$I,'Base Kpi'!$B:$B,Cliente!$E59,'Base Kpi'!$G:$G,Cliente!P$5),0)</f>
        <v>0</v>
      </c>
      <c r="Q59" s="92">
        <f>IFERROR(AVERAGEIFS('Base Kpi'!$I:$I,'Base Kpi'!$B:$B,Cliente!$E59,'Base Kpi'!$G:$G,Cliente!Q$5),0)</f>
        <v>6.8</v>
      </c>
      <c r="R59" s="92">
        <f>IFERROR(AVERAGEIFS('Base Kpi'!$I:$I,'Base Kpi'!$B:$B,Cliente!$E59,'Base Kpi'!$G:$G,Cliente!R$5),0)</f>
        <v>32.625</v>
      </c>
      <c r="S59" s="94">
        <f t="shared" si="57"/>
        <v>65.134999999999991</v>
      </c>
      <c r="T59" s="95">
        <f t="shared" si="58"/>
        <v>0</v>
      </c>
      <c r="U59" s="60">
        <f>IFERROR(AVERAGEIFS('Base Kpi'!$T:$T,'Base Kpi'!$M:$M,Cliente!$E59,'Base Kpi'!$S:$S,Cliente!U$5),0)</f>
        <v>25.71</v>
      </c>
      <c r="V59" s="92">
        <f>IFERROR(AVERAGEIFS('Base Kpi'!$T:$T,'Base Kpi'!$M:$M,Cliente!$E59,'Base Kpi'!$S:$S,Cliente!V$5),0)</f>
        <v>8</v>
      </c>
      <c r="W59" s="92">
        <f>IFERROR(AVERAGEIFS('Base Kpi'!$T:$T,'Base Kpi'!$M:$M,Cliente!$E59,'Base Kpi'!$S:$S,Cliente!W$5),0)</f>
        <v>8.5</v>
      </c>
      <c r="X59" s="92">
        <f>IFERROR(AVERAGEIFS('Base Kpi'!$T:$T,'Base Kpi'!$M:$M,Cliente!$E59,'Base Kpi'!$S:$S,Cliente!X$5),0)</f>
        <v>31.5</v>
      </c>
      <c r="Y59" s="94">
        <f t="shared" si="59"/>
        <v>73.710000000000008</v>
      </c>
      <c r="Z59" s="95">
        <f t="shared" si="60"/>
        <v>0</v>
      </c>
      <c r="AA59" s="60">
        <f>IFERROR(AVERAGEIFS('Base Kpi'!$AF:$AF,'Base Kpi'!$Y:$Y,Cliente!$E59,'Base Kpi'!$AE:$AE,Cliente!AA$5),0)</f>
        <v>25.71</v>
      </c>
      <c r="AB59" s="92">
        <f>IFERROR(AVERAGEIFS('Base Kpi'!$AF:$AF,'Base Kpi'!$Y:$Y,Cliente!$E59,'Base Kpi'!$AE:$AE,Cliente!AB$5),0)</f>
        <v>8</v>
      </c>
      <c r="AC59" s="92">
        <f>IFERROR(AVERAGEIFS('Base Kpi'!$AF:$AF,'Base Kpi'!$Y:$Y,Cliente!$E59,'Base Kpi'!$AE:$AE,Cliente!AC$5),0)</f>
        <v>12.75</v>
      </c>
      <c r="AD59" s="92">
        <f>IFERROR(AVERAGEIFS('Base Kpi'!$AF:$AF,'Base Kpi'!$Y:$Y,Cliente!$E59,'Base Kpi'!$AE:$AE,Cliente!AD$5),0)</f>
        <v>34.875</v>
      </c>
      <c r="AE59" s="94">
        <f t="shared" si="61"/>
        <v>81.335000000000008</v>
      </c>
      <c r="AF59" s="95">
        <f t="shared" si="62"/>
        <v>1</v>
      </c>
      <c r="AG59" s="60">
        <f t="shared" si="71"/>
        <v>63.048333333333339</v>
      </c>
      <c r="AH59" s="97">
        <f t="shared" si="72"/>
        <v>1</v>
      </c>
      <c r="AI59" s="88">
        <f t="shared" si="63"/>
        <v>1</v>
      </c>
      <c r="AJ59" s="92">
        <f>IFERROR(AVERAGEIFS('Base Kpi'!$AR:$AR,'Base Kpi'!$AK:$AK,Cliente!$E59,'Base Kpi'!$AQ:$AQ,AJ$5),0)</f>
        <v>25</v>
      </c>
      <c r="AK59" s="92">
        <f>IFERROR(AVERAGEIFS('Base Kpi'!$AR:$AR,'Base Kpi'!$AK:$AK,Cliente!$E59,'Base Kpi'!$AQ:$AQ,AK$5),0)</f>
        <v>2.5</v>
      </c>
      <c r="AL59" s="92">
        <f>IFERROR(AVERAGEIFS('Base Kpi'!$AR:$AR,'Base Kpi'!$AK:$AK,Cliente!$E59,'Base Kpi'!$AQ:$AQ,AL$5),0)</f>
        <v>9</v>
      </c>
      <c r="AM59" s="92">
        <f>IFERROR(AVERAGEIFS('Base Kpi'!$AR:$AR,'Base Kpi'!$AK:$AK,Cliente!$E59,'Base Kpi'!$AQ:$AQ,AM$5),0)</f>
        <v>29.56</v>
      </c>
      <c r="AN59" s="94">
        <f t="shared" si="53"/>
        <v>66.06</v>
      </c>
      <c r="AO59" s="95">
        <f t="shared" si="13"/>
        <v>0</v>
      </c>
      <c r="AP59" s="60">
        <f>IFERROR(AVERAGEIFS('Base Kpi'!$BD:$BD,'Base Kpi'!$AW:$AW,Cliente!$E59,'Base Kpi'!$BC:$BC,Cliente!AP$5),0)</f>
        <v>25</v>
      </c>
      <c r="AQ59" s="92">
        <f>IFERROR(AVERAGEIFS('Base Kpi'!$BD:$BD,'Base Kpi'!$AW:$AW,Cliente!$E59,'Base Kpi'!$BC:$BC,Cliente!AQ$5),0)</f>
        <v>1.665</v>
      </c>
      <c r="AR59" s="92">
        <f>IFERROR(AVERAGEIFS('Base Kpi'!$BD:$BD,'Base Kpi'!$AW:$AW,Cliente!$E59,'Base Kpi'!$BC:$BC,Cliente!AR$5),0)</f>
        <v>6</v>
      </c>
      <c r="AS59" s="92">
        <f>IFERROR(AVERAGEIFS('Base Kpi'!$BD:$BD,'Base Kpi'!$AW:$AW,Cliente!$E59,'Base Kpi'!$BC:$BC,Cliente!AS$5),0)</f>
        <v>36.520000000000003</v>
      </c>
      <c r="AT59" s="92">
        <f>IFERROR(AVERAGEIFS('Base Kpi'!$BD:$BD,'Base Kpi'!$AW:$AW,Cliente!$E59,'Base Kpi'!$BC:$BC,Cliente!AT$5),0)</f>
        <v>0</v>
      </c>
      <c r="AU59" s="94">
        <f t="shared" si="54"/>
        <v>69.185000000000002</v>
      </c>
      <c r="AV59" s="95">
        <f t="shared" si="78"/>
        <v>1</v>
      </c>
      <c r="AW59" s="60">
        <f>IFERROR(AVERAGEIFS('Base Kpi'!$BP:$BP,'Base Kpi'!$BI:$BI,Cliente!$E59,'Base Kpi'!$BO:$BO,Cliente!AW$5),0)</f>
        <v>17.14</v>
      </c>
      <c r="AX59" s="92">
        <f>IFERROR(AVERAGEIFS('Base Kpi'!$BP:$BP,'Base Kpi'!$BI:$BI,Cliente!$E59,'Base Kpi'!$BO:$BO,Cliente!AX$5),0)</f>
        <v>1.665</v>
      </c>
      <c r="AY59" s="92">
        <f>IFERROR(AVERAGEIFS('Base Kpi'!$BP:$BP,'Base Kpi'!$BI:$BI,Cliente!$E59,'Base Kpi'!$BO:$BO,Cliente!AY$5),0)</f>
        <v>10</v>
      </c>
      <c r="AZ59" s="92">
        <f>IFERROR(AVERAGEIFS('Base Kpi'!$BP:$BP,'Base Kpi'!$BI:$BI,Cliente!$E59,'Base Kpi'!$BO:$BO,Cliente!AZ$5),0)</f>
        <v>25.094999999999999</v>
      </c>
      <c r="BA59" s="92">
        <f>IFERROR(AVERAGEIFS('Base Kpi'!$BP:$BP,'Base Kpi'!$BI:$BI,Cliente!$E59,'Base Kpi'!$BO:$BO,Cliente!BA$5),0)</f>
        <v>0</v>
      </c>
      <c r="BB59" s="94">
        <f t="shared" si="73"/>
        <v>53.9</v>
      </c>
      <c r="BC59" s="95">
        <f t="shared" si="79"/>
        <v>1</v>
      </c>
      <c r="BD59" s="60">
        <f t="shared" si="42"/>
        <v>70.858333333333334</v>
      </c>
      <c r="BE59" s="97">
        <f t="shared" si="80"/>
        <v>1</v>
      </c>
      <c r="BF59" s="88">
        <f t="shared" si="81"/>
        <v>1</v>
      </c>
      <c r="BG59" s="60">
        <f>IFERROR(AVERAGEIFS('Base Kpi'!$CB:$CB,'Base Kpi'!$BU:$BU,Cliente!$E59,'Base Kpi'!$CA:$CA,Cliente!BG$5),0)</f>
        <v>20</v>
      </c>
      <c r="BH59" s="92">
        <f>IFERROR(AVERAGEIFS('Base Kpi'!$CB:$CB,'Base Kpi'!$BU:$BU,Cliente!$E59,'Base Kpi'!$CA:$CA,Cliente!BH$5),0)</f>
        <v>3.335</v>
      </c>
      <c r="BI59" s="92">
        <f>IFERROR(AVERAGEIFS('Base Kpi'!$CB:$CB,'Base Kpi'!$BU:$BU,Cliente!$E59,'Base Kpi'!$CA:$CA,Cliente!BI$5),0)</f>
        <v>5</v>
      </c>
      <c r="BJ59" s="92">
        <f>IFERROR(AVERAGEIFS('Base Kpi'!$CB:$CB,'Base Kpi'!$BU:$BU,Cliente!$E59,'Base Kpi'!$CA:$CA,Cliente!BJ$5),0)</f>
        <v>29.4</v>
      </c>
      <c r="BK59" s="92">
        <f>IFERROR(AVERAGEIFS('Base Kpi'!$CB:$CB,'Base Kpi'!$BU:$BU,Cliente!$E59,'Base Kpi'!$CA:$CA,Cliente!BK$5),0)</f>
        <v>7.5</v>
      </c>
      <c r="BL59" s="94">
        <f t="shared" si="74"/>
        <v>65.234999999999999</v>
      </c>
      <c r="BM59" s="95">
        <f t="shared" si="82"/>
        <v>1</v>
      </c>
      <c r="BN59" s="60">
        <f>IFERROR(AVERAGEIFS('Base Kpi'!$CN:$CN,'Base Kpi'!$CG:$CG,Cliente!$E59,'Base Kpi'!$CM:$CM,Cliente!BN$5),0)</f>
        <v>17.14</v>
      </c>
      <c r="BO59" s="92">
        <f>IFERROR(AVERAGEIFS('Base Kpi'!$CN:$CN,'Base Kpi'!$CG:$CG,Cliente!$E59,'Base Kpi'!$CM:$CM,Cliente!BO$5),0)</f>
        <v>5</v>
      </c>
      <c r="BP59" s="92">
        <f>IFERROR(AVERAGEIFS('Base Kpi'!$CN:$CN,'Base Kpi'!$CG:$CG,Cliente!$E59,'Base Kpi'!$CM:$CM,Cliente!BP$5),0)</f>
        <v>10</v>
      </c>
      <c r="BQ59" s="92">
        <f>IFERROR(AVERAGEIFS('Base Kpi'!$CN:$CN,'Base Kpi'!$CG:$CG,Cliente!$E59,'Base Kpi'!$CM:$CM,Cliente!BQ$5),0)</f>
        <v>28.7</v>
      </c>
      <c r="BR59" s="92">
        <f>IFERROR(AVERAGEIFS('Base Kpi'!$CN:$CN,'Base Kpi'!$CG:$CG,Cliente!$E59,'Base Kpi'!$CM:$CM,Cliente!BR$5),0)</f>
        <v>7.5</v>
      </c>
      <c r="BS59" s="94">
        <f t="shared" si="75"/>
        <v>68.34</v>
      </c>
      <c r="BT59" s="95">
        <f t="shared" si="83"/>
        <v>1</v>
      </c>
      <c r="BU59" s="60">
        <f>IFERROR(AVERAGEIFS('Base Kpi'!$CZ:$CZ,'Base Kpi'!$CS:$CS,Cliente!$E59,'Base Kpi'!$CY:$CY,Cliente!BU$5),0)</f>
        <v>20</v>
      </c>
      <c r="BV59" s="92">
        <f>IFERROR(AVERAGEIFS('Base Kpi'!$CZ:$CZ,'Base Kpi'!$CS:$CS,Cliente!$E59,'Base Kpi'!$CY:$CY,Cliente!BV$5),0)</f>
        <v>5</v>
      </c>
      <c r="BW59" s="92">
        <f>IFERROR(AVERAGEIFS('Base Kpi'!$CZ:$CZ,'Base Kpi'!$CS:$CS,Cliente!$E59,'Base Kpi'!$CY:$CY,Cliente!BW$5),0)</f>
        <v>7.5</v>
      </c>
      <c r="BX59" s="92">
        <f>IFERROR(AVERAGEIFS('Base Kpi'!$CZ:$CZ,'Base Kpi'!$CS:$CS,Cliente!$E59,'Base Kpi'!$CY:$CY,Cliente!BX$5),0)</f>
        <v>31.5</v>
      </c>
      <c r="BY59" s="92">
        <f>IFERROR(AVERAGEIFS('Base Kpi'!$CZ:$CZ,'Base Kpi'!$CS:$CS,Cliente!$E59,'Base Kpi'!$CY:$CY,Cliente!BY$5),0)</f>
        <v>15</v>
      </c>
      <c r="BZ59" s="94">
        <f t="shared" si="76"/>
        <v>79</v>
      </c>
      <c r="CA59" s="95">
        <f t="shared" si="84"/>
        <v>1</v>
      </c>
      <c r="CB59" s="60">
        <f t="shared" si="64"/>
        <v>57.9</v>
      </c>
      <c r="CC59" s="97">
        <f t="shared" si="65"/>
        <v>0</v>
      </c>
      <c r="CD59" s="43">
        <f t="shared" si="66"/>
        <v>0</v>
      </c>
      <c r="CE59" s="60" cm="1">
        <f t="array" ref="CE59">IFERROR(LARGE(_xlfn._xlws.FILTER('Base Kpi'!$DL:$DL,('Base Kpi'!$DK:$DK=$CE$5)*('Base Kpi'!$DE:$DE=Cliente!$E59)),1),0)</f>
        <v>31.5</v>
      </c>
      <c r="CF59" s="60" cm="1">
        <f t="array" ref="CF59">IFERROR(LARGE(_xlfn._xlws.FILTER('Base Kpi'!$DL:$DL,('Base Kpi'!$DK:$DK=$CF$5)*('Base Kpi'!$DE:$DE=Cliente!$E59)),1),0)</f>
        <v>5</v>
      </c>
      <c r="CG59" s="60" cm="1">
        <f t="array" ref="CG59">IFERROR(LARGE(_xlfn._xlws.FILTER('Base Kpi'!$DL:$DL,('Base Kpi'!$DK:$DK=$CG$5)*('Base Kpi'!$DE:$DE=Cliente!$E59)),1),0)</f>
        <v>5</v>
      </c>
      <c r="CH59" s="60" cm="1">
        <f t="array" ref="CH59">IFERROR(LARGE(_xlfn._xlws.FILTER('Base Kpi'!$DL:$DL,('Base Kpi'!$DK:$DK=$CH$5)*('Base Kpi'!$DE:$DE=Cliente!$E59)),1),0)</f>
        <v>15</v>
      </c>
      <c r="CI59" s="60" cm="1">
        <f t="array" ref="CI59">IFERROR(LARGE(_xlfn._xlws.FILTER('Base Kpi'!$DL:$DL,('Base Kpi'!$DK:$DK=$CI$5)*('Base Kpi'!$DE:$DE=Cliente!$E59)),1),0)</f>
        <v>20</v>
      </c>
      <c r="CJ59" s="60" cm="1">
        <f t="array" ref="CJ59">IFERROR(LARGE(_xlfn._xlws.FILTER('Base Kpi'!$DL:$DL,('Base Kpi'!$DK:$DK=$CJ$5)*('Base Kpi'!$DE:$DE=Cliente!$E59)),1),0)</f>
        <v>10</v>
      </c>
      <c r="CK59" s="60" cm="1">
        <f t="array" ref="CK59">IFERROR(LARGE(_xlfn._xlws.FILTER('Base Kpi'!$DL:$DL,('Base Kpi'!$DK:$DK=$CK$5)*('Base Kpi'!$DE:$DE=Cliente!$E59)),1),0)</f>
        <v>0</v>
      </c>
      <c r="CL59" s="94">
        <f t="shared" si="77"/>
        <v>86.5</v>
      </c>
      <c r="CM59" s="95">
        <f t="shared" si="47"/>
        <v>1</v>
      </c>
      <c r="CN59" s="60">
        <f>IFERROR(AVERAGEIFS('Base Kpi'!$DX:$DX,'Base Kpi'!$DQ:$DQ,Cliente!$E59,'Base Kpi'!$DW:$DW,Cliente!CN$5),0)</f>
        <v>32.200000000000003</v>
      </c>
      <c r="CO59" s="92">
        <f>IFERROR(AVERAGEIFS('Base Kpi'!$DX:$DX,'Base Kpi'!$DQ:$DQ,Cliente!$E59,'Base Kpi'!$DW:$DW,Cliente!CO$5),0)</f>
        <v>5</v>
      </c>
      <c r="CP59" s="92">
        <f>IFERROR(AVERAGEIFS('Base Kpi'!$DX:$DX,'Base Kpi'!$DQ:$DQ,Cliente!$E59,'Base Kpi'!$DW:$DW,Cliente!CP$5),0)</f>
        <v>5</v>
      </c>
      <c r="CQ59" s="92">
        <f>IFERROR(AVERAGEIFS('Base Kpi'!$DX:$DX,'Base Kpi'!$DQ:$DQ,Cliente!$E59,'Base Kpi'!$DW:$DW,Cliente!CQ$5),0)</f>
        <v>15</v>
      </c>
      <c r="CR59" s="92">
        <f>IFERROR(AVERAGEIFS('Base Kpi'!$DX:$DX,'Base Kpi'!$DQ:$DQ,Cliente!$E59,'Base Kpi'!$DW:$DW,Cliente!CR$5),0)</f>
        <v>20</v>
      </c>
      <c r="CS59" s="92">
        <f>IFERROR(AVERAGEIFS('Base Kpi'!$DX:$DX,'Base Kpi'!$DQ:$DQ,Cliente!$E59,'Base Kpi'!$DW:$DW,Cliente!CS$5),0)</f>
        <v>10</v>
      </c>
      <c r="CT59" s="92">
        <f>IFERROR(AVERAGEIFS('Base Kpi'!$DX:$DX,'Base Kpi'!$DQ:$DQ,Cliente!$E59,'Base Kpi'!$DW:$DW,Cliente!CT$5),0)</f>
        <v>0</v>
      </c>
      <c r="CU59" s="94">
        <f t="shared" si="67"/>
        <v>87.2</v>
      </c>
      <c r="CV59" s="95">
        <f t="shared" si="68"/>
        <v>1</v>
      </c>
      <c r="CW59" s="60">
        <f>IFERROR(AVERAGEIFS('Base Kpi'!$EJ:$EJ,'Base Kpi'!$EC:$EC,Cliente!$E59,'Base Kpi'!$EI:$EI,Cliente!CW$5),0)</f>
        <v>0</v>
      </c>
      <c r="CX59" s="92">
        <f>IFERROR(AVERAGEIFS('Base Kpi'!$EJ:$EJ,'Base Kpi'!$EC:$EC,Cliente!$E59,'Base Kpi'!$EI:$EI,Cliente!CX$5),0)</f>
        <v>0</v>
      </c>
      <c r="CY59" s="92">
        <f>IFERROR(AVERAGEIFS('Base Kpi'!$EJ:$EJ,'Base Kpi'!$EC:$EC,Cliente!$E59,'Base Kpi'!$EI:$EI,Cliente!CY$5),0)</f>
        <v>0</v>
      </c>
      <c r="CZ59" s="92">
        <f>IFERROR(AVERAGEIFS('Base Kpi'!$EJ:$EJ,'Base Kpi'!$EC:$EC,Cliente!$E59,'Base Kpi'!$EI:$EI,Cliente!CZ$5),0)</f>
        <v>0</v>
      </c>
      <c r="DA59" s="92">
        <f>IFERROR(AVERAGEIFS('Base Kpi'!$EJ:$EJ,'Base Kpi'!$EC:$EC,Cliente!$E59,'Base Kpi'!$EI:$EI,Cliente!DA$5),0)</f>
        <v>0</v>
      </c>
      <c r="DB59" s="92">
        <f>IFERROR(AVERAGEIFS('Base Kpi'!$EJ:$EJ,'Base Kpi'!$EC:$EC,Cliente!$E59,'Base Kpi'!$EI:$EI,Cliente!DB$5),0)</f>
        <v>0</v>
      </c>
      <c r="DC59" s="92">
        <f>IFERROR(AVERAGEIFS('Base Kpi'!$EJ:$EJ,'Base Kpi'!$EC:$EC,Cliente!$E59,'Base Kpi'!$EI:$EI,Cliente!DC$5),0)</f>
        <v>0</v>
      </c>
      <c r="DD59" s="94">
        <f t="shared" si="69"/>
        <v>0</v>
      </c>
      <c r="DE59" s="95">
        <f t="shared" si="70"/>
        <v>0</v>
      </c>
      <c r="DF59" s="120"/>
    </row>
    <row r="60" spans="2:110" x14ac:dyDescent="0.35">
      <c r="B60" s="101" t="s">
        <v>42</v>
      </c>
      <c r="C60" s="102">
        <v>3655</v>
      </c>
      <c r="D60" s="102" t="s">
        <v>434</v>
      </c>
      <c r="E60" s="102">
        <v>50548</v>
      </c>
      <c r="F60" s="103" t="s">
        <v>80</v>
      </c>
      <c r="G60" s="103" t="s">
        <v>294</v>
      </c>
      <c r="H60" s="103" t="s">
        <v>295</v>
      </c>
      <c r="I60" s="103" t="s">
        <v>176</v>
      </c>
      <c r="J60" s="103" t="s">
        <v>88</v>
      </c>
      <c r="K60" s="108" t="s">
        <v>81</v>
      </c>
      <c r="L60" s="60">
        <f t="shared" si="55"/>
        <v>75.721666666666678</v>
      </c>
      <c r="M60" s="97">
        <f t="shared" si="56"/>
        <v>1</v>
      </c>
      <c r="N60" s="43">
        <f t="shared" si="52"/>
        <v>0</v>
      </c>
      <c r="O60" s="60">
        <f>IFERROR(AVERAGEIFS('Base Kpi'!$I:$I,'Base Kpi'!$B:$B,Cliente!$E60,'Base Kpi'!$G:$G,Cliente!O$5),0)</f>
        <v>25.71</v>
      </c>
      <c r="P60" s="92">
        <f>IFERROR(AVERAGEIFS('Base Kpi'!$I:$I,'Base Kpi'!$B:$B,Cliente!$E60,'Base Kpi'!$G:$G,Cliente!P$5),0)</f>
        <v>8</v>
      </c>
      <c r="Q60" s="92">
        <f>IFERROR(AVERAGEIFS('Base Kpi'!$I:$I,'Base Kpi'!$B:$B,Cliente!$E60,'Base Kpi'!$G:$G,Cliente!Q$5),0)</f>
        <v>10.199999999999999</v>
      </c>
      <c r="R60" s="92">
        <f>IFERROR(AVERAGEIFS('Base Kpi'!$I:$I,'Base Kpi'!$B:$B,Cliente!$E60,'Base Kpi'!$G:$G,Cliente!R$5),0)</f>
        <v>39.375</v>
      </c>
      <c r="S60" s="94">
        <f t="shared" si="57"/>
        <v>83.284999999999997</v>
      </c>
      <c r="T60" s="95">
        <f t="shared" si="58"/>
        <v>1</v>
      </c>
      <c r="U60" s="60">
        <f>IFERROR(AVERAGEIFS('Base Kpi'!$T:$T,'Base Kpi'!$M:$M,Cliente!$E60,'Base Kpi'!$S:$S,Cliente!U$5),0)</f>
        <v>25.71</v>
      </c>
      <c r="V60" s="92">
        <f>IFERROR(AVERAGEIFS('Base Kpi'!$T:$T,'Base Kpi'!$M:$M,Cliente!$E60,'Base Kpi'!$S:$S,Cliente!V$5),0)</f>
        <v>0</v>
      </c>
      <c r="W60" s="92">
        <f>IFERROR(AVERAGEIFS('Base Kpi'!$T:$T,'Base Kpi'!$M:$M,Cliente!$E60,'Base Kpi'!$S:$S,Cliente!W$5),0)</f>
        <v>12.75</v>
      </c>
      <c r="X60" s="92">
        <f>IFERROR(AVERAGEIFS('Base Kpi'!$T:$T,'Base Kpi'!$M:$M,Cliente!$E60,'Base Kpi'!$S:$S,Cliente!X$5),0)</f>
        <v>33.75</v>
      </c>
      <c r="Y60" s="94">
        <f t="shared" si="59"/>
        <v>72.210000000000008</v>
      </c>
      <c r="Z60" s="95">
        <f t="shared" si="60"/>
        <v>0</v>
      </c>
      <c r="AA60" s="60">
        <f>IFERROR(AVERAGEIFS('Base Kpi'!$AF:$AF,'Base Kpi'!$Y:$Y,Cliente!$E60,'Base Kpi'!$AE:$AE,Cliente!AA$5),0)</f>
        <v>21.42</v>
      </c>
      <c r="AB60" s="92">
        <f>IFERROR(AVERAGEIFS('Base Kpi'!$AF:$AF,'Base Kpi'!$Y:$Y,Cliente!$E60,'Base Kpi'!$AE:$AE,Cliente!AB$5),0)</f>
        <v>8</v>
      </c>
      <c r="AC60" s="92">
        <f>IFERROR(AVERAGEIFS('Base Kpi'!$AF:$AF,'Base Kpi'!$Y:$Y,Cliente!$E60,'Base Kpi'!$AE:$AE,Cliente!AC$5),0)</f>
        <v>8.5</v>
      </c>
      <c r="AD60" s="92">
        <f>IFERROR(AVERAGEIFS('Base Kpi'!$AF:$AF,'Base Kpi'!$Y:$Y,Cliente!$E60,'Base Kpi'!$AE:$AE,Cliente!AD$5),0)</f>
        <v>33.75</v>
      </c>
      <c r="AE60" s="94">
        <f t="shared" si="61"/>
        <v>71.67</v>
      </c>
      <c r="AF60" s="95">
        <f t="shared" si="62"/>
        <v>0</v>
      </c>
      <c r="AG60" s="60">
        <f t="shared" si="71"/>
        <v>67.75</v>
      </c>
      <c r="AH60" s="97">
        <f t="shared" si="72"/>
        <v>1</v>
      </c>
      <c r="AI60" s="88">
        <f t="shared" si="63"/>
        <v>1</v>
      </c>
      <c r="AJ60" s="92">
        <f>IFERROR(AVERAGEIFS('Base Kpi'!$AR:$AR,'Base Kpi'!$AK:$AK,Cliente!$E60,'Base Kpi'!$AQ:$AQ,AJ$5),0)</f>
        <v>17.850000000000001</v>
      </c>
      <c r="AK60" s="92">
        <f>IFERROR(AVERAGEIFS('Base Kpi'!$AR:$AR,'Base Kpi'!$AK:$AK,Cliente!$E60,'Base Kpi'!$AQ:$AQ,AK$5),0)</f>
        <v>0</v>
      </c>
      <c r="AL60" s="92">
        <f>IFERROR(AVERAGEIFS('Base Kpi'!$AR:$AR,'Base Kpi'!$AK:$AK,Cliente!$E60,'Base Kpi'!$AQ:$AQ,AL$5),0)</f>
        <v>6</v>
      </c>
      <c r="AM60" s="92">
        <f>IFERROR(AVERAGEIFS('Base Kpi'!$AR:$AR,'Base Kpi'!$AK:$AK,Cliente!$E60,'Base Kpi'!$AQ:$AQ,AM$5),0)</f>
        <v>34.799999999999997</v>
      </c>
      <c r="AN60" s="94">
        <f t="shared" si="53"/>
        <v>58.65</v>
      </c>
      <c r="AO60" s="95">
        <f t="shared" si="13"/>
        <v>0</v>
      </c>
      <c r="AP60" s="60">
        <f>IFERROR(AVERAGEIFS('Base Kpi'!$BD:$BD,'Base Kpi'!$AW:$AW,Cliente!$E60,'Base Kpi'!$BC:$BC,Cliente!AP$5),0)</f>
        <v>25</v>
      </c>
      <c r="AQ60" s="92">
        <f>IFERROR(AVERAGEIFS('Base Kpi'!$BD:$BD,'Base Kpi'!$AW:$AW,Cliente!$E60,'Base Kpi'!$BC:$BC,Cliente!AQ$5),0)</f>
        <v>1.665</v>
      </c>
      <c r="AR60" s="92">
        <f>IFERROR(AVERAGEIFS('Base Kpi'!$BD:$BD,'Base Kpi'!$AW:$AW,Cliente!$E60,'Base Kpi'!$BC:$BC,Cliente!AR$5),0)</f>
        <v>6</v>
      </c>
      <c r="AS60" s="92">
        <f>IFERROR(AVERAGEIFS('Base Kpi'!$BD:$BD,'Base Kpi'!$AW:$AW,Cliente!$E60,'Base Kpi'!$BC:$BC,Cliente!AS$5),0)</f>
        <v>33.04</v>
      </c>
      <c r="AT60" s="92">
        <f>IFERROR(AVERAGEIFS('Base Kpi'!$BD:$BD,'Base Kpi'!$AW:$AW,Cliente!$E60,'Base Kpi'!$BC:$BC,Cliente!AT$5),0)</f>
        <v>0</v>
      </c>
      <c r="AU60" s="94">
        <f t="shared" si="54"/>
        <v>65.704999999999998</v>
      </c>
      <c r="AV60" s="95">
        <f t="shared" si="78"/>
        <v>1</v>
      </c>
      <c r="AW60" s="60">
        <f>IFERROR(AVERAGEIFS('Base Kpi'!$BP:$BP,'Base Kpi'!$BI:$BI,Cliente!$E60,'Base Kpi'!$BO:$BO,Cliente!AW$5),0)</f>
        <v>25</v>
      </c>
      <c r="AX60" s="92">
        <f>IFERROR(AVERAGEIFS('Base Kpi'!$BP:$BP,'Base Kpi'!$BI:$BI,Cliente!$E60,'Base Kpi'!$BO:$BO,Cliente!AX$5),0)</f>
        <v>3.335</v>
      </c>
      <c r="AY60" s="92">
        <f>IFERROR(AVERAGEIFS('Base Kpi'!$BP:$BP,'Base Kpi'!$BI:$BI,Cliente!$E60,'Base Kpi'!$BO:$BO,Cliente!AY$5),0)</f>
        <v>3</v>
      </c>
      <c r="AZ60" s="92">
        <f>IFERROR(AVERAGEIFS('Base Kpi'!$BP:$BP,'Base Kpi'!$BI:$BI,Cliente!$E60,'Base Kpi'!$BO:$BO,Cliente!AZ$5),0)</f>
        <v>29.56</v>
      </c>
      <c r="BA60" s="92">
        <f>IFERROR(AVERAGEIFS('Base Kpi'!$BP:$BP,'Base Kpi'!$BI:$BI,Cliente!$E60,'Base Kpi'!$BO:$BO,Cliente!BA$5),0)</f>
        <v>18</v>
      </c>
      <c r="BB60" s="94">
        <f t="shared" si="73"/>
        <v>78.894999999999996</v>
      </c>
      <c r="BC60" s="95">
        <f t="shared" si="79"/>
        <v>1</v>
      </c>
      <c r="BD60" s="60">
        <f t="shared" si="42"/>
        <v>90.861666666666665</v>
      </c>
      <c r="BE60" s="97">
        <f t="shared" si="80"/>
        <v>1</v>
      </c>
      <c r="BF60" s="88">
        <f t="shared" si="81"/>
        <v>1</v>
      </c>
      <c r="BG60" s="60">
        <f>IFERROR(AVERAGEIFS('Base Kpi'!$CB:$CB,'Base Kpi'!$BU:$BU,Cliente!$E60,'Base Kpi'!$CA:$CA,Cliente!BG$5),0)</f>
        <v>21.425000000000001</v>
      </c>
      <c r="BH60" s="92">
        <f>IFERROR(AVERAGEIFS('Base Kpi'!$CB:$CB,'Base Kpi'!$BU:$BU,Cliente!$E60,'Base Kpi'!$CA:$CA,Cliente!BH$5),0)</f>
        <v>3.335</v>
      </c>
      <c r="BI60" s="92">
        <f>IFERROR(AVERAGEIFS('Base Kpi'!$CB:$CB,'Base Kpi'!$BU:$BU,Cliente!$E60,'Base Kpi'!$CA:$CA,Cliente!BI$5),0)</f>
        <v>12</v>
      </c>
      <c r="BJ60" s="92">
        <f>IFERROR(AVERAGEIFS('Base Kpi'!$CB:$CB,'Base Kpi'!$BU:$BU,Cliente!$E60,'Base Kpi'!$CA:$CA,Cliente!BJ$5),0)</f>
        <v>36</v>
      </c>
      <c r="BK60" s="92">
        <f>IFERROR(AVERAGEIFS('Base Kpi'!$CB:$CB,'Base Kpi'!$BU:$BU,Cliente!$E60,'Base Kpi'!$CA:$CA,Cliente!BK$5),0)</f>
        <v>9</v>
      </c>
      <c r="BL60" s="94">
        <f t="shared" si="74"/>
        <v>81.760000000000005</v>
      </c>
      <c r="BM60" s="95">
        <f t="shared" si="82"/>
        <v>1</v>
      </c>
      <c r="BN60" s="60">
        <f>IFERROR(AVERAGEIFS('Base Kpi'!$CN:$CN,'Base Kpi'!$CG:$CG,Cliente!$E60,'Base Kpi'!$CM:$CM,Cliente!BN$5),0)</f>
        <v>21.425000000000001</v>
      </c>
      <c r="BO60" s="92">
        <f>IFERROR(AVERAGEIFS('Base Kpi'!$CN:$CN,'Base Kpi'!$CG:$CG,Cliente!$E60,'Base Kpi'!$CM:$CM,Cliente!BO$5),0)</f>
        <v>5</v>
      </c>
      <c r="BP60" s="92">
        <f>IFERROR(AVERAGEIFS('Base Kpi'!$CN:$CN,'Base Kpi'!$CG:$CG,Cliente!$E60,'Base Kpi'!$CM:$CM,Cliente!BP$5),0)</f>
        <v>12</v>
      </c>
      <c r="BQ60" s="92">
        <f>IFERROR(AVERAGEIFS('Base Kpi'!$CN:$CN,'Base Kpi'!$CG:$CG,Cliente!$E60,'Base Kpi'!$CM:$CM,Cliente!BQ$5),0)</f>
        <v>38.4</v>
      </c>
      <c r="BR60" s="92">
        <f>IFERROR(AVERAGEIFS('Base Kpi'!$CN:$CN,'Base Kpi'!$CG:$CG,Cliente!$E60,'Base Kpi'!$CM:$CM,Cliente!BR$5),0)</f>
        <v>18</v>
      </c>
      <c r="BS60" s="94">
        <f t="shared" si="75"/>
        <v>94.824999999999989</v>
      </c>
      <c r="BT60" s="95">
        <f t="shared" si="83"/>
        <v>1</v>
      </c>
      <c r="BU60" s="60">
        <f>IFERROR(AVERAGEIFS('Base Kpi'!$CZ:$CZ,'Base Kpi'!$CS:$CS,Cliente!$E60,'Base Kpi'!$CY:$CY,Cliente!BU$5),0)</f>
        <v>25</v>
      </c>
      <c r="BV60" s="92">
        <f>IFERROR(AVERAGEIFS('Base Kpi'!$CZ:$CZ,'Base Kpi'!$CS:$CS,Cliente!$E60,'Base Kpi'!$CY:$CY,Cliente!BV$5),0)</f>
        <v>5</v>
      </c>
      <c r="BW60" s="92">
        <f>IFERROR(AVERAGEIFS('Base Kpi'!$CZ:$CZ,'Base Kpi'!$CS:$CS,Cliente!$E60,'Base Kpi'!$CY:$CY,Cliente!BW$5),0)</f>
        <v>12</v>
      </c>
      <c r="BX60" s="92">
        <f>IFERROR(AVERAGEIFS('Base Kpi'!$CZ:$CZ,'Base Kpi'!$CS:$CS,Cliente!$E60,'Base Kpi'!$CY:$CY,Cliente!BX$5),0)</f>
        <v>36</v>
      </c>
      <c r="BY60" s="92">
        <f>IFERROR(AVERAGEIFS('Base Kpi'!$CZ:$CZ,'Base Kpi'!$CS:$CS,Cliente!$E60,'Base Kpi'!$CY:$CY,Cliente!BY$5),0)</f>
        <v>18</v>
      </c>
      <c r="BZ60" s="94">
        <f t="shared" si="76"/>
        <v>96</v>
      </c>
      <c r="CA60" s="95">
        <f t="shared" si="84"/>
        <v>1</v>
      </c>
      <c r="CB60" s="60">
        <f t="shared" si="64"/>
        <v>98.133333333333326</v>
      </c>
      <c r="CC60" s="97">
        <f t="shared" si="65"/>
        <v>1</v>
      </c>
      <c r="CD60" s="43">
        <f t="shared" si="66"/>
        <v>1</v>
      </c>
      <c r="CE60" s="60" cm="1">
        <f t="array" ref="CE60">IFERROR(LARGE(_xlfn._xlws.FILTER('Base Kpi'!$DL:$DL,('Base Kpi'!$DK:$DK=$CE$5)*('Base Kpi'!$DE:$DE=Cliente!$E60)),1),0)</f>
        <v>37.6</v>
      </c>
      <c r="CF60" s="60" cm="1">
        <f t="array" ref="CF60">IFERROR(LARGE(_xlfn._xlws.FILTER('Base Kpi'!$DL:$DL,('Base Kpi'!$DK:$DK=$CF$5)*('Base Kpi'!$DE:$DE=Cliente!$E60)),1),0)</f>
        <v>2.4</v>
      </c>
      <c r="CG60" s="60" cm="1">
        <f t="array" ref="CG60">IFERROR(LARGE(_xlfn._xlws.FILTER('Base Kpi'!$DL:$DL,('Base Kpi'!$DK:$DK=$CG$5)*('Base Kpi'!$DE:$DE=Cliente!$E60)),1),0)</f>
        <v>5</v>
      </c>
      <c r="CH60" s="60" cm="1">
        <f t="array" ref="CH60">IFERROR(LARGE(_xlfn._xlws.FILTER('Base Kpi'!$DL:$DL,('Base Kpi'!$DK:$DK=$CH$5)*('Base Kpi'!$DE:$DE=Cliente!$E60)),1),0)</f>
        <v>18</v>
      </c>
      <c r="CI60" s="60" cm="1">
        <f t="array" ref="CI60">IFERROR(LARGE(_xlfn._xlws.FILTER('Base Kpi'!$DL:$DL,('Base Kpi'!$DK:$DK=$CI$5)*('Base Kpi'!$DE:$DE=Cliente!$E60)),1),0)</f>
        <v>25</v>
      </c>
      <c r="CJ60" s="60" cm="1">
        <f t="array" ref="CJ60">IFERROR(LARGE(_xlfn._xlws.FILTER('Base Kpi'!$DL:$DL,('Base Kpi'!$DK:$DK=$CJ$5)*('Base Kpi'!$DE:$DE=Cliente!$E60)),1),0)</f>
        <v>12</v>
      </c>
      <c r="CK60" s="60" cm="1">
        <f t="array" ref="CK60">IFERROR(LARGE(_xlfn._xlws.FILTER('Base Kpi'!$DL:$DL,('Base Kpi'!$DK:$DK=$CK$5)*('Base Kpi'!$DE:$DE=Cliente!$E60)),1),0)</f>
        <v>0</v>
      </c>
      <c r="CL60" s="94">
        <f t="shared" si="77"/>
        <v>100</v>
      </c>
      <c r="CM60" s="95">
        <f t="shared" si="47"/>
        <v>1</v>
      </c>
      <c r="CN60" s="60">
        <f>IFERROR(AVERAGEIFS('Base Kpi'!$DX:$DX,'Base Kpi'!$DQ:$DQ,Cliente!$E60,'Base Kpi'!$DW:$DW,Cliente!CN$5),0)</f>
        <v>36.799999999999997</v>
      </c>
      <c r="CO60" s="92">
        <f>IFERROR(AVERAGEIFS('Base Kpi'!$DX:$DX,'Base Kpi'!$DQ:$DQ,Cliente!$E60,'Base Kpi'!$DW:$DW,Cliente!CO$5),0)</f>
        <v>3.2</v>
      </c>
      <c r="CP60" s="92">
        <f>IFERROR(AVERAGEIFS('Base Kpi'!$DX:$DX,'Base Kpi'!$DQ:$DQ,Cliente!$E60,'Base Kpi'!$DW:$DW,Cliente!CP$5),0)</f>
        <v>5</v>
      </c>
      <c r="CQ60" s="92">
        <f>IFERROR(AVERAGEIFS('Base Kpi'!$DX:$DX,'Base Kpi'!$DQ:$DQ,Cliente!$E60,'Base Kpi'!$DW:$DW,Cliente!CQ$5),0)</f>
        <v>18</v>
      </c>
      <c r="CR60" s="92">
        <f>IFERROR(AVERAGEIFS('Base Kpi'!$DX:$DX,'Base Kpi'!$DQ:$DQ,Cliente!$E60,'Base Kpi'!$DW:$DW,Cliente!CR$5),0)</f>
        <v>25</v>
      </c>
      <c r="CS60" s="92">
        <f>IFERROR(AVERAGEIFS('Base Kpi'!$DX:$DX,'Base Kpi'!$DQ:$DQ,Cliente!$E60,'Base Kpi'!$DW:$DW,Cliente!CS$5),0)</f>
        <v>12</v>
      </c>
      <c r="CT60" s="92">
        <f>IFERROR(AVERAGEIFS('Base Kpi'!$DX:$DX,'Base Kpi'!$DQ:$DQ,Cliente!$E60,'Base Kpi'!$DW:$DW,Cliente!CT$5),0)</f>
        <v>0</v>
      </c>
      <c r="CU60" s="94">
        <f t="shared" si="67"/>
        <v>100</v>
      </c>
      <c r="CV60" s="95">
        <f t="shared" si="68"/>
        <v>1</v>
      </c>
      <c r="CW60" s="60">
        <f>IFERROR(AVERAGEIFS('Base Kpi'!$EJ:$EJ,'Base Kpi'!$EC:$EC,Cliente!$E60,'Base Kpi'!$EI:$EI,Cliente!CW$5),0)</f>
        <v>38.4</v>
      </c>
      <c r="CX60" s="92">
        <f>IFERROR(AVERAGEIFS('Base Kpi'!$EJ:$EJ,'Base Kpi'!$EC:$EC,Cliente!$E60,'Base Kpi'!$EI:$EI,Cliente!CX$5),0)</f>
        <v>5</v>
      </c>
      <c r="CY60" s="92">
        <f>IFERROR(AVERAGEIFS('Base Kpi'!$EJ:$EJ,'Base Kpi'!$EC:$EC,Cliente!$E60,'Base Kpi'!$EI:$EI,Cliente!CY$5),0)</f>
        <v>5</v>
      </c>
      <c r="CZ60" s="92">
        <f>IFERROR(AVERAGEIFS('Base Kpi'!$EJ:$EJ,'Base Kpi'!$EC:$EC,Cliente!$E60,'Base Kpi'!$EI:$EI,Cliente!CZ$5),0)</f>
        <v>9</v>
      </c>
      <c r="DA60" s="92">
        <f>IFERROR(AVERAGEIFS('Base Kpi'!$EJ:$EJ,'Base Kpi'!$EC:$EC,Cliente!$E60,'Base Kpi'!$EI:$EI,Cliente!DA$5),0)</f>
        <v>25</v>
      </c>
      <c r="DB60" s="92">
        <f>IFERROR(AVERAGEIFS('Base Kpi'!$EJ:$EJ,'Base Kpi'!$EC:$EC,Cliente!$E60,'Base Kpi'!$EI:$EI,Cliente!DB$5),0)</f>
        <v>12</v>
      </c>
      <c r="DC60" s="92">
        <f>IFERROR(AVERAGEIFS('Base Kpi'!$EJ:$EJ,'Base Kpi'!$EC:$EC,Cliente!$E60,'Base Kpi'!$EI:$EI,Cliente!DC$5),0)</f>
        <v>0</v>
      </c>
      <c r="DD60" s="94">
        <f t="shared" si="69"/>
        <v>94.4</v>
      </c>
      <c r="DE60" s="95">
        <f t="shared" si="70"/>
        <v>1</v>
      </c>
      <c r="DF60" s="120"/>
    </row>
    <row r="61" spans="2:110" x14ac:dyDescent="0.35">
      <c r="B61" s="101" t="s">
        <v>42</v>
      </c>
      <c r="C61" s="102">
        <v>3655</v>
      </c>
      <c r="D61" s="102" t="s">
        <v>434</v>
      </c>
      <c r="E61" s="102">
        <v>52169</v>
      </c>
      <c r="F61" s="103" t="s">
        <v>75</v>
      </c>
      <c r="G61" s="103" t="s">
        <v>204</v>
      </c>
      <c r="H61" s="103" t="s">
        <v>291</v>
      </c>
      <c r="I61" s="103" t="s">
        <v>176</v>
      </c>
      <c r="J61" s="103" t="s">
        <v>88</v>
      </c>
      <c r="K61" s="108" t="s">
        <v>81</v>
      </c>
      <c r="L61" s="60">
        <f t="shared" si="55"/>
        <v>68.971666666666678</v>
      </c>
      <c r="M61" s="97">
        <f t="shared" si="56"/>
        <v>1</v>
      </c>
      <c r="N61" s="43">
        <f t="shared" si="52"/>
        <v>0</v>
      </c>
      <c r="O61" s="60">
        <f>IFERROR(AVERAGEIFS('Base Kpi'!$I:$I,'Base Kpi'!$B:$B,Cliente!$E61,'Base Kpi'!$G:$G,Cliente!O$5),0)</f>
        <v>21.42</v>
      </c>
      <c r="P61" s="92">
        <f>IFERROR(AVERAGEIFS('Base Kpi'!$I:$I,'Base Kpi'!$B:$B,Cliente!$E61,'Base Kpi'!$G:$G,Cliente!P$5),0)</f>
        <v>8</v>
      </c>
      <c r="Q61" s="92">
        <f>IFERROR(AVERAGEIFS('Base Kpi'!$I:$I,'Base Kpi'!$B:$B,Cliente!$E61,'Base Kpi'!$G:$G,Cliente!Q$5),0)</f>
        <v>10.199999999999999</v>
      </c>
      <c r="R61" s="92">
        <f>IFERROR(AVERAGEIFS('Base Kpi'!$I:$I,'Base Kpi'!$B:$B,Cliente!$E61,'Base Kpi'!$G:$G,Cliente!R$5),0)</f>
        <v>32.625</v>
      </c>
      <c r="S61" s="94">
        <f t="shared" si="57"/>
        <v>72.245000000000005</v>
      </c>
      <c r="T61" s="95">
        <f t="shared" si="58"/>
        <v>0</v>
      </c>
      <c r="U61" s="60">
        <f>IFERROR(AVERAGEIFS('Base Kpi'!$T:$T,'Base Kpi'!$M:$M,Cliente!$E61,'Base Kpi'!$S:$S,Cliente!U$5),0)</f>
        <v>30</v>
      </c>
      <c r="V61" s="92">
        <f>IFERROR(AVERAGEIFS('Base Kpi'!$T:$T,'Base Kpi'!$M:$M,Cliente!$E61,'Base Kpi'!$S:$S,Cliente!V$5),0)</f>
        <v>0</v>
      </c>
      <c r="W61" s="92">
        <f>IFERROR(AVERAGEIFS('Base Kpi'!$T:$T,'Base Kpi'!$M:$M,Cliente!$E61,'Base Kpi'!$S:$S,Cliente!W$5),0)</f>
        <v>8.5</v>
      </c>
      <c r="X61" s="92">
        <f>IFERROR(AVERAGEIFS('Base Kpi'!$T:$T,'Base Kpi'!$M:$M,Cliente!$E61,'Base Kpi'!$S:$S,Cliente!X$5),0)</f>
        <v>15.75</v>
      </c>
      <c r="Y61" s="94">
        <f t="shared" si="59"/>
        <v>54.25</v>
      </c>
      <c r="Z61" s="95">
        <f t="shared" si="60"/>
        <v>0</v>
      </c>
      <c r="AA61" s="60">
        <f>IFERROR(AVERAGEIFS('Base Kpi'!$AF:$AF,'Base Kpi'!$Y:$Y,Cliente!$E61,'Base Kpi'!$AE:$AE,Cliente!AA$5),0)</f>
        <v>21.42</v>
      </c>
      <c r="AB61" s="92">
        <f>IFERROR(AVERAGEIFS('Base Kpi'!$AF:$AF,'Base Kpi'!$Y:$Y,Cliente!$E61,'Base Kpi'!$AE:$AE,Cliente!AB$5),0)</f>
        <v>8</v>
      </c>
      <c r="AC61" s="92">
        <f>IFERROR(AVERAGEIFS('Base Kpi'!$AF:$AF,'Base Kpi'!$Y:$Y,Cliente!$E61,'Base Kpi'!$AE:$AE,Cliente!AC$5),0)</f>
        <v>12.75</v>
      </c>
      <c r="AD61" s="92">
        <f>IFERROR(AVERAGEIFS('Base Kpi'!$AF:$AF,'Base Kpi'!$Y:$Y,Cliente!$E61,'Base Kpi'!$AE:$AE,Cliente!AD$5),0)</f>
        <v>38.25</v>
      </c>
      <c r="AE61" s="94">
        <f t="shared" si="61"/>
        <v>80.42</v>
      </c>
      <c r="AF61" s="95">
        <f t="shared" si="62"/>
        <v>1</v>
      </c>
      <c r="AG61" s="60">
        <f t="shared" si="71"/>
        <v>68.541666666666671</v>
      </c>
      <c r="AH61" s="97">
        <f t="shared" si="72"/>
        <v>1</v>
      </c>
      <c r="AI61" s="88">
        <f t="shared" si="63"/>
        <v>1</v>
      </c>
      <c r="AJ61" s="92">
        <f>IFERROR(AVERAGEIFS('Base Kpi'!$AR:$AR,'Base Kpi'!$AK:$AK,Cliente!$E61,'Base Kpi'!$AQ:$AQ,AJ$5),0)</f>
        <v>21.425000000000001</v>
      </c>
      <c r="AK61" s="92">
        <f>IFERROR(AVERAGEIFS('Base Kpi'!$AR:$AR,'Base Kpi'!$AK:$AK,Cliente!$E61,'Base Kpi'!$AQ:$AQ,AK$5),0)</f>
        <v>2.5</v>
      </c>
      <c r="AL61" s="92">
        <f>IFERROR(AVERAGEIFS('Base Kpi'!$AR:$AR,'Base Kpi'!$AK:$AK,Cliente!$E61,'Base Kpi'!$AQ:$AQ,AL$5),0)</f>
        <v>9</v>
      </c>
      <c r="AM61" s="92">
        <f>IFERROR(AVERAGEIFS('Base Kpi'!$AR:$AR,'Base Kpi'!$AK:$AK,Cliente!$E61,'Base Kpi'!$AQ:$AQ,AM$5),0)</f>
        <v>33.92</v>
      </c>
      <c r="AN61" s="94">
        <f t="shared" si="53"/>
        <v>66.844999999999999</v>
      </c>
      <c r="AO61" s="95">
        <f t="shared" si="13"/>
        <v>0</v>
      </c>
      <c r="AP61" s="60">
        <f>IFERROR(AVERAGEIFS('Base Kpi'!$BD:$BD,'Base Kpi'!$AW:$AW,Cliente!$E61,'Base Kpi'!$BC:$BC,Cliente!AP$5),0)</f>
        <v>25</v>
      </c>
      <c r="AQ61" s="92">
        <f>IFERROR(AVERAGEIFS('Base Kpi'!$BD:$BD,'Base Kpi'!$AW:$AW,Cliente!$E61,'Base Kpi'!$BC:$BC,Cliente!AQ$5),0)</f>
        <v>1.665</v>
      </c>
      <c r="AR61" s="92">
        <f>IFERROR(AVERAGEIFS('Base Kpi'!$BD:$BD,'Base Kpi'!$AW:$AW,Cliente!$E61,'Base Kpi'!$BC:$BC,Cliente!AR$5),0)</f>
        <v>12</v>
      </c>
      <c r="AS61" s="92">
        <f>IFERROR(AVERAGEIFS('Base Kpi'!$BD:$BD,'Base Kpi'!$AW:$AW,Cliente!$E61,'Base Kpi'!$BC:$BC,Cliente!AS$5),0)</f>
        <v>33.04</v>
      </c>
      <c r="AT61" s="92">
        <f>IFERROR(AVERAGEIFS('Base Kpi'!$BD:$BD,'Base Kpi'!$AW:$AW,Cliente!$E61,'Base Kpi'!$BC:$BC,Cliente!AT$5),0)</f>
        <v>0</v>
      </c>
      <c r="AU61" s="94">
        <f t="shared" si="54"/>
        <v>71.704999999999998</v>
      </c>
      <c r="AV61" s="95">
        <f t="shared" si="78"/>
        <v>1</v>
      </c>
      <c r="AW61" s="60">
        <f>IFERROR(AVERAGEIFS('Base Kpi'!$BP:$BP,'Base Kpi'!$BI:$BI,Cliente!$E61,'Base Kpi'!$BO:$BO,Cliente!AW$5),0)</f>
        <v>25</v>
      </c>
      <c r="AX61" s="92">
        <f>IFERROR(AVERAGEIFS('Base Kpi'!$BP:$BP,'Base Kpi'!$BI:$BI,Cliente!$E61,'Base Kpi'!$BO:$BO,Cliente!AX$5),0)</f>
        <v>3.335</v>
      </c>
      <c r="AY61" s="92">
        <f>IFERROR(AVERAGEIFS('Base Kpi'!$BP:$BP,'Base Kpi'!$BI:$BI,Cliente!$E61,'Base Kpi'!$BO:$BO,Cliente!AY$5),0)</f>
        <v>9</v>
      </c>
      <c r="AZ61" s="92">
        <f>IFERROR(AVERAGEIFS('Base Kpi'!$BP:$BP,'Base Kpi'!$BI:$BI,Cliente!$E61,'Base Kpi'!$BO:$BO,Cliente!AZ$5),0)</f>
        <v>11.74</v>
      </c>
      <c r="BA61" s="92">
        <f>IFERROR(AVERAGEIFS('Base Kpi'!$BP:$BP,'Base Kpi'!$BI:$BI,Cliente!$E61,'Base Kpi'!$BO:$BO,Cliente!BA$5),0)</f>
        <v>18</v>
      </c>
      <c r="BB61" s="94">
        <f t="shared" si="73"/>
        <v>67.075000000000003</v>
      </c>
      <c r="BC61" s="95">
        <f t="shared" si="79"/>
        <v>1</v>
      </c>
      <c r="BD61" s="60">
        <f t="shared" si="42"/>
        <v>82.644999999999996</v>
      </c>
      <c r="BE61" s="97">
        <f t="shared" si="80"/>
        <v>1</v>
      </c>
      <c r="BF61" s="88">
        <f t="shared" si="81"/>
        <v>1</v>
      </c>
      <c r="BG61" s="60">
        <f>IFERROR(AVERAGEIFS('Base Kpi'!$CB:$CB,'Base Kpi'!$BU:$BU,Cliente!$E61,'Base Kpi'!$CA:$CA,Cliente!BG$5),0)</f>
        <v>25</v>
      </c>
      <c r="BH61" s="92">
        <f>IFERROR(AVERAGEIFS('Base Kpi'!$CB:$CB,'Base Kpi'!$BU:$BU,Cliente!$E61,'Base Kpi'!$CA:$CA,Cliente!BH$5),0)</f>
        <v>3.335</v>
      </c>
      <c r="BI61" s="92">
        <f>IFERROR(AVERAGEIFS('Base Kpi'!$CB:$CB,'Base Kpi'!$BU:$BU,Cliente!$E61,'Base Kpi'!$CA:$CA,Cliente!BI$5),0)</f>
        <v>12</v>
      </c>
      <c r="BJ61" s="92">
        <f>IFERROR(AVERAGEIFS('Base Kpi'!$CB:$CB,'Base Kpi'!$BU:$BU,Cliente!$E61,'Base Kpi'!$CA:$CA,Cliente!BJ$5),0)</f>
        <v>13.6</v>
      </c>
      <c r="BK61" s="92">
        <f>IFERROR(AVERAGEIFS('Base Kpi'!$CB:$CB,'Base Kpi'!$BU:$BU,Cliente!$E61,'Base Kpi'!$CA:$CA,Cliente!BK$5),0)</f>
        <v>9</v>
      </c>
      <c r="BL61" s="94">
        <f t="shared" si="74"/>
        <v>62.935000000000002</v>
      </c>
      <c r="BM61" s="95">
        <f t="shared" si="82"/>
        <v>1</v>
      </c>
      <c r="BN61" s="60">
        <f>IFERROR(AVERAGEIFS('Base Kpi'!$CN:$CN,'Base Kpi'!$CG:$CG,Cliente!$E61,'Base Kpi'!$CM:$CM,Cliente!BN$5),0)</f>
        <v>25</v>
      </c>
      <c r="BO61" s="92">
        <f>IFERROR(AVERAGEIFS('Base Kpi'!$CN:$CN,'Base Kpi'!$CG:$CG,Cliente!$E61,'Base Kpi'!$CM:$CM,Cliente!BO$5),0)</f>
        <v>5</v>
      </c>
      <c r="BP61" s="92">
        <f>IFERROR(AVERAGEIFS('Base Kpi'!$CN:$CN,'Base Kpi'!$CG:$CG,Cliente!$E61,'Base Kpi'!$CM:$CM,Cliente!BP$5),0)</f>
        <v>9</v>
      </c>
      <c r="BQ61" s="92">
        <f>IFERROR(AVERAGEIFS('Base Kpi'!$CN:$CN,'Base Kpi'!$CG:$CG,Cliente!$E61,'Base Kpi'!$CM:$CM,Cliente!BQ$5),0)</f>
        <v>34.4</v>
      </c>
      <c r="BR61" s="92">
        <f>IFERROR(AVERAGEIFS('Base Kpi'!$CN:$CN,'Base Kpi'!$CG:$CG,Cliente!$E61,'Base Kpi'!$CM:$CM,Cliente!BR$5),0)</f>
        <v>18</v>
      </c>
      <c r="BS61" s="94">
        <f t="shared" si="75"/>
        <v>91.4</v>
      </c>
      <c r="BT61" s="95">
        <f t="shared" si="83"/>
        <v>1</v>
      </c>
      <c r="BU61" s="60">
        <f>IFERROR(AVERAGEIFS('Base Kpi'!$CZ:$CZ,'Base Kpi'!$CS:$CS,Cliente!$E61,'Base Kpi'!$CY:$CY,Cliente!BU$5),0)</f>
        <v>25</v>
      </c>
      <c r="BV61" s="92">
        <f>IFERROR(AVERAGEIFS('Base Kpi'!$CZ:$CZ,'Base Kpi'!$CS:$CS,Cliente!$E61,'Base Kpi'!$CY:$CY,Cliente!BV$5),0)</f>
        <v>5</v>
      </c>
      <c r="BW61" s="92">
        <f>IFERROR(AVERAGEIFS('Base Kpi'!$CZ:$CZ,'Base Kpi'!$CS:$CS,Cliente!$E61,'Base Kpi'!$CY:$CY,Cliente!BW$5),0)</f>
        <v>12</v>
      </c>
      <c r="BX61" s="92">
        <f>IFERROR(AVERAGEIFS('Base Kpi'!$CZ:$CZ,'Base Kpi'!$CS:$CS,Cliente!$E61,'Base Kpi'!$CY:$CY,Cliente!BX$5),0)</f>
        <v>33.6</v>
      </c>
      <c r="BY61" s="92">
        <f>IFERROR(AVERAGEIFS('Base Kpi'!$CZ:$CZ,'Base Kpi'!$CS:$CS,Cliente!$E61,'Base Kpi'!$CY:$CY,Cliente!BY$5),0)</f>
        <v>18</v>
      </c>
      <c r="BZ61" s="94">
        <f t="shared" si="76"/>
        <v>93.6</v>
      </c>
      <c r="CA61" s="95">
        <f t="shared" si="84"/>
        <v>1</v>
      </c>
      <c r="CB61" s="60">
        <f t="shared" si="64"/>
        <v>98.816666666666663</v>
      </c>
      <c r="CC61" s="97">
        <f t="shared" si="65"/>
        <v>1</v>
      </c>
      <c r="CD61" s="43">
        <f t="shared" si="66"/>
        <v>1</v>
      </c>
      <c r="CE61" s="60" cm="1">
        <f t="array" ref="CE61">IFERROR(LARGE(_xlfn._xlws.FILTER('Base Kpi'!$DL:$DL,('Base Kpi'!$DK:$DK=$CE$5)*('Base Kpi'!$DE:$DE=Cliente!$E61)),1),0)</f>
        <v>39.200000000000003</v>
      </c>
      <c r="CF61" s="60" cm="1">
        <f t="array" ref="CF61">IFERROR(LARGE(_xlfn._xlws.FILTER('Base Kpi'!$DL:$DL,('Base Kpi'!$DK:$DK=$CF$5)*('Base Kpi'!$DE:$DE=Cliente!$E61)),1),0)</f>
        <v>3.8</v>
      </c>
      <c r="CG61" s="60" cm="1">
        <f t="array" ref="CG61">IFERROR(LARGE(_xlfn._xlws.FILTER('Base Kpi'!$DL:$DL,('Base Kpi'!$DK:$DK=$CG$5)*('Base Kpi'!$DE:$DE=Cliente!$E61)),1),0)</f>
        <v>5</v>
      </c>
      <c r="CH61" s="60" cm="1">
        <f t="array" ref="CH61">IFERROR(LARGE(_xlfn._xlws.FILTER('Base Kpi'!$DL:$DL,('Base Kpi'!$DK:$DK=$CH$5)*('Base Kpi'!$DE:$DE=Cliente!$E61)),1),0)</f>
        <v>18</v>
      </c>
      <c r="CI61" s="60" cm="1">
        <f t="array" ref="CI61">IFERROR(LARGE(_xlfn._xlws.FILTER('Base Kpi'!$DL:$DL,('Base Kpi'!$DK:$DK=$CI$5)*('Base Kpi'!$DE:$DE=Cliente!$E61)),1),0)</f>
        <v>25</v>
      </c>
      <c r="CJ61" s="60" cm="1">
        <f t="array" ref="CJ61">IFERROR(LARGE(_xlfn._xlws.FILTER('Base Kpi'!$DL:$DL,('Base Kpi'!$DK:$DK=$CJ$5)*('Base Kpi'!$DE:$DE=Cliente!$E61)),1),0)</f>
        <v>9</v>
      </c>
      <c r="CK61" s="60" cm="1">
        <f t="array" ref="CK61">IFERROR(LARGE(_xlfn._xlws.FILTER('Base Kpi'!$DL:$DL,('Base Kpi'!$DK:$DK=$CK$5)*('Base Kpi'!$DE:$DE=Cliente!$E61)),1),0)</f>
        <v>0</v>
      </c>
      <c r="CL61" s="94">
        <f t="shared" si="77"/>
        <v>100</v>
      </c>
      <c r="CM61" s="95">
        <f t="shared" si="47"/>
        <v>1</v>
      </c>
      <c r="CN61" s="60">
        <f>IFERROR(AVERAGEIFS('Base Kpi'!$DX:$DX,'Base Kpi'!$DQ:$DQ,Cliente!$E61,'Base Kpi'!$DW:$DW,Cliente!CN$5),0)</f>
        <v>35.200000000000003</v>
      </c>
      <c r="CO61" s="92">
        <f>IFERROR(AVERAGEIFS('Base Kpi'!$DX:$DX,'Base Kpi'!$DQ:$DQ,Cliente!$E61,'Base Kpi'!$DW:$DW,Cliente!CO$5),0)</f>
        <v>5</v>
      </c>
      <c r="CP61" s="92">
        <f>IFERROR(AVERAGEIFS('Base Kpi'!$DX:$DX,'Base Kpi'!$DQ:$DQ,Cliente!$E61,'Base Kpi'!$DW:$DW,Cliente!CP$5),0)</f>
        <v>5</v>
      </c>
      <c r="CQ61" s="92">
        <f>IFERROR(AVERAGEIFS('Base Kpi'!$DX:$DX,'Base Kpi'!$DQ:$DQ,Cliente!$E61,'Base Kpi'!$DW:$DW,Cliente!CQ$5),0)</f>
        <v>18</v>
      </c>
      <c r="CR61" s="92">
        <f>IFERROR(AVERAGEIFS('Base Kpi'!$DX:$DX,'Base Kpi'!$DQ:$DQ,Cliente!$E61,'Base Kpi'!$DW:$DW,Cliente!CR$5),0)</f>
        <v>21.425000000000001</v>
      </c>
      <c r="CS61" s="92">
        <f>IFERROR(AVERAGEIFS('Base Kpi'!$DX:$DX,'Base Kpi'!$DQ:$DQ,Cliente!$E61,'Base Kpi'!$DW:$DW,Cliente!CS$5),0)</f>
        <v>12</v>
      </c>
      <c r="CT61" s="92">
        <f>IFERROR(AVERAGEIFS('Base Kpi'!$DX:$DX,'Base Kpi'!$DQ:$DQ,Cliente!$E61,'Base Kpi'!$DW:$DW,Cliente!CT$5),0)</f>
        <v>0</v>
      </c>
      <c r="CU61" s="94">
        <f t="shared" si="67"/>
        <v>96.625</v>
      </c>
      <c r="CV61" s="95">
        <f t="shared" si="68"/>
        <v>1</v>
      </c>
      <c r="CW61" s="60">
        <f>IFERROR(AVERAGEIFS('Base Kpi'!$EJ:$EJ,'Base Kpi'!$EC:$EC,Cliente!$E61,'Base Kpi'!$EI:$EI,Cliente!CW$5),0)</f>
        <v>38.4</v>
      </c>
      <c r="CX61" s="92">
        <f>IFERROR(AVERAGEIFS('Base Kpi'!$EJ:$EJ,'Base Kpi'!$EC:$EC,Cliente!$E61,'Base Kpi'!$EI:$EI,Cliente!CX$5),0)</f>
        <v>5</v>
      </c>
      <c r="CY61" s="92">
        <f>IFERROR(AVERAGEIFS('Base Kpi'!$EJ:$EJ,'Base Kpi'!$EC:$EC,Cliente!$E61,'Base Kpi'!$EI:$EI,Cliente!CY$5),0)</f>
        <v>5</v>
      </c>
      <c r="CZ61" s="92">
        <f>IFERROR(AVERAGEIFS('Base Kpi'!$EJ:$EJ,'Base Kpi'!$EC:$EC,Cliente!$E61,'Base Kpi'!$EI:$EI,Cliente!CZ$5),0)</f>
        <v>18</v>
      </c>
      <c r="DA61" s="92">
        <f>IFERROR(AVERAGEIFS('Base Kpi'!$EJ:$EJ,'Base Kpi'!$EC:$EC,Cliente!$E61,'Base Kpi'!$EI:$EI,Cliente!DA$5),0)</f>
        <v>21.425000000000001</v>
      </c>
      <c r="DB61" s="92">
        <f>IFERROR(AVERAGEIFS('Base Kpi'!$EJ:$EJ,'Base Kpi'!$EC:$EC,Cliente!$E61,'Base Kpi'!$EI:$EI,Cliente!DB$5),0)</f>
        <v>12</v>
      </c>
      <c r="DC61" s="92">
        <f>IFERROR(AVERAGEIFS('Base Kpi'!$EJ:$EJ,'Base Kpi'!$EC:$EC,Cliente!$E61,'Base Kpi'!$EI:$EI,Cliente!DC$5),0)</f>
        <v>0</v>
      </c>
      <c r="DD61" s="94">
        <f t="shared" si="69"/>
        <v>99.825000000000003</v>
      </c>
      <c r="DE61" s="95">
        <f t="shared" si="70"/>
        <v>1</v>
      </c>
      <c r="DF61" s="120"/>
    </row>
    <row r="62" spans="2:110" x14ac:dyDescent="0.35">
      <c r="B62" s="101" t="s">
        <v>42</v>
      </c>
      <c r="C62" s="102">
        <v>3655</v>
      </c>
      <c r="D62" s="102" t="s">
        <v>434</v>
      </c>
      <c r="E62" s="102">
        <v>135870</v>
      </c>
      <c r="F62" s="103" t="s">
        <v>75</v>
      </c>
      <c r="G62" s="103" t="s">
        <v>292</v>
      </c>
      <c r="H62" s="103" t="s">
        <v>293</v>
      </c>
      <c r="I62" s="103" t="s">
        <v>176</v>
      </c>
      <c r="J62" s="103" t="s">
        <v>88</v>
      </c>
      <c r="K62" s="108" t="s">
        <v>81</v>
      </c>
      <c r="L62" s="60">
        <f t="shared" si="55"/>
        <v>58.742500000000007</v>
      </c>
      <c r="M62" s="97">
        <f t="shared" si="56"/>
        <v>1</v>
      </c>
      <c r="N62" s="43">
        <f t="shared" si="52"/>
        <v>0</v>
      </c>
      <c r="O62" s="60">
        <f>IFERROR(AVERAGEIFS('Base Kpi'!$I:$I,'Base Kpi'!$B:$B,Cliente!$E62,'Base Kpi'!$G:$G,Cliente!O$5),0)</f>
        <v>30</v>
      </c>
      <c r="P62" s="92">
        <f>IFERROR(AVERAGEIFS('Base Kpi'!$I:$I,'Base Kpi'!$B:$B,Cliente!$E62,'Base Kpi'!$G:$G,Cliente!P$5),0)</f>
        <v>8</v>
      </c>
      <c r="Q62" s="92">
        <f>IFERROR(AVERAGEIFS('Base Kpi'!$I:$I,'Base Kpi'!$B:$B,Cliente!$E62,'Base Kpi'!$G:$G,Cliente!Q$5),0)</f>
        <v>10.199999999999999</v>
      </c>
      <c r="R62" s="92">
        <f>IFERROR(AVERAGEIFS('Base Kpi'!$I:$I,'Base Kpi'!$B:$B,Cliente!$E62,'Base Kpi'!$G:$G,Cliente!R$5),0)</f>
        <v>15.1875</v>
      </c>
      <c r="S62" s="94">
        <f t="shared" si="57"/>
        <v>63.387500000000003</v>
      </c>
      <c r="T62" s="95">
        <f t="shared" si="58"/>
        <v>0</v>
      </c>
      <c r="U62" s="60">
        <f>IFERROR(AVERAGEIFS('Base Kpi'!$T:$T,'Base Kpi'!$M:$M,Cliente!$E62,'Base Kpi'!$S:$S,Cliente!U$5),0)</f>
        <v>21.42</v>
      </c>
      <c r="V62" s="92">
        <f>IFERROR(AVERAGEIFS('Base Kpi'!$T:$T,'Base Kpi'!$M:$M,Cliente!$E62,'Base Kpi'!$S:$S,Cliente!V$5),0)</f>
        <v>0</v>
      </c>
      <c r="W62" s="92">
        <f>IFERROR(AVERAGEIFS('Base Kpi'!$T:$T,'Base Kpi'!$M:$M,Cliente!$E62,'Base Kpi'!$S:$S,Cliente!W$5),0)</f>
        <v>8.5</v>
      </c>
      <c r="X62" s="92">
        <f>IFERROR(AVERAGEIFS('Base Kpi'!$T:$T,'Base Kpi'!$M:$M,Cliente!$E62,'Base Kpi'!$S:$S,Cliente!X$5),0)</f>
        <v>13.5</v>
      </c>
      <c r="Y62" s="94">
        <f t="shared" si="59"/>
        <v>43.42</v>
      </c>
      <c r="Z62" s="95">
        <f t="shared" si="60"/>
        <v>0</v>
      </c>
      <c r="AA62" s="60">
        <f>IFERROR(AVERAGEIFS('Base Kpi'!$AF:$AF,'Base Kpi'!$Y:$Y,Cliente!$E62,'Base Kpi'!$AE:$AE,Cliente!AA$5),0)</f>
        <v>21.42</v>
      </c>
      <c r="AB62" s="92">
        <f>IFERROR(AVERAGEIFS('Base Kpi'!$AF:$AF,'Base Kpi'!$Y:$Y,Cliente!$E62,'Base Kpi'!$AE:$AE,Cliente!AB$5),0)</f>
        <v>8</v>
      </c>
      <c r="AC62" s="92">
        <f>IFERROR(AVERAGEIFS('Base Kpi'!$AF:$AF,'Base Kpi'!$Y:$Y,Cliente!$E62,'Base Kpi'!$AE:$AE,Cliente!AC$5),0)</f>
        <v>8.5</v>
      </c>
      <c r="AD62" s="92">
        <f>IFERROR(AVERAGEIFS('Base Kpi'!$AF:$AF,'Base Kpi'!$Y:$Y,Cliente!$E62,'Base Kpi'!$AE:$AE,Cliente!AD$5),0)</f>
        <v>31.5</v>
      </c>
      <c r="AE62" s="94">
        <f t="shared" si="61"/>
        <v>69.42</v>
      </c>
      <c r="AF62" s="95">
        <f t="shared" si="62"/>
        <v>0</v>
      </c>
      <c r="AG62" s="60">
        <f t="shared" si="71"/>
        <v>73.161666666666662</v>
      </c>
      <c r="AH62" s="97">
        <f t="shared" si="72"/>
        <v>1</v>
      </c>
      <c r="AI62" s="88">
        <f t="shared" si="63"/>
        <v>1</v>
      </c>
      <c r="AJ62" s="92">
        <f>IFERROR(AVERAGEIFS('Base Kpi'!$AR:$AR,'Base Kpi'!$AK:$AK,Cliente!$E62,'Base Kpi'!$AQ:$AQ,AJ$5),0)</f>
        <v>21.425000000000001</v>
      </c>
      <c r="AK62" s="92">
        <f>IFERROR(AVERAGEIFS('Base Kpi'!$AR:$AR,'Base Kpi'!$AK:$AK,Cliente!$E62,'Base Kpi'!$AQ:$AQ,AK$5),0)</f>
        <v>2.5</v>
      </c>
      <c r="AL62" s="92">
        <f>IFERROR(AVERAGEIFS('Base Kpi'!$AR:$AR,'Base Kpi'!$AK:$AK,Cliente!$E62,'Base Kpi'!$AQ:$AQ,AL$5),0)</f>
        <v>12</v>
      </c>
      <c r="AM62" s="92">
        <f>IFERROR(AVERAGEIFS('Base Kpi'!$AR:$AR,'Base Kpi'!$AK:$AK,Cliente!$E62,'Base Kpi'!$AQ:$AQ,AM$5),0)</f>
        <v>33.92</v>
      </c>
      <c r="AN62" s="94">
        <f t="shared" si="53"/>
        <v>69.844999999999999</v>
      </c>
      <c r="AO62" s="95">
        <f t="shared" si="13"/>
        <v>0</v>
      </c>
      <c r="AP62" s="60">
        <f>IFERROR(AVERAGEIFS('Base Kpi'!$BD:$BD,'Base Kpi'!$AW:$AW,Cliente!$E62,'Base Kpi'!$BC:$BC,Cliente!AP$5),0)</f>
        <v>25</v>
      </c>
      <c r="AQ62" s="92">
        <f>IFERROR(AVERAGEIFS('Base Kpi'!$BD:$BD,'Base Kpi'!$AW:$AW,Cliente!$E62,'Base Kpi'!$BC:$BC,Cliente!AQ$5),0)</f>
        <v>1.665</v>
      </c>
      <c r="AR62" s="92">
        <f>IFERROR(AVERAGEIFS('Base Kpi'!$BD:$BD,'Base Kpi'!$AW:$AW,Cliente!$E62,'Base Kpi'!$BC:$BC,Cliente!AR$5),0)</f>
        <v>12</v>
      </c>
      <c r="AS62" s="92">
        <f>IFERROR(AVERAGEIFS('Base Kpi'!$BD:$BD,'Base Kpi'!$AW:$AW,Cliente!$E62,'Base Kpi'!$BC:$BC,Cliente!AS$5),0)</f>
        <v>29.56</v>
      </c>
      <c r="AT62" s="92">
        <f>IFERROR(AVERAGEIFS('Base Kpi'!$BD:$BD,'Base Kpi'!$AW:$AW,Cliente!$E62,'Base Kpi'!$BC:$BC,Cliente!AT$5),0)</f>
        <v>0</v>
      </c>
      <c r="AU62" s="94">
        <f t="shared" si="54"/>
        <v>68.224999999999994</v>
      </c>
      <c r="AV62" s="95">
        <f t="shared" si="78"/>
        <v>1</v>
      </c>
      <c r="AW62" s="60">
        <f>IFERROR(AVERAGEIFS('Base Kpi'!$BP:$BP,'Base Kpi'!$BI:$BI,Cliente!$E62,'Base Kpi'!$BO:$BO,Cliente!AW$5),0)</f>
        <v>25</v>
      </c>
      <c r="AX62" s="92">
        <f>IFERROR(AVERAGEIFS('Base Kpi'!$BP:$BP,'Base Kpi'!$BI:$BI,Cliente!$E62,'Base Kpi'!$BO:$BO,Cliente!AX$5),0)</f>
        <v>3.335</v>
      </c>
      <c r="AY62" s="92">
        <f>IFERROR(AVERAGEIFS('Base Kpi'!$BP:$BP,'Base Kpi'!$BI:$BI,Cliente!$E62,'Base Kpi'!$BO:$BO,Cliente!AY$5),0)</f>
        <v>9</v>
      </c>
      <c r="AZ62" s="92">
        <f>IFERROR(AVERAGEIFS('Base Kpi'!$BP:$BP,'Base Kpi'!$BI:$BI,Cliente!$E62,'Base Kpi'!$BO:$BO,Cliente!AZ$5),0)</f>
        <v>26.08</v>
      </c>
      <c r="BA62" s="92">
        <f>IFERROR(AVERAGEIFS('Base Kpi'!$BP:$BP,'Base Kpi'!$BI:$BI,Cliente!$E62,'Base Kpi'!$BO:$BO,Cliente!BA$5),0)</f>
        <v>18</v>
      </c>
      <c r="BB62" s="94">
        <f t="shared" si="73"/>
        <v>81.414999999999992</v>
      </c>
      <c r="BC62" s="95">
        <f t="shared" si="79"/>
        <v>1</v>
      </c>
      <c r="BD62" s="60">
        <f t="shared" si="42"/>
        <v>89.92</v>
      </c>
      <c r="BE62" s="97">
        <f t="shared" si="80"/>
        <v>1</v>
      </c>
      <c r="BF62" s="88">
        <f t="shared" si="81"/>
        <v>1</v>
      </c>
      <c r="BG62" s="60">
        <f>IFERROR(AVERAGEIFS('Base Kpi'!$CB:$CB,'Base Kpi'!$BU:$BU,Cliente!$E62,'Base Kpi'!$CA:$CA,Cliente!BG$5),0)</f>
        <v>25</v>
      </c>
      <c r="BH62" s="92">
        <f>IFERROR(AVERAGEIFS('Base Kpi'!$CB:$CB,'Base Kpi'!$BU:$BU,Cliente!$E62,'Base Kpi'!$CA:$CA,Cliente!BH$5),0)</f>
        <v>3.335</v>
      </c>
      <c r="BI62" s="92">
        <f>IFERROR(AVERAGEIFS('Base Kpi'!$CB:$CB,'Base Kpi'!$BU:$BU,Cliente!$E62,'Base Kpi'!$CA:$CA,Cliente!BI$5),0)</f>
        <v>12</v>
      </c>
      <c r="BJ62" s="92">
        <f>IFERROR(AVERAGEIFS('Base Kpi'!$CB:$CB,'Base Kpi'!$BU:$BU,Cliente!$E62,'Base Kpi'!$CA:$CA,Cliente!BJ$5),0)</f>
        <v>27.2</v>
      </c>
      <c r="BK62" s="92">
        <f>IFERROR(AVERAGEIFS('Base Kpi'!$CB:$CB,'Base Kpi'!$BU:$BU,Cliente!$E62,'Base Kpi'!$CA:$CA,Cliente!BK$5),0)</f>
        <v>9</v>
      </c>
      <c r="BL62" s="94">
        <f t="shared" si="74"/>
        <v>76.534999999999997</v>
      </c>
      <c r="BM62" s="95">
        <f t="shared" si="82"/>
        <v>1</v>
      </c>
      <c r="BN62" s="60">
        <f>IFERROR(AVERAGEIFS('Base Kpi'!$CN:$CN,'Base Kpi'!$CG:$CG,Cliente!$E62,'Base Kpi'!$CM:$CM,Cliente!BN$5),0)</f>
        <v>21.425000000000001</v>
      </c>
      <c r="BO62" s="92">
        <f>IFERROR(AVERAGEIFS('Base Kpi'!$CN:$CN,'Base Kpi'!$CG:$CG,Cliente!$E62,'Base Kpi'!$CM:$CM,Cliente!BO$5),0)</f>
        <v>5</v>
      </c>
      <c r="BP62" s="92">
        <f>IFERROR(AVERAGEIFS('Base Kpi'!$CN:$CN,'Base Kpi'!$CG:$CG,Cliente!$E62,'Base Kpi'!$CM:$CM,Cliente!BP$5),0)</f>
        <v>12</v>
      </c>
      <c r="BQ62" s="92">
        <f>IFERROR(AVERAGEIFS('Base Kpi'!$CN:$CN,'Base Kpi'!$CG:$CG,Cliente!$E62,'Base Kpi'!$CM:$CM,Cliente!BQ$5),0)</f>
        <v>38.4</v>
      </c>
      <c r="BR62" s="92">
        <f>IFERROR(AVERAGEIFS('Base Kpi'!$CN:$CN,'Base Kpi'!$CG:$CG,Cliente!$E62,'Base Kpi'!$CM:$CM,Cliente!BR$5),0)</f>
        <v>18</v>
      </c>
      <c r="BS62" s="94">
        <f t="shared" si="75"/>
        <v>94.824999999999989</v>
      </c>
      <c r="BT62" s="95">
        <f t="shared" si="83"/>
        <v>1</v>
      </c>
      <c r="BU62" s="60">
        <f>IFERROR(AVERAGEIFS('Base Kpi'!$CZ:$CZ,'Base Kpi'!$CS:$CS,Cliente!$E62,'Base Kpi'!$CY:$CY,Cliente!BU$5),0)</f>
        <v>25</v>
      </c>
      <c r="BV62" s="92">
        <f>IFERROR(AVERAGEIFS('Base Kpi'!$CZ:$CZ,'Base Kpi'!$CS:$CS,Cliente!$E62,'Base Kpi'!$CY:$CY,Cliente!BV$5),0)</f>
        <v>5</v>
      </c>
      <c r="BW62" s="92">
        <f>IFERROR(AVERAGEIFS('Base Kpi'!$CZ:$CZ,'Base Kpi'!$CS:$CS,Cliente!$E62,'Base Kpi'!$CY:$CY,Cliente!BW$5),0)</f>
        <v>12</v>
      </c>
      <c r="BX62" s="92">
        <f>IFERROR(AVERAGEIFS('Base Kpi'!$CZ:$CZ,'Base Kpi'!$CS:$CS,Cliente!$E62,'Base Kpi'!$CY:$CY,Cliente!BX$5),0)</f>
        <v>38.4</v>
      </c>
      <c r="BY62" s="92">
        <f>IFERROR(AVERAGEIFS('Base Kpi'!$CZ:$CZ,'Base Kpi'!$CS:$CS,Cliente!$E62,'Base Kpi'!$CY:$CY,Cliente!BY$5),0)</f>
        <v>18</v>
      </c>
      <c r="BZ62" s="94">
        <f t="shared" si="76"/>
        <v>98.4</v>
      </c>
      <c r="CA62" s="95">
        <f t="shared" si="84"/>
        <v>1</v>
      </c>
      <c r="CB62" s="60">
        <f t="shared" si="64"/>
        <v>94.141666666666666</v>
      </c>
      <c r="CC62" s="97">
        <f t="shared" si="65"/>
        <v>1</v>
      </c>
      <c r="CD62" s="43">
        <f t="shared" si="66"/>
        <v>1</v>
      </c>
      <c r="CE62" s="60" cm="1">
        <f t="array" ref="CE62">IFERROR(LARGE(_xlfn._xlws.FILTER('Base Kpi'!$DL:$DL,('Base Kpi'!$DK:$DK=$CE$5)*('Base Kpi'!$DE:$DE=Cliente!$E62)),1),0)</f>
        <v>38.4</v>
      </c>
      <c r="CF62" s="60" cm="1">
        <f t="array" ref="CF62">IFERROR(LARGE(_xlfn._xlws.FILTER('Base Kpi'!$DL:$DL,('Base Kpi'!$DK:$DK=$CF$5)*('Base Kpi'!$DE:$DE=Cliente!$E62)),1),0)</f>
        <v>5</v>
      </c>
      <c r="CG62" s="60" cm="1">
        <f t="array" ref="CG62">IFERROR(LARGE(_xlfn._xlws.FILTER('Base Kpi'!$DL:$DL,('Base Kpi'!$DK:$DK=$CG$5)*('Base Kpi'!$DE:$DE=Cliente!$E62)),1),0)</f>
        <v>5</v>
      </c>
      <c r="CH62" s="60" cm="1">
        <f t="array" ref="CH62">IFERROR(LARGE(_xlfn._xlws.FILTER('Base Kpi'!$DL:$DL,('Base Kpi'!$DK:$DK=$CH$5)*('Base Kpi'!$DE:$DE=Cliente!$E62)),1),0)</f>
        <v>9</v>
      </c>
      <c r="CI62" s="60" cm="1">
        <f t="array" ref="CI62">IFERROR(LARGE(_xlfn._xlws.FILTER('Base Kpi'!$DL:$DL,('Base Kpi'!$DK:$DK=$CI$5)*('Base Kpi'!$DE:$DE=Cliente!$E62)),1),0)</f>
        <v>21.425000000000001</v>
      </c>
      <c r="CJ62" s="60" cm="1">
        <f t="array" ref="CJ62">IFERROR(LARGE(_xlfn._xlws.FILTER('Base Kpi'!$DL:$DL,('Base Kpi'!$DK:$DK=$CJ$5)*('Base Kpi'!$DE:$DE=Cliente!$E62)),1),0)</f>
        <v>12</v>
      </c>
      <c r="CK62" s="60" cm="1">
        <f t="array" ref="CK62">IFERROR(LARGE(_xlfn._xlws.FILTER('Base Kpi'!$DL:$DL,('Base Kpi'!$DK:$DK=$CK$5)*('Base Kpi'!$DE:$DE=Cliente!$E62)),1),0)</f>
        <v>0</v>
      </c>
      <c r="CL62" s="94">
        <f t="shared" si="77"/>
        <v>90.825000000000003</v>
      </c>
      <c r="CM62" s="95">
        <f t="shared" si="47"/>
        <v>1</v>
      </c>
      <c r="CN62" s="60">
        <f>IFERROR(AVERAGEIFS('Base Kpi'!$DX:$DX,'Base Kpi'!$DQ:$DQ,Cliente!$E62,'Base Kpi'!$DW:$DW,Cliente!CN$5),0)</f>
        <v>35.200000000000003</v>
      </c>
      <c r="CO62" s="92">
        <f>IFERROR(AVERAGEIFS('Base Kpi'!$DX:$DX,'Base Kpi'!$DQ:$DQ,Cliente!$E62,'Base Kpi'!$DW:$DW,Cliente!CO$5),0)</f>
        <v>5</v>
      </c>
      <c r="CP62" s="92">
        <f>IFERROR(AVERAGEIFS('Base Kpi'!$DX:$DX,'Base Kpi'!$DQ:$DQ,Cliente!$E62,'Base Kpi'!$DW:$DW,Cliente!CP$5),0)</f>
        <v>5</v>
      </c>
      <c r="CQ62" s="92">
        <f>IFERROR(AVERAGEIFS('Base Kpi'!$DX:$DX,'Base Kpi'!$DQ:$DQ,Cliente!$E62,'Base Kpi'!$DW:$DW,Cliente!CQ$5),0)</f>
        <v>18</v>
      </c>
      <c r="CR62" s="92">
        <f>IFERROR(AVERAGEIFS('Base Kpi'!$DX:$DX,'Base Kpi'!$DQ:$DQ,Cliente!$E62,'Base Kpi'!$DW:$DW,Cliente!CR$5),0)</f>
        <v>25</v>
      </c>
      <c r="CS62" s="92">
        <f>IFERROR(AVERAGEIFS('Base Kpi'!$DX:$DX,'Base Kpi'!$DQ:$DQ,Cliente!$E62,'Base Kpi'!$DW:$DW,Cliente!CS$5),0)</f>
        <v>9</v>
      </c>
      <c r="CT62" s="92">
        <f>IFERROR(AVERAGEIFS('Base Kpi'!$DX:$DX,'Base Kpi'!$DQ:$DQ,Cliente!$E62,'Base Kpi'!$DW:$DW,Cliente!CT$5),0)</f>
        <v>0</v>
      </c>
      <c r="CU62" s="94">
        <f t="shared" si="67"/>
        <v>97.2</v>
      </c>
      <c r="CV62" s="95">
        <f t="shared" si="68"/>
        <v>1</v>
      </c>
      <c r="CW62" s="60">
        <f>IFERROR(AVERAGEIFS('Base Kpi'!$EJ:$EJ,'Base Kpi'!$EC:$EC,Cliente!$E62,'Base Kpi'!$EI:$EI,Cliente!CW$5),0)</f>
        <v>38.4</v>
      </c>
      <c r="CX62" s="92">
        <f>IFERROR(AVERAGEIFS('Base Kpi'!$EJ:$EJ,'Base Kpi'!$EC:$EC,Cliente!$E62,'Base Kpi'!$EI:$EI,Cliente!CX$5),0)</f>
        <v>5</v>
      </c>
      <c r="CY62" s="92">
        <f>IFERROR(AVERAGEIFS('Base Kpi'!$EJ:$EJ,'Base Kpi'!$EC:$EC,Cliente!$E62,'Base Kpi'!$EI:$EI,Cliente!CY$5),0)</f>
        <v>5</v>
      </c>
      <c r="CZ62" s="92">
        <f>IFERROR(AVERAGEIFS('Base Kpi'!$EJ:$EJ,'Base Kpi'!$EC:$EC,Cliente!$E62,'Base Kpi'!$EI:$EI,Cliente!CZ$5),0)</f>
        <v>9</v>
      </c>
      <c r="DA62" s="92">
        <f>IFERROR(AVERAGEIFS('Base Kpi'!$EJ:$EJ,'Base Kpi'!$EC:$EC,Cliente!$E62,'Base Kpi'!$EI:$EI,Cliente!DA$5),0)</f>
        <v>25</v>
      </c>
      <c r="DB62" s="92">
        <f>IFERROR(AVERAGEIFS('Base Kpi'!$EJ:$EJ,'Base Kpi'!$EC:$EC,Cliente!$E62,'Base Kpi'!$EI:$EI,Cliente!DB$5),0)</f>
        <v>12</v>
      </c>
      <c r="DC62" s="92">
        <f>IFERROR(AVERAGEIFS('Base Kpi'!$EJ:$EJ,'Base Kpi'!$EC:$EC,Cliente!$E62,'Base Kpi'!$EI:$EI,Cliente!DC$5),0)</f>
        <v>0</v>
      </c>
      <c r="DD62" s="94">
        <f t="shared" si="69"/>
        <v>94.4</v>
      </c>
      <c r="DE62" s="95">
        <f t="shared" si="70"/>
        <v>1</v>
      </c>
      <c r="DF62" s="120"/>
    </row>
    <row r="63" spans="2:110" x14ac:dyDescent="0.35">
      <c r="B63" s="101" t="s">
        <v>42</v>
      </c>
      <c r="C63" s="102">
        <v>3655</v>
      </c>
      <c r="D63" s="102" t="s">
        <v>434</v>
      </c>
      <c r="E63" s="102">
        <v>182636</v>
      </c>
      <c r="F63" s="103" t="s">
        <v>67</v>
      </c>
      <c r="G63" s="103" t="s">
        <v>211</v>
      </c>
      <c r="H63" s="103" t="s">
        <v>212</v>
      </c>
      <c r="I63" s="103" t="s">
        <v>213</v>
      </c>
      <c r="J63" s="103" t="s">
        <v>90</v>
      </c>
      <c r="K63" s="108" t="s">
        <v>81</v>
      </c>
      <c r="L63" s="60">
        <f t="shared" si="55"/>
        <v>60.125</v>
      </c>
      <c r="M63" s="97">
        <f t="shared" si="56"/>
        <v>1</v>
      </c>
      <c r="N63" s="43">
        <f t="shared" si="52"/>
        <v>0</v>
      </c>
      <c r="O63" s="60">
        <f>IFERROR(AVERAGEIFS('Base Kpi'!$I:$I,'Base Kpi'!$B:$B,Cliente!$E63,'Base Kpi'!$G:$G,Cliente!O$5),0)</f>
        <v>21.42</v>
      </c>
      <c r="P63" s="92">
        <f>IFERROR(AVERAGEIFS('Base Kpi'!$I:$I,'Base Kpi'!$B:$B,Cliente!$E63,'Base Kpi'!$G:$G,Cliente!P$5),0)</f>
        <v>0</v>
      </c>
      <c r="Q63" s="92">
        <f>IFERROR(AVERAGEIFS('Base Kpi'!$I:$I,'Base Kpi'!$B:$B,Cliente!$E63,'Base Kpi'!$G:$G,Cliente!Q$5),0)</f>
        <v>10.199999999999999</v>
      </c>
      <c r="R63" s="92">
        <f>IFERROR(AVERAGEIFS('Base Kpi'!$I:$I,'Base Kpi'!$B:$B,Cliente!$E63,'Base Kpi'!$G:$G,Cliente!R$5),0)</f>
        <v>31.5</v>
      </c>
      <c r="S63" s="94">
        <f t="shared" si="57"/>
        <v>63.120000000000005</v>
      </c>
      <c r="T63" s="95">
        <f t="shared" si="58"/>
        <v>0</v>
      </c>
      <c r="U63" s="60">
        <f>IFERROR(AVERAGEIFS('Base Kpi'!$T:$T,'Base Kpi'!$M:$M,Cliente!$E63,'Base Kpi'!$S:$S,Cliente!U$5),0)</f>
        <v>25.71</v>
      </c>
      <c r="V63" s="92">
        <f>IFERROR(AVERAGEIFS('Base Kpi'!$T:$T,'Base Kpi'!$M:$M,Cliente!$E63,'Base Kpi'!$S:$S,Cliente!V$5),0)</f>
        <v>8</v>
      </c>
      <c r="W63" s="92">
        <f>IFERROR(AVERAGEIFS('Base Kpi'!$T:$T,'Base Kpi'!$M:$M,Cliente!$E63,'Base Kpi'!$S:$S,Cliente!W$5),0)</f>
        <v>8.5</v>
      </c>
      <c r="X63" s="92">
        <f>IFERROR(AVERAGEIFS('Base Kpi'!$T:$T,'Base Kpi'!$M:$M,Cliente!$E63,'Base Kpi'!$S:$S,Cliente!X$5),0)</f>
        <v>23.625</v>
      </c>
      <c r="Y63" s="94">
        <f t="shared" si="59"/>
        <v>65.835000000000008</v>
      </c>
      <c r="Z63" s="95">
        <f t="shared" si="60"/>
        <v>0</v>
      </c>
      <c r="AA63" s="60">
        <f>IFERROR(AVERAGEIFS('Base Kpi'!$AF:$AF,'Base Kpi'!$Y:$Y,Cliente!$E63,'Base Kpi'!$AE:$AE,Cliente!AA$5),0)</f>
        <v>21.42</v>
      </c>
      <c r="AB63" s="92">
        <f>IFERROR(AVERAGEIFS('Base Kpi'!$AF:$AF,'Base Kpi'!$Y:$Y,Cliente!$E63,'Base Kpi'!$AE:$AE,Cliente!AB$5),0)</f>
        <v>8</v>
      </c>
      <c r="AC63" s="92">
        <f>IFERROR(AVERAGEIFS('Base Kpi'!$AF:$AF,'Base Kpi'!$Y:$Y,Cliente!$E63,'Base Kpi'!$AE:$AE,Cliente!AC$5),0)</f>
        <v>8.5</v>
      </c>
      <c r="AD63" s="92">
        <f>IFERROR(AVERAGEIFS('Base Kpi'!$AF:$AF,'Base Kpi'!$Y:$Y,Cliente!$E63,'Base Kpi'!$AE:$AE,Cliente!AD$5),0)</f>
        <v>13.5</v>
      </c>
      <c r="AE63" s="94">
        <f t="shared" si="61"/>
        <v>51.42</v>
      </c>
      <c r="AF63" s="95">
        <f t="shared" si="62"/>
        <v>0</v>
      </c>
      <c r="AG63" s="60">
        <f t="shared" si="71"/>
        <v>60.793333333333329</v>
      </c>
      <c r="AH63" s="97">
        <f t="shared" si="72"/>
        <v>1</v>
      </c>
      <c r="AI63" s="88">
        <f t="shared" si="63"/>
        <v>1</v>
      </c>
      <c r="AJ63" s="92">
        <f>IFERROR(AVERAGEIFS('Base Kpi'!$AR:$AR,'Base Kpi'!$AK:$AK,Cliente!$E63,'Base Kpi'!$AQ:$AQ,AJ$5),0)</f>
        <v>14.275</v>
      </c>
      <c r="AK63" s="92">
        <f>IFERROR(AVERAGEIFS('Base Kpi'!$AR:$AR,'Base Kpi'!$AK:$AK,Cliente!$E63,'Base Kpi'!$AQ:$AQ,AK$5),0)</f>
        <v>2.5</v>
      </c>
      <c r="AL63" s="92">
        <f>IFERROR(AVERAGEIFS('Base Kpi'!$AR:$AR,'Base Kpi'!$AK:$AK,Cliente!$E63,'Base Kpi'!$AQ:$AQ,AL$5),0)</f>
        <v>6</v>
      </c>
      <c r="AM63" s="92">
        <f>IFERROR(AVERAGEIFS('Base Kpi'!$AR:$AR,'Base Kpi'!$AK:$AK,Cliente!$E63,'Base Kpi'!$AQ:$AQ,AM$5),0)</f>
        <v>25.2</v>
      </c>
      <c r="AN63" s="94">
        <f t="shared" si="53"/>
        <v>47.974999999999994</v>
      </c>
      <c r="AO63" s="95">
        <f t="shared" si="13"/>
        <v>0</v>
      </c>
      <c r="AP63" s="60">
        <f>IFERROR(AVERAGEIFS('Base Kpi'!$BD:$BD,'Base Kpi'!$AW:$AW,Cliente!$E63,'Base Kpi'!$BC:$BC,Cliente!AP$5),0)</f>
        <v>25</v>
      </c>
      <c r="AQ63" s="92">
        <f>IFERROR(AVERAGEIFS('Base Kpi'!$BD:$BD,'Base Kpi'!$AW:$AW,Cliente!$E63,'Base Kpi'!$BC:$BC,Cliente!AQ$5),0)</f>
        <v>1.665</v>
      </c>
      <c r="AR63" s="92">
        <f>IFERROR(AVERAGEIFS('Base Kpi'!$BD:$BD,'Base Kpi'!$AW:$AW,Cliente!$E63,'Base Kpi'!$BC:$BC,Cliente!AR$5),0)</f>
        <v>6</v>
      </c>
      <c r="AS63" s="92">
        <f>IFERROR(AVERAGEIFS('Base Kpi'!$BD:$BD,'Base Kpi'!$AW:$AW,Cliente!$E63,'Base Kpi'!$BC:$BC,Cliente!AS$5),0)</f>
        <v>15.66</v>
      </c>
      <c r="AT63" s="92">
        <f>IFERROR(AVERAGEIFS('Base Kpi'!$BD:$BD,'Base Kpi'!$AW:$AW,Cliente!$E63,'Base Kpi'!$BC:$BC,Cliente!AT$5),0)</f>
        <v>0</v>
      </c>
      <c r="AU63" s="94">
        <f t="shared" si="54"/>
        <v>48.325000000000003</v>
      </c>
      <c r="AV63" s="95">
        <f t="shared" si="78"/>
        <v>1</v>
      </c>
      <c r="AW63" s="60">
        <f>IFERROR(AVERAGEIFS('Base Kpi'!$BP:$BP,'Base Kpi'!$BI:$BI,Cliente!$E63,'Base Kpi'!$BO:$BO,Cliente!AW$5),0)</f>
        <v>21.425000000000001</v>
      </c>
      <c r="AX63" s="92">
        <f>IFERROR(AVERAGEIFS('Base Kpi'!$BP:$BP,'Base Kpi'!$BI:$BI,Cliente!$E63,'Base Kpi'!$BO:$BO,Cliente!AX$5),0)</f>
        <v>3.335</v>
      </c>
      <c r="AY63" s="92">
        <f>IFERROR(AVERAGEIFS('Base Kpi'!$BP:$BP,'Base Kpi'!$BI:$BI,Cliente!$E63,'Base Kpi'!$BO:$BO,Cliente!AY$5),0)</f>
        <v>12</v>
      </c>
      <c r="AZ63" s="92">
        <f>IFERROR(AVERAGEIFS('Base Kpi'!$BP:$BP,'Base Kpi'!$BI:$BI,Cliente!$E63,'Base Kpi'!$BO:$BO,Cliente!AZ$5),0)</f>
        <v>31.32</v>
      </c>
      <c r="BA63" s="92">
        <f>IFERROR(AVERAGEIFS('Base Kpi'!$BP:$BP,'Base Kpi'!$BI:$BI,Cliente!$E63,'Base Kpi'!$BO:$BO,Cliente!BA$5),0)</f>
        <v>18</v>
      </c>
      <c r="BB63" s="94">
        <f t="shared" si="73"/>
        <v>86.080000000000013</v>
      </c>
      <c r="BC63" s="95">
        <f t="shared" si="79"/>
        <v>1</v>
      </c>
      <c r="BD63" s="60">
        <f t="shared" si="42"/>
        <v>28.445000000000004</v>
      </c>
      <c r="BE63" s="97">
        <f t="shared" si="80"/>
        <v>0</v>
      </c>
      <c r="BF63" s="88">
        <f t="shared" si="81"/>
        <v>0</v>
      </c>
      <c r="BG63" s="60">
        <f>IFERROR(AVERAGEIFS('Base Kpi'!$CB:$CB,'Base Kpi'!$BU:$BU,Cliente!$E63,'Base Kpi'!$CA:$CA,Cliente!BG$5),0)</f>
        <v>25</v>
      </c>
      <c r="BH63" s="92">
        <f>IFERROR(AVERAGEIFS('Base Kpi'!$CB:$CB,'Base Kpi'!$BU:$BU,Cliente!$E63,'Base Kpi'!$CA:$CA,Cliente!BH$5),0)</f>
        <v>3.335</v>
      </c>
      <c r="BI63" s="92">
        <f>IFERROR(AVERAGEIFS('Base Kpi'!$CB:$CB,'Base Kpi'!$BU:$BU,Cliente!$E63,'Base Kpi'!$CA:$CA,Cliente!BI$5),0)</f>
        <v>12</v>
      </c>
      <c r="BJ63" s="92">
        <f>IFERROR(AVERAGEIFS('Base Kpi'!$CB:$CB,'Base Kpi'!$BU:$BU,Cliente!$E63,'Base Kpi'!$CA:$CA,Cliente!BJ$5),0)</f>
        <v>36</v>
      </c>
      <c r="BK63" s="92">
        <f>IFERROR(AVERAGEIFS('Base Kpi'!$CB:$CB,'Base Kpi'!$BU:$BU,Cliente!$E63,'Base Kpi'!$CA:$CA,Cliente!BK$5),0)</f>
        <v>9</v>
      </c>
      <c r="BL63" s="94">
        <f t="shared" si="74"/>
        <v>85.335000000000008</v>
      </c>
      <c r="BM63" s="95">
        <f t="shared" si="82"/>
        <v>1</v>
      </c>
      <c r="BN63" s="60">
        <f>IFERROR(AVERAGEIFS('Base Kpi'!$CN:$CN,'Base Kpi'!$CG:$CG,Cliente!$E63,'Base Kpi'!$CM:$CM,Cliente!BN$5),0)</f>
        <v>0</v>
      </c>
      <c r="BO63" s="92">
        <f>IFERROR(AVERAGEIFS('Base Kpi'!$CN:$CN,'Base Kpi'!$CG:$CG,Cliente!$E63,'Base Kpi'!$CM:$CM,Cliente!BO$5),0)</f>
        <v>0</v>
      </c>
      <c r="BP63" s="92">
        <f>IFERROR(AVERAGEIFS('Base Kpi'!$CN:$CN,'Base Kpi'!$CG:$CG,Cliente!$E63,'Base Kpi'!$CM:$CM,Cliente!BP$5),0)</f>
        <v>0</v>
      </c>
      <c r="BQ63" s="92">
        <f>IFERROR(AVERAGEIFS('Base Kpi'!$CN:$CN,'Base Kpi'!$CG:$CG,Cliente!$E63,'Base Kpi'!$CM:$CM,Cliente!BQ$5),0)</f>
        <v>0</v>
      </c>
      <c r="BR63" s="92">
        <f>IFERROR(AVERAGEIFS('Base Kpi'!$CN:$CN,'Base Kpi'!$CG:$CG,Cliente!$E63,'Base Kpi'!$CM:$CM,Cliente!BR$5),0)</f>
        <v>0</v>
      </c>
      <c r="BS63" s="94">
        <f t="shared" si="75"/>
        <v>0</v>
      </c>
      <c r="BT63" s="95">
        <f t="shared" si="83"/>
        <v>0</v>
      </c>
      <c r="BU63" s="60">
        <f>IFERROR(AVERAGEIFS('Base Kpi'!$CZ:$CZ,'Base Kpi'!$CS:$CS,Cliente!$E63,'Base Kpi'!$CY:$CY,Cliente!BU$5),0)</f>
        <v>0</v>
      </c>
      <c r="BV63" s="92">
        <f>IFERROR(AVERAGEIFS('Base Kpi'!$CZ:$CZ,'Base Kpi'!$CS:$CS,Cliente!$E63,'Base Kpi'!$CY:$CY,Cliente!BV$5),0)</f>
        <v>0</v>
      </c>
      <c r="BW63" s="92">
        <f>IFERROR(AVERAGEIFS('Base Kpi'!$CZ:$CZ,'Base Kpi'!$CS:$CS,Cliente!$E63,'Base Kpi'!$CY:$CY,Cliente!BW$5),0)</f>
        <v>0</v>
      </c>
      <c r="BX63" s="92">
        <f>IFERROR(AVERAGEIFS('Base Kpi'!$CZ:$CZ,'Base Kpi'!$CS:$CS,Cliente!$E63,'Base Kpi'!$CY:$CY,Cliente!BX$5),0)</f>
        <v>0</v>
      </c>
      <c r="BY63" s="92">
        <f>IFERROR(AVERAGEIFS('Base Kpi'!$CZ:$CZ,'Base Kpi'!$CS:$CS,Cliente!$E63,'Base Kpi'!$CY:$CY,Cliente!BY$5),0)</f>
        <v>0</v>
      </c>
      <c r="BZ63" s="94">
        <f t="shared" si="76"/>
        <v>0</v>
      </c>
      <c r="CA63" s="95">
        <f t="shared" si="84"/>
        <v>0</v>
      </c>
      <c r="CB63" s="60">
        <f t="shared" si="64"/>
        <v>32.741666666666667</v>
      </c>
      <c r="CC63" s="97">
        <f t="shared" si="65"/>
        <v>0</v>
      </c>
      <c r="CD63" s="43">
        <f t="shared" si="66"/>
        <v>0</v>
      </c>
      <c r="CE63" s="60" cm="1">
        <f t="array" ref="CE63">IFERROR(LARGE(_xlfn._xlws.FILTER('Base Kpi'!$DL:$DL,('Base Kpi'!$DK:$DK=$CE$5)*('Base Kpi'!$DE:$DE=Cliente!$E63)),1),0)</f>
        <v>36.799999999999997</v>
      </c>
      <c r="CF63" s="60" cm="1">
        <f t="array" ref="CF63">IFERROR(LARGE(_xlfn._xlws.FILTER('Base Kpi'!$DL:$DL,('Base Kpi'!$DK:$DK=$CF$5)*('Base Kpi'!$DE:$DE=Cliente!$E63)),1),0)</f>
        <v>5</v>
      </c>
      <c r="CG63" s="60" cm="1">
        <f t="array" ref="CG63">IFERROR(LARGE(_xlfn._xlws.FILTER('Base Kpi'!$DL:$DL,('Base Kpi'!$DK:$DK=$CG$5)*('Base Kpi'!$DE:$DE=Cliente!$E63)),1),0)</f>
        <v>5</v>
      </c>
      <c r="CH63" s="60" cm="1">
        <f t="array" ref="CH63">IFERROR(LARGE(_xlfn._xlws.FILTER('Base Kpi'!$DL:$DL,('Base Kpi'!$DK:$DK=$CH$5)*('Base Kpi'!$DE:$DE=Cliente!$E63)),1),0)</f>
        <v>18</v>
      </c>
      <c r="CI63" s="60" cm="1">
        <f t="array" ref="CI63">IFERROR(LARGE(_xlfn._xlws.FILTER('Base Kpi'!$DL:$DL,('Base Kpi'!$DK:$DK=$CI$5)*('Base Kpi'!$DE:$DE=Cliente!$E63)),1),0)</f>
        <v>21.425000000000001</v>
      </c>
      <c r="CJ63" s="60" cm="1">
        <f t="array" ref="CJ63">IFERROR(LARGE(_xlfn._xlws.FILTER('Base Kpi'!$DL:$DL,('Base Kpi'!$DK:$DK=$CJ$5)*('Base Kpi'!$DE:$DE=Cliente!$E63)),1),0)</f>
        <v>12</v>
      </c>
      <c r="CK63" s="60" cm="1">
        <f t="array" ref="CK63">IFERROR(LARGE(_xlfn._xlws.FILTER('Base Kpi'!$DL:$DL,('Base Kpi'!$DK:$DK=$CK$5)*('Base Kpi'!$DE:$DE=Cliente!$E63)),1),0)</f>
        <v>0</v>
      </c>
      <c r="CL63" s="94">
        <f t="shared" si="77"/>
        <v>98.224999999999994</v>
      </c>
      <c r="CM63" s="95">
        <f t="shared" si="47"/>
        <v>1</v>
      </c>
      <c r="CN63" s="60">
        <f>IFERROR(AVERAGEIFS('Base Kpi'!$DX:$DX,'Base Kpi'!$DQ:$DQ,Cliente!$E63,'Base Kpi'!$DW:$DW,Cliente!CN$5),0)</f>
        <v>0</v>
      </c>
      <c r="CO63" s="92">
        <f>IFERROR(AVERAGEIFS('Base Kpi'!$DX:$DX,'Base Kpi'!$DQ:$DQ,Cliente!$E63,'Base Kpi'!$DW:$DW,Cliente!CO$5),0)</f>
        <v>0</v>
      </c>
      <c r="CP63" s="92">
        <f>IFERROR(AVERAGEIFS('Base Kpi'!$DX:$DX,'Base Kpi'!$DQ:$DQ,Cliente!$E63,'Base Kpi'!$DW:$DW,Cliente!CP$5),0)</f>
        <v>0</v>
      </c>
      <c r="CQ63" s="92">
        <f>IFERROR(AVERAGEIFS('Base Kpi'!$DX:$DX,'Base Kpi'!$DQ:$DQ,Cliente!$E63,'Base Kpi'!$DW:$DW,Cliente!CQ$5),0)</f>
        <v>0</v>
      </c>
      <c r="CR63" s="92">
        <f>IFERROR(AVERAGEIFS('Base Kpi'!$DX:$DX,'Base Kpi'!$DQ:$DQ,Cliente!$E63,'Base Kpi'!$DW:$DW,Cliente!CR$5),0)</f>
        <v>0</v>
      </c>
      <c r="CS63" s="92">
        <f>IFERROR(AVERAGEIFS('Base Kpi'!$DX:$DX,'Base Kpi'!$DQ:$DQ,Cliente!$E63,'Base Kpi'!$DW:$DW,Cliente!CS$5),0)</f>
        <v>0</v>
      </c>
      <c r="CT63" s="92">
        <f>IFERROR(AVERAGEIFS('Base Kpi'!$DX:$DX,'Base Kpi'!$DQ:$DQ,Cliente!$E63,'Base Kpi'!$DW:$DW,Cliente!CT$5),0)</f>
        <v>0</v>
      </c>
      <c r="CU63" s="94">
        <f t="shared" si="67"/>
        <v>0</v>
      </c>
      <c r="CV63" s="95">
        <f t="shared" si="68"/>
        <v>0</v>
      </c>
      <c r="CW63" s="60">
        <f>IFERROR(AVERAGEIFS('Base Kpi'!$EJ:$EJ,'Base Kpi'!$EC:$EC,Cliente!$E63,'Base Kpi'!$EI:$EI,Cliente!CW$5),0)</f>
        <v>0</v>
      </c>
      <c r="CX63" s="92">
        <f>IFERROR(AVERAGEIFS('Base Kpi'!$EJ:$EJ,'Base Kpi'!$EC:$EC,Cliente!$E63,'Base Kpi'!$EI:$EI,Cliente!CX$5),0)</f>
        <v>0</v>
      </c>
      <c r="CY63" s="92">
        <f>IFERROR(AVERAGEIFS('Base Kpi'!$EJ:$EJ,'Base Kpi'!$EC:$EC,Cliente!$E63,'Base Kpi'!$EI:$EI,Cliente!CY$5),0)</f>
        <v>0</v>
      </c>
      <c r="CZ63" s="92">
        <f>IFERROR(AVERAGEIFS('Base Kpi'!$EJ:$EJ,'Base Kpi'!$EC:$EC,Cliente!$E63,'Base Kpi'!$EI:$EI,Cliente!CZ$5),0)</f>
        <v>0</v>
      </c>
      <c r="DA63" s="92">
        <f>IFERROR(AVERAGEIFS('Base Kpi'!$EJ:$EJ,'Base Kpi'!$EC:$EC,Cliente!$E63,'Base Kpi'!$EI:$EI,Cliente!DA$5),0)</f>
        <v>0</v>
      </c>
      <c r="DB63" s="92">
        <f>IFERROR(AVERAGEIFS('Base Kpi'!$EJ:$EJ,'Base Kpi'!$EC:$EC,Cliente!$E63,'Base Kpi'!$EI:$EI,Cliente!DB$5),0)</f>
        <v>0</v>
      </c>
      <c r="DC63" s="92">
        <f>IFERROR(AVERAGEIFS('Base Kpi'!$EJ:$EJ,'Base Kpi'!$EC:$EC,Cliente!$E63,'Base Kpi'!$EI:$EI,Cliente!DC$5),0)</f>
        <v>0</v>
      </c>
      <c r="DD63" s="94">
        <f t="shared" si="69"/>
        <v>0</v>
      </c>
      <c r="DE63" s="95">
        <f t="shared" si="70"/>
        <v>0</v>
      </c>
      <c r="DF63" s="120"/>
    </row>
    <row r="64" spans="2:110" x14ac:dyDescent="0.35">
      <c r="B64" s="101" t="s">
        <v>42</v>
      </c>
      <c r="C64" s="102">
        <v>3655</v>
      </c>
      <c r="D64" s="102" t="s">
        <v>434</v>
      </c>
      <c r="E64" s="102">
        <v>182637</v>
      </c>
      <c r="F64" s="103" t="s">
        <v>117</v>
      </c>
      <c r="G64" s="103" t="s">
        <v>214</v>
      </c>
      <c r="H64" s="103" t="s">
        <v>215</v>
      </c>
      <c r="I64" s="103" t="s">
        <v>176</v>
      </c>
      <c r="J64" s="103" t="s">
        <v>90</v>
      </c>
      <c r="K64" s="108" t="s">
        <v>81</v>
      </c>
      <c r="L64" s="60">
        <f t="shared" si="55"/>
        <v>75.644166666666678</v>
      </c>
      <c r="M64" s="97">
        <f t="shared" si="56"/>
        <v>1</v>
      </c>
      <c r="N64" s="43">
        <f t="shared" si="52"/>
        <v>0</v>
      </c>
      <c r="O64" s="60">
        <f>IFERROR(AVERAGEIFS('Base Kpi'!$I:$I,'Base Kpi'!$B:$B,Cliente!$E64,'Base Kpi'!$G:$G,Cliente!O$5),0)</f>
        <v>30</v>
      </c>
      <c r="P64" s="92">
        <f>IFERROR(AVERAGEIFS('Base Kpi'!$I:$I,'Base Kpi'!$B:$B,Cliente!$E64,'Base Kpi'!$G:$G,Cliente!P$5),0)</f>
        <v>8</v>
      </c>
      <c r="Q64" s="92">
        <f>IFERROR(AVERAGEIFS('Base Kpi'!$I:$I,'Base Kpi'!$B:$B,Cliente!$E64,'Base Kpi'!$G:$G,Cliente!Q$5),0)</f>
        <v>10.199999999999999</v>
      </c>
      <c r="R64" s="92">
        <f>IFERROR(AVERAGEIFS('Base Kpi'!$I:$I,'Base Kpi'!$B:$B,Cliente!$E64,'Base Kpi'!$G:$G,Cliente!R$5),0)</f>
        <v>15.1875</v>
      </c>
      <c r="S64" s="94">
        <f t="shared" si="57"/>
        <v>63.387500000000003</v>
      </c>
      <c r="T64" s="95">
        <f t="shared" si="58"/>
        <v>0</v>
      </c>
      <c r="U64" s="60">
        <f>IFERROR(AVERAGEIFS('Base Kpi'!$T:$T,'Base Kpi'!$M:$M,Cliente!$E64,'Base Kpi'!$S:$S,Cliente!U$5),0)</f>
        <v>25.71</v>
      </c>
      <c r="V64" s="92">
        <f>IFERROR(AVERAGEIFS('Base Kpi'!$T:$T,'Base Kpi'!$M:$M,Cliente!$E64,'Base Kpi'!$S:$S,Cliente!V$5),0)</f>
        <v>8</v>
      </c>
      <c r="W64" s="92">
        <f>IFERROR(AVERAGEIFS('Base Kpi'!$T:$T,'Base Kpi'!$M:$M,Cliente!$E64,'Base Kpi'!$S:$S,Cliente!W$5),0)</f>
        <v>17</v>
      </c>
      <c r="X64" s="92">
        <f>IFERROR(AVERAGEIFS('Base Kpi'!$T:$T,'Base Kpi'!$M:$M,Cliente!$E64,'Base Kpi'!$S:$S,Cliente!X$5),0)</f>
        <v>33.75</v>
      </c>
      <c r="Y64" s="94">
        <f t="shared" si="59"/>
        <v>84.460000000000008</v>
      </c>
      <c r="Z64" s="95">
        <f t="shared" si="60"/>
        <v>1</v>
      </c>
      <c r="AA64" s="60">
        <f>IFERROR(AVERAGEIFS('Base Kpi'!$AF:$AF,'Base Kpi'!$Y:$Y,Cliente!$E64,'Base Kpi'!$AE:$AE,Cliente!AA$5),0)</f>
        <v>25.71</v>
      </c>
      <c r="AB64" s="92">
        <f>IFERROR(AVERAGEIFS('Base Kpi'!$AF:$AF,'Base Kpi'!$Y:$Y,Cliente!$E64,'Base Kpi'!$AE:$AE,Cliente!AB$5),0)</f>
        <v>8</v>
      </c>
      <c r="AC64" s="92">
        <f>IFERROR(AVERAGEIFS('Base Kpi'!$AF:$AF,'Base Kpi'!$Y:$Y,Cliente!$E64,'Base Kpi'!$AE:$AE,Cliente!AC$5),0)</f>
        <v>12.75</v>
      </c>
      <c r="AD64" s="92">
        <f>IFERROR(AVERAGEIFS('Base Kpi'!$AF:$AF,'Base Kpi'!$Y:$Y,Cliente!$E64,'Base Kpi'!$AE:$AE,Cliente!AD$5),0)</f>
        <v>32.625</v>
      </c>
      <c r="AE64" s="94">
        <f t="shared" si="61"/>
        <v>79.085000000000008</v>
      </c>
      <c r="AF64" s="95">
        <f t="shared" si="62"/>
        <v>0</v>
      </c>
      <c r="AG64" s="60">
        <f t="shared" si="71"/>
        <v>69.223333333333329</v>
      </c>
      <c r="AH64" s="97">
        <f t="shared" si="72"/>
        <v>1</v>
      </c>
      <c r="AI64" s="88">
        <f t="shared" si="63"/>
        <v>1</v>
      </c>
      <c r="AJ64" s="92">
        <f>IFERROR(AVERAGEIFS('Base Kpi'!$AR:$AR,'Base Kpi'!$AK:$AK,Cliente!$E64,'Base Kpi'!$AQ:$AQ,AJ$5),0)</f>
        <v>25</v>
      </c>
      <c r="AK64" s="92">
        <f>IFERROR(AVERAGEIFS('Base Kpi'!$AR:$AR,'Base Kpi'!$AK:$AK,Cliente!$E64,'Base Kpi'!$AQ:$AQ,AK$5),0)</f>
        <v>2.5</v>
      </c>
      <c r="AL64" s="92">
        <f>IFERROR(AVERAGEIFS('Base Kpi'!$AR:$AR,'Base Kpi'!$AK:$AK,Cliente!$E64,'Base Kpi'!$AQ:$AQ,AL$5),0)</f>
        <v>6</v>
      </c>
      <c r="AM64" s="92">
        <f>IFERROR(AVERAGEIFS('Base Kpi'!$AR:$AR,'Base Kpi'!$AK:$AK,Cliente!$E64,'Base Kpi'!$AQ:$AQ,AM$5),0)</f>
        <v>31.32</v>
      </c>
      <c r="AN64" s="94">
        <f t="shared" si="53"/>
        <v>64.819999999999993</v>
      </c>
      <c r="AO64" s="95">
        <f t="shared" si="13"/>
        <v>0</v>
      </c>
      <c r="AP64" s="60">
        <f>IFERROR(AVERAGEIFS('Base Kpi'!$BD:$BD,'Base Kpi'!$AW:$AW,Cliente!$E64,'Base Kpi'!$BC:$BC,Cliente!AP$5),0)</f>
        <v>25</v>
      </c>
      <c r="AQ64" s="92">
        <f>IFERROR(AVERAGEIFS('Base Kpi'!$BD:$BD,'Base Kpi'!$AW:$AW,Cliente!$E64,'Base Kpi'!$BC:$BC,Cliente!AQ$5),0)</f>
        <v>1.665</v>
      </c>
      <c r="AR64" s="92">
        <f>IFERROR(AVERAGEIFS('Base Kpi'!$BD:$BD,'Base Kpi'!$AW:$AW,Cliente!$E64,'Base Kpi'!$BC:$BC,Cliente!AR$5),0)</f>
        <v>6</v>
      </c>
      <c r="AS64" s="92">
        <f>IFERROR(AVERAGEIFS('Base Kpi'!$BD:$BD,'Base Kpi'!$AW:$AW,Cliente!$E64,'Base Kpi'!$BC:$BC,Cliente!AS$5),0)</f>
        <v>27.84</v>
      </c>
      <c r="AT64" s="92">
        <f>IFERROR(AVERAGEIFS('Base Kpi'!$BD:$BD,'Base Kpi'!$AW:$AW,Cliente!$E64,'Base Kpi'!$BC:$BC,Cliente!AT$5),0)</f>
        <v>0</v>
      </c>
      <c r="AU64" s="94">
        <f t="shared" si="54"/>
        <v>60.504999999999995</v>
      </c>
      <c r="AV64" s="95">
        <f t="shared" si="78"/>
        <v>1</v>
      </c>
      <c r="AW64" s="60">
        <f>IFERROR(AVERAGEIFS('Base Kpi'!$BP:$BP,'Base Kpi'!$BI:$BI,Cliente!$E64,'Base Kpi'!$BO:$BO,Cliente!AW$5),0)</f>
        <v>25</v>
      </c>
      <c r="AX64" s="92">
        <f>IFERROR(AVERAGEIFS('Base Kpi'!$BP:$BP,'Base Kpi'!$BI:$BI,Cliente!$E64,'Base Kpi'!$BO:$BO,Cliente!AX$5),0)</f>
        <v>1.665</v>
      </c>
      <c r="AY64" s="92">
        <f>IFERROR(AVERAGEIFS('Base Kpi'!$BP:$BP,'Base Kpi'!$BI:$BI,Cliente!$E64,'Base Kpi'!$BO:$BO,Cliente!AY$5),0)</f>
        <v>9</v>
      </c>
      <c r="AZ64" s="92">
        <f>IFERROR(AVERAGEIFS('Base Kpi'!$BP:$BP,'Base Kpi'!$BI:$BI,Cliente!$E64,'Base Kpi'!$BO:$BO,Cliente!AZ$5),0)</f>
        <v>28.68</v>
      </c>
      <c r="BA64" s="92">
        <f>IFERROR(AVERAGEIFS('Base Kpi'!$BP:$BP,'Base Kpi'!$BI:$BI,Cliente!$E64,'Base Kpi'!$BO:$BO,Cliente!BA$5),0)</f>
        <v>18</v>
      </c>
      <c r="BB64" s="94">
        <f t="shared" si="73"/>
        <v>82.344999999999999</v>
      </c>
      <c r="BC64" s="95">
        <f t="shared" si="79"/>
        <v>1</v>
      </c>
      <c r="BD64" s="60">
        <f t="shared" si="42"/>
        <v>81.986666666666665</v>
      </c>
      <c r="BE64" s="97">
        <f t="shared" si="80"/>
        <v>1</v>
      </c>
      <c r="BF64" s="88">
        <f t="shared" si="81"/>
        <v>1</v>
      </c>
      <c r="BG64" s="60">
        <f>IFERROR(AVERAGEIFS('Base Kpi'!$CB:$CB,'Base Kpi'!$BU:$BU,Cliente!$E64,'Base Kpi'!$CA:$CA,Cliente!BG$5),0)</f>
        <v>25</v>
      </c>
      <c r="BH64" s="92">
        <f>IFERROR(AVERAGEIFS('Base Kpi'!$CB:$CB,'Base Kpi'!$BU:$BU,Cliente!$E64,'Base Kpi'!$CA:$CA,Cliente!BH$5),0)</f>
        <v>3.335</v>
      </c>
      <c r="BI64" s="92">
        <f>IFERROR(AVERAGEIFS('Base Kpi'!$CB:$CB,'Base Kpi'!$BU:$BU,Cliente!$E64,'Base Kpi'!$CA:$CA,Cliente!BI$5),0)</f>
        <v>6</v>
      </c>
      <c r="BJ64" s="92">
        <f>IFERROR(AVERAGEIFS('Base Kpi'!$CB:$CB,'Base Kpi'!$BU:$BU,Cliente!$E64,'Base Kpi'!$CA:$CA,Cliente!BJ$5),0)</f>
        <v>25.6</v>
      </c>
      <c r="BK64" s="92">
        <f>IFERROR(AVERAGEIFS('Base Kpi'!$CB:$CB,'Base Kpi'!$BU:$BU,Cliente!$E64,'Base Kpi'!$CA:$CA,Cliente!BK$5),0)</f>
        <v>9</v>
      </c>
      <c r="BL64" s="94">
        <f t="shared" si="74"/>
        <v>68.935000000000002</v>
      </c>
      <c r="BM64" s="95">
        <f t="shared" si="82"/>
        <v>1</v>
      </c>
      <c r="BN64" s="60">
        <f>IFERROR(AVERAGEIFS('Base Kpi'!$CN:$CN,'Base Kpi'!$CG:$CG,Cliente!$E64,'Base Kpi'!$CM:$CM,Cliente!BN$5),0)</f>
        <v>21.425000000000001</v>
      </c>
      <c r="BO64" s="92">
        <f>IFERROR(AVERAGEIFS('Base Kpi'!$CN:$CN,'Base Kpi'!$CG:$CG,Cliente!$E64,'Base Kpi'!$CM:$CM,Cliente!BO$5),0)</f>
        <v>5</v>
      </c>
      <c r="BP64" s="92">
        <f>IFERROR(AVERAGEIFS('Base Kpi'!$CN:$CN,'Base Kpi'!$CG:$CG,Cliente!$E64,'Base Kpi'!$CM:$CM,Cliente!BP$5),0)</f>
        <v>12</v>
      </c>
      <c r="BQ64" s="92">
        <f>IFERROR(AVERAGEIFS('Base Kpi'!$CN:$CN,'Base Kpi'!$CG:$CG,Cliente!$E64,'Base Kpi'!$CM:$CM,Cliente!BQ$5),0)</f>
        <v>32.799999999999997</v>
      </c>
      <c r="BR64" s="92">
        <f>IFERROR(AVERAGEIFS('Base Kpi'!$CN:$CN,'Base Kpi'!$CG:$CG,Cliente!$E64,'Base Kpi'!$CM:$CM,Cliente!BR$5),0)</f>
        <v>9</v>
      </c>
      <c r="BS64" s="94">
        <f t="shared" si="75"/>
        <v>80.224999999999994</v>
      </c>
      <c r="BT64" s="95">
        <f t="shared" si="83"/>
        <v>1</v>
      </c>
      <c r="BU64" s="60">
        <f>IFERROR(AVERAGEIFS('Base Kpi'!$CZ:$CZ,'Base Kpi'!$CS:$CS,Cliente!$E64,'Base Kpi'!$CY:$CY,Cliente!BU$5),0)</f>
        <v>25</v>
      </c>
      <c r="BV64" s="92">
        <f>IFERROR(AVERAGEIFS('Base Kpi'!$CZ:$CZ,'Base Kpi'!$CS:$CS,Cliente!$E64,'Base Kpi'!$CY:$CY,Cliente!BV$5),0)</f>
        <v>5</v>
      </c>
      <c r="BW64" s="92">
        <f>IFERROR(AVERAGEIFS('Base Kpi'!$CZ:$CZ,'Base Kpi'!$CS:$CS,Cliente!$E64,'Base Kpi'!$CY:$CY,Cliente!BW$5),0)</f>
        <v>12</v>
      </c>
      <c r="BX64" s="92">
        <f>IFERROR(AVERAGEIFS('Base Kpi'!$CZ:$CZ,'Base Kpi'!$CS:$CS,Cliente!$E64,'Base Kpi'!$CY:$CY,Cliente!BX$5),0)</f>
        <v>36.799999999999997</v>
      </c>
      <c r="BY64" s="92">
        <f>IFERROR(AVERAGEIFS('Base Kpi'!$CZ:$CZ,'Base Kpi'!$CS:$CS,Cliente!$E64,'Base Kpi'!$CY:$CY,Cliente!BY$5),0)</f>
        <v>18</v>
      </c>
      <c r="BZ64" s="94">
        <f t="shared" si="76"/>
        <v>96.8</v>
      </c>
      <c r="CA64" s="95">
        <f t="shared" si="84"/>
        <v>1</v>
      </c>
      <c r="CB64" s="60">
        <f t="shared" si="64"/>
        <v>62.483333333333327</v>
      </c>
      <c r="CC64" s="97">
        <f t="shared" si="65"/>
        <v>0</v>
      </c>
      <c r="CD64" s="43">
        <f t="shared" si="66"/>
        <v>0</v>
      </c>
      <c r="CE64" s="60" cm="1">
        <f t="array" ref="CE64">IFERROR(LARGE(_xlfn._xlws.FILTER('Base Kpi'!$DL:$DL,('Base Kpi'!$DK:$DK=$CE$5)*('Base Kpi'!$DE:$DE=Cliente!$E64)),1),0)</f>
        <v>36.799999999999997</v>
      </c>
      <c r="CF64" s="60" cm="1">
        <f t="array" ref="CF64">IFERROR(LARGE(_xlfn._xlws.FILTER('Base Kpi'!$DL:$DL,('Base Kpi'!$DK:$DK=$CF$5)*('Base Kpi'!$DE:$DE=Cliente!$E64)),1),0)</f>
        <v>5</v>
      </c>
      <c r="CG64" s="60" cm="1">
        <f t="array" ref="CG64">IFERROR(LARGE(_xlfn._xlws.FILTER('Base Kpi'!$DL:$DL,('Base Kpi'!$DK:$DK=$CG$5)*('Base Kpi'!$DE:$DE=Cliente!$E64)),1),0)</f>
        <v>5</v>
      </c>
      <c r="CH64" s="60" cm="1">
        <f t="array" ref="CH64">IFERROR(LARGE(_xlfn._xlws.FILTER('Base Kpi'!$DL:$DL,('Base Kpi'!$DK:$DK=$CH$5)*('Base Kpi'!$DE:$DE=Cliente!$E64)),1),0)</f>
        <v>18</v>
      </c>
      <c r="CI64" s="60" cm="1">
        <f t="array" ref="CI64">IFERROR(LARGE(_xlfn._xlws.FILTER('Base Kpi'!$DL:$DL,('Base Kpi'!$DK:$DK=$CI$5)*('Base Kpi'!$DE:$DE=Cliente!$E64)),1),0)</f>
        <v>21.425000000000001</v>
      </c>
      <c r="CJ64" s="60" cm="1">
        <f t="array" ref="CJ64">IFERROR(LARGE(_xlfn._xlws.FILTER('Base Kpi'!$DL:$DL,('Base Kpi'!$DK:$DK=$CJ$5)*('Base Kpi'!$DE:$DE=Cliente!$E64)),1),0)</f>
        <v>12</v>
      </c>
      <c r="CK64" s="60" cm="1">
        <f t="array" ref="CK64">IFERROR(LARGE(_xlfn._xlws.FILTER('Base Kpi'!$DL:$DL,('Base Kpi'!$DK:$DK=$CK$5)*('Base Kpi'!$DE:$DE=Cliente!$E64)),1),0)</f>
        <v>0</v>
      </c>
      <c r="CL64" s="94">
        <f t="shared" si="77"/>
        <v>98.224999999999994</v>
      </c>
      <c r="CM64" s="95">
        <f t="shared" si="47"/>
        <v>1</v>
      </c>
      <c r="CN64" s="60">
        <f>IFERROR(AVERAGEIFS('Base Kpi'!$DX:$DX,'Base Kpi'!$DQ:$DQ,Cliente!$E64,'Base Kpi'!$DW:$DW,Cliente!CN$5),0)</f>
        <v>36.799999999999997</v>
      </c>
      <c r="CO64" s="92">
        <f>IFERROR(AVERAGEIFS('Base Kpi'!$DX:$DX,'Base Kpi'!$DQ:$DQ,Cliente!$E64,'Base Kpi'!$DW:$DW,Cliente!CO$5),0)</f>
        <v>5</v>
      </c>
      <c r="CP64" s="92">
        <f>IFERROR(AVERAGEIFS('Base Kpi'!$DX:$DX,'Base Kpi'!$DQ:$DQ,Cliente!$E64,'Base Kpi'!$DW:$DW,Cliente!CP$5),0)</f>
        <v>5</v>
      </c>
      <c r="CQ64" s="92">
        <f>IFERROR(AVERAGEIFS('Base Kpi'!$DX:$DX,'Base Kpi'!$DQ:$DQ,Cliente!$E64,'Base Kpi'!$DW:$DW,Cliente!CQ$5),0)</f>
        <v>9</v>
      </c>
      <c r="CR64" s="92">
        <f>IFERROR(AVERAGEIFS('Base Kpi'!$DX:$DX,'Base Kpi'!$DQ:$DQ,Cliente!$E64,'Base Kpi'!$DW:$DW,Cliente!CR$5),0)</f>
        <v>21.425000000000001</v>
      </c>
      <c r="CS64" s="92">
        <f>IFERROR(AVERAGEIFS('Base Kpi'!$DX:$DX,'Base Kpi'!$DQ:$DQ,Cliente!$E64,'Base Kpi'!$DW:$DW,Cliente!CS$5),0)</f>
        <v>12</v>
      </c>
      <c r="CT64" s="92">
        <f>IFERROR(AVERAGEIFS('Base Kpi'!$DX:$DX,'Base Kpi'!$DQ:$DQ,Cliente!$E64,'Base Kpi'!$DW:$DW,Cliente!CT$5),0)</f>
        <v>0</v>
      </c>
      <c r="CU64" s="94">
        <f t="shared" si="67"/>
        <v>89.224999999999994</v>
      </c>
      <c r="CV64" s="95">
        <f t="shared" si="68"/>
        <v>1</v>
      </c>
      <c r="CW64" s="60">
        <f>IFERROR(AVERAGEIFS('Base Kpi'!$EJ:$EJ,'Base Kpi'!$EC:$EC,Cliente!$E64,'Base Kpi'!$EI:$EI,Cliente!CW$5),0)</f>
        <v>0</v>
      </c>
      <c r="CX64" s="92">
        <f>IFERROR(AVERAGEIFS('Base Kpi'!$EJ:$EJ,'Base Kpi'!$EC:$EC,Cliente!$E64,'Base Kpi'!$EI:$EI,Cliente!CX$5),0)</f>
        <v>0</v>
      </c>
      <c r="CY64" s="92">
        <f>IFERROR(AVERAGEIFS('Base Kpi'!$EJ:$EJ,'Base Kpi'!$EC:$EC,Cliente!$E64,'Base Kpi'!$EI:$EI,Cliente!CY$5),0)</f>
        <v>0</v>
      </c>
      <c r="CZ64" s="92">
        <f>IFERROR(AVERAGEIFS('Base Kpi'!$EJ:$EJ,'Base Kpi'!$EC:$EC,Cliente!$E64,'Base Kpi'!$EI:$EI,Cliente!CZ$5),0)</f>
        <v>0</v>
      </c>
      <c r="DA64" s="92">
        <f>IFERROR(AVERAGEIFS('Base Kpi'!$EJ:$EJ,'Base Kpi'!$EC:$EC,Cliente!$E64,'Base Kpi'!$EI:$EI,Cliente!DA$5),0)</f>
        <v>0</v>
      </c>
      <c r="DB64" s="92">
        <f>IFERROR(AVERAGEIFS('Base Kpi'!$EJ:$EJ,'Base Kpi'!$EC:$EC,Cliente!$E64,'Base Kpi'!$EI:$EI,Cliente!DB$5),0)</f>
        <v>0</v>
      </c>
      <c r="DC64" s="92">
        <f>IFERROR(AVERAGEIFS('Base Kpi'!$EJ:$EJ,'Base Kpi'!$EC:$EC,Cliente!$E64,'Base Kpi'!$EI:$EI,Cliente!DC$5),0)</f>
        <v>0</v>
      </c>
      <c r="DD64" s="94">
        <f t="shared" si="69"/>
        <v>0</v>
      </c>
      <c r="DE64" s="95">
        <f t="shared" si="70"/>
        <v>0</v>
      </c>
      <c r="DF64" s="120"/>
    </row>
    <row r="65" spans="2:110" x14ac:dyDescent="0.35">
      <c r="B65" s="101" t="s">
        <v>42</v>
      </c>
      <c r="C65" s="102">
        <v>3655</v>
      </c>
      <c r="D65" s="102" t="s">
        <v>434</v>
      </c>
      <c r="E65" s="102">
        <v>182638</v>
      </c>
      <c r="F65" s="103" t="s">
        <v>67</v>
      </c>
      <c r="G65" s="103" t="s">
        <v>216</v>
      </c>
      <c r="H65" s="103" t="s">
        <v>217</v>
      </c>
      <c r="I65" s="103" t="s">
        <v>176</v>
      </c>
      <c r="J65" s="103" t="s">
        <v>90</v>
      </c>
      <c r="K65" s="108" t="s">
        <v>81</v>
      </c>
      <c r="L65" s="60">
        <f t="shared" si="55"/>
        <v>33.550833333333337</v>
      </c>
      <c r="M65" s="97">
        <f t="shared" si="56"/>
        <v>0</v>
      </c>
      <c r="N65" s="43">
        <f t="shared" si="52"/>
        <v>0</v>
      </c>
      <c r="O65" s="60">
        <f>IFERROR(AVERAGEIFS('Base Kpi'!$I:$I,'Base Kpi'!$B:$B,Cliente!$E65,'Base Kpi'!$G:$G,Cliente!O$5),0)</f>
        <v>12.87</v>
      </c>
      <c r="P65" s="92">
        <f>IFERROR(AVERAGEIFS('Base Kpi'!$I:$I,'Base Kpi'!$B:$B,Cliente!$E65,'Base Kpi'!$G:$G,Cliente!P$5),0)</f>
        <v>0</v>
      </c>
      <c r="Q65" s="92">
        <f>IFERROR(AVERAGEIFS('Base Kpi'!$I:$I,'Base Kpi'!$B:$B,Cliente!$E65,'Base Kpi'!$G:$G,Cliente!Q$5),0)</f>
        <v>6.8</v>
      </c>
      <c r="R65" s="92">
        <f>IFERROR(AVERAGEIFS('Base Kpi'!$I:$I,'Base Kpi'!$B:$B,Cliente!$E65,'Base Kpi'!$G:$G,Cliente!R$5),0)</f>
        <v>14.0625</v>
      </c>
      <c r="S65" s="94">
        <f t="shared" si="57"/>
        <v>33.732500000000002</v>
      </c>
      <c r="T65" s="95">
        <f t="shared" si="58"/>
        <v>0</v>
      </c>
      <c r="U65" s="60">
        <f>IFERROR(AVERAGEIFS('Base Kpi'!$T:$T,'Base Kpi'!$M:$M,Cliente!$E65,'Base Kpi'!$S:$S,Cliente!U$5),0)</f>
        <v>0</v>
      </c>
      <c r="V65" s="92">
        <f>IFERROR(AVERAGEIFS('Base Kpi'!$T:$T,'Base Kpi'!$M:$M,Cliente!$E65,'Base Kpi'!$S:$S,Cliente!V$5),0)</f>
        <v>0</v>
      </c>
      <c r="W65" s="92">
        <f>IFERROR(AVERAGEIFS('Base Kpi'!$T:$T,'Base Kpi'!$M:$M,Cliente!$E65,'Base Kpi'!$S:$S,Cliente!W$5),0)</f>
        <v>0</v>
      </c>
      <c r="X65" s="92">
        <f>IFERROR(AVERAGEIFS('Base Kpi'!$T:$T,'Base Kpi'!$M:$M,Cliente!$E65,'Base Kpi'!$S:$S,Cliente!X$5),0)</f>
        <v>0</v>
      </c>
      <c r="Y65" s="94">
        <f t="shared" si="59"/>
        <v>0</v>
      </c>
      <c r="Z65" s="95">
        <f t="shared" si="60"/>
        <v>0</v>
      </c>
      <c r="AA65" s="60">
        <f>IFERROR(AVERAGEIFS('Base Kpi'!$AF:$AF,'Base Kpi'!$Y:$Y,Cliente!$E65,'Base Kpi'!$AE:$AE,Cliente!AA$5),0)</f>
        <v>21.42</v>
      </c>
      <c r="AB65" s="92">
        <f>IFERROR(AVERAGEIFS('Base Kpi'!$AF:$AF,'Base Kpi'!$Y:$Y,Cliente!$E65,'Base Kpi'!$AE:$AE,Cliente!AB$5),0)</f>
        <v>8</v>
      </c>
      <c r="AC65" s="92">
        <f>IFERROR(AVERAGEIFS('Base Kpi'!$AF:$AF,'Base Kpi'!$Y:$Y,Cliente!$E65,'Base Kpi'!$AE:$AE,Cliente!AC$5),0)</f>
        <v>12.75</v>
      </c>
      <c r="AD65" s="92">
        <f>IFERROR(AVERAGEIFS('Base Kpi'!$AF:$AF,'Base Kpi'!$Y:$Y,Cliente!$E65,'Base Kpi'!$AE:$AE,Cliente!AD$5),0)</f>
        <v>24.75</v>
      </c>
      <c r="AE65" s="94">
        <f t="shared" si="61"/>
        <v>66.92</v>
      </c>
      <c r="AF65" s="95">
        <f t="shared" si="62"/>
        <v>0</v>
      </c>
      <c r="AG65" s="60">
        <f t="shared" si="71"/>
        <v>62.52</v>
      </c>
      <c r="AH65" s="97">
        <f t="shared" si="72"/>
        <v>1</v>
      </c>
      <c r="AI65" s="88">
        <f t="shared" si="63"/>
        <v>1</v>
      </c>
      <c r="AJ65" s="92">
        <f>IFERROR(AVERAGEIFS('Base Kpi'!$AR:$AR,'Base Kpi'!$AK:$AK,Cliente!$E65,'Base Kpi'!$AQ:$AQ,AJ$5),0)</f>
        <v>25</v>
      </c>
      <c r="AK65" s="92">
        <f>IFERROR(AVERAGEIFS('Base Kpi'!$AR:$AR,'Base Kpi'!$AK:$AK,Cliente!$E65,'Base Kpi'!$AQ:$AQ,AK$5),0)</f>
        <v>2.5</v>
      </c>
      <c r="AL65" s="92">
        <f>IFERROR(AVERAGEIFS('Base Kpi'!$AR:$AR,'Base Kpi'!$AK:$AK,Cliente!$E65,'Base Kpi'!$AQ:$AQ,AL$5),0)</f>
        <v>6</v>
      </c>
      <c r="AM65" s="92">
        <f>IFERROR(AVERAGEIFS('Base Kpi'!$AR:$AR,'Base Kpi'!$AK:$AK,Cliente!$E65,'Base Kpi'!$AQ:$AQ,AM$5),0)</f>
        <v>26.96</v>
      </c>
      <c r="AN65" s="94">
        <f t="shared" si="53"/>
        <v>60.46</v>
      </c>
      <c r="AO65" s="95">
        <f t="shared" si="13"/>
        <v>0</v>
      </c>
      <c r="AP65" s="60">
        <f>IFERROR(AVERAGEIFS('Base Kpi'!$BD:$BD,'Base Kpi'!$AW:$AW,Cliente!$E65,'Base Kpi'!$BC:$BC,Cliente!AP$5),0)</f>
        <v>21.425000000000001</v>
      </c>
      <c r="AQ65" s="92">
        <f>IFERROR(AVERAGEIFS('Base Kpi'!$BD:$BD,'Base Kpi'!$AW:$AW,Cliente!$E65,'Base Kpi'!$BC:$BC,Cliente!AQ$5),0)</f>
        <v>1.665</v>
      </c>
      <c r="AR65" s="92">
        <f>IFERROR(AVERAGEIFS('Base Kpi'!$BD:$BD,'Base Kpi'!$AW:$AW,Cliente!$E65,'Base Kpi'!$BC:$BC,Cliente!AR$5),0)</f>
        <v>9</v>
      </c>
      <c r="AS65" s="92">
        <f>IFERROR(AVERAGEIFS('Base Kpi'!$BD:$BD,'Base Kpi'!$AW:$AW,Cliente!$E65,'Base Kpi'!$BC:$BC,Cliente!AS$5),0)</f>
        <v>28.68</v>
      </c>
      <c r="AT65" s="92">
        <f>IFERROR(AVERAGEIFS('Base Kpi'!$BD:$BD,'Base Kpi'!$AW:$AW,Cliente!$E65,'Base Kpi'!$BC:$BC,Cliente!AT$5),0)</f>
        <v>0</v>
      </c>
      <c r="AU65" s="94">
        <f t="shared" si="54"/>
        <v>60.77</v>
      </c>
      <c r="AV65" s="95">
        <f t="shared" si="78"/>
        <v>1</v>
      </c>
      <c r="AW65" s="60">
        <f>IFERROR(AVERAGEIFS('Base Kpi'!$BP:$BP,'Base Kpi'!$BI:$BI,Cliente!$E65,'Base Kpi'!$BO:$BO,Cliente!AW$5),0)</f>
        <v>14.275</v>
      </c>
      <c r="AX65" s="92">
        <f>IFERROR(AVERAGEIFS('Base Kpi'!$BP:$BP,'Base Kpi'!$BI:$BI,Cliente!$E65,'Base Kpi'!$BO:$BO,Cliente!AX$5),0)</f>
        <v>3.335</v>
      </c>
      <c r="AY65" s="92">
        <f>IFERROR(AVERAGEIFS('Base Kpi'!$BP:$BP,'Base Kpi'!$BI:$BI,Cliente!$E65,'Base Kpi'!$BO:$BO,Cliente!AY$5),0)</f>
        <v>9</v>
      </c>
      <c r="AZ65" s="92">
        <f>IFERROR(AVERAGEIFS('Base Kpi'!$BP:$BP,'Base Kpi'!$BI:$BI,Cliente!$E65,'Base Kpi'!$BO:$BO,Cliente!AZ$5),0)</f>
        <v>21.72</v>
      </c>
      <c r="BA65" s="92">
        <f>IFERROR(AVERAGEIFS('Base Kpi'!$BP:$BP,'Base Kpi'!$BI:$BI,Cliente!$E65,'Base Kpi'!$BO:$BO,Cliente!BA$5),0)</f>
        <v>18</v>
      </c>
      <c r="BB65" s="94">
        <f t="shared" si="73"/>
        <v>66.33</v>
      </c>
      <c r="BC65" s="95">
        <f t="shared" si="79"/>
        <v>1</v>
      </c>
      <c r="BD65" s="60">
        <f t="shared" si="42"/>
        <v>59.911666666666669</v>
      </c>
      <c r="BE65" s="97">
        <f t="shared" si="80"/>
        <v>0</v>
      </c>
      <c r="BF65" s="88">
        <f t="shared" si="81"/>
        <v>0</v>
      </c>
      <c r="BG65" s="60">
        <f>IFERROR(AVERAGEIFS('Base Kpi'!$CB:$CB,'Base Kpi'!$BU:$BU,Cliente!$E65,'Base Kpi'!$CA:$CA,Cliente!BG$5),0)</f>
        <v>25</v>
      </c>
      <c r="BH65" s="92">
        <f>IFERROR(AVERAGEIFS('Base Kpi'!$CB:$CB,'Base Kpi'!$BU:$BU,Cliente!$E65,'Base Kpi'!$CA:$CA,Cliente!BH$5),0)</f>
        <v>3.335</v>
      </c>
      <c r="BI65" s="92">
        <f>IFERROR(AVERAGEIFS('Base Kpi'!$CB:$CB,'Base Kpi'!$BU:$BU,Cliente!$E65,'Base Kpi'!$CA:$CA,Cliente!BI$5),0)</f>
        <v>12</v>
      </c>
      <c r="BJ65" s="92">
        <f>IFERROR(AVERAGEIFS('Base Kpi'!$CB:$CB,'Base Kpi'!$BU:$BU,Cliente!$E65,'Base Kpi'!$CA:$CA,Cliente!BJ$5),0)</f>
        <v>33.6</v>
      </c>
      <c r="BK65" s="92">
        <f>IFERROR(AVERAGEIFS('Base Kpi'!$CB:$CB,'Base Kpi'!$BU:$BU,Cliente!$E65,'Base Kpi'!$CA:$CA,Cliente!BK$5),0)</f>
        <v>9</v>
      </c>
      <c r="BL65" s="94">
        <f t="shared" si="74"/>
        <v>82.935000000000002</v>
      </c>
      <c r="BM65" s="95">
        <f t="shared" si="82"/>
        <v>1</v>
      </c>
      <c r="BN65" s="60">
        <f>IFERROR(AVERAGEIFS('Base Kpi'!$CN:$CN,'Base Kpi'!$CG:$CG,Cliente!$E65,'Base Kpi'!$CM:$CM,Cliente!BN$5),0)</f>
        <v>0</v>
      </c>
      <c r="BO65" s="92">
        <f>IFERROR(AVERAGEIFS('Base Kpi'!$CN:$CN,'Base Kpi'!$CG:$CG,Cliente!$E65,'Base Kpi'!$CM:$CM,Cliente!BO$5),0)</f>
        <v>0</v>
      </c>
      <c r="BP65" s="92">
        <f>IFERROR(AVERAGEIFS('Base Kpi'!$CN:$CN,'Base Kpi'!$CG:$CG,Cliente!$E65,'Base Kpi'!$CM:$CM,Cliente!BP$5),0)</f>
        <v>0</v>
      </c>
      <c r="BQ65" s="92">
        <f>IFERROR(AVERAGEIFS('Base Kpi'!$CN:$CN,'Base Kpi'!$CG:$CG,Cliente!$E65,'Base Kpi'!$CM:$CM,Cliente!BQ$5),0)</f>
        <v>0</v>
      </c>
      <c r="BR65" s="92">
        <f>IFERROR(AVERAGEIFS('Base Kpi'!$CN:$CN,'Base Kpi'!$CG:$CG,Cliente!$E65,'Base Kpi'!$CM:$CM,Cliente!BR$5),0)</f>
        <v>0</v>
      </c>
      <c r="BS65" s="94">
        <f t="shared" si="75"/>
        <v>0</v>
      </c>
      <c r="BT65" s="95">
        <f t="shared" si="83"/>
        <v>0</v>
      </c>
      <c r="BU65" s="60">
        <f>IFERROR(AVERAGEIFS('Base Kpi'!$CZ:$CZ,'Base Kpi'!$CS:$CS,Cliente!$E65,'Base Kpi'!$CY:$CY,Cliente!BU$5),0)</f>
        <v>25</v>
      </c>
      <c r="BV65" s="92">
        <f>IFERROR(AVERAGEIFS('Base Kpi'!$CZ:$CZ,'Base Kpi'!$CS:$CS,Cliente!$E65,'Base Kpi'!$CY:$CY,Cliente!BV$5),0)</f>
        <v>5</v>
      </c>
      <c r="BW65" s="92">
        <f>IFERROR(AVERAGEIFS('Base Kpi'!$CZ:$CZ,'Base Kpi'!$CS:$CS,Cliente!$E65,'Base Kpi'!$CY:$CY,Cliente!BW$5),0)</f>
        <v>12</v>
      </c>
      <c r="BX65" s="92">
        <f>IFERROR(AVERAGEIFS('Base Kpi'!$CZ:$CZ,'Base Kpi'!$CS:$CS,Cliente!$E65,'Base Kpi'!$CY:$CY,Cliente!BX$5),0)</f>
        <v>36.799999999999997</v>
      </c>
      <c r="BY65" s="92">
        <f>IFERROR(AVERAGEIFS('Base Kpi'!$CZ:$CZ,'Base Kpi'!$CS:$CS,Cliente!$E65,'Base Kpi'!$CY:$CY,Cliente!BY$5),0)</f>
        <v>18</v>
      </c>
      <c r="BZ65" s="94">
        <f t="shared" si="76"/>
        <v>96.8</v>
      </c>
      <c r="CA65" s="95">
        <f t="shared" si="84"/>
        <v>1</v>
      </c>
      <c r="CB65" s="60">
        <f t="shared" si="64"/>
        <v>66.075000000000003</v>
      </c>
      <c r="CC65" s="97">
        <f t="shared" si="65"/>
        <v>0</v>
      </c>
      <c r="CD65" s="43">
        <f t="shared" si="66"/>
        <v>0</v>
      </c>
      <c r="CE65" s="60" cm="1">
        <f t="array" ref="CE65">IFERROR(LARGE(_xlfn._xlws.FILTER('Base Kpi'!$DL:$DL,('Base Kpi'!$DK:$DK=$CE$5)*('Base Kpi'!$DE:$DE=Cliente!$E65)),1),0)</f>
        <v>36.799999999999997</v>
      </c>
      <c r="CF65" s="60" cm="1">
        <f t="array" ref="CF65">IFERROR(LARGE(_xlfn._xlws.FILTER('Base Kpi'!$DL:$DL,('Base Kpi'!$DK:$DK=$CF$5)*('Base Kpi'!$DE:$DE=Cliente!$E65)),1),0)</f>
        <v>3.2</v>
      </c>
      <c r="CG65" s="60" cm="1">
        <f t="array" ref="CG65">IFERROR(LARGE(_xlfn._xlws.FILTER('Base Kpi'!$DL:$DL,('Base Kpi'!$DK:$DK=$CG$5)*('Base Kpi'!$DE:$DE=Cliente!$E65)),1),0)</f>
        <v>5</v>
      </c>
      <c r="CH65" s="60" cm="1">
        <f t="array" ref="CH65">IFERROR(LARGE(_xlfn._xlws.FILTER('Base Kpi'!$DL:$DL,('Base Kpi'!$DK:$DK=$CH$5)*('Base Kpi'!$DE:$DE=Cliente!$E65)),1),0)</f>
        <v>18</v>
      </c>
      <c r="CI65" s="60" cm="1">
        <f t="array" ref="CI65">IFERROR(LARGE(_xlfn._xlws.FILTER('Base Kpi'!$DL:$DL,('Base Kpi'!$DK:$DK=$CI$5)*('Base Kpi'!$DE:$DE=Cliente!$E65)),1),0)</f>
        <v>25</v>
      </c>
      <c r="CJ65" s="60" cm="1">
        <f t="array" ref="CJ65">IFERROR(LARGE(_xlfn._xlws.FILTER('Base Kpi'!$DL:$DL,('Base Kpi'!$DK:$DK=$CJ$5)*('Base Kpi'!$DE:$DE=Cliente!$E65)),1),0)</f>
        <v>12</v>
      </c>
      <c r="CK65" s="60" cm="1">
        <f t="array" ref="CK65">IFERROR(LARGE(_xlfn._xlws.FILTER('Base Kpi'!$DL:$DL,('Base Kpi'!$DK:$DK=$CK$5)*('Base Kpi'!$DE:$DE=Cliente!$E65)),1),0)</f>
        <v>0</v>
      </c>
      <c r="CL65" s="94">
        <f t="shared" si="77"/>
        <v>100</v>
      </c>
      <c r="CM65" s="95">
        <f t="shared" si="47"/>
        <v>1</v>
      </c>
      <c r="CN65" s="60">
        <f>IFERROR(AVERAGEIFS('Base Kpi'!$DX:$DX,'Base Kpi'!$DQ:$DQ,Cliente!$E65,'Base Kpi'!$DW:$DW,Cliente!CN$5),0)</f>
        <v>36.799999999999997</v>
      </c>
      <c r="CO65" s="92">
        <f>IFERROR(AVERAGEIFS('Base Kpi'!$DX:$DX,'Base Kpi'!$DQ:$DQ,Cliente!$E65,'Base Kpi'!$DW:$DW,Cliente!CO$5),0)</f>
        <v>5</v>
      </c>
      <c r="CP65" s="92">
        <f>IFERROR(AVERAGEIFS('Base Kpi'!$DX:$DX,'Base Kpi'!$DQ:$DQ,Cliente!$E65,'Base Kpi'!$DW:$DW,Cliente!CP$5),0)</f>
        <v>5</v>
      </c>
      <c r="CQ65" s="92">
        <f>IFERROR(AVERAGEIFS('Base Kpi'!$DX:$DX,'Base Kpi'!$DQ:$DQ,Cliente!$E65,'Base Kpi'!$DW:$DW,Cliente!CQ$5),0)</f>
        <v>18</v>
      </c>
      <c r="CR65" s="92">
        <f>IFERROR(AVERAGEIFS('Base Kpi'!$DX:$DX,'Base Kpi'!$DQ:$DQ,Cliente!$E65,'Base Kpi'!$DW:$DW,Cliente!CR$5),0)</f>
        <v>21.425000000000001</v>
      </c>
      <c r="CS65" s="92">
        <f>IFERROR(AVERAGEIFS('Base Kpi'!$DX:$DX,'Base Kpi'!$DQ:$DQ,Cliente!$E65,'Base Kpi'!$DW:$DW,Cliente!CS$5),0)</f>
        <v>12</v>
      </c>
      <c r="CT65" s="92">
        <f>IFERROR(AVERAGEIFS('Base Kpi'!$DX:$DX,'Base Kpi'!$DQ:$DQ,Cliente!$E65,'Base Kpi'!$DW:$DW,Cliente!CT$5),0)</f>
        <v>0</v>
      </c>
      <c r="CU65" s="94">
        <f t="shared" si="67"/>
        <v>98.224999999999994</v>
      </c>
      <c r="CV65" s="95">
        <f t="shared" si="68"/>
        <v>1</v>
      </c>
      <c r="CW65" s="60">
        <f>IFERROR(AVERAGEIFS('Base Kpi'!$EJ:$EJ,'Base Kpi'!$EC:$EC,Cliente!$E65,'Base Kpi'!$EI:$EI,Cliente!CW$5),0)</f>
        <v>0</v>
      </c>
      <c r="CX65" s="92">
        <f>IFERROR(AVERAGEIFS('Base Kpi'!$EJ:$EJ,'Base Kpi'!$EC:$EC,Cliente!$E65,'Base Kpi'!$EI:$EI,Cliente!CX$5),0)</f>
        <v>0</v>
      </c>
      <c r="CY65" s="92">
        <f>IFERROR(AVERAGEIFS('Base Kpi'!$EJ:$EJ,'Base Kpi'!$EC:$EC,Cliente!$E65,'Base Kpi'!$EI:$EI,Cliente!CY$5),0)</f>
        <v>0</v>
      </c>
      <c r="CZ65" s="92">
        <f>IFERROR(AVERAGEIFS('Base Kpi'!$EJ:$EJ,'Base Kpi'!$EC:$EC,Cliente!$E65,'Base Kpi'!$EI:$EI,Cliente!CZ$5),0)</f>
        <v>0</v>
      </c>
      <c r="DA65" s="92">
        <f>IFERROR(AVERAGEIFS('Base Kpi'!$EJ:$EJ,'Base Kpi'!$EC:$EC,Cliente!$E65,'Base Kpi'!$EI:$EI,Cliente!DA$5),0)</f>
        <v>0</v>
      </c>
      <c r="DB65" s="92">
        <f>IFERROR(AVERAGEIFS('Base Kpi'!$EJ:$EJ,'Base Kpi'!$EC:$EC,Cliente!$E65,'Base Kpi'!$EI:$EI,Cliente!DB$5),0)</f>
        <v>0</v>
      </c>
      <c r="DC65" s="92">
        <f>IFERROR(AVERAGEIFS('Base Kpi'!$EJ:$EJ,'Base Kpi'!$EC:$EC,Cliente!$E65,'Base Kpi'!$EI:$EI,Cliente!DC$5),0)</f>
        <v>0</v>
      </c>
      <c r="DD65" s="94">
        <f t="shared" si="69"/>
        <v>0</v>
      </c>
      <c r="DE65" s="95">
        <f t="shared" si="70"/>
        <v>0</v>
      </c>
      <c r="DF65" s="120"/>
    </row>
    <row r="66" spans="2:110" x14ac:dyDescent="0.35">
      <c r="B66" s="101" t="s">
        <v>42</v>
      </c>
      <c r="C66" s="102">
        <v>3655</v>
      </c>
      <c r="D66" s="102" t="s">
        <v>434</v>
      </c>
      <c r="E66" s="102">
        <v>182640</v>
      </c>
      <c r="F66" s="103" t="s">
        <v>67</v>
      </c>
      <c r="G66" s="103" t="s">
        <v>218</v>
      </c>
      <c r="H66" s="103" t="s">
        <v>219</v>
      </c>
      <c r="I66" s="103" t="s">
        <v>220</v>
      </c>
      <c r="J66" s="103" t="s">
        <v>90</v>
      </c>
      <c r="K66" s="108" t="s">
        <v>81</v>
      </c>
      <c r="L66" s="60">
        <f t="shared" si="55"/>
        <v>73.401666666666671</v>
      </c>
      <c r="M66" s="97">
        <f t="shared" si="56"/>
        <v>1</v>
      </c>
      <c r="N66" s="43">
        <f t="shared" ref="N66:N75" si="85">IF(M66=0,0,IF(L66&gt;=80,1,0))</f>
        <v>0</v>
      </c>
      <c r="O66" s="60">
        <f>IFERROR(AVERAGEIFS('Base Kpi'!$I:$I,'Base Kpi'!$B:$B,Cliente!$E66,'Base Kpi'!$G:$G,Cliente!O$5),0)</f>
        <v>21.42</v>
      </c>
      <c r="P66" s="92">
        <f>IFERROR(AVERAGEIFS('Base Kpi'!$I:$I,'Base Kpi'!$B:$B,Cliente!$E66,'Base Kpi'!$G:$G,Cliente!P$5),0)</f>
        <v>0</v>
      </c>
      <c r="Q66" s="92">
        <f>IFERROR(AVERAGEIFS('Base Kpi'!$I:$I,'Base Kpi'!$B:$B,Cliente!$E66,'Base Kpi'!$G:$G,Cliente!Q$5),0)</f>
        <v>10.199999999999999</v>
      </c>
      <c r="R66" s="92">
        <f>IFERROR(AVERAGEIFS('Base Kpi'!$I:$I,'Base Kpi'!$B:$B,Cliente!$E66,'Base Kpi'!$G:$G,Cliente!R$5),0)</f>
        <v>33.75</v>
      </c>
      <c r="S66" s="94">
        <f t="shared" si="57"/>
        <v>65.37</v>
      </c>
      <c r="T66" s="95">
        <f t="shared" si="58"/>
        <v>0</v>
      </c>
      <c r="U66" s="60">
        <f>IFERROR(AVERAGEIFS('Base Kpi'!$T:$T,'Base Kpi'!$M:$M,Cliente!$E66,'Base Kpi'!$S:$S,Cliente!U$5),0)</f>
        <v>25.71</v>
      </c>
      <c r="V66" s="92">
        <f>IFERROR(AVERAGEIFS('Base Kpi'!$T:$T,'Base Kpi'!$M:$M,Cliente!$E66,'Base Kpi'!$S:$S,Cliente!V$5),0)</f>
        <v>8</v>
      </c>
      <c r="W66" s="92">
        <f>IFERROR(AVERAGEIFS('Base Kpi'!$T:$T,'Base Kpi'!$M:$M,Cliente!$E66,'Base Kpi'!$S:$S,Cliente!W$5),0)</f>
        <v>12.75</v>
      </c>
      <c r="X66" s="92">
        <f>IFERROR(AVERAGEIFS('Base Kpi'!$T:$T,'Base Kpi'!$M:$M,Cliente!$E66,'Base Kpi'!$S:$S,Cliente!X$5),0)</f>
        <v>33.75</v>
      </c>
      <c r="Y66" s="94">
        <f t="shared" si="59"/>
        <v>80.210000000000008</v>
      </c>
      <c r="Z66" s="95">
        <f t="shared" si="60"/>
        <v>1</v>
      </c>
      <c r="AA66" s="60">
        <f>IFERROR(AVERAGEIFS('Base Kpi'!$AF:$AF,'Base Kpi'!$Y:$Y,Cliente!$E66,'Base Kpi'!$AE:$AE,Cliente!AA$5),0)</f>
        <v>30</v>
      </c>
      <c r="AB66" s="92">
        <f>IFERROR(AVERAGEIFS('Base Kpi'!$AF:$AF,'Base Kpi'!$Y:$Y,Cliente!$E66,'Base Kpi'!$AE:$AE,Cliente!AB$5),0)</f>
        <v>8</v>
      </c>
      <c r="AC66" s="92">
        <f>IFERROR(AVERAGEIFS('Base Kpi'!$AF:$AF,'Base Kpi'!$Y:$Y,Cliente!$E66,'Base Kpi'!$AE:$AE,Cliente!AC$5),0)</f>
        <v>8.5</v>
      </c>
      <c r="AD66" s="92">
        <f>IFERROR(AVERAGEIFS('Base Kpi'!$AF:$AF,'Base Kpi'!$Y:$Y,Cliente!$E66,'Base Kpi'!$AE:$AE,Cliente!AD$5),0)</f>
        <v>28.125</v>
      </c>
      <c r="AE66" s="94">
        <f t="shared" si="61"/>
        <v>74.625</v>
      </c>
      <c r="AF66" s="95">
        <f t="shared" si="62"/>
        <v>0</v>
      </c>
      <c r="AG66" s="60">
        <f t="shared" si="71"/>
        <v>72.454999999999998</v>
      </c>
      <c r="AH66" s="97">
        <f t="shared" si="72"/>
        <v>1</v>
      </c>
      <c r="AI66" s="88">
        <f t="shared" si="63"/>
        <v>1</v>
      </c>
      <c r="AJ66" s="92">
        <f>IFERROR(AVERAGEIFS('Base Kpi'!$AR:$AR,'Base Kpi'!$AK:$AK,Cliente!$E66,'Base Kpi'!$AQ:$AQ,AJ$5),0)</f>
        <v>25</v>
      </c>
      <c r="AK66" s="92">
        <f>IFERROR(AVERAGEIFS('Base Kpi'!$AR:$AR,'Base Kpi'!$AK:$AK,Cliente!$E66,'Base Kpi'!$AQ:$AQ,AK$5),0)</f>
        <v>2.5</v>
      </c>
      <c r="AL66" s="92">
        <f>IFERROR(AVERAGEIFS('Base Kpi'!$AR:$AR,'Base Kpi'!$AK:$AK,Cliente!$E66,'Base Kpi'!$AQ:$AQ,AL$5),0)</f>
        <v>12</v>
      </c>
      <c r="AM66" s="92">
        <f>IFERROR(AVERAGEIFS('Base Kpi'!$AR:$AR,'Base Kpi'!$AK:$AK,Cliente!$E66,'Base Kpi'!$AQ:$AQ,AM$5),0)</f>
        <v>28.68</v>
      </c>
      <c r="AN66" s="94">
        <f t="shared" ref="AN66:AN76" si="86">SUM(AJ66:AM66)</f>
        <v>68.180000000000007</v>
      </c>
      <c r="AO66" s="95">
        <f t="shared" ref="AO66:AO76" si="87">IF(AN66&gt;=80,1,0)</f>
        <v>0</v>
      </c>
      <c r="AP66" s="60">
        <f>IFERROR(AVERAGEIFS('Base Kpi'!$BD:$BD,'Base Kpi'!$AW:$AW,Cliente!$E66,'Base Kpi'!$BC:$BC,Cliente!AP$5),0)</f>
        <v>25</v>
      </c>
      <c r="AQ66" s="92">
        <f>IFERROR(AVERAGEIFS('Base Kpi'!$BD:$BD,'Base Kpi'!$AW:$AW,Cliente!$E66,'Base Kpi'!$BC:$BC,Cliente!AQ$5),0)</f>
        <v>1.665</v>
      </c>
      <c r="AR66" s="92">
        <f>IFERROR(AVERAGEIFS('Base Kpi'!$BD:$BD,'Base Kpi'!$AW:$AW,Cliente!$E66,'Base Kpi'!$BC:$BC,Cliente!AR$5),0)</f>
        <v>6</v>
      </c>
      <c r="AS66" s="92">
        <f>IFERROR(AVERAGEIFS('Base Kpi'!$BD:$BD,'Base Kpi'!$AW:$AW,Cliente!$E66,'Base Kpi'!$BC:$BC,Cliente!AS$5),0)</f>
        <v>33.92</v>
      </c>
      <c r="AT66" s="92">
        <f>IFERROR(AVERAGEIFS('Base Kpi'!$BD:$BD,'Base Kpi'!$AW:$AW,Cliente!$E66,'Base Kpi'!$BC:$BC,Cliente!AT$5),0)</f>
        <v>0</v>
      </c>
      <c r="AU66" s="94">
        <f t="shared" ref="AU66:AU76" si="88">SUM(AP66:AT66)</f>
        <v>66.585000000000008</v>
      </c>
      <c r="AV66" s="95">
        <f t="shared" si="78"/>
        <v>1</v>
      </c>
      <c r="AW66" s="60">
        <f>IFERROR(AVERAGEIFS('Base Kpi'!$BP:$BP,'Base Kpi'!$BI:$BI,Cliente!$E66,'Base Kpi'!$BO:$BO,Cliente!AW$5),0)</f>
        <v>21.425000000000001</v>
      </c>
      <c r="AX66" s="92">
        <f>IFERROR(AVERAGEIFS('Base Kpi'!$BP:$BP,'Base Kpi'!$BI:$BI,Cliente!$E66,'Base Kpi'!$BO:$BO,Cliente!AX$5),0)</f>
        <v>3.335</v>
      </c>
      <c r="AY66" s="92">
        <f>IFERROR(AVERAGEIFS('Base Kpi'!$BP:$BP,'Base Kpi'!$BI:$BI,Cliente!$E66,'Base Kpi'!$BO:$BO,Cliente!AY$5),0)</f>
        <v>12</v>
      </c>
      <c r="AZ66" s="92">
        <f>IFERROR(AVERAGEIFS('Base Kpi'!$BP:$BP,'Base Kpi'!$BI:$BI,Cliente!$E66,'Base Kpi'!$BO:$BO,Cliente!AZ$5),0)</f>
        <v>27.84</v>
      </c>
      <c r="BA66" s="92">
        <f>IFERROR(AVERAGEIFS('Base Kpi'!$BP:$BP,'Base Kpi'!$BI:$BI,Cliente!$E66,'Base Kpi'!$BO:$BO,Cliente!BA$5),0)</f>
        <v>18</v>
      </c>
      <c r="BB66" s="94">
        <f t="shared" si="73"/>
        <v>82.600000000000009</v>
      </c>
      <c r="BC66" s="95">
        <f t="shared" si="79"/>
        <v>1</v>
      </c>
      <c r="BD66" s="60">
        <f t="shared" si="42"/>
        <v>69.078333333333333</v>
      </c>
      <c r="BE66" s="97">
        <f t="shared" si="80"/>
        <v>1</v>
      </c>
      <c r="BF66" s="88">
        <f t="shared" si="81"/>
        <v>1</v>
      </c>
      <c r="BG66" s="60">
        <f>IFERROR(AVERAGEIFS('Base Kpi'!$CB:$CB,'Base Kpi'!$BU:$BU,Cliente!$E66,'Base Kpi'!$CA:$CA,Cliente!BG$5),0)</f>
        <v>14.275</v>
      </c>
      <c r="BH66" s="92">
        <f>IFERROR(AVERAGEIFS('Base Kpi'!$CB:$CB,'Base Kpi'!$BU:$BU,Cliente!$E66,'Base Kpi'!$CA:$CA,Cliente!BH$5),0)</f>
        <v>3.335</v>
      </c>
      <c r="BI66" s="92">
        <f>IFERROR(AVERAGEIFS('Base Kpi'!$CB:$CB,'Base Kpi'!$BU:$BU,Cliente!$E66,'Base Kpi'!$CA:$CA,Cliente!BI$5),0)</f>
        <v>6</v>
      </c>
      <c r="BJ66" s="92">
        <f>IFERROR(AVERAGEIFS('Base Kpi'!$CB:$CB,'Base Kpi'!$BU:$BU,Cliente!$E66,'Base Kpi'!$CA:$CA,Cliente!BJ$5),0)</f>
        <v>6</v>
      </c>
      <c r="BK66" s="92">
        <f>IFERROR(AVERAGEIFS('Base Kpi'!$CB:$CB,'Base Kpi'!$BU:$BU,Cliente!$E66,'Base Kpi'!$CA:$CA,Cliente!BK$5),0)</f>
        <v>9</v>
      </c>
      <c r="BL66" s="94">
        <f t="shared" si="74"/>
        <v>38.61</v>
      </c>
      <c r="BM66" s="95">
        <f t="shared" si="82"/>
        <v>1</v>
      </c>
      <c r="BN66" s="60">
        <f>IFERROR(AVERAGEIFS('Base Kpi'!$CN:$CN,'Base Kpi'!$CG:$CG,Cliente!$E66,'Base Kpi'!$CM:$CM,Cliente!BN$5),0)</f>
        <v>21.425000000000001</v>
      </c>
      <c r="BO66" s="92">
        <f>IFERROR(AVERAGEIFS('Base Kpi'!$CN:$CN,'Base Kpi'!$CG:$CG,Cliente!$E66,'Base Kpi'!$CM:$CM,Cliente!BO$5),0)</f>
        <v>5</v>
      </c>
      <c r="BP66" s="92">
        <f>IFERROR(AVERAGEIFS('Base Kpi'!$CN:$CN,'Base Kpi'!$CG:$CG,Cliente!$E66,'Base Kpi'!$CM:$CM,Cliente!BP$5),0)</f>
        <v>6</v>
      </c>
      <c r="BQ66" s="92">
        <f>IFERROR(AVERAGEIFS('Base Kpi'!$CN:$CN,'Base Kpi'!$CG:$CG,Cliente!$E66,'Base Kpi'!$CM:$CM,Cliente!BQ$5),0)</f>
        <v>31.2</v>
      </c>
      <c r="BR66" s="92">
        <f>IFERROR(AVERAGEIFS('Base Kpi'!$CN:$CN,'Base Kpi'!$CG:$CG,Cliente!$E66,'Base Kpi'!$CM:$CM,Cliente!BR$5),0)</f>
        <v>9</v>
      </c>
      <c r="BS66" s="94">
        <f t="shared" si="75"/>
        <v>72.625</v>
      </c>
      <c r="BT66" s="95">
        <f t="shared" si="83"/>
        <v>1</v>
      </c>
      <c r="BU66" s="60">
        <f>IFERROR(AVERAGEIFS('Base Kpi'!$CZ:$CZ,'Base Kpi'!$CS:$CS,Cliente!$E66,'Base Kpi'!$CY:$CY,Cliente!BU$5),0)</f>
        <v>25</v>
      </c>
      <c r="BV66" s="92">
        <f>IFERROR(AVERAGEIFS('Base Kpi'!$CZ:$CZ,'Base Kpi'!$CS:$CS,Cliente!$E66,'Base Kpi'!$CY:$CY,Cliente!BV$5),0)</f>
        <v>5</v>
      </c>
      <c r="BW66" s="92">
        <f>IFERROR(AVERAGEIFS('Base Kpi'!$CZ:$CZ,'Base Kpi'!$CS:$CS,Cliente!$E66,'Base Kpi'!$CY:$CY,Cliente!BW$5),0)</f>
        <v>12</v>
      </c>
      <c r="BX66" s="92">
        <f>IFERROR(AVERAGEIFS('Base Kpi'!$CZ:$CZ,'Base Kpi'!$CS:$CS,Cliente!$E66,'Base Kpi'!$CY:$CY,Cliente!BX$5),0)</f>
        <v>36</v>
      </c>
      <c r="BY66" s="92">
        <f>IFERROR(AVERAGEIFS('Base Kpi'!$CZ:$CZ,'Base Kpi'!$CS:$CS,Cliente!$E66,'Base Kpi'!$CY:$CY,Cliente!BY$5),0)</f>
        <v>18</v>
      </c>
      <c r="BZ66" s="94">
        <f t="shared" si="76"/>
        <v>96</v>
      </c>
      <c r="CA66" s="95">
        <f t="shared" si="84"/>
        <v>1</v>
      </c>
      <c r="CB66" s="60">
        <f t="shared" si="64"/>
        <v>66.266666666666666</v>
      </c>
      <c r="CC66" s="97">
        <f t="shared" si="65"/>
        <v>0</v>
      </c>
      <c r="CD66" s="43">
        <f t="shared" si="66"/>
        <v>0</v>
      </c>
      <c r="CE66" s="60" cm="1">
        <f t="array" ref="CE66">IFERROR(LARGE(_xlfn._xlws.FILTER('Base Kpi'!$DL:$DL,('Base Kpi'!$DK:$DK=$CE$5)*('Base Kpi'!$DE:$DE=Cliente!$E66)),1),0)</f>
        <v>34.4</v>
      </c>
      <c r="CF66" s="60" cm="1">
        <f t="array" ref="CF66">IFERROR(LARGE(_xlfn._xlws.FILTER('Base Kpi'!$DL:$DL,('Base Kpi'!$DK:$DK=$CF$5)*('Base Kpi'!$DE:$DE=Cliente!$E66)),1),0)</f>
        <v>5</v>
      </c>
      <c r="CG66" s="60" cm="1">
        <f t="array" ref="CG66">IFERROR(LARGE(_xlfn._xlws.FILTER('Base Kpi'!$DL:$DL,('Base Kpi'!$DK:$DK=$CG$5)*('Base Kpi'!$DE:$DE=Cliente!$E66)),1),0)</f>
        <v>5</v>
      </c>
      <c r="CH66" s="60" cm="1">
        <f t="array" ref="CH66">IFERROR(LARGE(_xlfn._xlws.FILTER('Base Kpi'!$DL:$DL,('Base Kpi'!$DK:$DK=$CH$5)*('Base Kpi'!$DE:$DE=Cliente!$E66)),1),0)</f>
        <v>18</v>
      </c>
      <c r="CI66" s="60" cm="1">
        <f t="array" ref="CI66">IFERROR(LARGE(_xlfn._xlws.FILTER('Base Kpi'!$DL:$DL,('Base Kpi'!$DK:$DK=$CI$5)*('Base Kpi'!$DE:$DE=Cliente!$E66)),1),0)</f>
        <v>25</v>
      </c>
      <c r="CJ66" s="60" cm="1">
        <f t="array" ref="CJ66">IFERROR(LARGE(_xlfn._xlws.FILTER('Base Kpi'!$DL:$DL,('Base Kpi'!$DK:$DK=$CJ$5)*('Base Kpi'!$DE:$DE=Cliente!$E66)),1),0)</f>
        <v>12</v>
      </c>
      <c r="CK66" s="60" cm="1">
        <f t="array" ref="CK66">IFERROR(LARGE(_xlfn._xlws.FILTER('Base Kpi'!$DL:$DL,('Base Kpi'!$DK:$DK=$CK$5)*('Base Kpi'!$DE:$DE=Cliente!$E66)),1),0)</f>
        <v>0</v>
      </c>
      <c r="CL66" s="94">
        <f t="shared" si="77"/>
        <v>99.4</v>
      </c>
      <c r="CM66" s="95">
        <f t="shared" si="47"/>
        <v>1</v>
      </c>
      <c r="CN66" s="60">
        <f>IFERROR(AVERAGEIFS('Base Kpi'!$DX:$DX,'Base Kpi'!$DQ:$DQ,Cliente!$E66,'Base Kpi'!$DW:$DW,Cliente!CN$5),0)</f>
        <v>34.4</v>
      </c>
      <c r="CO66" s="92">
        <f>IFERROR(AVERAGEIFS('Base Kpi'!$DX:$DX,'Base Kpi'!$DQ:$DQ,Cliente!$E66,'Base Kpi'!$DW:$DW,Cliente!CO$5),0)</f>
        <v>5</v>
      </c>
      <c r="CP66" s="92">
        <f>IFERROR(AVERAGEIFS('Base Kpi'!$DX:$DX,'Base Kpi'!$DQ:$DQ,Cliente!$E66,'Base Kpi'!$DW:$DW,Cliente!CP$5),0)</f>
        <v>5</v>
      </c>
      <c r="CQ66" s="92">
        <f>IFERROR(AVERAGEIFS('Base Kpi'!$DX:$DX,'Base Kpi'!$DQ:$DQ,Cliente!$E66,'Base Kpi'!$DW:$DW,Cliente!CQ$5),0)</f>
        <v>18</v>
      </c>
      <c r="CR66" s="92">
        <f>IFERROR(AVERAGEIFS('Base Kpi'!$DX:$DX,'Base Kpi'!$DQ:$DQ,Cliente!$E66,'Base Kpi'!$DW:$DW,Cliente!CR$5),0)</f>
        <v>25</v>
      </c>
      <c r="CS66" s="92">
        <f>IFERROR(AVERAGEIFS('Base Kpi'!$DX:$DX,'Base Kpi'!$DQ:$DQ,Cliente!$E66,'Base Kpi'!$DW:$DW,Cliente!CS$5),0)</f>
        <v>12</v>
      </c>
      <c r="CT66" s="92">
        <f>IFERROR(AVERAGEIFS('Base Kpi'!$DX:$DX,'Base Kpi'!$DQ:$DQ,Cliente!$E66,'Base Kpi'!$DW:$DW,Cliente!CT$5),0)</f>
        <v>0</v>
      </c>
      <c r="CU66" s="94">
        <f t="shared" si="67"/>
        <v>99.4</v>
      </c>
      <c r="CV66" s="95">
        <f t="shared" si="68"/>
        <v>1</v>
      </c>
      <c r="CW66" s="60">
        <f>IFERROR(AVERAGEIFS('Base Kpi'!$EJ:$EJ,'Base Kpi'!$EC:$EC,Cliente!$E66,'Base Kpi'!$EI:$EI,Cliente!CW$5),0)</f>
        <v>0</v>
      </c>
      <c r="CX66" s="92">
        <f>IFERROR(AVERAGEIFS('Base Kpi'!$EJ:$EJ,'Base Kpi'!$EC:$EC,Cliente!$E66,'Base Kpi'!$EI:$EI,Cliente!CX$5),0)</f>
        <v>0</v>
      </c>
      <c r="CY66" s="92">
        <f>IFERROR(AVERAGEIFS('Base Kpi'!$EJ:$EJ,'Base Kpi'!$EC:$EC,Cliente!$E66,'Base Kpi'!$EI:$EI,Cliente!CY$5),0)</f>
        <v>0</v>
      </c>
      <c r="CZ66" s="92">
        <f>IFERROR(AVERAGEIFS('Base Kpi'!$EJ:$EJ,'Base Kpi'!$EC:$EC,Cliente!$E66,'Base Kpi'!$EI:$EI,Cliente!CZ$5),0)</f>
        <v>0</v>
      </c>
      <c r="DA66" s="92">
        <f>IFERROR(AVERAGEIFS('Base Kpi'!$EJ:$EJ,'Base Kpi'!$EC:$EC,Cliente!$E66,'Base Kpi'!$EI:$EI,Cliente!DA$5),0)</f>
        <v>0</v>
      </c>
      <c r="DB66" s="92">
        <f>IFERROR(AVERAGEIFS('Base Kpi'!$EJ:$EJ,'Base Kpi'!$EC:$EC,Cliente!$E66,'Base Kpi'!$EI:$EI,Cliente!DB$5),0)</f>
        <v>0</v>
      </c>
      <c r="DC66" s="92">
        <f>IFERROR(AVERAGEIFS('Base Kpi'!$EJ:$EJ,'Base Kpi'!$EC:$EC,Cliente!$E66,'Base Kpi'!$EI:$EI,Cliente!DC$5),0)</f>
        <v>0</v>
      </c>
      <c r="DD66" s="94">
        <f t="shared" si="69"/>
        <v>0</v>
      </c>
      <c r="DE66" s="95">
        <f t="shared" si="70"/>
        <v>0</v>
      </c>
      <c r="DF66" s="120"/>
    </row>
    <row r="67" spans="2:110" x14ac:dyDescent="0.35">
      <c r="B67" s="101" t="s">
        <v>42</v>
      </c>
      <c r="C67" s="102">
        <v>3655</v>
      </c>
      <c r="D67" s="102" t="s">
        <v>434</v>
      </c>
      <c r="E67" s="102">
        <v>182641</v>
      </c>
      <c r="F67" s="103" t="s">
        <v>67</v>
      </c>
      <c r="G67" s="103" t="s">
        <v>221</v>
      </c>
      <c r="H67" s="103" t="s">
        <v>222</v>
      </c>
      <c r="I67" s="103" t="s">
        <v>223</v>
      </c>
      <c r="J67" s="103" t="s">
        <v>90</v>
      </c>
      <c r="K67" s="108" t="s">
        <v>81</v>
      </c>
      <c r="L67" s="60">
        <f t="shared" ref="L67:L75" si="89">IF((S67+Y67+AE67)/3=0,"",(S67+Y67+AE67)/3)</f>
        <v>60.12166666666667</v>
      </c>
      <c r="M67" s="97">
        <f t="shared" ref="M67:M75" si="90">IF(IF(S67&gt;0,1,0)+IF(Y67&gt;0,1,0)+IF(AE67&gt;0,1,0)=3,1,0)</f>
        <v>1</v>
      </c>
      <c r="N67" s="43">
        <f t="shared" si="85"/>
        <v>0</v>
      </c>
      <c r="O67" s="60">
        <f>IFERROR(AVERAGEIFS('Base Kpi'!$I:$I,'Base Kpi'!$B:$B,Cliente!$E67,'Base Kpi'!$G:$G,Cliente!O$5),0)</f>
        <v>21.42</v>
      </c>
      <c r="P67" s="92">
        <f>IFERROR(AVERAGEIFS('Base Kpi'!$I:$I,'Base Kpi'!$B:$B,Cliente!$E67,'Base Kpi'!$G:$G,Cliente!P$5),0)</f>
        <v>8</v>
      </c>
      <c r="Q67" s="92">
        <f>IFERROR(AVERAGEIFS('Base Kpi'!$I:$I,'Base Kpi'!$B:$B,Cliente!$E67,'Base Kpi'!$G:$G,Cliente!Q$5),0)</f>
        <v>10.199999999999999</v>
      </c>
      <c r="R67" s="92">
        <f>IFERROR(AVERAGEIFS('Base Kpi'!$I:$I,'Base Kpi'!$B:$B,Cliente!$E67,'Base Kpi'!$G:$G,Cliente!R$5),0)</f>
        <v>24.75</v>
      </c>
      <c r="S67" s="94">
        <f t="shared" ref="S67:S75" si="91">SUM(O67:R67)</f>
        <v>64.37</v>
      </c>
      <c r="T67" s="95">
        <f t="shared" ref="T67:T75" si="92">IF(S67&gt;=80,1,0)</f>
        <v>0</v>
      </c>
      <c r="U67" s="60">
        <f>IFERROR(AVERAGEIFS('Base Kpi'!$T:$T,'Base Kpi'!$M:$M,Cliente!$E67,'Base Kpi'!$S:$S,Cliente!U$5),0)</f>
        <v>12.87</v>
      </c>
      <c r="V67" s="92">
        <f>IFERROR(AVERAGEIFS('Base Kpi'!$T:$T,'Base Kpi'!$M:$M,Cliente!$E67,'Base Kpi'!$S:$S,Cliente!V$5),0)</f>
        <v>0</v>
      </c>
      <c r="W67" s="92">
        <f>IFERROR(AVERAGEIFS('Base Kpi'!$T:$T,'Base Kpi'!$M:$M,Cliente!$E67,'Base Kpi'!$S:$S,Cliente!W$5),0)</f>
        <v>12.75</v>
      </c>
      <c r="X67" s="92">
        <f>IFERROR(AVERAGEIFS('Base Kpi'!$T:$T,'Base Kpi'!$M:$M,Cliente!$E67,'Base Kpi'!$S:$S,Cliente!X$5),0)</f>
        <v>10.125</v>
      </c>
      <c r="Y67" s="94">
        <f t="shared" ref="Y67:Y75" si="93">SUM(U67:X67)</f>
        <v>35.744999999999997</v>
      </c>
      <c r="Z67" s="95">
        <f t="shared" ref="Z67:Z75" si="94">IF(Y67&gt;=80,1,0)</f>
        <v>0</v>
      </c>
      <c r="AA67" s="60">
        <f>IFERROR(AVERAGEIFS('Base Kpi'!$AF:$AF,'Base Kpi'!$Y:$Y,Cliente!$E67,'Base Kpi'!$AE:$AE,Cliente!AA$5),0)</f>
        <v>30</v>
      </c>
      <c r="AB67" s="92">
        <f>IFERROR(AVERAGEIFS('Base Kpi'!$AF:$AF,'Base Kpi'!$Y:$Y,Cliente!$E67,'Base Kpi'!$AE:$AE,Cliente!AB$5),0)</f>
        <v>8</v>
      </c>
      <c r="AC67" s="92">
        <f>IFERROR(AVERAGEIFS('Base Kpi'!$AF:$AF,'Base Kpi'!$Y:$Y,Cliente!$E67,'Base Kpi'!$AE:$AE,Cliente!AC$5),0)</f>
        <v>8.5</v>
      </c>
      <c r="AD67" s="92">
        <f>IFERROR(AVERAGEIFS('Base Kpi'!$AF:$AF,'Base Kpi'!$Y:$Y,Cliente!$E67,'Base Kpi'!$AE:$AE,Cliente!AD$5),0)</f>
        <v>33.75</v>
      </c>
      <c r="AE67" s="94">
        <f t="shared" ref="AE67:AE75" si="95">SUM(AA67:AD67)</f>
        <v>80.25</v>
      </c>
      <c r="AF67" s="95">
        <f t="shared" ref="AF67:AF75" si="96">IF(AE67&gt;=80,1,0)</f>
        <v>1</v>
      </c>
      <c r="AG67" s="60">
        <f t="shared" si="71"/>
        <v>63.773333333333333</v>
      </c>
      <c r="AH67" s="97">
        <f t="shared" si="72"/>
        <v>1</v>
      </c>
      <c r="AI67" s="88">
        <f t="shared" ref="AI67:AI75" si="97">IF(AH67=0,0,IF(AG67&gt;=7,1,0))</f>
        <v>1</v>
      </c>
      <c r="AJ67" s="92">
        <f>IFERROR(AVERAGEIFS('Base Kpi'!$AR:$AR,'Base Kpi'!$AK:$AK,Cliente!$E67,'Base Kpi'!$AQ:$AQ,AJ$5),0)</f>
        <v>21.425000000000001</v>
      </c>
      <c r="AK67" s="92">
        <f>IFERROR(AVERAGEIFS('Base Kpi'!$AR:$AR,'Base Kpi'!$AK:$AK,Cliente!$E67,'Base Kpi'!$AQ:$AQ,AK$5),0)</f>
        <v>2.5</v>
      </c>
      <c r="AL67" s="92">
        <f>IFERROR(AVERAGEIFS('Base Kpi'!$AR:$AR,'Base Kpi'!$AK:$AK,Cliente!$E67,'Base Kpi'!$AQ:$AQ,AL$5),0)</f>
        <v>9</v>
      </c>
      <c r="AM67" s="92">
        <f>IFERROR(AVERAGEIFS('Base Kpi'!$AR:$AR,'Base Kpi'!$AK:$AK,Cliente!$E67,'Base Kpi'!$AQ:$AQ,AM$5),0)</f>
        <v>26.08</v>
      </c>
      <c r="AN67" s="94">
        <f t="shared" si="86"/>
        <v>59.004999999999995</v>
      </c>
      <c r="AO67" s="95">
        <f t="shared" si="87"/>
        <v>0</v>
      </c>
      <c r="AP67" s="60">
        <f>IFERROR(AVERAGEIFS('Base Kpi'!$BD:$BD,'Base Kpi'!$AW:$AW,Cliente!$E67,'Base Kpi'!$BC:$BC,Cliente!AP$5),0)</f>
        <v>21.425000000000001</v>
      </c>
      <c r="AQ67" s="92">
        <f>IFERROR(AVERAGEIFS('Base Kpi'!$BD:$BD,'Base Kpi'!$AW:$AW,Cliente!$E67,'Base Kpi'!$BC:$BC,Cliente!AQ$5),0)</f>
        <v>1.665</v>
      </c>
      <c r="AR67" s="92">
        <f>IFERROR(AVERAGEIFS('Base Kpi'!$BD:$BD,'Base Kpi'!$AW:$AW,Cliente!$E67,'Base Kpi'!$BC:$BC,Cliente!AR$5),0)</f>
        <v>9</v>
      </c>
      <c r="AS67" s="92">
        <f>IFERROR(AVERAGEIFS('Base Kpi'!$BD:$BD,'Base Kpi'!$AW:$AW,Cliente!$E67,'Base Kpi'!$BC:$BC,Cliente!AS$5),0)</f>
        <v>28.68</v>
      </c>
      <c r="AT67" s="92">
        <f>IFERROR(AVERAGEIFS('Base Kpi'!$BD:$BD,'Base Kpi'!$AW:$AW,Cliente!$E67,'Base Kpi'!$BC:$BC,Cliente!AT$5),0)</f>
        <v>0</v>
      </c>
      <c r="AU67" s="94">
        <f t="shared" si="88"/>
        <v>60.77</v>
      </c>
      <c r="AV67" s="95">
        <f t="shared" ref="AV67:AV75" si="98">IF(AU67&gt;=7,1,0)</f>
        <v>1</v>
      </c>
      <c r="AW67" s="60">
        <f>IFERROR(AVERAGEIFS('Base Kpi'!$BP:$BP,'Base Kpi'!$BI:$BI,Cliente!$E67,'Base Kpi'!$BO:$BO,Cliente!AW$5),0)</f>
        <v>25</v>
      </c>
      <c r="AX67" s="92">
        <f>IFERROR(AVERAGEIFS('Base Kpi'!$BP:$BP,'Base Kpi'!$BI:$BI,Cliente!$E67,'Base Kpi'!$BO:$BO,Cliente!AX$5),0)</f>
        <v>1.665</v>
      </c>
      <c r="AY67" s="92">
        <f>IFERROR(AVERAGEIFS('Base Kpi'!$BP:$BP,'Base Kpi'!$BI:$BI,Cliente!$E67,'Base Kpi'!$BO:$BO,Cliente!AY$5),0)</f>
        <v>6</v>
      </c>
      <c r="AZ67" s="92">
        <f>IFERROR(AVERAGEIFS('Base Kpi'!$BP:$BP,'Base Kpi'!$BI:$BI,Cliente!$E67,'Base Kpi'!$BO:$BO,Cliente!AZ$5),0)</f>
        <v>20.88</v>
      </c>
      <c r="BA67" s="92">
        <f>IFERROR(AVERAGEIFS('Base Kpi'!$BP:$BP,'Base Kpi'!$BI:$BI,Cliente!$E67,'Base Kpi'!$BO:$BO,Cliente!BA$5),0)</f>
        <v>18</v>
      </c>
      <c r="BB67" s="94">
        <f t="shared" si="73"/>
        <v>71.545000000000002</v>
      </c>
      <c r="BC67" s="95">
        <f t="shared" ref="BC67:BC75" si="99">IF(BB67&gt;=7,1,0)</f>
        <v>1</v>
      </c>
      <c r="BD67" s="60">
        <f t="shared" si="42"/>
        <v>56.586666666666666</v>
      </c>
      <c r="BE67" s="97">
        <f t="shared" si="80"/>
        <v>0</v>
      </c>
      <c r="BF67" s="88">
        <f t="shared" ref="BF67:BF75" si="100">IF(BE67=0,0,IF(BD67&gt;=7,1,0))</f>
        <v>0</v>
      </c>
      <c r="BG67" s="60">
        <f>IFERROR(AVERAGEIFS('Base Kpi'!$CB:$CB,'Base Kpi'!$BU:$BU,Cliente!$E67,'Base Kpi'!$CA:$CA,Cliente!BG$5),0)</f>
        <v>25</v>
      </c>
      <c r="BH67" s="92">
        <f>IFERROR(AVERAGEIFS('Base Kpi'!$CB:$CB,'Base Kpi'!$BU:$BU,Cliente!$E67,'Base Kpi'!$CA:$CA,Cliente!BH$5),0)</f>
        <v>3.335</v>
      </c>
      <c r="BI67" s="92">
        <f>IFERROR(AVERAGEIFS('Base Kpi'!$CB:$CB,'Base Kpi'!$BU:$BU,Cliente!$E67,'Base Kpi'!$CA:$CA,Cliente!BI$5),0)</f>
        <v>12</v>
      </c>
      <c r="BJ67" s="92">
        <f>IFERROR(AVERAGEIFS('Base Kpi'!$CB:$CB,'Base Kpi'!$BU:$BU,Cliente!$E67,'Base Kpi'!$CA:$CA,Cliente!BJ$5),0)</f>
        <v>31.2</v>
      </c>
      <c r="BK67" s="92">
        <f>IFERROR(AVERAGEIFS('Base Kpi'!$CB:$CB,'Base Kpi'!$BU:$BU,Cliente!$E67,'Base Kpi'!$CA:$CA,Cliente!BK$5),0)</f>
        <v>9</v>
      </c>
      <c r="BL67" s="94">
        <f t="shared" si="74"/>
        <v>80.534999999999997</v>
      </c>
      <c r="BM67" s="95">
        <f t="shared" ref="BM67:BM75" si="101">IF(BL67&gt;=7,1,0)</f>
        <v>1</v>
      </c>
      <c r="BN67" s="60">
        <f>IFERROR(AVERAGEIFS('Base Kpi'!$CN:$CN,'Base Kpi'!$CG:$CG,Cliente!$E67,'Base Kpi'!$CM:$CM,Cliente!BN$5),0)</f>
        <v>21.425000000000001</v>
      </c>
      <c r="BO67" s="92">
        <f>IFERROR(AVERAGEIFS('Base Kpi'!$CN:$CN,'Base Kpi'!$CG:$CG,Cliente!$E67,'Base Kpi'!$CM:$CM,Cliente!BO$5),0)</f>
        <v>5</v>
      </c>
      <c r="BP67" s="92">
        <f>IFERROR(AVERAGEIFS('Base Kpi'!$CN:$CN,'Base Kpi'!$CG:$CG,Cliente!$E67,'Base Kpi'!$CM:$CM,Cliente!BP$5),0)</f>
        <v>12</v>
      </c>
      <c r="BQ67" s="92">
        <f>IFERROR(AVERAGEIFS('Base Kpi'!$CN:$CN,'Base Kpi'!$CG:$CG,Cliente!$E67,'Base Kpi'!$CM:$CM,Cliente!BQ$5),0)</f>
        <v>32.799999999999997</v>
      </c>
      <c r="BR67" s="92">
        <f>IFERROR(AVERAGEIFS('Base Kpi'!$CN:$CN,'Base Kpi'!$CG:$CG,Cliente!$E67,'Base Kpi'!$CM:$CM,Cliente!BR$5),0)</f>
        <v>18</v>
      </c>
      <c r="BS67" s="94">
        <f t="shared" si="75"/>
        <v>89.224999999999994</v>
      </c>
      <c r="BT67" s="95">
        <f t="shared" ref="BT67:BT75" si="102">IF(BS67&gt;=7,1,0)</f>
        <v>1</v>
      </c>
      <c r="BU67" s="60">
        <f>IFERROR(AVERAGEIFS('Base Kpi'!$CZ:$CZ,'Base Kpi'!$CS:$CS,Cliente!$E67,'Base Kpi'!$CY:$CY,Cliente!BU$5),0)</f>
        <v>0</v>
      </c>
      <c r="BV67" s="92">
        <f>IFERROR(AVERAGEIFS('Base Kpi'!$CZ:$CZ,'Base Kpi'!$CS:$CS,Cliente!$E67,'Base Kpi'!$CY:$CY,Cliente!BV$5),0)</f>
        <v>0</v>
      </c>
      <c r="BW67" s="92">
        <f>IFERROR(AVERAGEIFS('Base Kpi'!$CZ:$CZ,'Base Kpi'!$CS:$CS,Cliente!$E67,'Base Kpi'!$CY:$CY,Cliente!BW$5),0)</f>
        <v>0</v>
      </c>
      <c r="BX67" s="92">
        <f>IFERROR(AVERAGEIFS('Base Kpi'!$CZ:$CZ,'Base Kpi'!$CS:$CS,Cliente!$E67,'Base Kpi'!$CY:$CY,Cliente!BX$5),0)</f>
        <v>0</v>
      </c>
      <c r="BY67" s="92">
        <f>IFERROR(AVERAGEIFS('Base Kpi'!$CZ:$CZ,'Base Kpi'!$CS:$CS,Cliente!$E67,'Base Kpi'!$CY:$CY,Cliente!BY$5),0)</f>
        <v>0</v>
      </c>
      <c r="BZ67" s="94">
        <f t="shared" si="76"/>
        <v>0</v>
      </c>
      <c r="CA67" s="95">
        <f t="shared" ref="CA67:CA75" si="103">IF(BZ67&gt;=7,1,0)</f>
        <v>0</v>
      </c>
      <c r="CB67" s="60">
        <f t="shared" ref="CB67:CB75" si="104">IF((CL67+CU67+DD67)/3=0,"",(CL67+CU67+DD67)/3)</f>
        <v>61.416666666666664</v>
      </c>
      <c r="CC67" s="97">
        <f t="shared" ref="CC67:CC75" si="105">IF(IF(CL67&gt;0,1,0)+IF(CU67&gt;0,1,0)+IF(DD67&gt;0,1,0)=3,1,0)</f>
        <v>0</v>
      </c>
      <c r="CD67" s="43">
        <f t="shared" ref="CD67:CD75" si="106">IF(CC67=0,0,IF(CB67&gt;=7,1,0))</f>
        <v>0</v>
      </c>
      <c r="CE67" s="60" cm="1">
        <f t="array" ref="CE67">IFERROR(LARGE(_xlfn._xlws.FILTER('Base Kpi'!$DL:$DL,('Base Kpi'!$DK:$DK=$CE$5)*('Base Kpi'!$DE:$DE=Cliente!$E67)),1),0)</f>
        <v>32.799999999999997</v>
      </c>
      <c r="CF67" s="60" cm="1">
        <f t="array" ref="CF67">IFERROR(LARGE(_xlfn._xlws.FILTER('Base Kpi'!$DL:$DL,('Base Kpi'!$DK:$DK=$CF$5)*('Base Kpi'!$DE:$DE=Cliente!$E67)),1),0)</f>
        <v>5</v>
      </c>
      <c r="CG67" s="60" cm="1">
        <f t="array" ref="CG67">IFERROR(LARGE(_xlfn._xlws.FILTER('Base Kpi'!$DL:$DL,('Base Kpi'!$DK:$DK=$CG$5)*('Base Kpi'!$DE:$DE=Cliente!$E67)),1),0)</f>
        <v>5</v>
      </c>
      <c r="CH67" s="60" cm="1">
        <f t="array" ref="CH67">IFERROR(LARGE(_xlfn._xlws.FILTER('Base Kpi'!$DL:$DL,('Base Kpi'!$DK:$DK=$CH$5)*('Base Kpi'!$DE:$DE=Cliente!$E67)),1),0)</f>
        <v>18</v>
      </c>
      <c r="CI67" s="60" cm="1">
        <f t="array" ref="CI67">IFERROR(LARGE(_xlfn._xlws.FILTER('Base Kpi'!$DL:$DL,('Base Kpi'!$DK:$DK=$CI$5)*('Base Kpi'!$DE:$DE=Cliente!$E67)),1),0)</f>
        <v>21.425000000000001</v>
      </c>
      <c r="CJ67" s="60" cm="1">
        <f t="array" ref="CJ67">IFERROR(LARGE(_xlfn._xlws.FILTER('Base Kpi'!$DL:$DL,('Base Kpi'!$DK:$DK=$CJ$5)*('Base Kpi'!$DE:$DE=Cliente!$E67)),1),0)</f>
        <v>6</v>
      </c>
      <c r="CK67" s="60" cm="1">
        <f t="array" ref="CK67">IFERROR(LARGE(_xlfn._xlws.FILTER('Base Kpi'!$DL:$DL,('Base Kpi'!$DK:$DK=$CK$5)*('Base Kpi'!$DE:$DE=Cliente!$E67)),1),0)</f>
        <v>0</v>
      </c>
      <c r="CL67" s="94">
        <f t="shared" si="77"/>
        <v>88.224999999999994</v>
      </c>
      <c r="CM67" s="95">
        <f t="shared" si="47"/>
        <v>1</v>
      </c>
      <c r="CN67" s="60">
        <f>IFERROR(AVERAGEIFS('Base Kpi'!$DX:$DX,'Base Kpi'!$DQ:$DQ,Cliente!$E67,'Base Kpi'!$DW:$DW,Cliente!CN$5),0)</f>
        <v>37.6</v>
      </c>
      <c r="CO67" s="92">
        <f>IFERROR(AVERAGEIFS('Base Kpi'!$DX:$DX,'Base Kpi'!$DQ:$DQ,Cliente!$E67,'Base Kpi'!$DW:$DW,Cliente!CO$5),0)</f>
        <v>5</v>
      </c>
      <c r="CP67" s="92">
        <f>IFERROR(AVERAGEIFS('Base Kpi'!$DX:$DX,'Base Kpi'!$DQ:$DQ,Cliente!$E67,'Base Kpi'!$DW:$DW,Cliente!CP$5),0)</f>
        <v>5</v>
      </c>
      <c r="CQ67" s="92">
        <f>IFERROR(AVERAGEIFS('Base Kpi'!$DX:$DX,'Base Kpi'!$DQ:$DQ,Cliente!$E67,'Base Kpi'!$DW:$DW,Cliente!CQ$5),0)</f>
        <v>18</v>
      </c>
      <c r="CR67" s="92">
        <f>IFERROR(AVERAGEIFS('Base Kpi'!$DX:$DX,'Base Kpi'!$DQ:$DQ,Cliente!$E67,'Base Kpi'!$DW:$DW,Cliente!CR$5),0)</f>
        <v>21.425000000000001</v>
      </c>
      <c r="CS67" s="92">
        <f>IFERROR(AVERAGEIFS('Base Kpi'!$DX:$DX,'Base Kpi'!$DQ:$DQ,Cliente!$E67,'Base Kpi'!$DW:$DW,Cliente!CS$5),0)</f>
        <v>9</v>
      </c>
      <c r="CT67" s="92">
        <f>IFERROR(AVERAGEIFS('Base Kpi'!$DX:$DX,'Base Kpi'!$DQ:$DQ,Cliente!$E67,'Base Kpi'!$DW:$DW,Cliente!CT$5),0)</f>
        <v>0</v>
      </c>
      <c r="CU67" s="94">
        <f t="shared" ref="CU67:CU75" si="107">SUM(CN67:CT67)</f>
        <v>96.024999999999991</v>
      </c>
      <c r="CV67" s="95">
        <f t="shared" ref="CV67:CV75" si="108">IF(CU67&gt;=7,1,0)</f>
        <v>1</v>
      </c>
      <c r="CW67" s="60">
        <f>IFERROR(AVERAGEIFS('Base Kpi'!$EJ:$EJ,'Base Kpi'!$EC:$EC,Cliente!$E67,'Base Kpi'!$EI:$EI,Cliente!CW$5),0)</f>
        <v>0</v>
      </c>
      <c r="CX67" s="92">
        <f>IFERROR(AVERAGEIFS('Base Kpi'!$EJ:$EJ,'Base Kpi'!$EC:$EC,Cliente!$E67,'Base Kpi'!$EI:$EI,Cliente!CX$5),0)</f>
        <v>0</v>
      </c>
      <c r="CY67" s="92">
        <f>IFERROR(AVERAGEIFS('Base Kpi'!$EJ:$EJ,'Base Kpi'!$EC:$EC,Cliente!$E67,'Base Kpi'!$EI:$EI,Cliente!CY$5),0)</f>
        <v>0</v>
      </c>
      <c r="CZ67" s="92">
        <f>IFERROR(AVERAGEIFS('Base Kpi'!$EJ:$EJ,'Base Kpi'!$EC:$EC,Cliente!$E67,'Base Kpi'!$EI:$EI,Cliente!CZ$5),0)</f>
        <v>0</v>
      </c>
      <c r="DA67" s="92">
        <f>IFERROR(AVERAGEIFS('Base Kpi'!$EJ:$EJ,'Base Kpi'!$EC:$EC,Cliente!$E67,'Base Kpi'!$EI:$EI,Cliente!DA$5),0)</f>
        <v>0</v>
      </c>
      <c r="DB67" s="92">
        <f>IFERROR(AVERAGEIFS('Base Kpi'!$EJ:$EJ,'Base Kpi'!$EC:$EC,Cliente!$E67,'Base Kpi'!$EI:$EI,Cliente!DB$5),0)</f>
        <v>0</v>
      </c>
      <c r="DC67" s="92">
        <f>IFERROR(AVERAGEIFS('Base Kpi'!$EJ:$EJ,'Base Kpi'!$EC:$EC,Cliente!$E67,'Base Kpi'!$EI:$EI,Cliente!DC$5),0)</f>
        <v>0</v>
      </c>
      <c r="DD67" s="94">
        <f t="shared" ref="DD67:DD75" si="109">SUM(CW67:DC67)</f>
        <v>0</v>
      </c>
      <c r="DE67" s="95">
        <f t="shared" ref="DE67:DE75" si="110">IF(DD67&gt;=7,1,0)</f>
        <v>0</v>
      </c>
      <c r="DF67" s="120"/>
    </row>
    <row r="68" spans="2:110" x14ac:dyDescent="0.35">
      <c r="B68" s="101" t="s">
        <v>42</v>
      </c>
      <c r="C68" s="102">
        <v>3655</v>
      </c>
      <c r="D68" s="102" t="s">
        <v>434</v>
      </c>
      <c r="E68" s="102">
        <v>133136</v>
      </c>
      <c r="F68" s="103" t="s">
        <v>73</v>
      </c>
      <c r="G68" s="103" t="s">
        <v>182</v>
      </c>
      <c r="H68" s="103" t="s">
        <v>187</v>
      </c>
      <c r="I68" s="103" t="s">
        <v>186</v>
      </c>
      <c r="J68" s="103" t="s">
        <v>89</v>
      </c>
      <c r="K68" s="108" t="s">
        <v>81</v>
      </c>
      <c r="L68" s="60">
        <f t="shared" si="89"/>
        <v>67.52</v>
      </c>
      <c r="M68" s="97">
        <f t="shared" si="90"/>
        <v>1</v>
      </c>
      <c r="N68" s="43">
        <f t="shared" si="85"/>
        <v>0</v>
      </c>
      <c r="O68" s="60">
        <f>IFERROR(AVERAGEIFS('Base Kpi'!$I:$I,'Base Kpi'!$B:$B,Cliente!$E68,'Base Kpi'!$G:$G,Cliente!O$5),0)</f>
        <v>12.87</v>
      </c>
      <c r="P68" s="92">
        <f>IFERROR(AVERAGEIFS('Base Kpi'!$I:$I,'Base Kpi'!$B:$B,Cliente!$E68,'Base Kpi'!$G:$G,Cliente!P$5),0)</f>
        <v>0</v>
      </c>
      <c r="Q68" s="92">
        <f>IFERROR(AVERAGEIFS('Base Kpi'!$I:$I,'Base Kpi'!$B:$B,Cliente!$E68,'Base Kpi'!$G:$G,Cliente!Q$5),0)</f>
        <v>13.6</v>
      </c>
      <c r="R68" s="92">
        <f>IFERROR(AVERAGEIFS('Base Kpi'!$I:$I,'Base Kpi'!$B:$B,Cliente!$E68,'Base Kpi'!$G:$G,Cliente!R$5),0)</f>
        <v>28.125</v>
      </c>
      <c r="S68" s="94">
        <f t="shared" si="91"/>
        <v>54.594999999999999</v>
      </c>
      <c r="T68" s="95">
        <f t="shared" si="92"/>
        <v>0</v>
      </c>
      <c r="U68" s="60">
        <f>IFERROR(AVERAGEIFS('Base Kpi'!$T:$T,'Base Kpi'!$M:$M,Cliente!$E68,'Base Kpi'!$S:$S,Cliente!U$5),0)</f>
        <v>17.13</v>
      </c>
      <c r="V68" s="92">
        <f>IFERROR(AVERAGEIFS('Base Kpi'!$T:$T,'Base Kpi'!$M:$M,Cliente!$E68,'Base Kpi'!$S:$S,Cliente!V$5),0)</f>
        <v>8</v>
      </c>
      <c r="W68" s="92">
        <f>IFERROR(AVERAGEIFS('Base Kpi'!$T:$T,'Base Kpi'!$M:$M,Cliente!$E68,'Base Kpi'!$S:$S,Cliente!W$5),0)</f>
        <v>17</v>
      </c>
      <c r="X68" s="92">
        <f>IFERROR(AVERAGEIFS('Base Kpi'!$T:$T,'Base Kpi'!$M:$M,Cliente!$E68,'Base Kpi'!$S:$S,Cliente!X$5),0)</f>
        <v>24.75</v>
      </c>
      <c r="Y68" s="94">
        <f t="shared" si="93"/>
        <v>66.88</v>
      </c>
      <c r="Z68" s="95">
        <f t="shared" si="94"/>
        <v>0</v>
      </c>
      <c r="AA68" s="60">
        <f>IFERROR(AVERAGEIFS('Base Kpi'!$AF:$AF,'Base Kpi'!$Y:$Y,Cliente!$E68,'Base Kpi'!$AE:$AE,Cliente!AA$5),0)</f>
        <v>25.71</v>
      </c>
      <c r="AB68" s="92">
        <f>IFERROR(AVERAGEIFS('Base Kpi'!$AF:$AF,'Base Kpi'!$Y:$Y,Cliente!$E68,'Base Kpi'!$AE:$AE,Cliente!AB$5),0)</f>
        <v>8</v>
      </c>
      <c r="AC68" s="92">
        <f>IFERROR(AVERAGEIFS('Base Kpi'!$AF:$AF,'Base Kpi'!$Y:$Y,Cliente!$E68,'Base Kpi'!$AE:$AE,Cliente!AC$5),0)</f>
        <v>17</v>
      </c>
      <c r="AD68" s="92">
        <f>IFERROR(AVERAGEIFS('Base Kpi'!$AF:$AF,'Base Kpi'!$Y:$Y,Cliente!$E68,'Base Kpi'!$AE:$AE,Cliente!AD$5),0)</f>
        <v>30.375</v>
      </c>
      <c r="AE68" s="94">
        <f t="shared" si="95"/>
        <v>81.085000000000008</v>
      </c>
      <c r="AF68" s="95">
        <f t="shared" si="96"/>
        <v>1</v>
      </c>
      <c r="AG68" s="60">
        <f t="shared" si="71"/>
        <v>53.9</v>
      </c>
      <c r="AH68" s="97">
        <f t="shared" si="72"/>
        <v>1</v>
      </c>
      <c r="AI68" s="88">
        <f t="shared" si="97"/>
        <v>1</v>
      </c>
      <c r="AJ68" s="92">
        <f>IFERROR(AVERAGEIFS('Base Kpi'!$AR:$AR,'Base Kpi'!$AK:$AK,Cliente!$E68,'Base Kpi'!$AQ:$AQ,AJ$5),0)</f>
        <v>25</v>
      </c>
      <c r="AK68" s="92">
        <f>IFERROR(AVERAGEIFS('Base Kpi'!$AR:$AR,'Base Kpi'!$AK:$AK,Cliente!$E68,'Base Kpi'!$AQ:$AQ,AK$5),0)</f>
        <v>2.5</v>
      </c>
      <c r="AL68" s="92">
        <f>IFERROR(AVERAGEIFS('Base Kpi'!$AR:$AR,'Base Kpi'!$AK:$AK,Cliente!$E68,'Base Kpi'!$AQ:$AQ,AL$5),0)</f>
        <v>9</v>
      </c>
      <c r="AM68" s="92">
        <f>IFERROR(AVERAGEIFS('Base Kpi'!$AR:$AR,'Base Kpi'!$AK:$AK,Cliente!$E68,'Base Kpi'!$AQ:$AQ,AM$5),0)</f>
        <v>26.08</v>
      </c>
      <c r="AN68" s="94">
        <f t="shared" si="86"/>
        <v>62.58</v>
      </c>
      <c r="AO68" s="95">
        <f t="shared" si="87"/>
        <v>0</v>
      </c>
      <c r="AP68" s="60">
        <f>IFERROR(AVERAGEIFS('Base Kpi'!$BD:$BD,'Base Kpi'!$AW:$AW,Cliente!$E68,'Base Kpi'!$BC:$BC,Cliente!AP$5),0)</f>
        <v>25</v>
      </c>
      <c r="AQ68" s="92">
        <f>IFERROR(AVERAGEIFS('Base Kpi'!$BD:$BD,'Base Kpi'!$AW:$AW,Cliente!$E68,'Base Kpi'!$BC:$BC,Cliente!AQ$5),0)</f>
        <v>1.665</v>
      </c>
      <c r="AR68" s="92">
        <f>IFERROR(AVERAGEIFS('Base Kpi'!$BD:$BD,'Base Kpi'!$AW:$AW,Cliente!$E68,'Base Kpi'!$BC:$BC,Cliente!AR$5),0)</f>
        <v>6</v>
      </c>
      <c r="AS68" s="92">
        <f>IFERROR(AVERAGEIFS('Base Kpi'!$BD:$BD,'Base Kpi'!$AW:$AW,Cliente!$E68,'Base Kpi'!$BC:$BC,Cliente!AS$5),0)</f>
        <v>16.079999999999998</v>
      </c>
      <c r="AT68" s="92">
        <f>IFERROR(AVERAGEIFS('Base Kpi'!$BD:$BD,'Base Kpi'!$AW:$AW,Cliente!$E68,'Base Kpi'!$BC:$BC,Cliente!AT$5),0)</f>
        <v>0</v>
      </c>
      <c r="AU68" s="94">
        <f t="shared" si="88"/>
        <v>48.744999999999997</v>
      </c>
      <c r="AV68" s="95">
        <f t="shared" si="98"/>
        <v>1</v>
      </c>
      <c r="AW68" s="60">
        <f>IFERROR(AVERAGEIFS('Base Kpi'!$BP:$BP,'Base Kpi'!$BI:$BI,Cliente!$E68,'Base Kpi'!$BO:$BO,Cliente!AW$5),0)</f>
        <v>25</v>
      </c>
      <c r="AX68" s="92">
        <f>IFERROR(AVERAGEIFS('Base Kpi'!$BP:$BP,'Base Kpi'!$BI:$BI,Cliente!$E68,'Base Kpi'!$BO:$BO,Cliente!AX$5),0)</f>
        <v>3.335</v>
      </c>
      <c r="AY68" s="92">
        <f>IFERROR(AVERAGEIFS('Base Kpi'!$BP:$BP,'Base Kpi'!$BI:$BI,Cliente!$E68,'Base Kpi'!$BO:$BO,Cliente!AY$5),0)</f>
        <v>9</v>
      </c>
      <c r="AZ68" s="92">
        <f>IFERROR(AVERAGEIFS('Base Kpi'!$BP:$BP,'Base Kpi'!$BI:$BI,Cliente!$E68,'Base Kpi'!$BO:$BO,Cliente!AZ$5),0)</f>
        <v>13.04</v>
      </c>
      <c r="BA68" s="92">
        <f>IFERROR(AVERAGEIFS('Base Kpi'!$BP:$BP,'Base Kpi'!$BI:$BI,Cliente!$E68,'Base Kpi'!$BO:$BO,Cliente!BA$5),0)</f>
        <v>0</v>
      </c>
      <c r="BB68" s="94">
        <f t="shared" si="73"/>
        <v>50.375</v>
      </c>
      <c r="BC68" s="95">
        <f t="shared" si="99"/>
        <v>1</v>
      </c>
      <c r="BD68" s="60">
        <f t="shared" si="42"/>
        <v>86.720000000000013</v>
      </c>
      <c r="BE68" s="97">
        <f t="shared" si="80"/>
        <v>1</v>
      </c>
      <c r="BF68" s="88">
        <f t="shared" si="100"/>
        <v>1</v>
      </c>
      <c r="BG68" s="60">
        <f>IFERROR(AVERAGEIFS('Base Kpi'!$CB:$CB,'Base Kpi'!$BU:$BU,Cliente!$E68,'Base Kpi'!$CA:$CA,Cliente!BG$5),0)</f>
        <v>25</v>
      </c>
      <c r="BH68" s="92">
        <f>IFERROR(AVERAGEIFS('Base Kpi'!$CB:$CB,'Base Kpi'!$BU:$BU,Cliente!$E68,'Base Kpi'!$CA:$CA,Cliente!BH$5),0)</f>
        <v>3.335</v>
      </c>
      <c r="BI68" s="92">
        <f>IFERROR(AVERAGEIFS('Base Kpi'!$CB:$CB,'Base Kpi'!$BU:$BU,Cliente!$E68,'Base Kpi'!$CA:$CA,Cliente!BI$5),0)</f>
        <v>12</v>
      </c>
      <c r="BJ68" s="92">
        <f>IFERROR(AVERAGEIFS('Base Kpi'!$CB:$CB,'Base Kpi'!$BU:$BU,Cliente!$E68,'Base Kpi'!$CA:$CA,Cliente!BJ$5),0)</f>
        <v>24</v>
      </c>
      <c r="BK68" s="92">
        <f>IFERROR(AVERAGEIFS('Base Kpi'!$CB:$CB,'Base Kpi'!$BU:$BU,Cliente!$E68,'Base Kpi'!$CA:$CA,Cliente!BK$5),0)</f>
        <v>9</v>
      </c>
      <c r="BL68" s="94">
        <f t="shared" si="74"/>
        <v>73.335000000000008</v>
      </c>
      <c r="BM68" s="95">
        <f t="shared" si="101"/>
        <v>1</v>
      </c>
      <c r="BN68" s="60">
        <f>IFERROR(AVERAGEIFS('Base Kpi'!$CN:$CN,'Base Kpi'!$CG:$CG,Cliente!$E68,'Base Kpi'!$CM:$CM,Cliente!BN$5),0)</f>
        <v>21.425000000000001</v>
      </c>
      <c r="BO68" s="92">
        <f>IFERROR(AVERAGEIFS('Base Kpi'!$CN:$CN,'Base Kpi'!$CG:$CG,Cliente!$E68,'Base Kpi'!$CM:$CM,Cliente!BO$5),0)</f>
        <v>5</v>
      </c>
      <c r="BP68" s="92">
        <f>IFERROR(AVERAGEIFS('Base Kpi'!$CN:$CN,'Base Kpi'!$CG:$CG,Cliente!$E68,'Base Kpi'!$CM:$CM,Cliente!BP$5),0)</f>
        <v>12</v>
      </c>
      <c r="BQ68" s="92">
        <f>IFERROR(AVERAGEIFS('Base Kpi'!$CN:$CN,'Base Kpi'!$CG:$CG,Cliente!$E68,'Base Kpi'!$CM:$CM,Cliente!BQ$5),0)</f>
        <v>37.6</v>
      </c>
      <c r="BR68" s="92">
        <f>IFERROR(AVERAGEIFS('Base Kpi'!$CN:$CN,'Base Kpi'!$CG:$CG,Cliente!$E68,'Base Kpi'!$CM:$CM,Cliente!BR$5),0)</f>
        <v>18</v>
      </c>
      <c r="BS68" s="94">
        <f t="shared" si="75"/>
        <v>94.025000000000006</v>
      </c>
      <c r="BT68" s="95">
        <f t="shared" si="102"/>
        <v>1</v>
      </c>
      <c r="BU68" s="60">
        <f>IFERROR(AVERAGEIFS('Base Kpi'!$CZ:$CZ,'Base Kpi'!$CS:$CS,Cliente!$E68,'Base Kpi'!$CY:$CY,Cliente!BU$5),0)</f>
        <v>25</v>
      </c>
      <c r="BV68" s="92">
        <f>IFERROR(AVERAGEIFS('Base Kpi'!$CZ:$CZ,'Base Kpi'!$CS:$CS,Cliente!$E68,'Base Kpi'!$CY:$CY,Cliente!BV$5),0)</f>
        <v>5</v>
      </c>
      <c r="BW68" s="92">
        <f>IFERROR(AVERAGEIFS('Base Kpi'!$CZ:$CZ,'Base Kpi'!$CS:$CS,Cliente!$E68,'Base Kpi'!$CY:$CY,Cliente!BW$5),0)</f>
        <v>12</v>
      </c>
      <c r="BX68" s="92">
        <f>IFERROR(AVERAGEIFS('Base Kpi'!$CZ:$CZ,'Base Kpi'!$CS:$CS,Cliente!$E68,'Base Kpi'!$CY:$CY,Cliente!BX$5),0)</f>
        <v>32.799999999999997</v>
      </c>
      <c r="BY68" s="92">
        <f>IFERROR(AVERAGEIFS('Base Kpi'!$CZ:$CZ,'Base Kpi'!$CS:$CS,Cliente!$E68,'Base Kpi'!$CY:$CY,Cliente!BY$5),0)</f>
        <v>18</v>
      </c>
      <c r="BZ68" s="94">
        <f t="shared" si="76"/>
        <v>92.8</v>
      </c>
      <c r="CA68" s="95">
        <f t="shared" si="103"/>
        <v>1</v>
      </c>
      <c r="CB68" s="60">
        <f t="shared" si="104"/>
        <v>58.800000000000004</v>
      </c>
      <c r="CC68" s="97">
        <f t="shared" si="105"/>
        <v>0</v>
      </c>
      <c r="CD68" s="43">
        <f t="shared" si="106"/>
        <v>0</v>
      </c>
      <c r="CE68" s="60" cm="1">
        <f t="array" ref="CE68">IFERROR(LARGE(_xlfn._xlws.FILTER('Base Kpi'!$DL:$DL,('Base Kpi'!$DK:$DK=$CE$5)*('Base Kpi'!$DE:$DE=Cliente!$E68)),1),0)</f>
        <v>34.4</v>
      </c>
      <c r="CF68" s="60" cm="1">
        <f t="array" ref="CF68">IFERROR(LARGE(_xlfn._xlws.FILTER('Base Kpi'!$DL:$DL,('Base Kpi'!$DK:$DK=$CF$5)*('Base Kpi'!$DE:$DE=Cliente!$E68)),1),0)</f>
        <v>5</v>
      </c>
      <c r="CG68" s="60" cm="1">
        <f t="array" ref="CG68">IFERROR(LARGE(_xlfn._xlws.FILTER('Base Kpi'!$DL:$DL,('Base Kpi'!$DK:$DK=$CG$5)*('Base Kpi'!$DE:$DE=Cliente!$E68)),1),0)</f>
        <v>5</v>
      </c>
      <c r="CH68" s="60" cm="1">
        <f t="array" ref="CH68">IFERROR(LARGE(_xlfn._xlws.FILTER('Base Kpi'!$DL:$DL,('Base Kpi'!$DK:$DK=$CH$5)*('Base Kpi'!$DE:$DE=Cliente!$E68)),1),0)</f>
        <v>9</v>
      </c>
      <c r="CI68" s="60" cm="1">
        <f t="array" ref="CI68">IFERROR(LARGE(_xlfn._xlws.FILTER('Base Kpi'!$DL:$DL,('Base Kpi'!$DK:$DK=$CI$5)*('Base Kpi'!$DE:$DE=Cliente!$E68)),1),0)</f>
        <v>25</v>
      </c>
      <c r="CJ68" s="60" cm="1">
        <f t="array" ref="CJ68">IFERROR(LARGE(_xlfn._xlws.FILTER('Base Kpi'!$DL:$DL,('Base Kpi'!$DK:$DK=$CJ$5)*('Base Kpi'!$DE:$DE=Cliente!$E68)),1),0)</f>
        <v>6</v>
      </c>
      <c r="CK68" s="60" cm="1">
        <f t="array" ref="CK68">IFERROR(LARGE(_xlfn._xlws.FILTER('Base Kpi'!$DL:$DL,('Base Kpi'!$DK:$DK=$CK$5)*('Base Kpi'!$DE:$DE=Cliente!$E68)),1),0)</f>
        <v>0</v>
      </c>
      <c r="CL68" s="94">
        <f t="shared" si="77"/>
        <v>84.4</v>
      </c>
      <c r="CM68" s="95">
        <f t="shared" si="47"/>
        <v>1</v>
      </c>
      <c r="CN68" s="60">
        <f>IFERROR(AVERAGEIFS('Base Kpi'!$DX:$DX,'Base Kpi'!$DQ:$DQ,Cliente!$E68,'Base Kpi'!$DW:$DW,Cliente!CN$5),0)</f>
        <v>36</v>
      </c>
      <c r="CO68" s="92">
        <f>IFERROR(AVERAGEIFS('Base Kpi'!$DX:$DX,'Base Kpi'!$DQ:$DQ,Cliente!$E68,'Base Kpi'!$DW:$DW,Cliente!CO$5),0)</f>
        <v>5</v>
      </c>
      <c r="CP68" s="92">
        <f>IFERROR(AVERAGEIFS('Base Kpi'!$DX:$DX,'Base Kpi'!$DQ:$DQ,Cliente!$E68,'Base Kpi'!$DW:$DW,Cliente!CP$5),0)</f>
        <v>5</v>
      </c>
      <c r="CQ68" s="92">
        <f>IFERROR(AVERAGEIFS('Base Kpi'!$DX:$DX,'Base Kpi'!$DQ:$DQ,Cliente!$E68,'Base Kpi'!$DW:$DW,Cliente!CQ$5),0)</f>
        <v>9</v>
      </c>
      <c r="CR68" s="92">
        <f>IFERROR(AVERAGEIFS('Base Kpi'!$DX:$DX,'Base Kpi'!$DQ:$DQ,Cliente!$E68,'Base Kpi'!$DW:$DW,Cliente!CR$5),0)</f>
        <v>25</v>
      </c>
      <c r="CS68" s="92">
        <f>IFERROR(AVERAGEIFS('Base Kpi'!$DX:$DX,'Base Kpi'!$DQ:$DQ,Cliente!$E68,'Base Kpi'!$DW:$DW,Cliente!CS$5),0)</f>
        <v>12</v>
      </c>
      <c r="CT68" s="92">
        <f>IFERROR(AVERAGEIFS('Base Kpi'!$DX:$DX,'Base Kpi'!$DQ:$DQ,Cliente!$E68,'Base Kpi'!$DW:$DW,Cliente!CT$5),0)</f>
        <v>0</v>
      </c>
      <c r="CU68" s="94">
        <f t="shared" si="107"/>
        <v>92</v>
      </c>
      <c r="CV68" s="95">
        <f t="shared" si="108"/>
        <v>1</v>
      </c>
      <c r="CW68" s="60">
        <f>IFERROR(AVERAGEIFS('Base Kpi'!$EJ:$EJ,'Base Kpi'!$EC:$EC,Cliente!$E68,'Base Kpi'!$EI:$EI,Cliente!CW$5),0)</f>
        <v>0</v>
      </c>
      <c r="CX68" s="92">
        <f>IFERROR(AVERAGEIFS('Base Kpi'!$EJ:$EJ,'Base Kpi'!$EC:$EC,Cliente!$E68,'Base Kpi'!$EI:$EI,Cliente!CX$5),0)</f>
        <v>0</v>
      </c>
      <c r="CY68" s="92">
        <f>IFERROR(AVERAGEIFS('Base Kpi'!$EJ:$EJ,'Base Kpi'!$EC:$EC,Cliente!$E68,'Base Kpi'!$EI:$EI,Cliente!CY$5),0)</f>
        <v>0</v>
      </c>
      <c r="CZ68" s="92">
        <f>IFERROR(AVERAGEIFS('Base Kpi'!$EJ:$EJ,'Base Kpi'!$EC:$EC,Cliente!$E68,'Base Kpi'!$EI:$EI,Cliente!CZ$5),0)</f>
        <v>0</v>
      </c>
      <c r="DA68" s="92">
        <f>IFERROR(AVERAGEIFS('Base Kpi'!$EJ:$EJ,'Base Kpi'!$EC:$EC,Cliente!$E68,'Base Kpi'!$EI:$EI,Cliente!DA$5),0)</f>
        <v>0</v>
      </c>
      <c r="DB68" s="92">
        <f>IFERROR(AVERAGEIFS('Base Kpi'!$EJ:$EJ,'Base Kpi'!$EC:$EC,Cliente!$E68,'Base Kpi'!$EI:$EI,Cliente!DB$5),0)</f>
        <v>0</v>
      </c>
      <c r="DC68" s="92">
        <f>IFERROR(AVERAGEIFS('Base Kpi'!$EJ:$EJ,'Base Kpi'!$EC:$EC,Cliente!$E68,'Base Kpi'!$EI:$EI,Cliente!DC$5),0)</f>
        <v>0</v>
      </c>
      <c r="DD68" s="94">
        <f t="shared" si="109"/>
        <v>0</v>
      </c>
      <c r="DE68" s="95">
        <f t="shared" si="110"/>
        <v>0</v>
      </c>
      <c r="DF68" s="120"/>
    </row>
    <row r="69" spans="2:110" x14ac:dyDescent="0.35">
      <c r="B69" s="101" t="s">
        <v>42</v>
      </c>
      <c r="C69" s="102">
        <v>3655</v>
      </c>
      <c r="D69" s="102" t="s">
        <v>434</v>
      </c>
      <c r="E69" s="102">
        <v>152153</v>
      </c>
      <c r="F69" s="103" t="s">
        <v>67</v>
      </c>
      <c r="G69" s="103" t="s">
        <v>182</v>
      </c>
      <c r="H69" s="103" t="s">
        <v>188</v>
      </c>
      <c r="I69" s="103" t="s">
        <v>189</v>
      </c>
      <c r="J69" s="103" t="s">
        <v>88</v>
      </c>
      <c r="K69" s="108" t="s">
        <v>81</v>
      </c>
      <c r="L69" s="60">
        <f t="shared" si="89"/>
        <v>80.935000000000002</v>
      </c>
      <c r="M69" s="97">
        <f t="shared" si="90"/>
        <v>1</v>
      </c>
      <c r="N69" s="43">
        <f t="shared" si="85"/>
        <v>1</v>
      </c>
      <c r="O69" s="60">
        <f>IFERROR(AVERAGEIFS('Base Kpi'!$I:$I,'Base Kpi'!$B:$B,Cliente!$E69,'Base Kpi'!$G:$G,Cliente!O$5),0)</f>
        <v>25.71</v>
      </c>
      <c r="P69" s="92">
        <f>IFERROR(AVERAGEIFS('Base Kpi'!$I:$I,'Base Kpi'!$B:$B,Cliente!$E69,'Base Kpi'!$G:$G,Cliente!P$5),0)</f>
        <v>8</v>
      </c>
      <c r="Q69" s="92">
        <f>IFERROR(AVERAGEIFS('Base Kpi'!$I:$I,'Base Kpi'!$B:$B,Cliente!$E69,'Base Kpi'!$G:$G,Cliente!Q$5),0)</f>
        <v>6.8</v>
      </c>
      <c r="R69" s="92">
        <f>IFERROR(AVERAGEIFS('Base Kpi'!$I:$I,'Base Kpi'!$B:$B,Cliente!$E69,'Base Kpi'!$G:$G,Cliente!R$5),0)</f>
        <v>36</v>
      </c>
      <c r="S69" s="94">
        <f t="shared" si="91"/>
        <v>76.509999999999991</v>
      </c>
      <c r="T69" s="95">
        <f t="shared" si="92"/>
        <v>0</v>
      </c>
      <c r="U69" s="60">
        <f>IFERROR(AVERAGEIFS('Base Kpi'!$T:$T,'Base Kpi'!$M:$M,Cliente!$E69,'Base Kpi'!$S:$S,Cliente!U$5),0)</f>
        <v>25.71</v>
      </c>
      <c r="V69" s="92">
        <f>IFERROR(AVERAGEIFS('Base Kpi'!$T:$T,'Base Kpi'!$M:$M,Cliente!$E69,'Base Kpi'!$S:$S,Cliente!V$5),0)</f>
        <v>8</v>
      </c>
      <c r="W69" s="92">
        <f>IFERROR(AVERAGEIFS('Base Kpi'!$T:$T,'Base Kpi'!$M:$M,Cliente!$E69,'Base Kpi'!$S:$S,Cliente!W$5),0)</f>
        <v>8.5</v>
      </c>
      <c r="X69" s="92">
        <f>IFERROR(AVERAGEIFS('Base Kpi'!$T:$T,'Base Kpi'!$M:$M,Cliente!$E69,'Base Kpi'!$S:$S,Cliente!X$5),0)</f>
        <v>39.375</v>
      </c>
      <c r="Y69" s="94">
        <f t="shared" si="93"/>
        <v>81.585000000000008</v>
      </c>
      <c r="Z69" s="95">
        <f t="shared" si="94"/>
        <v>1</v>
      </c>
      <c r="AA69" s="60">
        <f>IFERROR(AVERAGEIFS('Base Kpi'!$AF:$AF,'Base Kpi'!$Y:$Y,Cliente!$E69,'Base Kpi'!$AE:$AE,Cliente!AA$5),0)</f>
        <v>25.71</v>
      </c>
      <c r="AB69" s="92">
        <f>IFERROR(AVERAGEIFS('Base Kpi'!$AF:$AF,'Base Kpi'!$Y:$Y,Cliente!$E69,'Base Kpi'!$AE:$AE,Cliente!AB$5),0)</f>
        <v>8</v>
      </c>
      <c r="AC69" s="92">
        <f>IFERROR(AVERAGEIFS('Base Kpi'!$AF:$AF,'Base Kpi'!$Y:$Y,Cliente!$E69,'Base Kpi'!$AE:$AE,Cliente!AC$5),0)</f>
        <v>12.75</v>
      </c>
      <c r="AD69" s="92">
        <f>IFERROR(AVERAGEIFS('Base Kpi'!$AF:$AF,'Base Kpi'!$Y:$Y,Cliente!$E69,'Base Kpi'!$AE:$AE,Cliente!AD$5),0)</f>
        <v>38.25</v>
      </c>
      <c r="AE69" s="94">
        <f t="shared" si="95"/>
        <v>84.710000000000008</v>
      </c>
      <c r="AF69" s="95">
        <f t="shared" si="96"/>
        <v>1</v>
      </c>
      <c r="AG69" s="60">
        <f t="shared" si="71"/>
        <v>72.605000000000004</v>
      </c>
      <c r="AH69" s="97">
        <f t="shared" si="72"/>
        <v>1</v>
      </c>
      <c r="AI69" s="88">
        <f t="shared" si="97"/>
        <v>1</v>
      </c>
      <c r="AJ69" s="92">
        <f>IFERROR(AVERAGEIFS('Base Kpi'!$AR:$AR,'Base Kpi'!$AK:$AK,Cliente!$E69,'Base Kpi'!$AQ:$AQ,AJ$5),0)</f>
        <v>21.425000000000001</v>
      </c>
      <c r="AK69" s="92">
        <f>IFERROR(AVERAGEIFS('Base Kpi'!$AR:$AR,'Base Kpi'!$AK:$AK,Cliente!$E69,'Base Kpi'!$AQ:$AQ,AK$5),0)</f>
        <v>2.5</v>
      </c>
      <c r="AL69" s="92">
        <f>IFERROR(AVERAGEIFS('Base Kpi'!$AR:$AR,'Base Kpi'!$AK:$AK,Cliente!$E69,'Base Kpi'!$AQ:$AQ,AL$5),0)</f>
        <v>12</v>
      </c>
      <c r="AM69" s="92">
        <f>IFERROR(AVERAGEIFS('Base Kpi'!$AR:$AR,'Base Kpi'!$AK:$AK,Cliente!$E69,'Base Kpi'!$AQ:$AQ,AM$5),0)</f>
        <v>29.56</v>
      </c>
      <c r="AN69" s="94">
        <f t="shared" si="86"/>
        <v>65.484999999999999</v>
      </c>
      <c r="AO69" s="95">
        <f t="shared" si="87"/>
        <v>0</v>
      </c>
      <c r="AP69" s="60">
        <f>IFERROR(AVERAGEIFS('Base Kpi'!$BD:$BD,'Base Kpi'!$AW:$AW,Cliente!$E69,'Base Kpi'!$BC:$BC,Cliente!AP$5),0)</f>
        <v>25</v>
      </c>
      <c r="AQ69" s="92">
        <f>IFERROR(AVERAGEIFS('Base Kpi'!$BD:$BD,'Base Kpi'!$AW:$AW,Cliente!$E69,'Base Kpi'!$BC:$BC,Cliente!AQ$5),0)</f>
        <v>1.665</v>
      </c>
      <c r="AR69" s="92">
        <f>IFERROR(AVERAGEIFS('Base Kpi'!$BD:$BD,'Base Kpi'!$AW:$AW,Cliente!$E69,'Base Kpi'!$BC:$BC,Cliente!AR$5),0)</f>
        <v>9</v>
      </c>
      <c r="AS69" s="92">
        <f>IFERROR(AVERAGEIFS('Base Kpi'!$BD:$BD,'Base Kpi'!$AW:$AW,Cliente!$E69,'Base Kpi'!$BC:$BC,Cliente!AS$5),0)</f>
        <v>31.32</v>
      </c>
      <c r="AT69" s="92">
        <f>IFERROR(AVERAGEIFS('Base Kpi'!$BD:$BD,'Base Kpi'!$AW:$AW,Cliente!$E69,'Base Kpi'!$BC:$BC,Cliente!AT$5),0)</f>
        <v>0</v>
      </c>
      <c r="AU69" s="94">
        <f t="shared" si="88"/>
        <v>66.984999999999999</v>
      </c>
      <c r="AV69" s="95">
        <f t="shared" si="98"/>
        <v>1</v>
      </c>
      <c r="AW69" s="60">
        <f>IFERROR(AVERAGEIFS('Base Kpi'!$BP:$BP,'Base Kpi'!$BI:$BI,Cliente!$E69,'Base Kpi'!$BO:$BO,Cliente!AW$5),0)</f>
        <v>25</v>
      </c>
      <c r="AX69" s="92">
        <f>IFERROR(AVERAGEIFS('Base Kpi'!$BP:$BP,'Base Kpi'!$BI:$BI,Cliente!$E69,'Base Kpi'!$BO:$BO,Cliente!AX$5),0)</f>
        <v>1.665</v>
      </c>
      <c r="AY69" s="92">
        <f>IFERROR(AVERAGEIFS('Base Kpi'!$BP:$BP,'Base Kpi'!$BI:$BI,Cliente!$E69,'Base Kpi'!$BO:$BO,Cliente!AY$5),0)</f>
        <v>12</v>
      </c>
      <c r="AZ69" s="92">
        <f>IFERROR(AVERAGEIFS('Base Kpi'!$BP:$BP,'Base Kpi'!$BI:$BI,Cliente!$E69,'Base Kpi'!$BO:$BO,Cliente!AZ$5),0)</f>
        <v>28.68</v>
      </c>
      <c r="BA69" s="92">
        <f>IFERROR(AVERAGEIFS('Base Kpi'!$BP:$BP,'Base Kpi'!$BI:$BI,Cliente!$E69,'Base Kpi'!$BO:$BO,Cliente!BA$5),0)</f>
        <v>18</v>
      </c>
      <c r="BB69" s="94">
        <f t="shared" si="73"/>
        <v>85.344999999999999</v>
      </c>
      <c r="BC69" s="95">
        <f t="shared" si="99"/>
        <v>1</v>
      </c>
      <c r="BD69" s="60">
        <f t="shared" si="42"/>
        <v>88.171666666666667</v>
      </c>
      <c r="BE69" s="97">
        <f t="shared" si="80"/>
        <v>1</v>
      </c>
      <c r="BF69" s="88">
        <f t="shared" si="100"/>
        <v>1</v>
      </c>
      <c r="BG69" s="60">
        <f>IFERROR(AVERAGEIFS('Base Kpi'!$CB:$CB,'Base Kpi'!$BU:$BU,Cliente!$E69,'Base Kpi'!$CA:$CA,Cliente!BG$5),0)</f>
        <v>21.425000000000001</v>
      </c>
      <c r="BH69" s="92">
        <f>IFERROR(AVERAGEIFS('Base Kpi'!$CB:$CB,'Base Kpi'!$BU:$BU,Cliente!$E69,'Base Kpi'!$CA:$CA,Cliente!BH$5),0)</f>
        <v>1.665</v>
      </c>
      <c r="BI69" s="92">
        <f>IFERROR(AVERAGEIFS('Base Kpi'!$CB:$CB,'Base Kpi'!$BU:$BU,Cliente!$E69,'Base Kpi'!$CA:$CA,Cliente!BI$5),0)</f>
        <v>12</v>
      </c>
      <c r="BJ69" s="92">
        <f>IFERROR(AVERAGEIFS('Base Kpi'!$CB:$CB,'Base Kpi'!$BU:$BU,Cliente!$E69,'Base Kpi'!$CA:$CA,Cliente!BJ$5),0)</f>
        <v>29.6</v>
      </c>
      <c r="BK69" s="92">
        <f>IFERROR(AVERAGEIFS('Base Kpi'!$CB:$CB,'Base Kpi'!$BU:$BU,Cliente!$E69,'Base Kpi'!$CA:$CA,Cliente!BK$5),0)</f>
        <v>9</v>
      </c>
      <c r="BL69" s="94">
        <f t="shared" si="74"/>
        <v>73.69</v>
      </c>
      <c r="BM69" s="95">
        <f t="shared" si="101"/>
        <v>1</v>
      </c>
      <c r="BN69" s="60">
        <f>IFERROR(AVERAGEIFS('Base Kpi'!$CN:$CN,'Base Kpi'!$CG:$CG,Cliente!$E69,'Base Kpi'!$CM:$CM,Cliente!BN$5),0)</f>
        <v>25</v>
      </c>
      <c r="BO69" s="92">
        <f>IFERROR(AVERAGEIFS('Base Kpi'!$CN:$CN,'Base Kpi'!$CG:$CG,Cliente!$E69,'Base Kpi'!$CM:$CM,Cliente!BO$5),0)</f>
        <v>5</v>
      </c>
      <c r="BP69" s="92">
        <f>IFERROR(AVERAGEIFS('Base Kpi'!$CN:$CN,'Base Kpi'!$CG:$CG,Cliente!$E69,'Base Kpi'!$CM:$CM,Cliente!BP$5),0)</f>
        <v>12</v>
      </c>
      <c r="BQ69" s="92">
        <f>IFERROR(AVERAGEIFS('Base Kpi'!$CN:$CN,'Base Kpi'!$CG:$CG,Cliente!$E69,'Base Kpi'!$CM:$CM,Cliente!BQ$5),0)</f>
        <v>36</v>
      </c>
      <c r="BR69" s="92">
        <f>IFERROR(AVERAGEIFS('Base Kpi'!$CN:$CN,'Base Kpi'!$CG:$CG,Cliente!$E69,'Base Kpi'!$CM:$CM,Cliente!BR$5),0)</f>
        <v>18</v>
      </c>
      <c r="BS69" s="94">
        <f t="shared" si="75"/>
        <v>96</v>
      </c>
      <c r="BT69" s="95">
        <f t="shared" si="102"/>
        <v>1</v>
      </c>
      <c r="BU69" s="60">
        <f>IFERROR(AVERAGEIFS('Base Kpi'!$CZ:$CZ,'Base Kpi'!$CS:$CS,Cliente!$E69,'Base Kpi'!$CY:$CY,Cliente!BU$5),0)</f>
        <v>21.425000000000001</v>
      </c>
      <c r="BV69" s="92">
        <f>IFERROR(AVERAGEIFS('Base Kpi'!$CZ:$CZ,'Base Kpi'!$CS:$CS,Cliente!$E69,'Base Kpi'!$CY:$CY,Cliente!BV$5),0)</f>
        <v>5</v>
      </c>
      <c r="BW69" s="92">
        <f>IFERROR(AVERAGEIFS('Base Kpi'!$CZ:$CZ,'Base Kpi'!$CS:$CS,Cliente!$E69,'Base Kpi'!$CY:$CY,Cliente!BW$5),0)</f>
        <v>12</v>
      </c>
      <c r="BX69" s="92">
        <f>IFERROR(AVERAGEIFS('Base Kpi'!$CZ:$CZ,'Base Kpi'!$CS:$CS,Cliente!$E69,'Base Kpi'!$CY:$CY,Cliente!BX$5),0)</f>
        <v>38.4</v>
      </c>
      <c r="BY69" s="92">
        <f>IFERROR(AVERAGEIFS('Base Kpi'!$CZ:$CZ,'Base Kpi'!$CS:$CS,Cliente!$E69,'Base Kpi'!$CY:$CY,Cliente!BY$5),0)</f>
        <v>18</v>
      </c>
      <c r="BZ69" s="94">
        <f t="shared" si="76"/>
        <v>94.824999999999989</v>
      </c>
      <c r="CA69" s="95">
        <f t="shared" si="103"/>
        <v>1</v>
      </c>
      <c r="CB69" s="60">
        <f t="shared" si="104"/>
        <v>65.076666666666668</v>
      </c>
      <c r="CC69" s="97">
        <f t="shared" si="105"/>
        <v>0</v>
      </c>
      <c r="CD69" s="43">
        <f t="shared" si="106"/>
        <v>0</v>
      </c>
      <c r="CE69" s="60" cm="1">
        <f t="array" ref="CE69">IFERROR(LARGE(_xlfn._xlws.FILTER('Base Kpi'!$DL:$DL,('Base Kpi'!$DK:$DK=$CE$5)*('Base Kpi'!$DE:$DE=Cliente!$E69)),1),0)</f>
        <v>36.799999999999997</v>
      </c>
      <c r="CF69" s="60" cm="1">
        <f t="array" ref="CF69">IFERROR(LARGE(_xlfn._xlws.FILTER('Base Kpi'!$DL:$DL,('Base Kpi'!$DK:$DK=$CF$5)*('Base Kpi'!$DE:$DE=Cliente!$E69)),1),0)</f>
        <v>5</v>
      </c>
      <c r="CG69" s="60" cm="1">
        <f t="array" ref="CG69">IFERROR(LARGE(_xlfn._xlws.FILTER('Base Kpi'!$DL:$DL,('Base Kpi'!$DK:$DK=$CG$5)*('Base Kpi'!$DE:$DE=Cliente!$E69)),1),0)</f>
        <v>5</v>
      </c>
      <c r="CH69" s="60" cm="1">
        <f t="array" ref="CH69">IFERROR(LARGE(_xlfn._xlws.FILTER('Base Kpi'!$DL:$DL,('Base Kpi'!$DK:$DK=$CH$5)*('Base Kpi'!$DE:$DE=Cliente!$E69)),1),0)</f>
        <v>18</v>
      </c>
      <c r="CI69" s="60" cm="1">
        <f t="array" ref="CI69">IFERROR(LARGE(_xlfn._xlws.FILTER('Base Kpi'!$DL:$DL,('Base Kpi'!$DK:$DK=$CI$5)*('Base Kpi'!$DE:$DE=Cliente!$E69)),1),0)</f>
        <v>21.425000000000001</v>
      </c>
      <c r="CJ69" s="60" cm="1">
        <f t="array" ref="CJ69">IFERROR(LARGE(_xlfn._xlws.FILTER('Base Kpi'!$DL:$DL,('Base Kpi'!$DK:$DK=$CJ$5)*('Base Kpi'!$DE:$DE=Cliente!$E69)),1),0)</f>
        <v>9</v>
      </c>
      <c r="CK69" s="60" cm="1">
        <f t="array" ref="CK69">IFERROR(LARGE(_xlfn._xlws.FILTER('Base Kpi'!$DL:$DL,('Base Kpi'!$DK:$DK=$CK$5)*('Base Kpi'!$DE:$DE=Cliente!$E69)),1),0)</f>
        <v>0</v>
      </c>
      <c r="CL69" s="94">
        <f t="shared" si="77"/>
        <v>95.224999999999994</v>
      </c>
      <c r="CM69" s="95">
        <f t="shared" si="47"/>
        <v>1</v>
      </c>
      <c r="CN69" s="60">
        <f>IFERROR(AVERAGEIFS('Base Kpi'!$DX:$DX,'Base Kpi'!$DQ:$DQ,Cliente!$E69,'Base Kpi'!$DW:$DW,Cliente!CN$5),0)</f>
        <v>39.200000000000003</v>
      </c>
      <c r="CO69" s="92">
        <f>IFERROR(AVERAGEIFS('Base Kpi'!$DX:$DX,'Base Kpi'!$DQ:$DQ,Cliente!$E69,'Base Kpi'!$DW:$DW,Cliente!CO$5),0)</f>
        <v>4.38</v>
      </c>
      <c r="CP69" s="92">
        <f>IFERROR(AVERAGEIFS('Base Kpi'!$DX:$DX,'Base Kpi'!$DQ:$DQ,Cliente!$E69,'Base Kpi'!$DW:$DW,Cliente!CP$5),0)</f>
        <v>5</v>
      </c>
      <c r="CQ69" s="92">
        <f>IFERROR(AVERAGEIFS('Base Kpi'!$DX:$DX,'Base Kpi'!$DQ:$DQ,Cliente!$E69,'Base Kpi'!$DW:$DW,Cliente!CQ$5),0)</f>
        <v>18</v>
      </c>
      <c r="CR69" s="92">
        <f>IFERROR(AVERAGEIFS('Base Kpi'!$DX:$DX,'Base Kpi'!$DQ:$DQ,Cliente!$E69,'Base Kpi'!$DW:$DW,Cliente!CR$5),0)</f>
        <v>21.425000000000001</v>
      </c>
      <c r="CS69" s="92">
        <f>IFERROR(AVERAGEIFS('Base Kpi'!$DX:$DX,'Base Kpi'!$DQ:$DQ,Cliente!$E69,'Base Kpi'!$DW:$DW,Cliente!CS$5),0)</f>
        <v>12</v>
      </c>
      <c r="CT69" s="92">
        <f>IFERROR(AVERAGEIFS('Base Kpi'!$DX:$DX,'Base Kpi'!$DQ:$DQ,Cliente!$E69,'Base Kpi'!$DW:$DW,Cliente!CT$5),0)</f>
        <v>0</v>
      </c>
      <c r="CU69" s="94">
        <f t="shared" si="107"/>
        <v>100.00500000000001</v>
      </c>
      <c r="CV69" s="95">
        <f t="shared" si="108"/>
        <v>1</v>
      </c>
      <c r="CW69" s="60">
        <f>IFERROR(AVERAGEIFS('Base Kpi'!$EJ:$EJ,'Base Kpi'!$EC:$EC,Cliente!$E69,'Base Kpi'!$EI:$EI,Cliente!CW$5),0)</f>
        <v>0</v>
      </c>
      <c r="CX69" s="92">
        <f>IFERROR(AVERAGEIFS('Base Kpi'!$EJ:$EJ,'Base Kpi'!$EC:$EC,Cliente!$E69,'Base Kpi'!$EI:$EI,Cliente!CX$5),0)</f>
        <v>0</v>
      </c>
      <c r="CY69" s="92">
        <f>IFERROR(AVERAGEIFS('Base Kpi'!$EJ:$EJ,'Base Kpi'!$EC:$EC,Cliente!$E69,'Base Kpi'!$EI:$EI,Cliente!CY$5),0)</f>
        <v>0</v>
      </c>
      <c r="CZ69" s="92">
        <f>IFERROR(AVERAGEIFS('Base Kpi'!$EJ:$EJ,'Base Kpi'!$EC:$EC,Cliente!$E69,'Base Kpi'!$EI:$EI,Cliente!CZ$5),0)</f>
        <v>0</v>
      </c>
      <c r="DA69" s="92">
        <f>IFERROR(AVERAGEIFS('Base Kpi'!$EJ:$EJ,'Base Kpi'!$EC:$EC,Cliente!$E69,'Base Kpi'!$EI:$EI,Cliente!DA$5),0)</f>
        <v>0</v>
      </c>
      <c r="DB69" s="92">
        <f>IFERROR(AVERAGEIFS('Base Kpi'!$EJ:$EJ,'Base Kpi'!$EC:$EC,Cliente!$E69,'Base Kpi'!$EI:$EI,Cliente!DB$5),0)</f>
        <v>0</v>
      </c>
      <c r="DC69" s="92">
        <f>IFERROR(AVERAGEIFS('Base Kpi'!$EJ:$EJ,'Base Kpi'!$EC:$EC,Cliente!$E69,'Base Kpi'!$EI:$EI,Cliente!DC$5),0)</f>
        <v>0</v>
      </c>
      <c r="DD69" s="94">
        <f t="shared" si="109"/>
        <v>0</v>
      </c>
      <c r="DE69" s="95">
        <f t="shared" si="110"/>
        <v>0</v>
      </c>
      <c r="DF69" s="120"/>
    </row>
    <row r="70" spans="2:110" x14ac:dyDescent="0.35">
      <c r="B70" s="101" t="s">
        <v>42</v>
      </c>
      <c r="C70" s="102">
        <v>3655</v>
      </c>
      <c r="D70" s="102" t="s">
        <v>434</v>
      </c>
      <c r="E70" s="102">
        <v>152696</v>
      </c>
      <c r="F70" s="103" t="s">
        <v>69</v>
      </c>
      <c r="G70" s="103" t="s">
        <v>190</v>
      </c>
      <c r="H70" s="103" t="s">
        <v>439</v>
      </c>
      <c r="I70" s="103" t="s">
        <v>191</v>
      </c>
      <c r="J70" s="103" t="s">
        <v>90</v>
      </c>
      <c r="K70" s="108" t="s">
        <v>81</v>
      </c>
      <c r="L70" s="60">
        <f t="shared" si="89"/>
        <v>73.111666666666679</v>
      </c>
      <c r="M70" s="97">
        <f t="shared" si="90"/>
        <v>1</v>
      </c>
      <c r="N70" s="43">
        <f t="shared" si="85"/>
        <v>0</v>
      </c>
      <c r="O70" s="60">
        <f>IFERROR(AVERAGEIFS('Base Kpi'!$I:$I,'Base Kpi'!$B:$B,Cliente!$E70,'Base Kpi'!$G:$G,Cliente!O$5),0)</f>
        <v>21.42</v>
      </c>
      <c r="P70" s="92">
        <f>IFERROR(AVERAGEIFS('Base Kpi'!$I:$I,'Base Kpi'!$B:$B,Cliente!$E70,'Base Kpi'!$G:$G,Cliente!P$5),0)</f>
        <v>8</v>
      </c>
      <c r="Q70" s="92">
        <f>IFERROR(AVERAGEIFS('Base Kpi'!$I:$I,'Base Kpi'!$B:$B,Cliente!$E70,'Base Kpi'!$G:$G,Cliente!Q$5),0)</f>
        <v>10.199999999999999</v>
      </c>
      <c r="R70" s="92">
        <f>IFERROR(AVERAGEIFS('Base Kpi'!$I:$I,'Base Kpi'!$B:$B,Cliente!$E70,'Base Kpi'!$G:$G,Cliente!R$5),0)</f>
        <v>25.875</v>
      </c>
      <c r="S70" s="94">
        <f t="shared" si="91"/>
        <v>65.495000000000005</v>
      </c>
      <c r="T70" s="95">
        <f t="shared" si="92"/>
        <v>0</v>
      </c>
      <c r="U70" s="60">
        <f>IFERROR(AVERAGEIFS('Base Kpi'!$T:$T,'Base Kpi'!$M:$M,Cliente!$E70,'Base Kpi'!$S:$S,Cliente!U$5),0)</f>
        <v>21.42</v>
      </c>
      <c r="V70" s="92">
        <f>IFERROR(AVERAGEIFS('Base Kpi'!$T:$T,'Base Kpi'!$M:$M,Cliente!$E70,'Base Kpi'!$S:$S,Cliente!V$5),0)</f>
        <v>8</v>
      </c>
      <c r="W70" s="92">
        <f>IFERROR(AVERAGEIFS('Base Kpi'!$T:$T,'Base Kpi'!$M:$M,Cliente!$E70,'Base Kpi'!$S:$S,Cliente!W$5),0)</f>
        <v>17</v>
      </c>
      <c r="X70" s="92">
        <f>IFERROR(AVERAGEIFS('Base Kpi'!$T:$T,'Base Kpi'!$M:$M,Cliente!$E70,'Base Kpi'!$S:$S,Cliente!X$5),0)</f>
        <v>33.75</v>
      </c>
      <c r="Y70" s="94">
        <f t="shared" si="93"/>
        <v>80.17</v>
      </c>
      <c r="Z70" s="95">
        <f t="shared" si="94"/>
        <v>1</v>
      </c>
      <c r="AA70" s="60">
        <f>IFERROR(AVERAGEIFS('Base Kpi'!$AF:$AF,'Base Kpi'!$Y:$Y,Cliente!$E70,'Base Kpi'!$AE:$AE,Cliente!AA$5),0)</f>
        <v>21.42</v>
      </c>
      <c r="AB70" s="92">
        <f>IFERROR(AVERAGEIFS('Base Kpi'!$AF:$AF,'Base Kpi'!$Y:$Y,Cliente!$E70,'Base Kpi'!$AE:$AE,Cliente!AB$5),0)</f>
        <v>8</v>
      </c>
      <c r="AC70" s="92">
        <f>IFERROR(AVERAGEIFS('Base Kpi'!$AF:$AF,'Base Kpi'!$Y:$Y,Cliente!$E70,'Base Kpi'!$AE:$AE,Cliente!AC$5),0)</f>
        <v>12.75</v>
      </c>
      <c r="AD70" s="92">
        <f>IFERROR(AVERAGEIFS('Base Kpi'!$AF:$AF,'Base Kpi'!$Y:$Y,Cliente!$E70,'Base Kpi'!$AE:$AE,Cliente!AD$5),0)</f>
        <v>31.5</v>
      </c>
      <c r="AE70" s="94">
        <f t="shared" si="95"/>
        <v>73.67</v>
      </c>
      <c r="AF70" s="95">
        <f t="shared" si="96"/>
        <v>0</v>
      </c>
      <c r="AG70" s="60">
        <f t="shared" ref="AG70:AG76" si="111">IF((AN70+AU70+BB70)/3=0,"",(AN70+AU70+BB70)/3)</f>
        <v>68.681666666666672</v>
      </c>
      <c r="AH70" s="97">
        <f t="shared" ref="AH70:AH76" si="112">IF(IF(AN70&gt;0,1,0)+IF(AU70&gt;0,1,0)+IF(BB70&gt;0,1,0)=3,1,0)</f>
        <v>1</v>
      </c>
      <c r="AI70" s="88">
        <f t="shared" si="97"/>
        <v>1</v>
      </c>
      <c r="AJ70" s="92">
        <f>IFERROR(AVERAGEIFS('Base Kpi'!$AR:$AR,'Base Kpi'!$AK:$AK,Cliente!$E70,'Base Kpi'!$AQ:$AQ,AJ$5),0)</f>
        <v>25</v>
      </c>
      <c r="AK70" s="92">
        <f>IFERROR(AVERAGEIFS('Base Kpi'!$AR:$AR,'Base Kpi'!$AK:$AK,Cliente!$E70,'Base Kpi'!$AQ:$AQ,AK$5),0)</f>
        <v>2.5</v>
      </c>
      <c r="AL70" s="92">
        <f>IFERROR(AVERAGEIFS('Base Kpi'!$AR:$AR,'Base Kpi'!$AK:$AK,Cliente!$E70,'Base Kpi'!$AQ:$AQ,AL$5),0)</f>
        <v>9</v>
      </c>
      <c r="AM70" s="92">
        <f>IFERROR(AVERAGEIFS('Base Kpi'!$AR:$AR,'Base Kpi'!$AK:$AK,Cliente!$E70,'Base Kpi'!$AQ:$AQ,AM$5),0)</f>
        <v>32.159999999999997</v>
      </c>
      <c r="AN70" s="94">
        <f t="shared" si="86"/>
        <v>68.66</v>
      </c>
      <c r="AO70" s="95">
        <f t="shared" si="87"/>
        <v>0</v>
      </c>
      <c r="AP70" s="60">
        <f>IFERROR(AVERAGEIFS('Base Kpi'!$BD:$BD,'Base Kpi'!$AW:$AW,Cliente!$E70,'Base Kpi'!$BC:$BC,Cliente!AP$5),0)</f>
        <v>25</v>
      </c>
      <c r="AQ70" s="92">
        <f>IFERROR(AVERAGEIFS('Base Kpi'!$BD:$BD,'Base Kpi'!$AW:$AW,Cliente!$E70,'Base Kpi'!$BC:$BC,Cliente!AQ$5),0)</f>
        <v>1.665</v>
      </c>
      <c r="AR70" s="92">
        <f>IFERROR(AVERAGEIFS('Base Kpi'!$BD:$BD,'Base Kpi'!$AW:$AW,Cliente!$E70,'Base Kpi'!$BC:$BC,Cliente!AR$5),0)</f>
        <v>9</v>
      </c>
      <c r="AS70" s="92">
        <f>IFERROR(AVERAGEIFS('Base Kpi'!$BD:$BD,'Base Kpi'!$AW:$AW,Cliente!$E70,'Base Kpi'!$BC:$BC,Cliente!AS$5),0)</f>
        <v>26.96</v>
      </c>
      <c r="AT70" s="92">
        <f>IFERROR(AVERAGEIFS('Base Kpi'!$BD:$BD,'Base Kpi'!$AW:$AW,Cliente!$E70,'Base Kpi'!$BC:$BC,Cliente!AT$5),0)</f>
        <v>0</v>
      </c>
      <c r="AU70" s="94">
        <f t="shared" si="88"/>
        <v>62.625</v>
      </c>
      <c r="AV70" s="95">
        <f t="shared" si="98"/>
        <v>1</v>
      </c>
      <c r="AW70" s="60">
        <f>IFERROR(AVERAGEIFS('Base Kpi'!$BP:$BP,'Base Kpi'!$BI:$BI,Cliente!$E70,'Base Kpi'!$BO:$BO,Cliente!AW$5),0)</f>
        <v>21.425000000000001</v>
      </c>
      <c r="AX70" s="92">
        <f>IFERROR(AVERAGEIFS('Base Kpi'!$BP:$BP,'Base Kpi'!$BI:$BI,Cliente!$E70,'Base Kpi'!$BO:$BO,Cliente!AX$5),0)</f>
        <v>3.335</v>
      </c>
      <c r="AY70" s="92">
        <f>IFERROR(AVERAGEIFS('Base Kpi'!$BP:$BP,'Base Kpi'!$BI:$BI,Cliente!$E70,'Base Kpi'!$BO:$BO,Cliente!AY$5),0)</f>
        <v>12</v>
      </c>
      <c r="AZ70" s="92">
        <f>IFERROR(AVERAGEIFS('Base Kpi'!$BP:$BP,'Base Kpi'!$BI:$BI,Cliente!$E70,'Base Kpi'!$BO:$BO,Cliente!AZ$5),0)</f>
        <v>20</v>
      </c>
      <c r="BA70" s="92">
        <f>IFERROR(AVERAGEIFS('Base Kpi'!$BP:$BP,'Base Kpi'!$BI:$BI,Cliente!$E70,'Base Kpi'!$BO:$BO,Cliente!BA$5),0)</f>
        <v>18</v>
      </c>
      <c r="BB70" s="94">
        <f t="shared" ref="BB70:BB76" si="113">SUM(AW70:BA70)</f>
        <v>74.760000000000005</v>
      </c>
      <c r="BC70" s="95">
        <f t="shared" si="99"/>
        <v>1</v>
      </c>
      <c r="BD70" s="60">
        <f t="shared" si="42"/>
        <v>82.186666666666667</v>
      </c>
      <c r="BE70" s="97">
        <f t="shared" si="80"/>
        <v>1</v>
      </c>
      <c r="BF70" s="88">
        <f t="shared" si="100"/>
        <v>1</v>
      </c>
      <c r="BG70" s="60">
        <f>IFERROR(AVERAGEIFS('Base Kpi'!$CB:$CB,'Base Kpi'!$BU:$BU,Cliente!$E70,'Base Kpi'!$CA:$CA,Cliente!BG$5),0)</f>
        <v>21.425000000000001</v>
      </c>
      <c r="BH70" s="92">
        <f>IFERROR(AVERAGEIFS('Base Kpi'!$CB:$CB,'Base Kpi'!$BU:$BU,Cliente!$E70,'Base Kpi'!$CA:$CA,Cliente!BH$5),0)</f>
        <v>3.335</v>
      </c>
      <c r="BI70" s="92">
        <f>IFERROR(AVERAGEIFS('Base Kpi'!$CB:$CB,'Base Kpi'!$BU:$BU,Cliente!$E70,'Base Kpi'!$CA:$CA,Cliente!BI$5),0)</f>
        <v>9</v>
      </c>
      <c r="BJ70" s="92">
        <f>IFERROR(AVERAGEIFS('Base Kpi'!$CB:$CB,'Base Kpi'!$BU:$BU,Cliente!$E70,'Base Kpi'!$CA:$CA,Cliente!BJ$5),0)</f>
        <v>24</v>
      </c>
      <c r="BK70" s="92">
        <f>IFERROR(AVERAGEIFS('Base Kpi'!$CB:$CB,'Base Kpi'!$BU:$BU,Cliente!$E70,'Base Kpi'!$CA:$CA,Cliente!BK$5),0)</f>
        <v>9</v>
      </c>
      <c r="BL70" s="94">
        <f t="shared" ref="BL70:BL76" si="114">SUM(BG70:BK70)</f>
        <v>66.760000000000005</v>
      </c>
      <c r="BM70" s="95">
        <f t="shared" si="101"/>
        <v>1</v>
      </c>
      <c r="BN70" s="60">
        <f>IFERROR(AVERAGEIFS('Base Kpi'!$CN:$CN,'Base Kpi'!$CG:$CG,Cliente!$E70,'Base Kpi'!$CM:$CM,Cliente!BN$5),0)</f>
        <v>25</v>
      </c>
      <c r="BO70" s="92">
        <f>IFERROR(AVERAGEIFS('Base Kpi'!$CN:$CN,'Base Kpi'!$CG:$CG,Cliente!$E70,'Base Kpi'!$CM:$CM,Cliente!BO$5),0)</f>
        <v>5</v>
      </c>
      <c r="BP70" s="92">
        <f>IFERROR(AVERAGEIFS('Base Kpi'!$CN:$CN,'Base Kpi'!$CG:$CG,Cliente!$E70,'Base Kpi'!$CM:$CM,Cliente!BP$5),0)</f>
        <v>12</v>
      </c>
      <c r="BQ70" s="92">
        <f>IFERROR(AVERAGEIFS('Base Kpi'!$CN:$CN,'Base Kpi'!$CG:$CG,Cliente!$E70,'Base Kpi'!$CM:$CM,Cliente!BQ$5),0)</f>
        <v>32</v>
      </c>
      <c r="BR70" s="92">
        <f>IFERROR(AVERAGEIFS('Base Kpi'!$CN:$CN,'Base Kpi'!$CG:$CG,Cliente!$E70,'Base Kpi'!$CM:$CM,Cliente!BR$5),0)</f>
        <v>18</v>
      </c>
      <c r="BS70" s="94">
        <f t="shared" ref="BS70:BS76" si="115">SUM(BN70:BR70)</f>
        <v>92</v>
      </c>
      <c r="BT70" s="95">
        <f t="shared" si="102"/>
        <v>1</v>
      </c>
      <c r="BU70" s="60">
        <f>IFERROR(AVERAGEIFS('Base Kpi'!$CZ:$CZ,'Base Kpi'!$CS:$CS,Cliente!$E70,'Base Kpi'!$CY:$CY,Cliente!BU$5),0)</f>
        <v>25</v>
      </c>
      <c r="BV70" s="92">
        <f>IFERROR(AVERAGEIFS('Base Kpi'!$CZ:$CZ,'Base Kpi'!$CS:$CS,Cliente!$E70,'Base Kpi'!$CY:$CY,Cliente!BV$5),0)</f>
        <v>5</v>
      </c>
      <c r="BW70" s="92">
        <f>IFERROR(AVERAGEIFS('Base Kpi'!$CZ:$CZ,'Base Kpi'!$CS:$CS,Cliente!$E70,'Base Kpi'!$CY:$CY,Cliente!BW$5),0)</f>
        <v>12</v>
      </c>
      <c r="BX70" s="92">
        <f>IFERROR(AVERAGEIFS('Base Kpi'!$CZ:$CZ,'Base Kpi'!$CS:$CS,Cliente!$E70,'Base Kpi'!$CY:$CY,Cliente!BX$5),0)</f>
        <v>36.799999999999997</v>
      </c>
      <c r="BY70" s="92">
        <f>IFERROR(AVERAGEIFS('Base Kpi'!$CZ:$CZ,'Base Kpi'!$CS:$CS,Cliente!$E70,'Base Kpi'!$CY:$CY,Cliente!BY$5),0)</f>
        <v>9</v>
      </c>
      <c r="BZ70" s="94">
        <f t="shared" ref="BZ70:BZ76" si="116">SUM(BU70:BY70)</f>
        <v>87.8</v>
      </c>
      <c r="CA70" s="95">
        <f t="shared" si="103"/>
        <v>1</v>
      </c>
      <c r="CB70" s="60">
        <f t="shared" si="104"/>
        <v>97.424999999999997</v>
      </c>
      <c r="CC70" s="97">
        <f t="shared" si="105"/>
        <v>1</v>
      </c>
      <c r="CD70" s="43">
        <f t="shared" si="106"/>
        <v>1</v>
      </c>
      <c r="CE70" s="60" cm="1">
        <f t="array" ref="CE70">IFERROR(LARGE(_xlfn._xlws.FILTER('Base Kpi'!$DL:$DL,('Base Kpi'!$DK:$DK=$CE$5)*('Base Kpi'!$DE:$DE=Cliente!$E70)),1),0)</f>
        <v>34.4</v>
      </c>
      <c r="CF70" s="60" cm="1">
        <f t="array" ref="CF70">IFERROR(LARGE(_xlfn._xlws.FILTER('Base Kpi'!$DL:$DL,('Base Kpi'!$DK:$DK=$CF$5)*('Base Kpi'!$DE:$DE=Cliente!$E70)),1),0)</f>
        <v>5</v>
      </c>
      <c r="CG70" s="60" cm="1">
        <f t="array" ref="CG70">IFERROR(LARGE(_xlfn._xlws.FILTER('Base Kpi'!$DL:$DL,('Base Kpi'!$DK:$DK=$CG$5)*('Base Kpi'!$DE:$DE=Cliente!$E70)),1),0)</f>
        <v>5</v>
      </c>
      <c r="CH70" s="60" cm="1">
        <f t="array" ref="CH70">IFERROR(LARGE(_xlfn._xlws.FILTER('Base Kpi'!$DL:$DL,('Base Kpi'!$DK:$DK=$CH$5)*('Base Kpi'!$DE:$DE=Cliente!$E70)),1),0)</f>
        <v>18</v>
      </c>
      <c r="CI70" s="60" cm="1">
        <f t="array" ref="CI70">IFERROR(LARGE(_xlfn._xlws.FILTER('Base Kpi'!$DL:$DL,('Base Kpi'!$DK:$DK=$CI$5)*('Base Kpi'!$DE:$DE=Cliente!$E70)),1),0)</f>
        <v>21.425000000000001</v>
      </c>
      <c r="CJ70" s="60" cm="1">
        <f t="array" ref="CJ70">IFERROR(LARGE(_xlfn._xlws.FILTER('Base Kpi'!$DL:$DL,('Base Kpi'!$DK:$DK=$CJ$5)*('Base Kpi'!$DE:$DE=Cliente!$E70)),1),0)</f>
        <v>12</v>
      </c>
      <c r="CK70" s="60" cm="1">
        <f t="array" ref="CK70">IFERROR(LARGE(_xlfn._xlws.FILTER('Base Kpi'!$DL:$DL,('Base Kpi'!$DK:$DK=$CK$5)*('Base Kpi'!$DE:$DE=Cliente!$E70)),1),0)</f>
        <v>0</v>
      </c>
      <c r="CL70" s="94">
        <f t="shared" ref="CL70:CL76" si="117">SUM(CE70:CK70)</f>
        <v>95.825000000000003</v>
      </c>
      <c r="CM70" s="95">
        <f t="shared" si="47"/>
        <v>1</v>
      </c>
      <c r="CN70" s="60">
        <f>IFERROR(AVERAGEIFS('Base Kpi'!$DX:$DX,'Base Kpi'!$DQ:$DQ,Cliente!$E70,'Base Kpi'!$DW:$DW,Cliente!CN$5),0)</f>
        <v>36</v>
      </c>
      <c r="CO70" s="92">
        <f>IFERROR(AVERAGEIFS('Base Kpi'!$DX:$DX,'Base Kpi'!$DQ:$DQ,Cliente!$E70,'Base Kpi'!$DW:$DW,Cliente!CO$5),0)</f>
        <v>5</v>
      </c>
      <c r="CP70" s="92">
        <f>IFERROR(AVERAGEIFS('Base Kpi'!$DX:$DX,'Base Kpi'!$DQ:$DQ,Cliente!$E70,'Base Kpi'!$DW:$DW,Cliente!CP$5),0)</f>
        <v>5</v>
      </c>
      <c r="CQ70" s="92">
        <f>IFERROR(AVERAGEIFS('Base Kpi'!$DX:$DX,'Base Kpi'!$DQ:$DQ,Cliente!$E70,'Base Kpi'!$DW:$DW,Cliente!CQ$5),0)</f>
        <v>18</v>
      </c>
      <c r="CR70" s="92">
        <f>IFERROR(AVERAGEIFS('Base Kpi'!$DX:$DX,'Base Kpi'!$DQ:$DQ,Cliente!$E70,'Base Kpi'!$DW:$DW,Cliente!CR$5),0)</f>
        <v>21.425000000000001</v>
      </c>
      <c r="CS70" s="92">
        <f>IFERROR(AVERAGEIFS('Base Kpi'!$DX:$DX,'Base Kpi'!$DQ:$DQ,Cliente!$E70,'Base Kpi'!$DW:$DW,Cliente!CS$5),0)</f>
        <v>12</v>
      </c>
      <c r="CT70" s="92">
        <f>IFERROR(AVERAGEIFS('Base Kpi'!$DX:$DX,'Base Kpi'!$DQ:$DQ,Cliente!$E70,'Base Kpi'!$DW:$DW,Cliente!CT$5),0)</f>
        <v>0</v>
      </c>
      <c r="CU70" s="94">
        <f t="shared" si="107"/>
        <v>97.424999999999997</v>
      </c>
      <c r="CV70" s="95">
        <f t="shared" si="108"/>
        <v>1</v>
      </c>
      <c r="CW70" s="60">
        <f>IFERROR(AVERAGEIFS('Base Kpi'!$EJ:$EJ,'Base Kpi'!$EC:$EC,Cliente!$E70,'Base Kpi'!$EI:$EI,Cliente!CW$5),0)</f>
        <v>37.6</v>
      </c>
      <c r="CX70" s="92">
        <f>IFERROR(AVERAGEIFS('Base Kpi'!$EJ:$EJ,'Base Kpi'!$EC:$EC,Cliente!$E70,'Base Kpi'!$EI:$EI,Cliente!CX$5),0)</f>
        <v>5</v>
      </c>
      <c r="CY70" s="92">
        <f>IFERROR(AVERAGEIFS('Base Kpi'!$EJ:$EJ,'Base Kpi'!$EC:$EC,Cliente!$E70,'Base Kpi'!$EI:$EI,Cliente!CY$5),0)</f>
        <v>5</v>
      </c>
      <c r="CZ70" s="92">
        <f>IFERROR(AVERAGEIFS('Base Kpi'!$EJ:$EJ,'Base Kpi'!$EC:$EC,Cliente!$E70,'Base Kpi'!$EI:$EI,Cliente!CZ$5),0)</f>
        <v>18</v>
      </c>
      <c r="DA70" s="92">
        <f>IFERROR(AVERAGEIFS('Base Kpi'!$EJ:$EJ,'Base Kpi'!$EC:$EC,Cliente!$E70,'Base Kpi'!$EI:$EI,Cliente!DA$5),0)</f>
        <v>21.425000000000001</v>
      </c>
      <c r="DB70" s="92">
        <f>IFERROR(AVERAGEIFS('Base Kpi'!$EJ:$EJ,'Base Kpi'!$EC:$EC,Cliente!$E70,'Base Kpi'!$EI:$EI,Cliente!DB$5),0)</f>
        <v>12</v>
      </c>
      <c r="DC70" s="92">
        <f>IFERROR(AVERAGEIFS('Base Kpi'!$EJ:$EJ,'Base Kpi'!$EC:$EC,Cliente!$E70,'Base Kpi'!$EI:$EI,Cliente!DC$5),0)</f>
        <v>0</v>
      </c>
      <c r="DD70" s="94">
        <f t="shared" si="109"/>
        <v>99.024999999999991</v>
      </c>
      <c r="DE70" s="95">
        <f t="shared" si="110"/>
        <v>1</v>
      </c>
      <c r="DF70" s="120"/>
    </row>
    <row r="71" spans="2:110" x14ac:dyDescent="0.35">
      <c r="B71" s="101" t="s">
        <v>42</v>
      </c>
      <c r="C71" s="102">
        <v>3655</v>
      </c>
      <c r="D71" s="102" t="s">
        <v>434</v>
      </c>
      <c r="E71" s="102">
        <v>156263</v>
      </c>
      <c r="F71" s="103" t="s">
        <v>71</v>
      </c>
      <c r="G71" s="103" t="s">
        <v>182</v>
      </c>
      <c r="H71" s="103" t="s">
        <v>192</v>
      </c>
      <c r="I71" s="103" t="s">
        <v>193</v>
      </c>
      <c r="J71" s="103" t="s">
        <v>88</v>
      </c>
      <c r="K71" s="108" t="s">
        <v>81</v>
      </c>
      <c r="L71" s="60">
        <f t="shared" si="89"/>
        <v>69.820000000000007</v>
      </c>
      <c r="M71" s="97">
        <f t="shared" si="90"/>
        <v>1</v>
      </c>
      <c r="N71" s="43">
        <f t="shared" si="85"/>
        <v>0</v>
      </c>
      <c r="O71" s="60">
        <f>IFERROR(AVERAGEIFS('Base Kpi'!$I:$I,'Base Kpi'!$B:$B,Cliente!$E71,'Base Kpi'!$G:$G,Cliente!O$5),0)</f>
        <v>17.13</v>
      </c>
      <c r="P71" s="92">
        <f>IFERROR(AVERAGEIFS('Base Kpi'!$I:$I,'Base Kpi'!$B:$B,Cliente!$E71,'Base Kpi'!$G:$G,Cliente!P$5),0)</f>
        <v>8</v>
      </c>
      <c r="Q71" s="92">
        <f>IFERROR(AVERAGEIFS('Base Kpi'!$I:$I,'Base Kpi'!$B:$B,Cliente!$E71,'Base Kpi'!$G:$G,Cliente!Q$5),0)</f>
        <v>10.199999999999999</v>
      </c>
      <c r="R71" s="92">
        <f>IFERROR(AVERAGEIFS('Base Kpi'!$I:$I,'Base Kpi'!$B:$B,Cliente!$E71,'Base Kpi'!$G:$G,Cliente!R$5),0)</f>
        <v>34.875</v>
      </c>
      <c r="S71" s="94">
        <f t="shared" si="91"/>
        <v>70.204999999999998</v>
      </c>
      <c r="T71" s="95">
        <f t="shared" si="92"/>
        <v>0</v>
      </c>
      <c r="U71" s="60">
        <f>IFERROR(AVERAGEIFS('Base Kpi'!$T:$T,'Base Kpi'!$M:$M,Cliente!$E71,'Base Kpi'!$S:$S,Cliente!U$5),0)</f>
        <v>21.42</v>
      </c>
      <c r="V71" s="92">
        <f>IFERROR(AVERAGEIFS('Base Kpi'!$T:$T,'Base Kpi'!$M:$M,Cliente!$E71,'Base Kpi'!$S:$S,Cliente!V$5),0)</f>
        <v>8</v>
      </c>
      <c r="W71" s="92">
        <f>IFERROR(AVERAGEIFS('Base Kpi'!$T:$T,'Base Kpi'!$M:$M,Cliente!$E71,'Base Kpi'!$S:$S,Cliente!W$5),0)</f>
        <v>12.75</v>
      </c>
      <c r="X71" s="92">
        <f>IFERROR(AVERAGEIFS('Base Kpi'!$T:$T,'Base Kpi'!$M:$M,Cliente!$E71,'Base Kpi'!$S:$S,Cliente!X$5),0)</f>
        <v>16.875</v>
      </c>
      <c r="Y71" s="94">
        <f t="shared" si="93"/>
        <v>59.045000000000002</v>
      </c>
      <c r="Z71" s="95">
        <f t="shared" si="94"/>
        <v>0</v>
      </c>
      <c r="AA71" s="60">
        <f>IFERROR(AVERAGEIFS('Base Kpi'!$AF:$AF,'Base Kpi'!$Y:$Y,Cliente!$E71,'Base Kpi'!$AE:$AE,Cliente!AA$5),0)</f>
        <v>25.71</v>
      </c>
      <c r="AB71" s="92">
        <f>IFERROR(AVERAGEIFS('Base Kpi'!$AF:$AF,'Base Kpi'!$Y:$Y,Cliente!$E71,'Base Kpi'!$AE:$AE,Cliente!AB$5),0)</f>
        <v>8</v>
      </c>
      <c r="AC71" s="92">
        <f>IFERROR(AVERAGEIFS('Base Kpi'!$AF:$AF,'Base Kpi'!$Y:$Y,Cliente!$E71,'Base Kpi'!$AE:$AE,Cliente!AC$5),0)</f>
        <v>12.75</v>
      </c>
      <c r="AD71" s="92">
        <f>IFERROR(AVERAGEIFS('Base Kpi'!$AF:$AF,'Base Kpi'!$Y:$Y,Cliente!$E71,'Base Kpi'!$AE:$AE,Cliente!AD$5),0)</f>
        <v>33.75</v>
      </c>
      <c r="AE71" s="94">
        <f t="shared" si="95"/>
        <v>80.210000000000008</v>
      </c>
      <c r="AF71" s="95">
        <f t="shared" si="96"/>
        <v>1</v>
      </c>
      <c r="AG71" s="60">
        <f t="shared" si="111"/>
        <v>73.716666666666669</v>
      </c>
      <c r="AH71" s="97">
        <f t="shared" si="112"/>
        <v>1</v>
      </c>
      <c r="AI71" s="88">
        <f t="shared" si="97"/>
        <v>1</v>
      </c>
      <c r="AJ71" s="92">
        <f>IFERROR(AVERAGEIFS('Base Kpi'!$AR:$AR,'Base Kpi'!$AK:$AK,Cliente!$E71,'Base Kpi'!$AQ:$AQ,AJ$5),0)</f>
        <v>17.850000000000001</v>
      </c>
      <c r="AK71" s="92">
        <f>IFERROR(AVERAGEIFS('Base Kpi'!$AR:$AR,'Base Kpi'!$AK:$AK,Cliente!$E71,'Base Kpi'!$AQ:$AQ,AK$5),0)</f>
        <v>2.5</v>
      </c>
      <c r="AL71" s="92">
        <f>IFERROR(AVERAGEIFS('Base Kpi'!$AR:$AR,'Base Kpi'!$AK:$AK,Cliente!$E71,'Base Kpi'!$AQ:$AQ,AL$5),0)</f>
        <v>9</v>
      </c>
      <c r="AM71" s="92">
        <f>IFERROR(AVERAGEIFS('Base Kpi'!$AR:$AR,'Base Kpi'!$AK:$AK,Cliente!$E71,'Base Kpi'!$AQ:$AQ,AM$5),0)</f>
        <v>29.56</v>
      </c>
      <c r="AN71" s="94">
        <f t="shared" si="86"/>
        <v>58.91</v>
      </c>
      <c r="AO71" s="95">
        <f t="shared" si="87"/>
        <v>0</v>
      </c>
      <c r="AP71" s="60">
        <f>IFERROR(AVERAGEIFS('Base Kpi'!$BD:$BD,'Base Kpi'!$AW:$AW,Cliente!$E71,'Base Kpi'!$BC:$BC,Cliente!AP$5),0)</f>
        <v>25</v>
      </c>
      <c r="AQ71" s="92">
        <f>IFERROR(AVERAGEIFS('Base Kpi'!$BD:$BD,'Base Kpi'!$AW:$AW,Cliente!$E71,'Base Kpi'!$BC:$BC,Cliente!AQ$5),0)</f>
        <v>1.665</v>
      </c>
      <c r="AR71" s="92">
        <f>IFERROR(AVERAGEIFS('Base Kpi'!$BD:$BD,'Base Kpi'!$AW:$AW,Cliente!$E71,'Base Kpi'!$BC:$BC,Cliente!AR$5),0)</f>
        <v>12</v>
      </c>
      <c r="AS71" s="92">
        <f>IFERROR(AVERAGEIFS('Base Kpi'!$BD:$BD,'Base Kpi'!$AW:$AW,Cliente!$E71,'Base Kpi'!$BC:$BC,Cliente!AS$5),0)</f>
        <v>34.799999999999997</v>
      </c>
      <c r="AT71" s="92">
        <f>IFERROR(AVERAGEIFS('Base Kpi'!$BD:$BD,'Base Kpi'!$AW:$AW,Cliente!$E71,'Base Kpi'!$BC:$BC,Cliente!AT$5),0)</f>
        <v>0</v>
      </c>
      <c r="AU71" s="94">
        <f t="shared" si="88"/>
        <v>73.465000000000003</v>
      </c>
      <c r="AV71" s="95">
        <f t="shared" si="98"/>
        <v>1</v>
      </c>
      <c r="AW71" s="60">
        <f>IFERROR(AVERAGEIFS('Base Kpi'!$BP:$BP,'Base Kpi'!$BI:$BI,Cliente!$E71,'Base Kpi'!$BO:$BO,Cliente!AW$5),0)</f>
        <v>25</v>
      </c>
      <c r="AX71" s="92">
        <f>IFERROR(AVERAGEIFS('Base Kpi'!$BP:$BP,'Base Kpi'!$BI:$BI,Cliente!$E71,'Base Kpi'!$BO:$BO,Cliente!AX$5),0)</f>
        <v>3.335</v>
      </c>
      <c r="AY71" s="92">
        <f>IFERROR(AVERAGEIFS('Base Kpi'!$BP:$BP,'Base Kpi'!$BI:$BI,Cliente!$E71,'Base Kpi'!$BO:$BO,Cliente!AY$5),0)</f>
        <v>12</v>
      </c>
      <c r="AZ71" s="92">
        <f>IFERROR(AVERAGEIFS('Base Kpi'!$BP:$BP,'Base Kpi'!$BI:$BI,Cliente!$E71,'Base Kpi'!$BO:$BO,Cliente!AZ$5),0)</f>
        <v>30.44</v>
      </c>
      <c r="BA71" s="92">
        <f>IFERROR(AVERAGEIFS('Base Kpi'!$BP:$BP,'Base Kpi'!$BI:$BI,Cliente!$E71,'Base Kpi'!$BO:$BO,Cliente!BA$5),0)</f>
        <v>18</v>
      </c>
      <c r="BB71" s="94">
        <f t="shared" si="113"/>
        <v>88.775000000000006</v>
      </c>
      <c r="BC71" s="95">
        <f t="shared" si="99"/>
        <v>1</v>
      </c>
      <c r="BD71" s="60">
        <f t="shared" ref="BD71:BD76" si="118">IF((BL71+BS71+BZ71)/3=0,"",(BL71+BS71+BZ71)/3)</f>
        <v>80.728333333333339</v>
      </c>
      <c r="BE71" s="97">
        <f t="shared" si="80"/>
        <v>1</v>
      </c>
      <c r="BF71" s="88">
        <f t="shared" si="100"/>
        <v>1</v>
      </c>
      <c r="BG71" s="60">
        <f>IFERROR(AVERAGEIFS('Base Kpi'!$CB:$CB,'Base Kpi'!$BU:$BU,Cliente!$E71,'Base Kpi'!$CA:$CA,Cliente!BG$5),0)</f>
        <v>17.850000000000001</v>
      </c>
      <c r="BH71" s="92">
        <f>IFERROR(AVERAGEIFS('Base Kpi'!$CB:$CB,'Base Kpi'!$BU:$BU,Cliente!$E71,'Base Kpi'!$CA:$CA,Cliente!BH$5),0)</f>
        <v>3.335</v>
      </c>
      <c r="BI71" s="92">
        <f>IFERROR(AVERAGEIFS('Base Kpi'!$CB:$CB,'Base Kpi'!$BU:$BU,Cliente!$E71,'Base Kpi'!$CA:$CA,Cliente!BI$5),0)</f>
        <v>9</v>
      </c>
      <c r="BJ71" s="92">
        <f>IFERROR(AVERAGEIFS('Base Kpi'!$CB:$CB,'Base Kpi'!$BU:$BU,Cliente!$E71,'Base Kpi'!$CA:$CA,Cliente!BJ$5),0)</f>
        <v>23.2</v>
      </c>
      <c r="BK71" s="92">
        <f>IFERROR(AVERAGEIFS('Base Kpi'!$CB:$CB,'Base Kpi'!$BU:$BU,Cliente!$E71,'Base Kpi'!$CA:$CA,Cliente!BK$5),0)</f>
        <v>9</v>
      </c>
      <c r="BL71" s="94">
        <f t="shared" si="114"/>
        <v>62.385000000000005</v>
      </c>
      <c r="BM71" s="95">
        <f t="shared" si="101"/>
        <v>1</v>
      </c>
      <c r="BN71" s="60">
        <f>IFERROR(AVERAGEIFS('Base Kpi'!$CN:$CN,'Base Kpi'!$CG:$CG,Cliente!$E71,'Base Kpi'!$CM:$CM,Cliente!BN$5),0)</f>
        <v>25</v>
      </c>
      <c r="BO71" s="92">
        <f>IFERROR(AVERAGEIFS('Base Kpi'!$CN:$CN,'Base Kpi'!$CG:$CG,Cliente!$E71,'Base Kpi'!$CM:$CM,Cliente!BO$5),0)</f>
        <v>5</v>
      </c>
      <c r="BP71" s="92">
        <f>IFERROR(AVERAGEIFS('Base Kpi'!$CN:$CN,'Base Kpi'!$CG:$CG,Cliente!$E71,'Base Kpi'!$CM:$CM,Cliente!BP$5),0)</f>
        <v>12</v>
      </c>
      <c r="BQ71" s="92">
        <f>IFERROR(AVERAGEIFS('Base Kpi'!$CN:$CN,'Base Kpi'!$CG:$CG,Cliente!$E71,'Base Kpi'!$CM:$CM,Cliente!BQ$5),0)</f>
        <v>34.4</v>
      </c>
      <c r="BR71" s="92">
        <f>IFERROR(AVERAGEIFS('Base Kpi'!$CN:$CN,'Base Kpi'!$CG:$CG,Cliente!$E71,'Base Kpi'!$CM:$CM,Cliente!BR$5),0)</f>
        <v>18</v>
      </c>
      <c r="BS71" s="94">
        <f t="shared" si="115"/>
        <v>94.4</v>
      </c>
      <c r="BT71" s="95">
        <f t="shared" si="102"/>
        <v>1</v>
      </c>
      <c r="BU71" s="60">
        <f>IFERROR(AVERAGEIFS('Base Kpi'!$CZ:$CZ,'Base Kpi'!$CS:$CS,Cliente!$E71,'Base Kpi'!$CY:$CY,Cliente!BU$5),0)</f>
        <v>25</v>
      </c>
      <c r="BV71" s="92">
        <f>IFERROR(AVERAGEIFS('Base Kpi'!$CZ:$CZ,'Base Kpi'!$CS:$CS,Cliente!$E71,'Base Kpi'!$CY:$CY,Cliente!BV$5),0)</f>
        <v>5</v>
      </c>
      <c r="BW71" s="92">
        <f>IFERROR(AVERAGEIFS('Base Kpi'!$CZ:$CZ,'Base Kpi'!$CS:$CS,Cliente!$E71,'Base Kpi'!$CY:$CY,Cliente!BW$5),0)</f>
        <v>12</v>
      </c>
      <c r="BX71" s="92">
        <f>IFERROR(AVERAGEIFS('Base Kpi'!$CZ:$CZ,'Base Kpi'!$CS:$CS,Cliente!$E71,'Base Kpi'!$CY:$CY,Cliente!BX$5),0)</f>
        <v>34.4</v>
      </c>
      <c r="BY71" s="92">
        <f>IFERROR(AVERAGEIFS('Base Kpi'!$CZ:$CZ,'Base Kpi'!$CS:$CS,Cliente!$E71,'Base Kpi'!$CY:$CY,Cliente!BY$5),0)</f>
        <v>9</v>
      </c>
      <c r="BZ71" s="94">
        <f t="shared" si="116"/>
        <v>85.4</v>
      </c>
      <c r="CA71" s="95">
        <f t="shared" si="103"/>
        <v>1</v>
      </c>
      <c r="CB71" s="60">
        <f t="shared" si="104"/>
        <v>65.55</v>
      </c>
      <c r="CC71" s="97">
        <f t="shared" si="105"/>
        <v>0</v>
      </c>
      <c r="CD71" s="43">
        <f t="shared" si="106"/>
        <v>0</v>
      </c>
      <c r="CE71" s="60" cm="1">
        <f t="array" ref="CE71">IFERROR(LARGE(_xlfn._xlws.FILTER('Base Kpi'!$DL:$DL,('Base Kpi'!$DK:$DK=$CE$5)*('Base Kpi'!$DE:$DE=Cliente!$E71)),1),0)</f>
        <v>38.4</v>
      </c>
      <c r="CF71" s="60" cm="1">
        <f t="array" ref="CF71">IFERROR(LARGE(_xlfn._xlws.FILTER('Base Kpi'!$DL:$DL,('Base Kpi'!$DK:$DK=$CF$5)*('Base Kpi'!$DE:$DE=Cliente!$E71)),1),0)</f>
        <v>5</v>
      </c>
      <c r="CG71" s="60" cm="1">
        <f t="array" ref="CG71">IFERROR(LARGE(_xlfn._xlws.FILTER('Base Kpi'!$DL:$DL,('Base Kpi'!$DK:$DK=$CG$5)*('Base Kpi'!$DE:$DE=Cliente!$E71)),1),0)</f>
        <v>5</v>
      </c>
      <c r="CH71" s="60" cm="1">
        <f t="array" ref="CH71">IFERROR(LARGE(_xlfn._xlws.FILTER('Base Kpi'!$DL:$DL,('Base Kpi'!$DK:$DK=$CH$5)*('Base Kpi'!$DE:$DE=Cliente!$E71)),1),0)</f>
        <v>18</v>
      </c>
      <c r="CI71" s="60" cm="1">
        <f t="array" ref="CI71">IFERROR(LARGE(_xlfn._xlws.FILTER('Base Kpi'!$DL:$DL,('Base Kpi'!$DK:$DK=$CI$5)*('Base Kpi'!$DE:$DE=Cliente!$E71)),1),0)</f>
        <v>21.425000000000001</v>
      </c>
      <c r="CJ71" s="60" cm="1">
        <f t="array" ref="CJ71">IFERROR(LARGE(_xlfn._xlws.FILTER('Base Kpi'!$DL:$DL,('Base Kpi'!$DK:$DK=$CJ$5)*('Base Kpi'!$DE:$DE=Cliente!$E71)),1),0)</f>
        <v>9</v>
      </c>
      <c r="CK71" s="60" cm="1">
        <f t="array" ref="CK71">IFERROR(LARGE(_xlfn._xlws.FILTER('Base Kpi'!$DL:$DL,('Base Kpi'!$DK:$DK=$CK$5)*('Base Kpi'!$DE:$DE=Cliente!$E71)),1),0)</f>
        <v>0</v>
      </c>
      <c r="CL71" s="94">
        <f t="shared" si="117"/>
        <v>96.825000000000003</v>
      </c>
      <c r="CM71" s="95">
        <f t="shared" ref="CM71:CM76" si="119">IF(CL71&gt;=80,1,0)</f>
        <v>1</v>
      </c>
      <c r="CN71" s="60">
        <f>IFERROR(AVERAGEIFS('Base Kpi'!$DX:$DX,'Base Kpi'!$DQ:$DQ,Cliente!$E71,'Base Kpi'!$DW:$DW,Cliente!CN$5),0)</f>
        <v>38.4</v>
      </c>
      <c r="CO71" s="92">
        <f>IFERROR(AVERAGEIFS('Base Kpi'!$DX:$DX,'Base Kpi'!$DQ:$DQ,Cliente!$E71,'Base Kpi'!$DW:$DW,Cliente!CO$5),0)</f>
        <v>5</v>
      </c>
      <c r="CP71" s="92">
        <f>IFERROR(AVERAGEIFS('Base Kpi'!$DX:$DX,'Base Kpi'!$DQ:$DQ,Cliente!$E71,'Base Kpi'!$DW:$DW,Cliente!CP$5),0)</f>
        <v>5</v>
      </c>
      <c r="CQ71" s="92">
        <f>IFERROR(AVERAGEIFS('Base Kpi'!$DX:$DX,'Base Kpi'!$DQ:$DQ,Cliente!$E71,'Base Kpi'!$DW:$DW,Cliente!CQ$5),0)</f>
        <v>18</v>
      </c>
      <c r="CR71" s="92">
        <f>IFERROR(AVERAGEIFS('Base Kpi'!$DX:$DX,'Base Kpi'!$DQ:$DQ,Cliente!$E71,'Base Kpi'!$DW:$DW,Cliente!CR$5),0)</f>
        <v>21.425000000000001</v>
      </c>
      <c r="CS71" s="92">
        <f>IFERROR(AVERAGEIFS('Base Kpi'!$DX:$DX,'Base Kpi'!$DQ:$DQ,Cliente!$E71,'Base Kpi'!$DW:$DW,Cliente!CS$5),0)</f>
        <v>12</v>
      </c>
      <c r="CT71" s="92">
        <f>IFERROR(AVERAGEIFS('Base Kpi'!$DX:$DX,'Base Kpi'!$DQ:$DQ,Cliente!$E71,'Base Kpi'!$DW:$DW,Cliente!CT$5),0)</f>
        <v>0</v>
      </c>
      <c r="CU71" s="94">
        <f t="shared" si="107"/>
        <v>99.825000000000003</v>
      </c>
      <c r="CV71" s="95">
        <f t="shared" si="108"/>
        <v>1</v>
      </c>
      <c r="CW71" s="60">
        <f>IFERROR(AVERAGEIFS('Base Kpi'!$EJ:$EJ,'Base Kpi'!$EC:$EC,Cliente!$E71,'Base Kpi'!$EI:$EI,Cliente!CW$5),0)</f>
        <v>0</v>
      </c>
      <c r="CX71" s="92">
        <f>IFERROR(AVERAGEIFS('Base Kpi'!$EJ:$EJ,'Base Kpi'!$EC:$EC,Cliente!$E71,'Base Kpi'!$EI:$EI,Cliente!CX$5),0)</f>
        <v>0</v>
      </c>
      <c r="CY71" s="92">
        <f>IFERROR(AVERAGEIFS('Base Kpi'!$EJ:$EJ,'Base Kpi'!$EC:$EC,Cliente!$E71,'Base Kpi'!$EI:$EI,Cliente!CY$5),0)</f>
        <v>0</v>
      </c>
      <c r="CZ71" s="92">
        <f>IFERROR(AVERAGEIFS('Base Kpi'!$EJ:$EJ,'Base Kpi'!$EC:$EC,Cliente!$E71,'Base Kpi'!$EI:$EI,Cliente!CZ$5),0)</f>
        <v>0</v>
      </c>
      <c r="DA71" s="92">
        <f>IFERROR(AVERAGEIFS('Base Kpi'!$EJ:$EJ,'Base Kpi'!$EC:$EC,Cliente!$E71,'Base Kpi'!$EI:$EI,Cliente!DA$5),0)</f>
        <v>0</v>
      </c>
      <c r="DB71" s="92">
        <f>IFERROR(AVERAGEIFS('Base Kpi'!$EJ:$EJ,'Base Kpi'!$EC:$EC,Cliente!$E71,'Base Kpi'!$EI:$EI,Cliente!DB$5),0)</f>
        <v>0</v>
      </c>
      <c r="DC71" s="92">
        <f>IFERROR(AVERAGEIFS('Base Kpi'!$EJ:$EJ,'Base Kpi'!$EC:$EC,Cliente!$E71,'Base Kpi'!$EI:$EI,Cliente!DC$5),0)</f>
        <v>0</v>
      </c>
      <c r="DD71" s="94">
        <f t="shared" si="109"/>
        <v>0</v>
      </c>
      <c r="DE71" s="95">
        <f t="shared" si="110"/>
        <v>0</v>
      </c>
      <c r="DF71" s="120"/>
    </row>
    <row r="72" spans="2:110" x14ac:dyDescent="0.35">
      <c r="B72" s="101" t="s">
        <v>42</v>
      </c>
      <c r="C72" s="102">
        <v>3655</v>
      </c>
      <c r="D72" s="102" t="s">
        <v>434</v>
      </c>
      <c r="E72" s="102">
        <v>157153</v>
      </c>
      <c r="F72" s="103" t="s">
        <v>74</v>
      </c>
      <c r="G72" s="103" t="s">
        <v>190</v>
      </c>
      <c r="H72" s="103" t="s">
        <v>194</v>
      </c>
      <c r="I72" s="103" t="s">
        <v>195</v>
      </c>
      <c r="J72" s="103" t="s">
        <v>90</v>
      </c>
      <c r="K72" s="108" t="s">
        <v>81</v>
      </c>
      <c r="L72" s="60">
        <f t="shared" si="89"/>
        <v>76.346666666666678</v>
      </c>
      <c r="M72" s="97">
        <f t="shared" si="90"/>
        <v>1</v>
      </c>
      <c r="N72" s="43">
        <f t="shared" si="85"/>
        <v>0</v>
      </c>
      <c r="O72" s="60">
        <f>IFERROR(AVERAGEIFS('Base Kpi'!$I:$I,'Base Kpi'!$B:$B,Cliente!$E72,'Base Kpi'!$G:$G,Cliente!O$5),0)</f>
        <v>17.13</v>
      </c>
      <c r="P72" s="92">
        <f>IFERROR(AVERAGEIFS('Base Kpi'!$I:$I,'Base Kpi'!$B:$B,Cliente!$E72,'Base Kpi'!$G:$G,Cliente!P$5),0)</f>
        <v>8</v>
      </c>
      <c r="Q72" s="92">
        <f>IFERROR(AVERAGEIFS('Base Kpi'!$I:$I,'Base Kpi'!$B:$B,Cliente!$E72,'Base Kpi'!$G:$G,Cliente!Q$5),0)</f>
        <v>10.199999999999999</v>
      </c>
      <c r="R72" s="92">
        <f>IFERROR(AVERAGEIFS('Base Kpi'!$I:$I,'Base Kpi'!$B:$B,Cliente!$E72,'Base Kpi'!$G:$G,Cliente!R$5),0)</f>
        <v>27</v>
      </c>
      <c r="S72" s="94">
        <f t="shared" si="91"/>
        <v>62.33</v>
      </c>
      <c r="T72" s="95">
        <f t="shared" si="92"/>
        <v>0</v>
      </c>
      <c r="U72" s="60">
        <f>IFERROR(AVERAGEIFS('Base Kpi'!$T:$T,'Base Kpi'!$M:$M,Cliente!$E72,'Base Kpi'!$S:$S,Cliente!U$5),0)</f>
        <v>25.71</v>
      </c>
      <c r="V72" s="92">
        <f>IFERROR(AVERAGEIFS('Base Kpi'!$T:$T,'Base Kpi'!$M:$M,Cliente!$E72,'Base Kpi'!$S:$S,Cliente!V$5),0)</f>
        <v>8</v>
      </c>
      <c r="W72" s="92">
        <f>IFERROR(AVERAGEIFS('Base Kpi'!$T:$T,'Base Kpi'!$M:$M,Cliente!$E72,'Base Kpi'!$S:$S,Cliente!W$5),0)</f>
        <v>12.75</v>
      </c>
      <c r="X72" s="92">
        <f>IFERROR(AVERAGEIFS('Base Kpi'!$T:$T,'Base Kpi'!$M:$M,Cliente!$E72,'Base Kpi'!$S:$S,Cliente!X$5),0)</f>
        <v>32.625</v>
      </c>
      <c r="Y72" s="94">
        <f t="shared" si="93"/>
        <v>79.085000000000008</v>
      </c>
      <c r="Z72" s="95">
        <f t="shared" si="94"/>
        <v>0</v>
      </c>
      <c r="AA72" s="60">
        <f>IFERROR(AVERAGEIFS('Base Kpi'!$AF:$AF,'Base Kpi'!$Y:$Y,Cliente!$E72,'Base Kpi'!$AE:$AE,Cliente!AA$5),0)</f>
        <v>30</v>
      </c>
      <c r="AB72" s="92">
        <f>IFERROR(AVERAGEIFS('Base Kpi'!$AF:$AF,'Base Kpi'!$Y:$Y,Cliente!$E72,'Base Kpi'!$AE:$AE,Cliente!AB$5),0)</f>
        <v>8</v>
      </c>
      <c r="AC72" s="92">
        <f>IFERROR(AVERAGEIFS('Base Kpi'!$AF:$AF,'Base Kpi'!$Y:$Y,Cliente!$E72,'Base Kpi'!$AE:$AE,Cliente!AC$5),0)</f>
        <v>17</v>
      </c>
      <c r="AD72" s="92">
        <f>IFERROR(AVERAGEIFS('Base Kpi'!$AF:$AF,'Base Kpi'!$Y:$Y,Cliente!$E72,'Base Kpi'!$AE:$AE,Cliente!AD$5),0)</f>
        <v>32.625</v>
      </c>
      <c r="AE72" s="94">
        <f t="shared" si="95"/>
        <v>87.625</v>
      </c>
      <c r="AF72" s="95">
        <f t="shared" si="96"/>
        <v>1</v>
      </c>
      <c r="AG72" s="60">
        <f t="shared" si="111"/>
        <v>67.204999999999998</v>
      </c>
      <c r="AH72" s="97">
        <f t="shared" si="112"/>
        <v>1</v>
      </c>
      <c r="AI72" s="88">
        <f t="shared" si="97"/>
        <v>1</v>
      </c>
      <c r="AJ72" s="92">
        <f>IFERROR(AVERAGEIFS('Base Kpi'!$AR:$AR,'Base Kpi'!$AK:$AK,Cliente!$E72,'Base Kpi'!$AQ:$AQ,AJ$5),0)</f>
        <v>25</v>
      </c>
      <c r="AK72" s="92">
        <f>IFERROR(AVERAGEIFS('Base Kpi'!$AR:$AR,'Base Kpi'!$AK:$AK,Cliente!$E72,'Base Kpi'!$AQ:$AQ,AK$5),0)</f>
        <v>2.5</v>
      </c>
      <c r="AL72" s="92">
        <f>IFERROR(AVERAGEIFS('Base Kpi'!$AR:$AR,'Base Kpi'!$AK:$AK,Cliente!$E72,'Base Kpi'!$AQ:$AQ,AL$5),0)</f>
        <v>12</v>
      </c>
      <c r="AM72" s="92">
        <f>IFERROR(AVERAGEIFS('Base Kpi'!$AR:$AR,'Base Kpi'!$AK:$AK,Cliente!$E72,'Base Kpi'!$AQ:$AQ,AM$5),0)</f>
        <v>27.84</v>
      </c>
      <c r="AN72" s="94">
        <f t="shared" si="86"/>
        <v>67.34</v>
      </c>
      <c r="AO72" s="95">
        <f t="shared" si="87"/>
        <v>0</v>
      </c>
      <c r="AP72" s="60">
        <f>IFERROR(AVERAGEIFS('Base Kpi'!$BD:$BD,'Base Kpi'!$AW:$AW,Cliente!$E72,'Base Kpi'!$BC:$BC,Cliente!AP$5),0)</f>
        <v>17.850000000000001</v>
      </c>
      <c r="AQ72" s="92">
        <f>IFERROR(AVERAGEIFS('Base Kpi'!$BD:$BD,'Base Kpi'!$AW:$AW,Cliente!$E72,'Base Kpi'!$BC:$BC,Cliente!AQ$5),0)</f>
        <v>1.665</v>
      </c>
      <c r="AR72" s="92">
        <f>IFERROR(AVERAGEIFS('Base Kpi'!$BD:$BD,'Base Kpi'!$AW:$AW,Cliente!$E72,'Base Kpi'!$BC:$BC,Cliente!AR$5),0)</f>
        <v>6</v>
      </c>
      <c r="AS72" s="92">
        <f>IFERROR(AVERAGEIFS('Base Kpi'!$BD:$BD,'Base Kpi'!$AW:$AW,Cliente!$E72,'Base Kpi'!$BC:$BC,Cliente!AS$5),0)</f>
        <v>29.56</v>
      </c>
      <c r="AT72" s="92">
        <f>IFERROR(AVERAGEIFS('Base Kpi'!$BD:$BD,'Base Kpi'!$AW:$AW,Cliente!$E72,'Base Kpi'!$BC:$BC,Cliente!AT$5),0)</f>
        <v>0</v>
      </c>
      <c r="AU72" s="94">
        <f t="shared" si="88"/>
        <v>55.075000000000003</v>
      </c>
      <c r="AV72" s="95">
        <f t="shared" si="98"/>
        <v>1</v>
      </c>
      <c r="AW72" s="60">
        <f>IFERROR(AVERAGEIFS('Base Kpi'!$BP:$BP,'Base Kpi'!$BI:$BI,Cliente!$E72,'Base Kpi'!$BO:$BO,Cliente!AW$5),0)</f>
        <v>21.425000000000001</v>
      </c>
      <c r="AX72" s="92">
        <f>IFERROR(AVERAGEIFS('Base Kpi'!$BP:$BP,'Base Kpi'!$BI:$BI,Cliente!$E72,'Base Kpi'!$BO:$BO,Cliente!AX$5),0)</f>
        <v>3.335</v>
      </c>
      <c r="AY72" s="92">
        <f>IFERROR(AVERAGEIFS('Base Kpi'!$BP:$BP,'Base Kpi'!$BI:$BI,Cliente!$E72,'Base Kpi'!$BO:$BO,Cliente!AY$5),0)</f>
        <v>6</v>
      </c>
      <c r="AZ72" s="92">
        <f>IFERROR(AVERAGEIFS('Base Kpi'!$BP:$BP,'Base Kpi'!$BI:$BI,Cliente!$E72,'Base Kpi'!$BO:$BO,Cliente!AZ$5),0)</f>
        <v>30.44</v>
      </c>
      <c r="BA72" s="92">
        <f>IFERROR(AVERAGEIFS('Base Kpi'!$BP:$BP,'Base Kpi'!$BI:$BI,Cliente!$E72,'Base Kpi'!$BO:$BO,Cliente!BA$5),0)</f>
        <v>18</v>
      </c>
      <c r="BB72" s="94">
        <f t="shared" si="113"/>
        <v>79.2</v>
      </c>
      <c r="BC72" s="95">
        <f t="shared" si="99"/>
        <v>1</v>
      </c>
      <c r="BD72" s="60">
        <f t="shared" si="118"/>
        <v>82.203333333333333</v>
      </c>
      <c r="BE72" s="97">
        <f t="shared" si="80"/>
        <v>1</v>
      </c>
      <c r="BF72" s="88">
        <f t="shared" si="100"/>
        <v>1</v>
      </c>
      <c r="BG72" s="60">
        <f>IFERROR(AVERAGEIFS('Base Kpi'!$CB:$CB,'Base Kpi'!$BU:$BU,Cliente!$E72,'Base Kpi'!$CA:$CA,Cliente!BG$5),0)</f>
        <v>17.850000000000001</v>
      </c>
      <c r="BH72" s="92">
        <f>IFERROR(AVERAGEIFS('Base Kpi'!$CB:$CB,'Base Kpi'!$BU:$BU,Cliente!$E72,'Base Kpi'!$CA:$CA,Cliente!BH$5),0)</f>
        <v>3.335</v>
      </c>
      <c r="BI72" s="92">
        <f>IFERROR(AVERAGEIFS('Base Kpi'!$CB:$CB,'Base Kpi'!$BU:$BU,Cliente!$E72,'Base Kpi'!$CA:$CA,Cliente!BI$5),0)</f>
        <v>9</v>
      </c>
      <c r="BJ72" s="92">
        <f>IFERROR(AVERAGEIFS('Base Kpi'!$CB:$CB,'Base Kpi'!$BU:$BU,Cliente!$E72,'Base Kpi'!$CA:$CA,Cliente!BJ$5),0)</f>
        <v>22.4</v>
      </c>
      <c r="BK72" s="92">
        <f>IFERROR(AVERAGEIFS('Base Kpi'!$CB:$CB,'Base Kpi'!$BU:$BU,Cliente!$E72,'Base Kpi'!$CA:$CA,Cliente!BK$5),0)</f>
        <v>9</v>
      </c>
      <c r="BL72" s="94">
        <f t="shared" si="114"/>
        <v>61.585000000000001</v>
      </c>
      <c r="BM72" s="95">
        <f t="shared" si="101"/>
        <v>1</v>
      </c>
      <c r="BN72" s="60">
        <f>IFERROR(AVERAGEIFS('Base Kpi'!$CN:$CN,'Base Kpi'!$CG:$CG,Cliente!$E72,'Base Kpi'!$CM:$CM,Cliente!BN$5),0)</f>
        <v>21.425000000000001</v>
      </c>
      <c r="BO72" s="92">
        <f>IFERROR(AVERAGEIFS('Base Kpi'!$CN:$CN,'Base Kpi'!$CG:$CG,Cliente!$E72,'Base Kpi'!$CM:$CM,Cliente!BO$5),0)</f>
        <v>5</v>
      </c>
      <c r="BP72" s="92">
        <f>IFERROR(AVERAGEIFS('Base Kpi'!$CN:$CN,'Base Kpi'!$CG:$CG,Cliente!$E72,'Base Kpi'!$CM:$CM,Cliente!BP$5),0)</f>
        <v>12</v>
      </c>
      <c r="BQ72" s="92">
        <f>IFERROR(AVERAGEIFS('Base Kpi'!$CN:$CN,'Base Kpi'!$CG:$CG,Cliente!$E72,'Base Kpi'!$CM:$CM,Cliente!BQ$5),0)</f>
        <v>38.4</v>
      </c>
      <c r="BR72" s="92">
        <f>IFERROR(AVERAGEIFS('Base Kpi'!$CN:$CN,'Base Kpi'!$CG:$CG,Cliente!$E72,'Base Kpi'!$CM:$CM,Cliente!BR$5),0)</f>
        <v>9</v>
      </c>
      <c r="BS72" s="94">
        <f t="shared" si="115"/>
        <v>85.824999999999989</v>
      </c>
      <c r="BT72" s="95">
        <f t="shared" si="102"/>
        <v>1</v>
      </c>
      <c r="BU72" s="60">
        <f>IFERROR(AVERAGEIFS('Base Kpi'!$CZ:$CZ,'Base Kpi'!$CS:$CS,Cliente!$E72,'Base Kpi'!$CY:$CY,Cliente!BU$5),0)</f>
        <v>25</v>
      </c>
      <c r="BV72" s="92">
        <f>IFERROR(AVERAGEIFS('Base Kpi'!$CZ:$CZ,'Base Kpi'!$CS:$CS,Cliente!$E72,'Base Kpi'!$CY:$CY,Cliente!BV$5),0)</f>
        <v>5</v>
      </c>
      <c r="BW72" s="92">
        <f>IFERROR(AVERAGEIFS('Base Kpi'!$CZ:$CZ,'Base Kpi'!$CS:$CS,Cliente!$E72,'Base Kpi'!$CY:$CY,Cliente!BW$5),0)</f>
        <v>12</v>
      </c>
      <c r="BX72" s="92">
        <f>IFERROR(AVERAGEIFS('Base Kpi'!$CZ:$CZ,'Base Kpi'!$CS:$CS,Cliente!$E72,'Base Kpi'!$CY:$CY,Cliente!BX$5),0)</f>
        <v>39.200000000000003</v>
      </c>
      <c r="BY72" s="92">
        <f>IFERROR(AVERAGEIFS('Base Kpi'!$CZ:$CZ,'Base Kpi'!$CS:$CS,Cliente!$E72,'Base Kpi'!$CY:$CY,Cliente!BY$5),0)</f>
        <v>18</v>
      </c>
      <c r="BZ72" s="94">
        <f t="shared" si="116"/>
        <v>99.2</v>
      </c>
      <c r="CA72" s="95">
        <f t="shared" si="103"/>
        <v>1</v>
      </c>
      <c r="CB72" s="60">
        <f t="shared" si="104"/>
        <v>91.216666666666654</v>
      </c>
      <c r="CC72" s="97">
        <f t="shared" si="105"/>
        <v>1</v>
      </c>
      <c r="CD72" s="43">
        <f t="shared" si="106"/>
        <v>1</v>
      </c>
      <c r="CE72" s="60" cm="1">
        <f t="array" ref="CE72">IFERROR(LARGE(_xlfn._xlws.FILTER('Base Kpi'!$DL:$DL,('Base Kpi'!$DK:$DK=$CE$5)*('Base Kpi'!$DE:$DE=Cliente!$E72)),1),0)</f>
        <v>39.200000000000003</v>
      </c>
      <c r="CF72" s="60" cm="1">
        <f t="array" ref="CF72">IFERROR(LARGE(_xlfn._xlws.FILTER('Base Kpi'!$DL:$DL,('Base Kpi'!$DK:$DK=$CF$5)*('Base Kpi'!$DE:$DE=Cliente!$E72)),1),0)</f>
        <v>5</v>
      </c>
      <c r="CG72" s="60" cm="1">
        <f t="array" ref="CG72">IFERROR(LARGE(_xlfn._xlws.FILTER('Base Kpi'!$DL:$DL,('Base Kpi'!$DK:$DK=$CG$5)*('Base Kpi'!$DE:$DE=Cliente!$E72)),1),0)</f>
        <v>5</v>
      </c>
      <c r="CH72" s="60" cm="1">
        <f t="array" ref="CH72">IFERROR(LARGE(_xlfn._xlws.FILTER('Base Kpi'!$DL:$DL,('Base Kpi'!$DK:$DK=$CH$5)*('Base Kpi'!$DE:$DE=Cliente!$E72)),1),0)</f>
        <v>9</v>
      </c>
      <c r="CI72" s="60" cm="1">
        <f t="array" ref="CI72">IFERROR(LARGE(_xlfn._xlws.FILTER('Base Kpi'!$DL:$DL,('Base Kpi'!$DK:$DK=$CI$5)*('Base Kpi'!$DE:$DE=Cliente!$E72)),1),0)</f>
        <v>21.425000000000001</v>
      </c>
      <c r="CJ72" s="60" cm="1">
        <f t="array" ref="CJ72">IFERROR(LARGE(_xlfn._xlws.FILTER('Base Kpi'!$DL:$DL,('Base Kpi'!$DK:$DK=$CJ$5)*('Base Kpi'!$DE:$DE=Cliente!$E72)),1),0)</f>
        <v>12</v>
      </c>
      <c r="CK72" s="60" cm="1">
        <f t="array" ref="CK72">IFERROR(LARGE(_xlfn._xlws.FILTER('Base Kpi'!$DL:$DL,('Base Kpi'!$DK:$DK=$CK$5)*('Base Kpi'!$DE:$DE=Cliente!$E72)),1),0)</f>
        <v>0</v>
      </c>
      <c r="CL72" s="94">
        <f t="shared" si="117"/>
        <v>91.625</v>
      </c>
      <c r="CM72" s="95">
        <f t="shared" si="119"/>
        <v>1</v>
      </c>
      <c r="CN72" s="60">
        <f>IFERROR(AVERAGEIFS('Base Kpi'!$DX:$DX,'Base Kpi'!$DQ:$DQ,Cliente!$E72,'Base Kpi'!$DW:$DW,Cliente!CN$5),0)</f>
        <v>37.6</v>
      </c>
      <c r="CO72" s="92">
        <f>IFERROR(AVERAGEIFS('Base Kpi'!$DX:$DX,'Base Kpi'!$DQ:$DQ,Cliente!$E72,'Base Kpi'!$DW:$DW,Cliente!CO$5),0)</f>
        <v>5</v>
      </c>
      <c r="CP72" s="92">
        <f>IFERROR(AVERAGEIFS('Base Kpi'!$DX:$DX,'Base Kpi'!$DQ:$DQ,Cliente!$E72,'Base Kpi'!$DW:$DW,Cliente!CP$5),0)</f>
        <v>5</v>
      </c>
      <c r="CQ72" s="92">
        <f>IFERROR(AVERAGEIFS('Base Kpi'!$DX:$DX,'Base Kpi'!$DQ:$DQ,Cliente!$E72,'Base Kpi'!$DW:$DW,Cliente!CQ$5),0)</f>
        <v>9</v>
      </c>
      <c r="CR72" s="92">
        <f>IFERROR(AVERAGEIFS('Base Kpi'!$DX:$DX,'Base Kpi'!$DQ:$DQ,Cliente!$E72,'Base Kpi'!$DW:$DW,Cliente!CR$5),0)</f>
        <v>21.425000000000001</v>
      </c>
      <c r="CS72" s="92">
        <f>IFERROR(AVERAGEIFS('Base Kpi'!$DX:$DX,'Base Kpi'!$DQ:$DQ,Cliente!$E72,'Base Kpi'!$DW:$DW,Cliente!CS$5),0)</f>
        <v>12</v>
      </c>
      <c r="CT72" s="92">
        <f>IFERROR(AVERAGEIFS('Base Kpi'!$DX:$DX,'Base Kpi'!$DQ:$DQ,Cliente!$E72,'Base Kpi'!$DW:$DW,Cliente!CT$5),0)</f>
        <v>0</v>
      </c>
      <c r="CU72" s="94">
        <f t="shared" si="107"/>
        <v>90.025000000000006</v>
      </c>
      <c r="CV72" s="95">
        <f t="shared" si="108"/>
        <v>1</v>
      </c>
      <c r="CW72" s="60">
        <f>IFERROR(AVERAGEIFS('Base Kpi'!$EJ:$EJ,'Base Kpi'!$EC:$EC,Cliente!$E72,'Base Kpi'!$EI:$EI,Cliente!CW$5),0)</f>
        <v>36</v>
      </c>
      <c r="CX72" s="92">
        <f>IFERROR(AVERAGEIFS('Base Kpi'!$EJ:$EJ,'Base Kpi'!$EC:$EC,Cliente!$E72,'Base Kpi'!$EI:$EI,Cliente!CX$5),0)</f>
        <v>5</v>
      </c>
      <c r="CY72" s="92">
        <f>IFERROR(AVERAGEIFS('Base Kpi'!$EJ:$EJ,'Base Kpi'!$EC:$EC,Cliente!$E72,'Base Kpi'!$EI:$EI,Cliente!CY$5),0)</f>
        <v>5</v>
      </c>
      <c r="CZ72" s="92">
        <f>IFERROR(AVERAGEIFS('Base Kpi'!$EJ:$EJ,'Base Kpi'!$EC:$EC,Cliente!$E72,'Base Kpi'!$EI:$EI,Cliente!CZ$5),0)</f>
        <v>9</v>
      </c>
      <c r="DA72" s="92">
        <f>IFERROR(AVERAGEIFS('Base Kpi'!$EJ:$EJ,'Base Kpi'!$EC:$EC,Cliente!$E72,'Base Kpi'!$EI:$EI,Cliente!DA$5),0)</f>
        <v>25</v>
      </c>
      <c r="DB72" s="92">
        <f>IFERROR(AVERAGEIFS('Base Kpi'!$EJ:$EJ,'Base Kpi'!$EC:$EC,Cliente!$E72,'Base Kpi'!$EI:$EI,Cliente!DB$5),0)</f>
        <v>12</v>
      </c>
      <c r="DC72" s="92">
        <f>IFERROR(AVERAGEIFS('Base Kpi'!$EJ:$EJ,'Base Kpi'!$EC:$EC,Cliente!$E72,'Base Kpi'!$EI:$EI,Cliente!DC$5),0)</f>
        <v>0</v>
      </c>
      <c r="DD72" s="94">
        <f t="shared" si="109"/>
        <v>92</v>
      </c>
      <c r="DE72" s="95">
        <f t="shared" si="110"/>
        <v>1</v>
      </c>
      <c r="DF72" s="120"/>
    </row>
    <row r="73" spans="2:110" x14ac:dyDescent="0.35">
      <c r="B73" s="101" t="s">
        <v>42</v>
      </c>
      <c r="C73" s="102">
        <v>3655</v>
      </c>
      <c r="D73" s="102" t="s">
        <v>434</v>
      </c>
      <c r="E73" s="102">
        <v>157637</v>
      </c>
      <c r="F73" s="103" t="s">
        <v>69</v>
      </c>
      <c r="G73" s="103" t="s">
        <v>190</v>
      </c>
      <c r="H73" s="103" t="s">
        <v>196</v>
      </c>
      <c r="I73" s="103" t="s">
        <v>195</v>
      </c>
      <c r="J73" s="103" t="s">
        <v>90</v>
      </c>
      <c r="K73" s="108" t="s">
        <v>81</v>
      </c>
      <c r="L73" s="60">
        <f t="shared" si="89"/>
        <v>73.73</v>
      </c>
      <c r="M73" s="97">
        <f t="shared" si="90"/>
        <v>1</v>
      </c>
      <c r="N73" s="43">
        <f t="shared" si="85"/>
        <v>0</v>
      </c>
      <c r="O73" s="60">
        <f>IFERROR(AVERAGEIFS('Base Kpi'!$I:$I,'Base Kpi'!$B:$B,Cliente!$E73,'Base Kpi'!$G:$G,Cliente!O$5),0)</f>
        <v>17.13</v>
      </c>
      <c r="P73" s="92">
        <f>IFERROR(AVERAGEIFS('Base Kpi'!$I:$I,'Base Kpi'!$B:$B,Cliente!$E73,'Base Kpi'!$G:$G,Cliente!P$5),0)</f>
        <v>8</v>
      </c>
      <c r="Q73" s="92">
        <f>IFERROR(AVERAGEIFS('Base Kpi'!$I:$I,'Base Kpi'!$B:$B,Cliente!$E73,'Base Kpi'!$G:$G,Cliente!Q$5),0)</f>
        <v>13.6</v>
      </c>
      <c r="R73" s="92">
        <f>IFERROR(AVERAGEIFS('Base Kpi'!$I:$I,'Base Kpi'!$B:$B,Cliente!$E73,'Base Kpi'!$G:$G,Cliente!R$5),0)</f>
        <v>22.5</v>
      </c>
      <c r="S73" s="94">
        <f t="shared" si="91"/>
        <v>61.23</v>
      </c>
      <c r="T73" s="95">
        <f t="shared" si="92"/>
        <v>0</v>
      </c>
      <c r="U73" s="60">
        <f>IFERROR(AVERAGEIFS('Base Kpi'!$T:$T,'Base Kpi'!$M:$M,Cliente!$E73,'Base Kpi'!$S:$S,Cliente!U$5),0)</f>
        <v>25.71</v>
      </c>
      <c r="V73" s="92">
        <f>IFERROR(AVERAGEIFS('Base Kpi'!$T:$T,'Base Kpi'!$M:$M,Cliente!$E73,'Base Kpi'!$S:$S,Cliente!V$5),0)</f>
        <v>8</v>
      </c>
      <c r="W73" s="92">
        <f>IFERROR(AVERAGEIFS('Base Kpi'!$T:$T,'Base Kpi'!$M:$M,Cliente!$E73,'Base Kpi'!$S:$S,Cliente!W$5),0)</f>
        <v>12.75</v>
      </c>
      <c r="X73" s="92">
        <f>IFERROR(AVERAGEIFS('Base Kpi'!$T:$T,'Base Kpi'!$M:$M,Cliente!$E73,'Base Kpi'!$S:$S,Cliente!X$5),0)</f>
        <v>27</v>
      </c>
      <c r="Y73" s="94">
        <f t="shared" si="93"/>
        <v>73.460000000000008</v>
      </c>
      <c r="Z73" s="95">
        <f t="shared" si="94"/>
        <v>0</v>
      </c>
      <c r="AA73" s="60">
        <f>IFERROR(AVERAGEIFS('Base Kpi'!$AF:$AF,'Base Kpi'!$Y:$Y,Cliente!$E73,'Base Kpi'!$AE:$AE,Cliente!AA$5),0)</f>
        <v>30</v>
      </c>
      <c r="AB73" s="92">
        <f>IFERROR(AVERAGEIFS('Base Kpi'!$AF:$AF,'Base Kpi'!$Y:$Y,Cliente!$E73,'Base Kpi'!$AE:$AE,Cliente!AB$5),0)</f>
        <v>8</v>
      </c>
      <c r="AC73" s="92">
        <f>IFERROR(AVERAGEIFS('Base Kpi'!$AF:$AF,'Base Kpi'!$Y:$Y,Cliente!$E73,'Base Kpi'!$AE:$AE,Cliente!AC$5),0)</f>
        <v>17</v>
      </c>
      <c r="AD73" s="92">
        <f>IFERROR(AVERAGEIFS('Base Kpi'!$AF:$AF,'Base Kpi'!$Y:$Y,Cliente!$E73,'Base Kpi'!$AE:$AE,Cliente!AD$5),0)</f>
        <v>31.5</v>
      </c>
      <c r="AE73" s="94">
        <f t="shared" si="95"/>
        <v>86.5</v>
      </c>
      <c r="AF73" s="95">
        <f t="shared" si="96"/>
        <v>1</v>
      </c>
      <c r="AG73" s="60">
        <f t="shared" si="111"/>
        <v>65.193333333333328</v>
      </c>
      <c r="AH73" s="97">
        <f t="shared" si="112"/>
        <v>1</v>
      </c>
      <c r="AI73" s="88">
        <f t="shared" si="97"/>
        <v>1</v>
      </c>
      <c r="AJ73" s="92">
        <f>IFERROR(AVERAGEIFS('Base Kpi'!$AR:$AR,'Base Kpi'!$AK:$AK,Cliente!$E73,'Base Kpi'!$AQ:$AQ,AJ$5),0)</f>
        <v>25</v>
      </c>
      <c r="AK73" s="92">
        <f>IFERROR(AVERAGEIFS('Base Kpi'!$AR:$AR,'Base Kpi'!$AK:$AK,Cliente!$E73,'Base Kpi'!$AQ:$AQ,AK$5),0)</f>
        <v>2.5</v>
      </c>
      <c r="AL73" s="92">
        <f>IFERROR(AVERAGEIFS('Base Kpi'!$AR:$AR,'Base Kpi'!$AK:$AK,Cliente!$E73,'Base Kpi'!$AQ:$AQ,AL$5),0)</f>
        <v>9</v>
      </c>
      <c r="AM73" s="92">
        <f>IFERROR(AVERAGEIFS('Base Kpi'!$AR:$AR,'Base Kpi'!$AK:$AK,Cliente!$E73,'Base Kpi'!$AQ:$AQ,AM$5),0)</f>
        <v>26.08</v>
      </c>
      <c r="AN73" s="94">
        <f t="shared" si="86"/>
        <v>62.58</v>
      </c>
      <c r="AO73" s="95">
        <f t="shared" si="87"/>
        <v>0</v>
      </c>
      <c r="AP73" s="60">
        <f>IFERROR(AVERAGEIFS('Base Kpi'!$BD:$BD,'Base Kpi'!$AW:$AW,Cliente!$E73,'Base Kpi'!$BC:$BC,Cliente!AP$5),0)</f>
        <v>25</v>
      </c>
      <c r="AQ73" s="92">
        <f>IFERROR(AVERAGEIFS('Base Kpi'!$BD:$BD,'Base Kpi'!$AW:$AW,Cliente!$E73,'Base Kpi'!$BC:$BC,Cliente!AQ$5),0)</f>
        <v>3.335</v>
      </c>
      <c r="AR73" s="92">
        <f>IFERROR(AVERAGEIFS('Base Kpi'!$BD:$BD,'Base Kpi'!$AW:$AW,Cliente!$E73,'Base Kpi'!$BC:$BC,Cliente!AR$5),0)</f>
        <v>9</v>
      </c>
      <c r="AS73" s="92">
        <f>IFERROR(AVERAGEIFS('Base Kpi'!$BD:$BD,'Base Kpi'!$AW:$AW,Cliente!$E73,'Base Kpi'!$BC:$BC,Cliente!AS$5),0)</f>
        <v>27.84</v>
      </c>
      <c r="AT73" s="92">
        <f>IFERROR(AVERAGEIFS('Base Kpi'!$BD:$BD,'Base Kpi'!$AW:$AW,Cliente!$E73,'Base Kpi'!$BC:$BC,Cliente!AT$5),0)</f>
        <v>0</v>
      </c>
      <c r="AU73" s="94">
        <f t="shared" si="88"/>
        <v>65.174999999999997</v>
      </c>
      <c r="AV73" s="95">
        <f t="shared" si="98"/>
        <v>1</v>
      </c>
      <c r="AW73" s="60">
        <f>IFERROR(AVERAGEIFS('Base Kpi'!$BP:$BP,'Base Kpi'!$BI:$BI,Cliente!$E73,'Base Kpi'!$BO:$BO,Cliente!AW$5),0)</f>
        <v>25</v>
      </c>
      <c r="AX73" s="92">
        <f>IFERROR(AVERAGEIFS('Base Kpi'!$BP:$BP,'Base Kpi'!$BI:$BI,Cliente!$E73,'Base Kpi'!$BO:$BO,Cliente!AX$5),0)</f>
        <v>1.665</v>
      </c>
      <c r="AY73" s="92">
        <f>IFERROR(AVERAGEIFS('Base Kpi'!$BP:$BP,'Base Kpi'!$BI:$BI,Cliente!$E73,'Base Kpi'!$BO:$BO,Cliente!AY$5),0)</f>
        <v>9</v>
      </c>
      <c r="AZ73" s="92">
        <f>IFERROR(AVERAGEIFS('Base Kpi'!$BP:$BP,'Base Kpi'!$BI:$BI,Cliente!$E73,'Base Kpi'!$BO:$BO,Cliente!AZ$5),0)</f>
        <v>32.159999999999997</v>
      </c>
      <c r="BA73" s="92">
        <f>IFERROR(AVERAGEIFS('Base Kpi'!$BP:$BP,'Base Kpi'!$BI:$BI,Cliente!$E73,'Base Kpi'!$BO:$BO,Cliente!BA$5),0)</f>
        <v>0</v>
      </c>
      <c r="BB73" s="94">
        <f t="shared" si="113"/>
        <v>67.824999999999989</v>
      </c>
      <c r="BC73" s="95">
        <f t="shared" si="99"/>
        <v>1</v>
      </c>
      <c r="BD73" s="60">
        <f t="shared" si="118"/>
        <v>79.411666666666676</v>
      </c>
      <c r="BE73" s="97">
        <f t="shared" si="80"/>
        <v>1</v>
      </c>
      <c r="BF73" s="88">
        <f t="shared" si="100"/>
        <v>1</v>
      </c>
      <c r="BG73" s="60">
        <f>IFERROR(AVERAGEIFS('Base Kpi'!$CB:$CB,'Base Kpi'!$BU:$BU,Cliente!$E73,'Base Kpi'!$CA:$CA,Cliente!BG$5),0)</f>
        <v>21.425000000000001</v>
      </c>
      <c r="BH73" s="92">
        <f>IFERROR(AVERAGEIFS('Base Kpi'!$CB:$CB,'Base Kpi'!$BU:$BU,Cliente!$E73,'Base Kpi'!$CA:$CA,Cliente!BH$5),0)</f>
        <v>3.335</v>
      </c>
      <c r="BI73" s="92">
        <f>IFERROR(AVERAGEIFS('Base Kpi'!$CB:$CB,'Base Kpi'!$BU:$BU,Cliente!$E73,'Base Kpi'!$CA:$CA,Cliente!BI$5),0)</f>
        <v>12</v>
      </c>
      <c r="BJ73" s="92">
        <f>IFERROR(AVERAGEIFS('Base Kpi'!$CB:$CB,'Base Kpi'!$BU:$BU,Cliente!$E73,'Base Kpi'!$CA:$CA,Cliente!BJ$5),0)</f>
        <v>25.6</v>
      </c>
      <c r="BK73" s="92">
        <f>IFERROR(AVERAGEIFS('Base Kpi'!$CB:$CB,'Base Kpi'!$BU:$BU,Cliente!$E73,'Base Kpi'!$CA:$CA,Cliente!BK$5),0)</f>
        <v>9</v>
      </c>
      <c r="BL73" s="94">
        <f t="shared" si="114"/>
        <v>71.360000000000014</v>
      </c>
      <c r="BM73" s="95">
        <f t="shared" si="101"/>
        <v>1</v>
      </c>
      <c r="BN73" s="60">
        <f>IFERROR(AVERAGEIFS('Base Kpi'!$CN:$CN,'Base Kpi'!$CG:$CG,Cliente!$E73,'Base Kpi'!$CM:$CM,Cliente!BN$5),0)</f>
        <v>21.425000000000001</v>
      </c>
      <c r="BO73" s="92">
        <f>IFERROR(AVERAGEIFS('Base Kpi'!$CN:$CN,'Base Kpi'!$CG:$CG,Cliente!$E73,'Base Kpi'!$CM:$CM,Cliente!BO$5),0)</f>
        <v>5</v>
      </c>
      <c r="BP73" s="92">
        <f>IFERROR(AVERAGEIFS('Base Kpi'!$CN:$CN,'Base Kpi'!$CG:$CG,Cliente!$E73,'Base Kpi'!$CM:$CM,Cliente!BP$5),0)</f>
        <v>9</v>
      </c>
      <c r="BQ73" s="92">
        <f>IFERROR(AVERAGEIFS('Base Kpi'!$CN:$CN,'Base Kpi'!$CG:$CG,Cliente!$E73,'Base Kpi'!$CM:$CM,Cliente!BQ$5),0)</f>
        <v>36</v>
      </c>
      <c r="BR73" s="92">
        <f>IFERROR(AVERAGEIFS('Base Kpi'!$CN:$CN,'Base Kpi'!$CG:$CG,Cliente!$E73,'Base Kpi'!$CM:$CM,Cliente!BR$5),0)</f>
        <v>9</v>
      </c>
      <c r="BS73" s="94">
        <f t="shared" si="115"/>
        <v>80.424999999999997</v>
      </c>
      <c r="BT73" s="95">
        <f t="shared" si="102"/>
        <v>1</v>
      </c>
      <c r="BU73" s="60">
        <f>IFERROR(AVERAGEIFS('Base Kpi'!$CZ:$CZ,'Base Kpi'!$CS:$CS,Cliente!$E73,'Base Kpi'!$CY:$CY,Cliente!BU$5),0)</f>
        <v>17.850000000000001</v>
      </c>
      <c r="BV73" s="92">
        <f>IFERROR(AVERAGEIFS('Base Kpi'!$CZ:$CZ,'Base Kpi'!$CS:$CS,Cliente!$E73,'Base Kpi'!$CY:$CY,Cliente!BV$5),0)</f>
        <v>5</v>
      </c>
      <c r="BW73" s="92">
        <f>IFERROR(AVERAGEIFS('Base Kpi'!$CZ:$CZ,'Base Kpi'!$CS:$CS,Cliente!$E73,'Base Kpi'!$CY:$CY,Cliente!BW$5),0)</f>
        <v>12</v>
      </c>
      <c r="BX73" s="92">
        <f>IFERROR(AVERAGEIFS('Base Kpi'!$CZ:$CZ,'Base Kpi'!$CS:$CS,Cliente!$E73,'Base Kpi'!$CY:$CY,Cliente!BX$5),0)</f>
        <v>33.6</v>
      </c>
      <c r="BY73" s="92">
        <f>IFERROR(AVERAGEIFS('Base Kpi'!$CZ:$CZ,'Base Kpi'!$CS:$CS,Cliente!$E73,'Base Kpi'!$CY:$CY,Cliente!BY$5),0)</f>
        <v>18</v>
      </c>
      <c r="BZ73" s="94">
        <f t="shared" si="116"/>
        <v>86.45</v>
      </c>
      <c r="CA73" s="95">
        <f t="shared" si="103"/>
        <v>1</v>
      </c>
      <c r="CB73" s="60">
        <f t="shared" si="104"/>
        <v>100</v>
      </c>
      <c r="CC73" s="97">
        <f t="shared" si="105"/>
        <v>1</v>
      </c>
      <c r="CD73" s="43">
        <f t="shared" si="106"/>
        <v>1</v>
      </c>
      <c r="CE73" s="60" cm="1">
        <f t="array" ref="CE73">IFERROR(LARGE(_xlfn._xlws.FILTER('Base Kpi'!$DL:$DL,('Base Kpi'!$DK:$DK=$CE$5)*('Base Kpi'!$DE:$DE=Cliente!$E73)),1),0)</f>
        <v>36</v>
      </c>
      <c r="CF73" s="60" cm="1">
        <f t="array" ref="CF73">IFERROR(LARGE(_xlfn._xlws.FILTER('Base Kpi'!$DL:$DL,('Base Kpi'!$DK:$DK=$CF$5)*('Base Kpi'!$DE:$DE=Cliente!$E73)),1),0)</f>
        <v>4</v>
      </c>
      <c r="CG73" s="60" cm="1">
        <f t="array" ref="CG73">IFERROR(LARGE(_xlfn._xlws.FILTER('Base Kpi'!$DL:$DL,('Base Kpi'!$DK:$DK=$CG$5)*('Base Kpi'!$DE:$DE=Cliente!$E73)),1),0)</f>
        <v>5</v>
      </c>
      <c r="CH73" s="60" cm="1">
        <f t="array" ref="CH73">IFERROR(LARGE(_xlfn._xlws.FILTER('Base Kpi'!$DL:$DL,('Base Kpi'!$DK:$DK=$CH$5)*('Base Kpi'!$DE:$DE=Cliente!$E73)),1),0)</f>
        <v>18</v>
      </c>
      <c r="CI73" s="60" cm="1">
        <f t="array" ref="CI73">IFERROR(LARGE(_xlfn._xlws.FILTER('Base Kpi'!$DL:$DL,('Base Kpi'!$DK:$DK=$CI$5)*('Base Kpi'!$DE:$DE=Cliente!$E73)),1),0)</f>
        <v>25</v>
      </c>
      <c r="CJ73" s="60" cm="1">
        <f t="array" ref="CJ73">IFERROR(LARGE(_xlfn._xlws.FILTER('Base Kpi'!$DL:$DL,('Base Kpi'!$DK:$DK=$CJ$5)*('Base Kpi'!$DE:$DE=Cliente!$E73)),1),0)</f>
        <v>12</v>
      </c>
      <c r="CK73" s="60" cm="1">
        <f t="array" ref="CK73">IFERROR(LARGE(_xlfn._xlws.FILTER('Base Kpi'!$DL:$DL,('Base Kpi'!$DK:$DK=$CK$5)*('Base Kpi'!$DE:$DE=Cliente!$E73)),1),0)</f>
        <v>0</v>
      </c>
      <c r="CL73" s="94">
        <f t="shared" si="117"/>
        <v>100</v>
      </c>
      <c r="CM73" s="95">
        <f t="shared" si="119"/>
        <v>1</v>
      </c>
      <c r="CN73" s="60">
        <f>IFERROR(AVERAGEIFS('Base Kpi'!$DX:$DX,'Base Kpi'!$DQ:$DQ,Cliente!$E73,'Base Kpi'!$DW:$DW,Cliente!CN$5),0)</f>
        <v>35.200000000000003</v>
      </c>
      <c r="CO73" s="92">
        <f>IFERROR(AVERAGEIFS('Base Kpi'!$DX:$DX,'Base Kpi'!$DQ:$DQ,Cliente!$E73,'Base Kpi'!$DW:$DW,Cliente!CO$5),0)</f>
        <v>4.8</v>
      </c>
      <c r="CP73" s="92">
        <f>IFERROR(AVERAGEIFS('Base Kpi'!$DX:$DX,'Base Kpi'!$DQ:$DQ,Cliente!$E73,'Base Kpi'!$DW:$DW,Cliente!CP$5),0)</f>
        <v>5</v>
      </c>
      <c r="CQ73" s="92">
        <f>IFERROR(AVERAGEIFS('Base Kpi'!$DX:$DX,'Base Kpi'!$DQ:$DQ,Cliente!$E73,'Base Kpi'!$DW:$DW,Cliente!CQ$5),0)</f>
        <v>18</v>
      </c>
      <c r="CR73" s="92">
        <f>IFERROR(AVERAGEIFS('Base Kpi'!$DX:$DX,'Base Kpi'!$DQ:$DQ,Cliente!$E73,'Base Kpi'!$DW:$DW,Cliente!CR$5),0)</f>
        <v>25</v>
      </c>
      <c r="CS73" s="92">
        <f>IFERROR(AVERAGEIFS('Base Kpi'!$DX:$DX,'Base Kpi'!$DQ:$DQ,Cliente!$E73,'Base Kpi'!$DW:$DW,Cliente!CS$5),0)</f>
        <v>12</v>
      </c>
      <c r="CT73" s="92">
        <f>IFERROR(AVERAGEIFS('Base Kpi'!$DX:$DX,'Base Kpi'!$DQ:$DQ,Cliente!$E73,'Base Kpi'!$DW:$DW,Cliente!CT$5),0)</f>
        <v>0</v>
      </c>
      <c r="CU73" s="94">
        <f t="shared" si="107"/>
        <v>100</v>
      </c>
      <c r="CV73" s="95">
        <f t="shared" si="108"/>
        <v>1</v>
      </c>
      <c r="CW73" s="60">
        <f>IFERROR(AVERAGEIFS('Base Kpi'!$EJ:$EJ,'Base Kpi'!$EC:$EC,Cliente!$E73,'Base Kpi'!$EI:$EI,Cliente!CW$5),0)</f>
        <v>37.6</v>
      </c>
      <c r="CX73" s="92">
        <f>IFERROR(AVERAGEIFS('Base Kpi'!$EJ:$EJ,'Base Kpi'!$EC:$EC,Cliente!$E73,'Base Kpi'!$EI:$EI,Cliente!CX$5),0)</f>
        <v>2.4</v>
      </c>
      <c r="CY73" s="92">
        <f>IFERROR(AVERAGEIFS('Base Kpi'!$EJ:$EJ,'Base Kpi'!$EC:$EC,Cliente!$E73,'Base Kpi'!$EI:$EI,Cliente!CY$5),0)</f>
        <v>5</v>
      </c>
      <c r="CZ73" s="92">
        <f>IFERROR(AVERAGEIFS('Base Kpi'!$EJ:$EJ,'Base Kpi'!$EC:$EC,Cliente!$E73,'Base Kpi'!$EI:$EI,Cliente!CZ$5),0)</f>
        <v>18</v>
      </c>
      <c r="DA73" s="92">
        <f>IFERROR(AVERAGEIFS('Base Kpi'!$EJ:$EJ,'Base Kpi'!$EC:$EC,Cliente!$E73,'Base Kpi'!$EI:$EI,Cliente!DA$5),0)</f>
        <v>25</v>
      </c>
      <c r="DB73" s="92">
        <f>IFERROR(AVERAGEIFS('Base Kpi'!$EJ:$EJ,'Base Kpi'!$EC:$EC,Cliente!$E73,'Base Kpi'!$EI:$EI,Cliente!DB$5),0)</f>
        <v>12</v>
      </c>
      <c r="DC73" s="92">
        <f>IFERROR(AVERAGEIFS('Base Kpi'!$EJ:$EJ,'Base Kpi'!$EC:$EC,Cliente!$E73,'Base Kpi'!$EI:$EI,Cliente!DC$5),0)</f>
        <v>0</v>
      </c>
      <c r="DD73" s="94">
        <f t="shared" si="109"/>
        <v>100</v>
      </c>
      <c r="DE73" s="95">
        <f t="shared" si="110"/>
        <v>1</v>
      </c>
      <c r="DF73" s="120"/>
    </row>
    <row r="74" spans="2:110" x14ac:dyDescent="0.35">
      <c r="B74" s="101" t="s">
        <v>42</v>
      </c>
      <c r="C74" s="102">
        <v>3655</v>
      </c>
      <c r="D74" s="102" t="s">
        <v>434</v>
      </c>
      <c r="E74" s="102">
        <v>160950</v>
      </c>
      <c r="F74" s="103" t="s">
        <v>70</v>
      </c>
      <c r="G74" s="103" t="s">
        <v>190</v>
      </c>
      <c r="H74" s="103" t="s">
        <v>197</v>
      </c>
      <c r="I74" s="103" t="s">
        <v>198</v>
      </c>
      <c r="J74" s="103" t="s">
        <v>90</v>
      </c>
      <c r="K74" s="108" t="s">
        <v>81</v>
      </c>
      <c r="L74" s="60">
        <f t="shared" si="89"/>
        <v>43.646666666666668</v>
      </c>
      <c r="M74" s="97">
        <f t="shared" si="90"/>
        <v>0</v>
      </c>
      <c r="N74" s="43">
        <f t="shared" si="85"/>
        <v>0</v>
      </c>
      <c r="O74" s="60">
        <f>IFERROR(AVERAGEIFS('Base Kpi'!$I:$I,'Base Kpi'!$B:$B,Cliente!$E74,'Base Kpi'!$G:$G,Cliente!O$5),0)</f>
        <v>25.71</v>
      </c>
      <c r="P74" s="92">
        <f>IFERROR(AVERAGEIFS('Base Kpi'!$I:$I,'Base Kpi'!$B:$B,Cliente!$E74,'Base Kpi'!$G:$G,Cliente!P$5),0)</f>
        <v>0</v>
      </c>
      <c r="Q74" s="92">
        <f>IFERROR(AVERAGEIFS('Base Kpi'!$I:$I,'Base Kpi'!$B:$B,Cliente!$E74,'Base Kpi'!$G:$G,Cliente!Q$5),0)</f>
        <v>13.6</v>
      </c>
      <c r="R74" s="92">
        <f>IFERROR(AVERAGEIFS('Base Kpi'!$I:$I,'Base Kpi'!$B:$B,Cliente!$E74,'Base Kpi'!$G:$G,Cliente!R$5),0)</f>
        <v>24.75</v>
      </c>
      <c r="S74" s="94">
        <f t="shared" si="91"/>
        <v>64.06</v>
      </c>
      <c r="T74" s="95">
        <f t="shared" si="92"/>
        <v>0</v>
      </c>
      <c r="U74" s="60">
        <f>IFERROR(AVERAGEIFS('Base Kpi'!$T:$T,'Base Kpi'!$M:$M,Cliente!$E74,'Base Kpi'!$S:$S,Cliente!U$5),0)</f>
        <v>0</v>
      </c>
      <c r="V74" s="92">
        <f>IFERROR(AVERAGEIFS('Base Kpi'!$T:$T,'Base Kpi'!$M:$M,Cliente!$E74,'Base Kpi'!$S:$S,Cliente!V$5),0)</f>
        <v>0</v>
      </c>
      <c r="W74" s="92">
        <f>IFERROR(AVERAGEIFS('Base Kpi'!$T:$T,'Base Kpi'!$M:$M,Cliente!$E74,'Base Kpi'!$S:$S,Cliente!W$5),0)</f>
        <v>0</v>
      </c>
      <c r="X74" s="92">
        <f>IFERROR(AVERAGEIFS('Base Kpi'!$T:$T,'Base Kpi'!$M:$M,Cliente!$E74,'Base Kpi'!$S:$S,Cliente!X$5),0)</f>
        <v>0</v>
      </c>
      <c r="Y74" s="94">
        <f t="shared" si="93"/>
        <v>0</v>
      </c>
      <c r="Z74" s="95">
        <f t="shared" si="94"/>
        <v>0</v>
      </c>
      <c r="AA74" s="60">
        <f>IFERROR(AVERAGEIFS('Base Kpi'!$AF:$AF,'Base Kpi'!$Y:$Y,Cliente!$E74,'Base Kpi'!$AE:$AE,Cliente!AA$5),0)</f>
        <v>17.13</v>
      </c>
      <c r="AB74" s="92">
        <f>IFERROR(AVERAGEIFS('Base Kpi'!$AF:$AF,'Base Kpi'!$Y:$Y,Cliente!$E74,'Base Kpi'!$AE:$AE,Cliente!AB$5),0)</f>
        <v>8</v>
      </c>
      <c r="AC74" s="92">
        <f>IFERROR(AVERAGEIFS('Base Kpi'!$AF:$AF,'Base Kpi'!$Y:$Y,Cliente!$E74,'Base Kpi'!$AE:$AE,Cliente!AC$5),0)</f>
        <v>17</v>
      </c>
      <c r="AD74" s="92">
        <f>IFERROR(AVERAGEIFS('Base Kpi'!$AF:$AF,'Base Kpi'!$Y:$Y,Cliente!$E74,'Base Kpi'!$AE:$AE,Cliente!AD$5),0)</f>
        <v>24.75</v>
      </c>
      <c r="AE74" s="94">
        <f t="shared" si="95"/>
        <v>66.88</v>
      </c>
      <c r="AF74" s="95">
        <f t="shared" si="96"/>
        <v>0</v>
      </c>
      <c r="AG74" s="60">
        <f t="shared" si="111"/>
        <v>62.316666666666663</v>
      </c>
      <c r="AH74" s="97">
        <f t="shared" si="112"/>
        <v>1</v>
      </c>
      <c r="AI74" s="88">
        <f t="shared" si="97"/>
        <v>1</v>
      </c>
      <c r="AJ74" s="92">
        <f>IFERROR(AVERAGEIFS('Base Kpi'!$AR:$AR,'Base Kpi'!$AK:$AK,Cliente!$E74,'Base Kpi'!$AQ:$AQ,AJ$5),0)</f>
        <v>21.425000000000001</v>
      </c>
      <c r="AK74" s="92">
        <f>IFERROR(AVERAGEIFS('Base Kpi'!$AR:$AR,'Base Kpi'!$AK:$AK,Cliente!$E74,'Base Kpi'!$AQ:$AQ,AK$5),0)</f>
        <v>2.5</v>
      </c>
      <c r="AL74" s="92">
        <f>IFERROR(AVERAGEIFS('Base Kpi'!$AR:$AR,'Base Kpi'!$AK:$AK,Cliente!$E74,'Base Kpi'!$AQ:$AQ,AL$5),0)</f>
        <v>9</v>
      </c>
      <c r="AM74" s="92">
        <f>IFERROR(AVERAGEIFS('Base Kpi'!$AR:$AR,'Base Kpi'!$AK:$AK,Cliente!$E74,'Base Kpi'!$AQ:$AQ,AM$5),0)</f>
        <v>24.36</v>
      </c>
      <c r="AN74" s="94">
        <f t="shared" si="86"/>
        <v>57.284999999999997</v>
      </c>
      <c r="AO74" s="95">
        <f t="shared" si="87"/>
        <v>0</v>
      </c>
      <c r="AP74" s="60">
        <f>IFERROR(AVERAGEIFS('Base Kpi'!$BD:$BD,'Base Kpi'!$AW:$AW,Cliente!$E74,'Base Kpi'!$BC:$BC,Cliente!AP$5),0)</f>
        <v>25</v>
      </c>
      <c r="AQ74" s="92">
        <f>IFERROR(AVERAGEIFS('Base Kpi'!$BD:$BD,'Base Kpi'!$AW:$AW,Cliente!$E74,'Base Kpi'!$BC:$BC,Cliente!AQ$5),0)</f>
        <v>1.665</v>
      </c>
      <c r="AR74" s="92">
        <f>IFERROR(AVERAGEIFS('Base Kpi'!$BD:$BD,'Base Kpi'!$AW:$AW,Cliente!$E74,'Base Kpi'!$BC:$BC,Cliente!AR$5),0)</f>
        <v>6</v>
      </c>
      <c r="AS74" s="92">
        <f>IFERROR(AVERAGEIFS('Base Kpi'!$BD:$BD,'Base Kpi'!$AW:$AW,Cliente!$E74,'Base Kpi'!$BC:$BC,Cliente!AS$5),0)</f>
        <v>26.96</v>
      </c>
      <c r="AT74" s="92">
        <f>IFERROR(AVERAGEIFS('Base Kpi'!$BD:$BD,'Base Kpi'!$AW:$AW,Cliente!$E74,'Base Kpi'!$BC:$BC,Cliente!AT$5),0)</f>
        <v>0</v>
      </c>
      <c r="AU74" s="94">
        <f t="shared" si="88"/>
        <v>59.625</v>
      </c>
      <c r="AV74" s="95">
        <f t="shared" si="98"/>
        <v>1</v>
      </c>
      <c r="AW74" s="60">
        <f>IFERROR(AVERAGEIFS('Base Kpi'!$BP:$BP,'Base Kpi'!$BI:$BI,Cliente!$E74,'Base Kpi'!$BO:$BO,Cliente!AW$5),0)</f>
        <v>21.425000000000001</v>
      </c>
      <c r="AX74" s="92">
        <f>IFERROR(AVERAGEIFS('Base Kpi'!$BP:$BP,'Base Kpi'!$BI:$BI,Cliente!$E74,'Base Kpi'!$BO:$BO,Cliente!AX$5),0)</f>
        <v>3.335</v>
      </c>
      <c r="AY74" s="92">
        <f>IFERROR(AVERAGEIFS('Base Kpi'!$BP:$BP,'Base Kpi'!$BI:$BI,Cliente!$E74,'Base Kpi'!$BO:$BO,Cliente!AY$5),0)</f>
        <v>9</v>
      </c>
      <c r="AZ74" s="92">
        <f>IFERROR(AVERAGEIFS('Base Kpi'!$BP:$BP,'Base Kpi'!$BI:$BI,Cliente!$E74,'Base Kpi'!$BO:$BO,Cliente!AZ$5),0)</f>
        <v>18.28</v>
      </c>
      <c r="BA74" s="92">
        <f>IFERROR(AVERAGEIFS('Base Kpi'!$BP:$BP,'Base Kpi'!$BI:$BI,Cliente!$E74,'Base Kpi'!$BO:$BO,Cliente!BA$5),0)</f>
        <v>18</v>
      </c>
      <c r="BB74" s="94">
        <f t="shared" si="113"/>
        <v>70.040000000000006</v>
      </c>
      <c r="BC74" s="95">
        <f t="shared" si="99"/>
        <v>1</v>
      </c>
      <c r="BD74" s="60">
        <f t="shared" si="118"/>
        <v>45.083333333333336</v>
      </c>
      <c r="BE74" s="97">
        <f t="shared" si="80"/>
        <v>0</v>
      </c>
      <c r="BF74" s="88">
        <f t="shared" si="100"/>
        <v>0</v>
      </c>
      <c r="BG74" s="60">
        <f>IFERROR(AVERAGEIFS('Base Kpi'!$CB:$CB,'Base Kpi'!$BU:$BU,Cliente!$E74,'Base Kpi'!$CA:$CA,Cliente!BG$5),0)</f>
        <v>21.425000000000001</v>
      </c>
      <c r="BH74" s="92">
        <f>IFERROR(AVERAGEIFS('Base Kpi'!$CB:$CB,'Base Kpi'!$BU:$BU,Cliente!$E74,'Base Kpi'!$CA:$CA,Cliente!BH$5),0)</f>
        <v>5</v>
      </c>
      <c r="BI74" s="92">
        <f>IFERROR(AVERAGEIFS('Base Kpi'!$CB:$CB,'Base Kpi'!$BU:$BU,Cliente!$E74,'Base Kpi'!$CA:$CA,Cliente!BI$5),0)</f>
        <v>9</v>
      </c>
      <c r="BJ74" s="92">
        <f>IFERROR(AVERAGEIFS('Base Kpi'!$CB:$CB,'Base Kpi'!$BU:$BU,Cliente!$E74,'Base Kpi'!$CA:$CA,Cliente!BJ$5),0)</f>
        <v>32.799999999999997</v>
      </c>
      <c r="BK74" s="92">
        <f>IFERROR(AVERAGEIFS('Base Kpi'!$CB:$CB,'Base Kpi'!$BU:$BU,Cliente!$E74,'Base Kpi'!$CA:$CA,Cliente!BK$5),0)</f>
        <v>9</v>
      </c>
      <c r="BL74" s="94">
        <f t="shared" si="114"/>
        <v>77.224999999999994</v>
      </c>
      <c r="BM74" s="95">
        <f t="shared" si="101"/>
        <v>1</v>
      </c>
      <c r="BN74" s="60">
        <f>IFERROR(AVERAGEIFS('Base Kpi'!$CN:$CN,'Base Kpi'!$CG:$CG,Cliente!$E74,'Base Kpi'!$CM:$CM,Cliente!BN$5),0)</f>
        <v>21.425000000000001</v>
      </c>
      <c r="BO74" s="92">
        <f>IFERROR(AVERAGEIFS('Base Kpi'!$CN:$CN,'Base Kpi'!$CG:$CG,Cliente!$E74,'Base Kpi'!$CM:$CM,Cliente!BO$5),0)</f>
        <v>5</v>
      </c>
      <c r="BP74" s="92">
        <f>IFERROR(AVERAGEIFS('Base Kpi'!$CN:$CN,'Base Kpi'!$CG:$CG,Cliente!$E74,'Base Kpi'!$CM:$CM,Cliente!BP$5),0)</f>
        <v>9</v>
      </c>
      <c r="BQ74" s="92">
        <f>IFERROR(AVERAGEIFS('Base Kpi'!$CN:$CN,'Base Kpi'!$CG:$CG,Cliente!$E74,'Base Kpi'!$CM:$CM,Cliente!BQ$5),0)</f>
        <v>13.6</v>
      </c>
      <c r="BR74" s="92">
        <f>IFERROR(AVERAGEIFS('Base Kpi'!$CN:$CN,'Base Kpi'!$CG:$CG,Cliente!$E74,'Base Kpi'!$CM:$CM,Cliente!BR$5),0)</f>
        <v>9</v>
      </c>
      <c r="BS74" s="94">
        <f t="shared" si="115"/>
        <v>58.024999999999999</v>
      </c>
      <c r="BT74" s="95">
        <f t="shared" si="102"/>
        <v>1</v>
      </c>
      <c r="BU74" s="60">
        <f>IFERROR(AVERAGEIFS('Base Kpi'!$CZ:$CZ,'Base Kpi'!$CS:$CS,Cliente!$E74,'Base Kpi'!$CY:$CY,Cliente!BU$5),0)</f>
        <v>0</v>
      </c>
      <c r="BV74" s="92">
        <f>IFERROR(AVERAGEIFS('Base Kpi'!$CZ:$CZ,'Base Kpi'!$CS:$CS,Cliente!$E74,'Base Kpi'!$CY:$CY,Cliente!BV$5),0)</f>
        <v>0</v>
      </c>
      <c r="BW74" s="92">
        <f>IFERROR(AVERAGEIFS('Base Kpi'!$CZ:$CZ,'Base Kpi'!$CS:$CS,Cliente!$E74,'Base Kpi'!$CY:$CY,Cliente!BW$5),0)</f>
        <v>0</v>
      </c>
      <c r="BX74" s="92">
        <f>IFERROR(AVERAGEIFS('Base Kpi'!$CZ:$CZ,'Base Kpi'!$CS:$CS,Cliente!$E74,'Base Kpi'!$CY:$CY,Cliente!BX$5),0)</f>
        <v>0</v>
      </c>
      <c r="BY74" s="92">
        <f>IFERROR(AVERAGEIFS('Base Kpi'!$CZ:$CZ,'Base Kpi'!$CS:$CS,Cliente!$E74,'Base Kpi'!$CY:$CY,Cliente!BY$5),0)</f>
        <v>0</v>
      </c>
      <c r="BZ74" s="94">
        <f t="shared" si="116"/>
        <v>0</v>
      </c>
      <c r="CA74" s="95">
        <f t="shared" si="103"/>
        <v>0</v>
      </c>
      <c r="CB74" s="60">
        <f t="shared" si="104"/>
        <v>59.919999999999995</v>
      </c>
      <c r="CC74" s="97">
        <f t="shared" si="105"/>
        <v>0</v>
      </c>
      <c r="CD74" s="43">
        <f t="shared" si="106"/>
        <v>0</v>
      </c>
      <c r="CE74" s="60" cm="1">
        <f t="array" ref="CE74">IFERROR(LARGE(_xlfn._xlws.FILTER('Base Kpi'!$DL:$DL,('Base Kpi'!$DK:$DK=$CE$5)*('Base Kpi'!$DE:$DE=Cliente!$E74)),1),0)</f>
        <v>36</v>
      </c>
      <c r="CF74" s="60" cm="1">
        <f t="array" ref="CF74">IFERROR(LARGE(_xlfn._xlws.FILTER('Base Kpi'!$DL:$DL,('Base Kpi'!$DK:$DK=$CF$5)*('Base Kpi'!$DE:$DE=Cliente!$E74)),1),0)</f>
        <v>5</v>
      </c>
      <c r="CG74" s="60" cm="1">
        <f t="array" ref="CG74">IFERROR(LARGE(_xlfn._xlws.FILTER('Base Kpi'!$DL:$DL,('Base Kpi'!$DK:$DK=$CG$5)*('Base Kpi'!$DE:$DE=Cliente!$E74)),1),0)</f>
        <v>5</v>
      </c>
      <c r="CH74" s="60" cm="1">
        <f t="array" ref="CH74">IFERROR(LARGE(_xlfn._xlws.FILTER('Base Kpi'!$DL:$DL,('Base Kpi'!$DK:$DK=$CH$5)*('Base Kpi'!$DE:$DE=Cliente!$E74)),1),0)</f>
        <v>9</v>
      </c>
      <c r="CI74" s="60" cm="1">
        <f t="array" ref="CI74">IFERROR(LARGE(_xlfn._xlws.FILTER('Base Kpi'!$DL:$DL,('Base Kpi'!$DK:$DK=$CI$5)*('Base Kpi'!$DE:$DE=Cliente!$E74)),1),0)</f>
        <v>21.425000000000001</v>
      </c>
      <c r="CJ74" s="60" cm="1">
        <f t="array" ref="CJ74">IFERROR(LARGE(_xlfn._xlws.FILTER('Base Kpi'!$DL:$DL,('Base Kpi'!$DK:$DK=$CJ$5)*('Base Kpi'!$DE:$DE=Cliente!$E74)),1),0)</f>
        <v>12</v>
      </c>
      <c r="CK74" s="60" cm="1">
        <f t="array" ref="CK74">IFERROR(LARGE(_xlfn._xlws.FILTER('Base Kpi'!$DL:$DL,('Base Kpi'!$DK:$DK=$CK$5)*('Base Kpi'!$DE:$DE=Cliente!$E74)),1),0)</f>
        <v>0</v>
      </c>
      <c r="CL74" s="94">
        <f t="shared" si="117"/>
        <v>88.424999999999997</v>
      </c>
      <c r="CM74" s="95">
        <f t="shared" si="119"/>
        <v>1</v>
      </c>
      <c r="CN74" s="60">
        <f>IFERROR(AVERAGEIFS('Base Kpi'!$DX:$DX,'Base Kpi'!$DQ:$DQ,Cliente!$E74,'Base Kpi'!$DW:$DW,Cliente!CN$5),0)</f>
        <v>28</v>
      </c>
      <c r="CO74" s="92">
        <f>IFERROR(AVERAGEIFS('Base Kpi'!$DX:$DX,'Base Kpi'!$DQ:$DQ,Cliente!$E74,'Base Kpi'!$DW:$DW,Cliente!CO$5),0)</f>
        <v>5</v>
      </c>
      <c r="CP74" s="92">
        <f>IFERROR(AVERAGEIFS('Base Kpi'!$DX:$DX,'Base Kpi'!$DQ:$DQ,Cliente!$E74,'Base Kpi'!$DW:$DW,Cliente!CP$5),0)</f>
        <v>3.335</v>
      </c>
      <c r="CQ74" s="92">
        <f>IFERROR(AVERAGEIFS('Base Kpi'!$DX:$DX,'Base Kpi'!$DQ:$DQ,Cliente!$E74,'Base Kpi'!$DW:$DW,Cliente!CQ$5),0)</f>
        <v>18</v>
      </c>
      <c r="CR74" s="92">
        <f>IFERROR(AVERAGEIFS('Base Kpi'!$DX:$DX,'Base Kpi'!$DQ:$DQ,Cliente!$E74,'Base Kpi'!$DW:$DW,Cliente!CR$5),0)</f>
        <v>25</v>
      </c>
      <c r="CS74" s="92">
        <f>IFERROR(AVERAGEIFS('Base Kpi'!$DX:$DX,'Base Kpi'!$DQ:$DQ,Cliente!$E74,'Base Kpi'!$DW:$DW,Cliente!CS$5),0)</f>
        <v>12</v>
      </c>
      <c r="CT74" s="92">
        <f>IFERROR(AVERAGEIFS('Base Kpi'!$DX:$DX,'Base Kpi'!$DQ:$DQ,Cliente!$E74,'Base Kpi'!$DW:$DW,Cliente!CT$5),0)</f>
        <v>0</v>
      </c>
      <c r="CU74" s="94">
        <f t="shared" si="107"/>
        <v>91.335000000000008</v>
      </c>
      <c r="CV74" s="95">
        <f t="shared" si="108"/>
        <v>1</v>
      </c>
      <c r="CW74" s="60">
        <f>IFERROR(AVERAGEIFS('Base Kpi'!$EJ:$EJ,'Base Kpi'!$EC:$EC,Cliente!$E74,'Base Kpi'!$EI:$EI,Cliente!CW$5),0)</f>
        <v>0</v>
      </c>
      <c r="CX74" s="92">
        <f>IFERROR(AVERAGEIFS('Base Kpi'!$EJ:$EJ,'Base Kpi'!$EC:$EC,Cliente!$E74,'Base Kpi'!$EI:$EI,Cliente!CX$5),0)</f>
        <v>0</v>
      </c>
      <c r="CY74" s="92">
        <f>IFERROR(AVERAGEIFS('Base Kpi'!$EJ:$EJ,'Base Kpi'!$EC:$EC,Cliente!$E74,'Base Kpi'!$EI:$EI,Cliente!CY$5),0)</f>
        <v>0</v>
      </c>
      <c r="CZ74" s="92">
        <f>IFERROR(AVERAGEIFS('Base Kpi'!$EJ:$EJ,'Base Kpi'!$EC:$EC,Cliente!$E74,'Base Kpi'!$EI:$EI,Cliente!CZ$5),0)</f>
        <v>0</v>
      </c>
      <c r="DA74" s="92">
        <f>IFERROR(AVERAGEIFS('Base Kpi'!$EJ:$EJ,'Base Kpi'!$EC:$EC,Cliente!$E74,'Base Kpi'!$EI:$EI,Cliente!DA$5),0)</f>
        <v>0</v>
      </c>
      <c r="DB74" s="92">
        <f>IFERROR(AVERAGEIFS('Base Kpi'!$EJ:$EJ,'Base Kpi'!$EC:$EC,Cliente!$E74,'Base Kpi'!$EI:$EI,Cliente!DB$5),0)</f>
        <v>0</v>
      </c>
      <c r="DC74" s="92">
        <f>IFERROR(AVERAGEIFS('Base Kpi'!$EJ:$EJ,'Base Kpi'!$EC:$EC,Cliente!$E74,'Base Kpi'!$EI:$EI,Cliente!DC$5),0)</f>
        <v>0</v>
      </c>
      <c r="DD74" s="94">
        <f t="shared" si="109"/>
        <v>0</v>
      </c>
      <c r="DE74" s="95">
        <f t="shared" si="110"/>
        <v>0</v>
      </c>
      <c r="DF74" s="120"/>
    </row>
    <row r="75" spans="2:110" x14ac:dyDescent="0.35">
      <c r="B75" s="101" t="s">
        <v>42</v>
      </c>
      <c r="C75" s="102">
        <v>3655</v>
      </c>
      <c r="D75" s="102" t="s">
        <v>434</v>
      </c>
      <c r="E75" s="102">
        <v>169868</v>
      </c>
      <c r="F75" s="103" t="s">
        <v>68</v>
      </c>
      <c r="G75" s="103" t="s">
        <v>190</v>
      </c>
      <c r="H75" s="103" t="s">
        <v>199</v>
      </c>
      <c r="I75" s="103" t="s">
        <v>200</v>
      </c>
      <c r="J75" s="103" t="s">
        <v>90</v>
      </c>
      <c r="K75" s="108" t="s">
        <v>81</v>
      </c>
      <c r="L75" s="60">
        <f t="shared" si="89"/>
        <v>61.346666666666671</v>
      </c>
      <c r="M75" s="97">
        <f t="shared" si="90"/>
        <v>1</v>
      </c>
      <c r="N75" s="43">
        <f t="shared" si="85"/>
        <v>0</v>
      </c>
      <c r="O75" s="60">
        <f>IFERROR(AVERAGEIFS('Base Kpi'!$I:$I,'Base Kpi'!$B:$B,Cliente!$E75,'Base Kpi'!$G:$G,Cliente!O$5),0)</f>
        <v>17.13</v>
      </c>
      <c r="P75" s="92">
        <f>IFERROR(AVERAGEIFS('Base Kpi'!$I:$I,'Base Kpi'!$B:$B,Cliente!$E75,'Base Kpi'!$G:$G,Cliente!P$5),0)</f>
        <v>0</v>
      </c>
      <c r="Q75" s="92">
        <f>IFERROR(AVERAGEIFS('Base Kpi'!$I:$I,'Base Kpi'!$B:$B,Cliente!$E75,'Base Kpi'!$G:$G,Cliente!Q$5),0)</f>
        <v>10.199999999999999</v>
      </c>
      <c r="R75" s="92">
        <f>IFERROR(AVERAGEIFS('Base Kpi'!$I:$I,'Base Kpi'!$B:$B,Cliente!$E75,'Base Kpi'!$G:$G,Cliente!R$5),0)</f>
        <v>24.75</v>
      </c>
      <c r="S75" s="94">
        <f t="shared" si="91"/>
        <v>52.08</v>
      </c>
      <c r="T75" s="95">
        <f t="shared" si="92"/>
        <v>0</v>
      </c>
      <c r="U75" s="60">
        <f>IFERROR(AVERAGEIFS('Base Kpi'!$T:$T,'Base Kpi'!$M:$M,Cliente!$E75,'Base Kpi'!$S:$S,Cliente!U$5),0)</f>
        <v>30</v>
      </c>
      <c r="V75" s="92">
        <f>IFERROR(AVERAGEIFS('Base Kpi'!$T:$T,'Base Kpi'!$M:$M,Cliente!$E75,'Base Kpi'!$S:$S,Cliente!V$5),0)</f>
        <v>0</v>
      </c>
      <c r="W75" s="92">
        <f>IFERROR(AVERAGEIFS('Base Kpi'!$T:$T,'Base Kpi'!$M:$M,Cliente!$E75,'Base Kpi'!$S:$S,Cliente!W$5),0)</f>
        <v>12.75</v>
      </c>
      <c r="X75" s="92">
        <f>IFERROR(AVERAGEIFS('Base Kpi'!$T:$T,'Base Kpi'!$M:$M,Cliente!$E75,'Base Kpi'!$S:$S,Cliente!X$5),0)</f>
        <v>12.375</v>
      </c>
      <c r="Y75" s="94">
        <f t="shared" si="93"/>
        <v>55.125</v>
      </c>
      <c r="Z75" s="95">
        <f t="shared" si="94"/>
        <v>0</v>
      </c>
      <c r="AA75" s="60">
        <f>IFERROR(AVERAGEIFS('Base Kpi'!$AF:$AF,'Base Kpi'!$Y:$Y,Cliente!$E75,'Base Kpi'!$AE:$AE,Cliente!AA$5),0)</f>
        <v>25.71</v>
      </c>
      <c r="AB75" s="92">
        <f>IFERROR(AVERAGEIFS('Base Kpi'!$AF:$AF,'Base Kpi'!$Y:$Y,Cliente!$E75,'Base Kpi'!$AE:$AE,Cliente!AB$5),0)</f>
        <v>8</v>
      </c>
      <c r="AC75" s="92">
        <f>IFERROR(AVERAGEIFS('Base Kpi'!$AF:$AF,'Base Kpi'!$Y:$Y,Cliente!$E75,'Base Kpi'!$AE:$AE,Cliente!AC$5),0)</f>
        <v>12.75</v>
      </c>
      <c r="AD75" s="92">
        <f>IFERROR(AVERAGEIFS('Base Kpi'!$AF:$AF,'Base Kpi'!$Y:$Y,Cliente!$E75,'Base Kpi'!$AE:$AE,Cliente!AD$5),0)</f>
        <v>30.375</v>
      </c>
      <c r="AE75" s="94">
        <f t="shared" si="95"/>
        <v>76.835000000000008</v>
      </c>
      <c r="AF75" s="95">
        <f t="shared" si="96"/>
        <v>0</v>
      </c>
      <c r="AG75" s="60">
        <f t="shared" si="111"/>
        <v>58.973333333333336</v>
      </c>
      <c r="AH75" s="97">
        <f t="shared" si="112"/>
        <v>1</v>
      </c>
      <c r="AI75" s="88">
        <f t="shared" si="97"/>
        <v>1</v>
      </c>
      <c r="AJ75" s="92">
        <f>IFERROR(AVERAGEIFS('Base Kpi'!$AR:$AR,'Base Kpi'!$AK:$AK,Cliente!$E75,'Base Kpi'!$AQ:$AQ,AJ$5),0)</f>
        <v>21.425000000000001</v>
      </c>
      <c r="AK75" s="92">
        <f>IFERROR(AVERAGEIFS('Base Kpi'!$AR:$AR,'Base Kpi'!$AK:$AK,Cliente!$E75,'Base Kpi'!$AQ:$AQ,AK$5),0)</f>
        <v>2.5</v>
      </c>
      <c r="AL75" s="92">
        <f>IFERROR(AVERAGEIFS('Base Kpi'!$AR:$AR,'Base Kpi'!$AK:$AK,Cliente!$E75,'Base Kpi'!$AQ:$AQ,AL$5),0)</f>
        <v>9</v>
      </c>
      <c r="AM75" s="92">
        <f>IFERROR(AVERAGEIFS('Base Kpi'!$AR:$AR,'Base Kpi'!$AK:$AK,Cliente!$E75,'Base Kpi'!$AQ:$AQ,AM$5),0)</f>
        <v>32.159999999999997</v>
      </c>
      <c r="AN75" s="94">
        <f t="shared" si="86"/>
        <v>65.084999999999994</v>
      </c>
      <c r="AO75" s="95">
        <f t="shared" si="87"/>
        <v>0</v>
      </c>
      <c r="AP75" s="60">
        <f>IFERROR(AVERAGEIFS('Base Kpi'!$BD:$BD,'Base Kpi'!$AW:$AW,Cliente!$E75,'Base Kpi'!$BC:$BC,Cliente!AP$5),0)</f>
        <v>21.425000000000001</v>
      </c>
      <c r="AQ75" s="92">
        <f>IFERROR(AVERAGEIFS('Base Kpi'!$BD:$BD,'Base Kpi'!$AW:$AW,Cliente!$E75,'Base Kpi'!$BC:$BC,Cliente!AQ$5),0)</f>
        <v>1.665</v>
      </c>
      <c r="AR75" s="92">
        <f>IFERROR(AVERAGEIFS('Base Kpi'!$BD:$BD,'Base Kpi'!$AW:$AW,Cliente!$E75,'Base Kpi'!$BC:$BC,Cliente!AR$5),0)</f>
        <v>6</v>
      </c>
      <c r="AS75" s="92">
        <f>IFERROR(AVERAGEIFS('Base Kpi'!$BD:$BD,'Base Kpi'!$AW:$AW,Cliente!$E75,'Base Kpi'!$BC:$BC,Cliente!AS$5),0)</f>
        <v>23.48</v>
      </c>
      <c r="AT75" s="92">
        <f>IFERROR(AVERAGEIFS('Base Kpi'!$BD:$BD,'Base Kpi'!$AW:$AW,Cliente!$E75,'Base Kpi'!$BC:$BC,Cliente!AT$5),0)</f>
        <v>0</v>
      </c>
      <c r="AU75" s="94">
        <f t="shared" si="88"/>
        <v>52.57</v>
      </c>
      <c r="AV75" s="95">
        <f t="shared" si="98"/>
        <v>1</v>
      </c>
      <c r="AW75" s="60">
        <f>IFERROR(AVERAGEIFS('Base Kpi'!$BP:$BP,'Base Kpi'!$BI:$BI,Cliente!$E75,'Base Kpi'!$BO:$BO,Cliente!AW$5),0)</f>
        <v>17.850000000000001</v>
      </c>
      <c r="AX75" s="92">
        <f>IFERROR(AVERAGEIFS('Base Kpi'!$BP:$BP,'Base Kpi'!$BI:$BI,Cliente!$E75,'Base Kpi'!$BO:$BO,Cliente!AX$5),0)</f>
        <v>3.335</v>
      </c>
      <c r="AY75" s="92">
        <f>IFERROR(AVERAGEIFS('Base Kpi'!$BP:$BP,'Base Kpi'!$BI:$BI,Cliente!$E75,'Base Kpi'!$BO:$BO,Cliente!AY$5),0)</f>
        <v>12</v>
      </c>
      <c r="AZ75" s="92">
        <f>IFERROR(AVERAGEIFS('Base Kpi'!$BP:$BP,'Base Kpi'!$BI:$BI,Cliente!$E75,'Base Kpi'!$BO:$BO,Cliente!AZ$5),0)</f>
        <v>26.08</v>
      </c>
      <c r="BA75" s="92">
        <f>IFERROR(AVERAGEIFS('Base Kpi'!$BP:$BP,'Base Kpi'!$BI:$BI,Cliente!$E75,'Base Kpi'!$BO:$BO,Cliente!BA$5),0)</f>
        <v>0</v>
      </c>
      <c r="BB75" s="94">
        <f t="shared" si="113"/>
        <v>59.265000000000001</v>
      </c>
      <c r="BC75" s="95">
        <f t="shared" si="99"/>
        <v>1</v>
      </c>
      <c r="BD75" s="60">
        <f t="shared" si="118"/>
        <v>89.853333333333339</v>
      </c>
      <c r="BE75" s="97">
        <f t="shared" si="80"/>
        <v>1</v>
      </c>
      <c r="BF75" s="88">
        <f t="shared" si="100"/>
        <v>1</v>
      </c>
      <c r="BG75" s="60">
        <f>IFERROR(AVERAGEIFS('Base Kpi'!$CB:$CB,'Base Kpi'!$BU:$BU,Cliente!$E75,'Base Kpi'!$CA:$CA,Cliente!BG$5),0)</f>
        <v>25</v>
      </c>
      <c r="BH75" s="92">
        <f>IFERROR(AVERAGEIFS('Base Kpi'!$CB:$CB,'Base Kpi'!$BU:$BU,Cliente!$E75,'Base Kpi'!$CA:$CA,Cliente!BH$5),0)</f>
        <v>3.335</v>
      </c>
      <c r="BI75" s="92">
        <f>IFERROR(AVERAGEIFS('Base Kpi'!$CB:$CB,'Base Kpi'!$BU:$BU,Cliente!$E75,'Base Kpi'!$CA:$CA,Cliente!BI$5),0)</f>
        <v>12</v>
      </c>
      <c r="BJ75" s="92">
        <f>IFERROR(AVERAGEIFS('Base Kpi'!$CB:$CB,'Base Kpi'!$BU:$BU,Cliente!$E75,'Base Kpi'!$CA:$CA,Cliente!BJ$5),0)</f>
        <v>34.4</v>
      </c>
      <c r="BK75" s="92">
        <f>IFERROR(AVERAGEIFS('Base Kpi'!$CB:$CB,'Base Kpi'!$BU:$BU,Cliente!$E75,'Base Kpi'!$CA:$CA,Cliente!BK$5),0)</f>
        <v>0</v>
      </c>
      <c r="BL75" s="94">
        <f t="shared" si="114"/>
        <v>74.734999999999999</v>
      </c>
      <c r="BM75" s="95">
        <f t="shared" si="101"/>
        <v>1</v>
      </c>
      <c r="BN75" s="60">
        <f>IFERROR(AVERAGEIFS('Base Kpi'!$CN:$CN,'Base Kpi'!$CG:$CG,Cliente!$E75,'Base Kpi'!$CM:$CM,Cliente!BN$5),0)</f>
        <v>21.425000000000001</v>
      </c>
      <c r="BO75" s="92">
        <f>IFERROR(AVERAGEIFS('Base Kpi'!$CN:$CN,'Base Kpi'!$CG:$CG,Cliente!$E75,'Base Kpi'!$CM:$CM,Cliente!BO$5),0)</f>
        <v>5</v>
      </c>
      <c r="BP75" s="92">
        <f>IFERROR(AVERAGEIFS('Base Kpi'!$CN:$CN,'Base Kpi'!$CG:$CG,Cliente!$E75,'Base Kpi'!$CM:$CM,Cliente!BP$5),0)</f>
        <v>12</v>
      </c>
      <c r="BQ75" s="92">
        <f>IFERROR(AVERAGEIFS('Base Kpi'!$CN:$CN,'Base Kpi'!$CG:$CG,Cliente!$E75,'Base Kpi'!$CM:$CM,Cliente!BQ$5),0)</f>
        <v>39.200000000000003</v>
      </c>
      <c r="BR75" s="92">
        <f>IFERROR(AVERAGEIFS('Base Kpi'!$CN:$CN,'Base Kpi'!$CG:$CG,Cliente!$E75,'Base Kpi'!$CM:$CM,Cliente!BR$5),0)</f>
        <v>18</v>
      </c>
      <c r="BS75" s="94">
        <f t="shared" si="115"/>
        <v>95.625</v>
      </c>
      <c r="BT75" s="95">
        <f t="shared" si="102"/>
        <v>1</v>
      </c>
      <c r="BU75" s="60">
        <f>IFERROR(AVERAGEIFS('Base Kpi'!$CZ:$CZ,'Base Kpi'!$CS:$CS,Cliente!$E75,'Base Kpi'!$CY:$CY,Cliente!BU$5),0)</f>
        <v>25</v>
      </c>
      <c r="BV75" s="92">
        <f>IFERROR(AVERAGEIFS('Base Kpi'!$CZ:$CZ,'Base Kpi'!$CS:$CS,Cliente!$E75,'Base Kpi'!$CY:$CY,Cliente!BV$5),0)</f>
        <v>5</v>
      </c>
      <c r="BW75" s="92">
        <f>IFERROR(AVERAGEIFS('Base Kpi'!$CZ:$CZ,'Base Kpi'!$CS:$CS,Cliente!$E75,'Base Kpi'!$CY:$CY,Cliente!BW$5),0)</f>
        <v>12</v>
      </c>
      <c r="BX75" s="92">
        <f>IFERROR(AVERAGEIFS('Base Kpi'!$CZ:$CZ,'Base Kpi'!$CS:$CS,Cliente!$E75,'Base Kpi'!$CY:$CY,Cliente!BX$5),0)</f>
        <v>39.200000000000003</v>
      </c>
      <c r="BY75" s="92">
        <f>IFERROR(AVERAGEIFS('Base Kpi'!$CZ:$CZ,'Base Kpi'!$CS:$CS,Cliente!$E75,'Base Kpi'!$CY:$CY,Cliente!BY$5),0)</f>
        <v>18</v>
      </c>
      <c r="BZ75" s="94">
        <f t="shared" si="116"/>
        <v>99.2</v>
      </c>
      <c r="CA75" s="95">
        <f t="shared" si="103"/>
        <v>1</v>
      </c>
      <c r="CB75" s="60">
        <f t="shared" si="104"/>
        <v>62.083333333333336</v>
      </c>
      <c r="CC75" s="97">
        <f t="shared" si="105"/>
        <v>0</v>
      </c>
      <c r="CD75" s="43">
        <f t="shared" si="106"/>
        <v>0</v>
      </c>
      <c r="CE75" s="60" cm="1">
        <f t="array" ref="CE75">IFERROR(LARGE(_xlfn._xlws.FILTER('Base Kpi'!$DL:$DL,('Base Kpi'!$DK:$DK=$CE$5)*('Base Kpi'!$DE:$DE=Cliente!$E75)),1),0)</f>
        <v>39.200000000000003</v>
      </c>
      <c r="CF75" s="60" cm="1">
        <f t="array" ref="CF75">IFERROR(LARGE(_xlfn._xlws.FILTER('Base Kpi'!$DL:$DL,('Base Kpi'!$DK:$DK=$CF$5)*('Base Kpi'!$DE:$DE=Cliente!$E75)),1),0)</f>
        <v>5</v>
      </c>
      <c r="CG75" s="60" cm="1">
        <f t="array" ref="CG75">IFERROR(LARGE(_xlfn._xlws.FILTER('Base Kpi'!$DL:$DL,('Base Kpi'!$DK:$DK=$CG$5)*('Base Kpi'!$DE:$DE=Cliente!$E75)),1),0)</f>
        <v>5</v>
      </c>
      <c r="CH75" s="60" cm="1">
        <f t="array" ref="CH75">IFERROR(LARGE(_xlfn._xlws.FILTER('Base Kpi'!$DL:$DL,('Base Kpi'!$DK:$DK=$CH$5)*('Base Kpi'!$DE:$DE=Cliente!$E75)),1),0)</f>
        <v>9</v>
      </c>
      <c r="CI75" s="60" cm="1">
        <f t="array" ref="CI75">IFERROR(LARGE(_xlfn._xlws.FILTER('Base Kpi'!$DL:$DL,('Base Kpi'!$DK:$DK=$CI$5)*('Base Kpi'!$DE:$DE=Cliente!$E75)),1),0)</f>
        <v>21.425000000000001</v>
      </c>
      <c r="CJ75" s="60" cm="1">
        <f t="array" ref="CJ75">IFERROR(LARGE(_xlfn._xlws.FILTER('Base Kpi'!$DL:$DL,('Base Kpi'!$DK:$DK=$CJ$5)*('Base Kpi'!$DE:$DE=Cliente!$E75)),1),0)</f>
        <v>9</v>
      </c>
      <c r="CK75" s="60" cm="1">
        <f t="array" ref="CK75">IFERROR(LARGE(_xlfn._xlws.FILTER('Base Kpi'!$DL:$DL,('Base Kpi'!$DK:$DK=$CK$5)*('Base Kpi'!$DE:$DE=Cliente!$E75)),1),0)</f>
        <v>0</v>
      </c>
      <c r="CL75" s="94">
        <f t="shared" si="117"/>
        <v>88.625</v>
      </c>
      <c r="CM75" s="95">
        <f t="shared" si="119"/>
        <v>1</v>
      </c>
      <c r="CN75" s="60">
        <f>IFERROR(AVERAGEIFS('Base Kpi'!$DX:$DX,'Base Kpi'!$DQ:$DQ,Cliente!$E75,'Base Kpi'!$DW:$DW,Cliente!CN$5),0)</f>
        <v>39.200000000000003</v>
      </c>
      <c r="CO75" s="92">
        <f>IFERROR(AVERAGEIFS('Base Kpi'!$DX:$DX,'Base Kpi'!$DQ:$DQ,Cliente!$E75,'Base Kpi'!$DW:$DW,Cliente!CO$5),0)</f>
        <v>5</v>
      </c>
      <c r="CP75" s="92">
        <f>IFERROR(AVERAGEIFS('Base Kpi'!$DX:$DX,'Base Kpi'!$DQ:$DQ,Cliente!$E75,'Base Kpi'!$DW:$DW,Cliente!CP$5),0)</f>
        <v>5</v>
      </c>
      <c r="CQ75" s="92">
        <f>IFERROR(AVERAGEIFS('Base Kpi'!$DX:$DX,'Base Kpi'!$DQ:$DQ,Cliente!$E75,'Base Kpi'!$DW:$DW,Cliente!CQ$5),0)</f>
        <v>18</v>
      </c>
      <c r="CR75" s="92">
        <f>IFERROR(AVERAGEIFS('Base Kpi'!$DX:$DX,'Base Kpi'!$DQ:$DQ,Cliente!$E75,'Base Kpi'!$DW:$DW,Cliente!CR$5),0)</f>
        <v>21.425000000000001</v>
      </c>
      <c r="CS75" s="92">
        <f>IFERROR(AVERAGEIFS('Base Kpi'!$DX:$DX,'Base Kpi'!$DQ:$DQ,Cliente!$E75,'Base Kpi'!$DW:$DW,Cliente!CS$5),0)</f>
        <v>9</v>
      </c>
      <c r="CT75" s="92">
        <f>IFERROR(AVERAGEIFS('Base Kpi'!$DX:$DX,'Base Kpi'!$DQ:$DQ,Cliente!$E75,'Base Kpi'!$DW:$DW,Cliente!CT$5),0)</f>
        <v>0</v>
      </c>
      <c r="CU75" s="94">
        <f t="shared" si="107"/>
        <v>97.625</v>
      </c>
      <c r="CV75" s="95">
        <f t="shared" si="108"/>
        <v>1</v>
      </c>
      <c r="CW75" s="60">
        <f>IFERROR(AVERAGEIFS('Base Kpi'!$EJ:$EJ,'Base Kpi'!$EC:$EC,Cliente!$E75,'Base Kpi'!$EI:$EI,Cliente!CW$5),0)</f>
        <v>0</v>
      </c>
      <c r="CX75" s="92">
        <f>IFERROR(AVERAGEIFS('Base Kpi'!$EJ:$EJ,'Base Kpi'!$EC:$EC,Cliente!$E75,'Base Kpi'!$EI:$EI,Cliente!CX$5),0)</f>
        <v>0</v>
      </c>
      <c r="CY75" s="92">
        <f>IFERROR(AVERAGEIFS('Base Kpi'!$EJ:$EJ,'Base Kpi'!$EC:$EC,Cliente!$E75,'Base Kpi'!$EI:$EI,Cliente!CY$5),0)</f>
        <v>0</v>
      </c>
      <c r="CZ75" s="92">
        <f>IFERROR(AVERAGEIFS('Base Kpi'!$EJ:$EJ,'Base Kpi'!$EC:$EC,Cliente!$E75,'Base Kpi'!$EI:$EI,Cliente!CZ$5),0)</f>
        <v>0</v>
      </c>
      <c r="DA75" s="92">
        <f>IFERROR(AVERAGEIFS('Base Kpi'!$EJ:$EJ,'Base Kpi'!$EC:$EC,Cliente!$E75,'Base Kpi'!$EI:$EI,Cliente!DA$5),0)</f>
        <v>0</v>
      </c>
      <c r="DB75" s="92">
        <f>IFERROR(AVERAGEIFS('Base Kpi'!$EJ:$EJ,'Base Kpi'!$EC:$EC,Cliente!$E75,'Base Kpi'!$EI:$EI,Cliente!DB$5),0)</f>
        <v>0</v>
      </c>
      <c r="DC75" s="92">
        <f>IFERROR(AVERAGEIFS('Base Kpi'!$EJ:$EJ,'Base Kpi'!$EC:$EC,Cliente!$E75,'Base Kpi'!$EI:$EI,Cliente!DC$5),0)</f>
        <v>0</v>
      </c>
      <c r="DD75" s="94">
        <f t="shared" si="109"/>
        <v>0</v>
      </c>
      <c r="DE75" s="95">
        <f t="shared" si="110"/>
        <v>0</v>
      </c>
      <c r="DF75" s="120"/>
    </row>
    <row r="76" spans="2:110" x14ac:dyDescent="0.35">
      <c r="B76" s="101" t="s">
        <v>42</v>
      </c>
      <c r="C76" s="102">
        <v>4066</v>
      </c>
      <c r="D76" s="102" t="s">
        <v>440</v>
      </c>
      <c r="E76" s="102">
        <v>59280</v>
      </c>
      <c r="F76" s="103" t="s">
        <v>38</v>
      </c>
      <c r="G76" s="103" t="s">
        <v>210</v>
      </c>
      <c r="H76" s="103" t="s">
        <v>290</v>
      </c>
      <c r="I76" s="103" t="s">
        <v>176</v>
      </c>
      <c r="J76" s="103" t="s">
        <v>88</v>
      </c>
      <c r="K76" s="108" t="s">
        <v>55</v>
      </c>
      <c r="L76" s="60">
        <f t="shared" ref="L76" si="120">IF((S76+Y76+AE76)/3=0,"",(S76+Y76+AE76)/3)</f>
        <v>86.575000000000003</v>
      </c>
      <c r="M76" s="97">
        <f t="shared" ref="M76" si="121">IF(IF(S76&gt;0,1,0)+IF(Y76&gt;0,1,0)+IF(AE76&gt;0,1,0)=3,1,0)</f>
        <v>1</v>
      </c>
      <c r="N76" s="43">
        <f t="shared" ref="N76" si="122">IF(M76=0,0,IF(L76&gt;=80,1,0))</f>
        <v>1</v>
      </c>
      <c r="O76" s="60">
        <f>IFERROR(AVERAGEIFS('Base Kpi'!$I:$I,'Base Kpi'!$B:$B,Cliente!$E76,'Base Kpi'!$G:$G,Cliente!O$5),0)</f>
        <v>30</v>
      </c>
      <c r="P76" s="92">
        <f>IFERROR(AVERAGEIFS('Base Kpi'!$I:$I,'Base Kpi'!$B:$B,Cliente!$E76,'Base Kpi'!$G:$G,Cliente!P$5),0)</f>
        <v>0</v>
      </c>
      <c r="Q76" s="92">
        <f>IFERROR(AVERAGEIFS('Base Kpi'!$I:$I,'Base Kpi'!$B:$B,Cliente!$E76,'Base Kpi'!$G:$G,Cliente!Q$5),0)</f>
        <v>13.6</v>
      </c>
      <c r="R76" s="92">
        <f>IFERROR(AVERAGEIFS('Base Kpi'!$I:$I,'Base Kpi'!$B:$B,Cliente!$E76,'Base Kpi'!$G:$G,Cliente!R$5),0)</f>
        <v>39.375</v>
      </c>
      <c r="S76" s="94">
        <f t="shared" ref="S76" si="123">SUM(O76:R76)</f>
        <v>82.974999999999994</v>
      </c>
      <c r="T76" s="95">
        <f t="shared" ref="T76" si="124">IF(S76&gt;=80,1,0)</f>
        <v>1</v>
      </c>
      <c r="U76" s="60">
        <f>IFERROR(AVERAGEIFS('Base Kpi'!$T:$T,'Base Kpi'!$M:$M,Cliente!$E76,'Base Kpi'!$S:$S,Cliente!U$5),0)</f>
        <v>30</v>
      </c>
      <c r="V76" s="92">
        <f>IFERROR(AVERAGEIFS('Base Kpi'!$T:$T,'Base Kpi'!$M:$M,Cliente!$E76,'Base Kpi'!$S:$S,Cliente!V$5),0)</f>
        <v>0</v>
      </c>
      <c r="W76" s="92">
        <f>IFERROR(AVERAGEIFS('Base Kpi'!$T:$T,'Base Kpi'!$M:$M,Cliente!$E76,'Base Kpi'!$S:$S,Cliente!W$5),0)</f>
        <v>12.75</v>
      </c>
      <c r="X76" s="92">
        <f>IFERROR(AVERAGEIFS('Base Kpi'!$T:$T,'Base Kpi'!$M:$M,Cliente!$E76,'Base Kpi'!$S:$S,Cliente!X$5),0)</f>
        <v>41.625</v>
      </c>
      <c r="Y76" s="94">
        <f t="shared" ref="Y76" si="125">SUM(U76:X76)</f>
        <v>84.375</v>
      </c>
      <c r="Z76" s="95">
        <f t="shared" ref="Z76" si="126">IF(Y76&gt;=80,1,0)</f>
        <v>1</v>
      </c>
      <c r="AA76" s="60">
        <f>IFERROR(AVERAGEIFS('Base Kpi'!$AF:$AF,'Base Kpi'!$Y:$Y,Cliente!$E76,'Base Kpi'!$AE:$AE,Cliente!AA$5),0)</f>
        <v>30</v>
      </c>
      <c r="AB76" s="92">
        <f>IFERROR(AVERAGEIFS('Base Kpi'!$AF:$AF,'Base Kpi'!$Y:$Y,Cliente!$E76,'Base Kpi'!$AE:$AE,Cliente!AB$5),0)</f>
        <v>8</v>
      </c>
      <c r="AC76" s="92">
        <f>IFERROR(AVERAGEIFS('Base Kpi'!$AF:$AF,'Base Kpi'!$Y:$Y,Cliente!$E76,'Base Kpi'!$AE:$AE,Cliente!AC$5),0)</f>
        <v>12.75</v>
      </c>
      <c r="AD76" s="92">
        <f>IFERROR(AVERAGEIFS('Base Kpi'!$AF:$AF,'Base Kpi'!$Y:$Y,Cliente!$E76,'Base Kpi'!$AE:$AE,Cliente!AD$5),0)</f>
        <v>41.625</v>
      </c>
      <c r="AE76" s="94">
        <f t="shared" ref="AE76" si="127">SUM(AA76:AD76)</f>
        <v>92.375</v>
      </c>
      <c r="AF76" s="95">
        <f t="shared" ref="AF76" si="128">IF(AE76&gt;=80,1,0)</f>
        <v>1</v>
      </c>
      <c r="AG76" s="60">
        <f t="shared" si="111"/>
        <v>68.908333333333331</v>
      </c>
      <c r="AH76" s="97">
        <f t="shared" si="112"/>
        <v>1</v>
      </c>
      <c r="AI76" s="88">
        <f t="shared" ref="AI76" si="129">IF(AH76=0,0,IF(AG76&gt;=7,1,0))</f>
        <v>1</v>
      </c>
      <c r="AJ76" s="92">
        <f>IFERROR(AVERAGEIFS('Base Kpi'!$AR:$AR,'Base Kpi'!$AK:$AK,Cliente!$E76,'Base Kpi'!$AQ:$AQ,AJ$5),0)</f>
        <v>25</v>
      </c>
      <c r="AK76" s="92">
        <f>IFERROR(AVERAGEIFS('Base Kpi'!$AR:$AR,'Base Kpi'!$AK:$AK,Cliente!$E76,'Base Kpi'!$AQ:$AQ,AK$5),0)</f>
        <v>2.5</v>
      </c>
      <c r="AL76" s="92">
        <f>IFERROR(AVERAGEIFS('Base Kpi'!$AR:$AR,'Base Kpi'!$AK:$AK,Cliente!$E76,'Base Kpi'!$AQ:$AQ,AL$5),0)</f>
        <v>9</v>
      </c>
      <c r="AM76" s="92">
        <f>IFERROR(AVERAGEIFS('Base Kpi'!$AR:$AR,'Base Kpi'!$AK:$AK,Cliente!$E76,'Base Kpi'!$AQ:$AQ,AM$5),0)</f>
        <v>26.08</v>
      </c>
      <c r="AN76" s="94">
        <f t="shared" si="86"/>
        <v>62.58</v>
      </c>
      <c r="AO76" s="95">
        <f t="shared" si="87"/>
        <v>0</v>
      </c>
      <c r="AP76" s="60">
        <f>IFERROR(AVERAGEIFS('Base Kpi'!$BD:$BD,'Base Kpi'!$AW:$AW,Cliente!$E76,'Base Kpi'!$BC:$BC,Cliente!AP$5),0)</f>
        <v>25</v>
      </c>
      <c r="AQ76" s="92">
        <f>IFERROR(AVERAGEIFS('Base Kpi'!$BD:$BD,'Base Kpi'!$AW:$AW,Cliente!$E76,'Base Kpi'!$BC:$BC,Cliente!AQ$5),0)</f>
        <v>1.665</v>
      </c>
      <c r="AR76" s="92">
        <f>IFERROR(AVERAGEIFS('Base Kpi'!$BD:$BD,'Base Kpi'!$AW:$AW,Cliente!$E76,'Base Kpi'!$BC:$BC,Cliente!AR$5),0)</f>
        <v>12</v>
      </c>
      <c r="AS76" s="92">
        <f>IFERROR(AVERAGEIFS('Base Kpi'!$BD:$BD,'Base Kpi'!$AW:$AW,Cliente!$E76,'Base Kpi'!$BC:$BC,Cliente!AS$5),0)</f>
        <v>30.44</v>
      </c>
      <c r="AT76" s="92">
        <f>IFERROR(AVERAGEIFS('Base Kpi'!$BD:$BD,'Base Kpi'!$AW:$AW,Cliente!$E76,'Base Kpi'!$BC:$BC,Cliente!AT$5),0)</f>
        <v>0</v>
      </c>
      <c r="AU76" s="94">
        <f t="shared" si="88"/>
        <v>69.105000000000004</v>
      </c>
      <c r="AV76" s="95">
        <f t="shared" ref="AV76" si="130">IF(AU76&gt;=7,1,0)</f>
        <v>1</v>
      </c>
      <c r="AW76" s="60">
        <f>IFERROR(AVERAGEIFS('Base Kpi'!$BP:$BP,'Base Kpi'!$BI:$BI,Cliente!$E76,'Base Kpi'!$BO:$BO,Cliente!AW$5),0)</f>
        <v>25</v>
      </c>
      <c r="AX76" s="92">
        <f>IFERROR(AVERAGEIFS('Base Kpi'!$BP:$BP,'Base Kpi'!$BI:$BI,Cliente!$E76,'Base Kpi'!$BO:$BO,Cliente!AX$5),0)</f>
        <v>5</v>
      </c>
      <c r="AY76" s="92">
        <f>IFERROR(AVERAGEIFS('Base Kpi'!$BP:$BP,'Base Kpi'!$BI:$BI,Cliente!$E76,'Base Kpi'!$BO:$BO,Cliente!AY$5),0)</f>
        <v>12</v>
      </c>
      <c r="AZ76" s="92">
        <f>IFERROR(AVERAGEIFS('Base Kpi'!$BP:$BP,'Base Kpi'!$BI:$BI,Cliente!$E76,'Base Kpi'!$BO:$BO,Cliente!AZ$5),0)</f>
        <v>33.04</v>
      </c>
      <c r="BA76" s="92">
        <f>IFERROR(AVERAGEIFS('Base Kpi'!$BP:$BP,'Base Kpi'!$BI:$BI,Cliente!$E76,'Base Kpi'!$BO:$BO,Cliente!BA$5),0)</f>
        <v>0</v>
      </c>
      <c r="BB76" s="94">
        <f t="shared" si="113"/>
        <v>75.039999999999992</v>
      </c>
      <c r="BC76" s="95">
        <f t="shared" ref="BC76" si="131">IF(BB76&gt;=7,1,0)</f>
        <v>1</v>
      </c>
      <c r="BD76" s="60">
        <f t="shared" si="118"/>
        <v>85.578333333333333</v>
      </c>
      <c r="BE76" s="97">
        <f t="shared" si="80"/>
        <v>1</v>
      </c>
      <c r="BF76" s="88">
        <f t="shared" ref="BF76" si="132">IF(BE76=0,0,IF(BD76&gt;=7,1,0))</f>
        <v>1</v>
      </c>
      <c r="BG76" s="60">
        <f>IFERROR(AVERAGEIFS('Base Kpi'!$CB:$CB,'Base Kpi'!$BU:$BU,Cliente!$E76,'Base Kpi'!$CA:$CA,Cliente!BG$5),0)</f>
        <v>25</v>
      </c>
      <c r="BH76" s="92">
        <f>IFERROR(AVERAGEIFS('Base Kpi'!$CB:$CB,'Base Kpi'!$BU:$BU,Cliente!$E76,'Base Kpi'!$CA:$CA,Cliente!BH$5),0)</f>
        <v>5</v>
      </c>
      <c r="BI76" s="92">
        <f>IFERROR(AVERAGEIFS('Base Kpi'!$CB:$CB,'Base Kpi'!$BU:$BU,Cliente!$E76,'Base Kpi'!$CA:$CA,Cliente!BI$5),0)</f>
        <v>9</v>
      </c>
      <c r="BJ76" s="92">
        <f>IFERROR(AVERAGEIFS('Base Kpi'!$CB:$CB,'Base Kpi'!$BU:$BU,Cliente!$E76,'Base Kpi'!$CA:$CA,Cliente!BJ$5),0)</f>
        <v>32</v>
      </c>
      <c r="BK76" s="92">
        <f>IFERROR(AVERAGEIFS('Base Kpi'!$CB:$CB,'Base Kpi'!$BU:$BU,Cliente!$E76,'Base Kpi'!$CA:$CA,Cliente!BK$5),0)</f>
        <v>9</v>
      </c>
      <c r="BL76" s="94">
        <f t="shared" si="114"/>
        <v>80</v>
      </c>
      <c r="BM76" s="95">
        <f t="shared" ref="BM76" si="133">IF(BL76&gt;=7,1,0)</f>
        <v>1</v>
      </c>
      <c r="BN76" s="60">
        <f>IFERROR(AVERAGEIFS('Base Kpi'!$CN:$CN,'Base Kpi'!$CG:$CG,Cliente!$E76,'Base Kpi'!$CM:$CM,Cliente!BN$5),0)</f>
        <v>25</v>
      </c>
      <c r="BO76" s="92">
        <f>IFERROR(AVERAGEIFS('Base Kpi'!$CN:$CN,'Base Kpi'!$CG:$CG,Cliente!$E76,'Base Kpi'!$CM:$CM,Cliente!BO$5),0)</f>
        <v>5</v>
      </c>
      <c r="BP76" s="92">
        <f>IFERROR(AVERAGEIFS('Base Kpi'!$CN:$CN,'Base Kpi'!$CG:$CG,Cliente!$E76,'Base Kpi'!$CM:$CM,Cliente!BP$5),0)</f>
        <v>9</v>
      </c>
      <c r="BQ76" s="92">
        <f>IFERROR(AVERAGEIFS('Base Kpi'!$CN:$CN,'Base Kpi'!$CG:$CG,Cliente!$E76,'Base Kpi'!$CM:$CM,Cliente!BQ$5),0)</f>
        <v>32</v>
      </c>
      <c r="BR76" s="92">
        <f>IFERROR(AVERAGEIFS('Base Kpi'!$CN:$CN,'Base Kpi'!$CG:$CG,Cliente!$E76,'Base Kpi'!$CM:$CM,Cliente!BR$5),0)</f>
        <v>9</v>
      </c>
      <c r="BS76" s="94">
        <f t="shared" si="115"/>
        <v>80</v>
      </c>
      <c r="BT76" s="95">
        <f t="shared" ref="BT76" si="134">IF(BS76&gt;=7,1,0)</f>
        <v>1</v>
      </c>
      <c r="BU76" s="60">
        <f>IFERROR(AVERAGEIFS('Base Kpi'!$CZ:$CZ,'Base Kpi'!$CS:$CS,Cliente!$E76,'Base Kpi'!$CY:$CY,Cliente!BU$5),0)</f>
        <v>25</v>
      </c>
      <c r="BV76" s="92">
        <f>IFERROR(AVERAGEIFS('Base Kpi'!$CZ:$CZ,'Base Kpi'!$CS:$CS,Cliente!$E76,'Base Kpi'!$CY:$CY,Cliente!BV$5),0)</f>
        <v>3.335</v>
      </c>
      <c r="BW76" s="92">
        <f>IFERROR(AVERAGEIFS('Base Kpi'!$CZ:$CZ,'Base Kpi'!$CS:$CS,Cliente!$E76,'Base Kpi'!$CY:$CY,Cliente!BW$5),0)</f>
        <v>12</v>
      </c>
      <c r="BX76" s="92">
        <f>IFERROR(AVERAGEIFS('Base Kpi'!$CZ:$CZ,'Base Kpi'!$CS:$CS,Cliente!$E76,'Base Kpi'!$CY:$CY,Cliente!BX$5),0)</f>
        <v>38.4</v>
      </c>
      <c r="BY76" s="92">
        <f>IFERROR(AVERAGEIFS('Base Kpi'!$CZ:$CZ,'Base Kpi'!$CS:$CS,Cliente!$E76,'Base Kpi'!$CY:$CY,Cliente!BY$5),0)</f>
        <v>18</v>
      </c>
      <c r="BZ76" s="94">
        <f t="shared" si="116"/>
        <v>96.734999999999999</v>
      </c>
      <c r="CA76" s="95">
        <f t="shared" ref="CA76" si="135">IF(BZ76&gt;=7,1,0)</f>
        <v>1</v>
      </c>
      <c r="CB76" s="60">
        <f t="shared" ref="CB76" si="136">IF((CL76+CU76+DD76)/3=0,"",(CL76+CU76+DD76)/3)</f>
        <v>98.399999999999991</v>
      </c>
      <c r="CC76" s="97">
        <f t="shared" ref="CC76" si="137">IF(IF(CL76&gt;0,1,0)+IF(CU76&gt;0,1,0)+IF(DD76&gt;0,1,0)=3,1,0)</f>
        <v>1</v>
      </c>
      <c r="CD76" s="43">
        <f t="shared" ref="CD76" si="138">IF(CC76=0,0,IF(CB76&gt;=7,1,0))</f>
        <v>1</v>
      </c>
      <c r="CE76" s="60" cm="1">
        <f t="array" ref="CE76">IFERROR(LARGE(_xlfn._xlws.FILTER('Base Kpi'!$DL:$DL,('Base Kpi'!$DK:$DK=$CE$5)*('Base Kpi'!$DE:$DE=Cliente!$E76)),1),0)</f>
        <v>39.200000000000003</v>
      </c>
      <c r="CF76" s="60" cm="1">
        <f t="array" ref="CF76">IFERROR(LARGE(_xlfn._xlws.FILTER('Base Kpi'!$DL:$DL,('Base Kpi'!$DK:$DK=$CF$5)*('Base Kpi'!$DE:$DE=Cliente!$E76)),1),0)</f>
        <v>5</v>
      </c>
      <c r="CG76" s="60" cm="1">
        <f t="array" ref="CG76">IFERROR(LARGE(_xlfn._xlws.FILTER('Base Kpi'!$DL:$DL,('Base Kpi'!$DK:$DK=$CG$5)*('Base Kpi'!$DE:$DE=Cliente!$E76)),1),0)</f>
        <v>5</v>
      </c>
      <c r="CH76" s="60" cm="1">
        <f t="array" ref="CH76">IFERROR(LARGE(_xlfn._xlws.FILTER('Base Kpi'!$DL:$DL,('Base Kpi'!$DK:$DK=$CH$5)*('Base Kpi'!$DE:$DE=Cliente!$E76)),1),0)</f>
        <v>9</v>
      </c>
      <c r="CI76" s="60" cm="1">
        <f t="array" ref="CI76">IFERROR(LARGE(_xlfn._xlws.FILTER('Base Kpi'!$DL:$DL,('Base Kpi'!$DK:$DK=$CI$5)*('Base Kpi'!$DE:$DE=Cliente!$E76)),1),0)</f>
        <v>25</v>
      </c>
      <c r="CJ76" s="60" cm="1">
        <f t="array" ref="CJ76">IFERROR(LARGE(_xlfn._xlws.FILTER('Base Kpi'!$DL:$DL,('Base Kpi'!$DK:$DK=$CJ$5)*('Base Kpi'!$DE:$DE=Cliente!$E76)),1),0)</f>
        <v>12</v>
      </c>
      <c r="CK76" s="60" cm="1">
        <f t="array" ref="CK76">IFERROR(LARGE(_xlfn._xlws.FILTER('Base Kpi'!$DL:$DL,('Base Kpi'!$DK:$DK=$CK$5)*('Base Kpi'!$DE:$DE=Cliente!$E76)),1),0)</f>
        <v>0</v>
      </c>
      <c r="CL76" s="94">
        <f t="shared" si="117"/>
        <v>95.2</v>
      </c>
      <c r="CM76" s="95">
        <f t="shared" si="119"/>
        <v>1</v>
      </c>
      <c r="CN76" s="60">
        <f>IFERROR(AVERAGEIFS('Base Kpi'!$DX:$DX,'Base Kpi'!$DQ:$DQ,Cliente!$E76,'Base Kpi'!$DW:$DW,Cliente!CN$5),0)</f>
        <v>40</v>
      </c>
      <c r="CO76" s="92">
        <f>IFERROR(AVERAGEIFS('Base Kpi'!$DX:$DX,'Base Kpi'!$DQ:$DQ,Cliente!$E76,'Base Kpi'!$DW:$DW,Cliente!CO$5),0)</f>
        <v>3</v>
      </c>
      <c r="CP76" s="92">
        <f>IFERROR(AVERAGEIFS('Base Kpi'!$DX:$DX,'Base Kpi'!$DQ:$DQ,Cliente!$E76,'Base Kpi'!$DW:$DW,Cliente!CP$5),0)</f>
        <v>5</v>
      </c>
      <c r="CQ76" s="92">
        <f>IFERROR(AVERAGEIFS('Base Kpi'!$DX:$DX,'Base Kpi'!$DQ:$DQ,Cliente!$E76,'Base Kpi'!$DW:$DW,Cliente!CQ$5),0)</f>
        <v>18</v>
      </c>
      <c r="CR76" s="92">
        <f>IFERROR(AVERAGEIFS('Base Kpi'!$DX:$DX,'Base Kpi'!$DQ:$DQ,Cliente!$E76,'Base Kpi'!$DW:$DW,Cliente!CR$5),0)</f>
        <v>25</v>
      </c>
      <c r="CS76" s="92">
        <f>IFERROR(AVERAGEIFS('Base Kpi'!$DX:$DX,'Base Kpi'!$DQ:$DQ,Cliente!$E76,'Base Kpi'!$DW:$DW,Cliente!CS$5),0)</f>
        <v>9</v>
      </c>
      <c r="CT76" s="92">
        <f>IFERROR(AVERAGEIFS('Base Kpi'!$DX:$DX,'Base Kpi'!$DQ:$DQ,Cliente!$E76,'Base Kpi'!$DW:$DW,Cliente!CT$5),0)</f>
        <v>0</v>
      </c>
      <c r="CU76" s="94">
        <f t="shared" ref="CU76" si="139">SUM(CN76:CT76)</f>
        <v>100</v>
      </c>
      <c r="CV76" s="95">
        <f t="shared" ref="CV76" si="140">IF(CU76&gt;=7,1,0)</f>
        <v>1</v>
      </c>
      <c r="CW76" s="60">
        <f>IFERROR(AVERAGEIFS('Base Kpi'!$EJ:$EJ,'Base Kpi'!$EC:$EC,Cliente!$E76,'Base Kpi'!$EI:$EI,Cliente!CW$5),0)</f>
        <v>40</v>
      </c>
      <c r="CX76" s="92">
        <f>IFERROR(AVERAGEIFS('Base Kpi'!$EJ:$EJ,'Base Kpi'!$EC:$EC,Cliente!$E76,'Base Kpi'!$EI:$EI,Cliente!CX$5),0)</f>
        <v>3</v>
      </c>
      <c r="CY76" s="92">
        <f>IFERROR(AVERAGEIFS('Base Kpi'!$EJ:$EJ,'Base Kpi'!$EC:$EC,Cliente!$E76,'Base Kpi'!$EI:$EI,Cliente!CY$5),0)</f>
        <v>5</v>
      </c>
      <c r="CZ76" s="92">
        <f>IFERROR(AVERAGEIFS('Base Kpi'!$EJ:$EJ,'Base Kpi'!$EC:$EC,Cliente!$E76,'Base Kpi'!$EI:$EI,Cliente!CZ$5),0)</f>
        <v>18</v>
      </c>
      <c r="DA76" s="92">
        <f>IFERROR(AVERAGEIFS('Base Kpi'!$EJ:$EJ,'Base Kpi'!$EC:$EC,Cliente!$E76,'Base Kpi'!$EI:$EI,Cliente!DA$5),0)</f>
        <v>25</v>
      </c>
      <c r="DB76" s="92">
        <f>IFERROR(AVERAGEIFS('Base Kpi'!$EJ:$EJ,'Base Kpi'!$EC:$EC,Cliente!$E76,'Base Kpi'!$EI:$EI,Cliente!DB$5),0)</f>
        <v>9</v>
      </c>
      <c r="DC76" s="92">
        <f>IFERROR(AVERAGEIFS('Base Kpi'!$EJ:$EJ,'Base Kpi'!$EC:$EC,Cliente!$E76,'Base Kpi'!$EI:$EI,Cliente!DC$5),0)</f>
        <v>0</v>
      </c>
      <c r="DD76" s="94">
        <f t="shared" ref="DD76" si="141">SUM(CW76:DC76)</f>
        <v>100</v>
      </c>
      <c r="DE76" s="95">
        <f t="shared" ref="DE76" si="142">IF(DD76&gt;=7,1,0)</f>
        <v>1</v>
      </c>
      <c r="DF76" s="120"/>
    </row>
  </sheetData>
  <autoFilter ref="B5:DF76" xr:uid="{A385D0EF-BEB3-48FE-B5EB-2A3D5B006E56}">
    <filterColumn colId="0">
      <filters>
        <filter val="FLP-SUL MC/KA D"/>
      </filters>
    </filterColumn>
  </autoFilter>
  <sortState xmlns:xlrd2="http://schemas.microsoft.com/office/spreadsheetml/2017/richdata2" ref="B6:K59">
    <sortCondition ref="B6:B59"/>
    <sortCondition ref="C6:C59"/>
    <sortCondition ref="K6:K59"/>
  </sortState>
  <phoneticPr fontId="13" type="noConversion"/>
  <conditionalFormatting sqref="E5">
    <cfRule type="duplicateValues" dxfId="3" priority="2795"/>
  </conditionalFormatting>
  <conditionalFormatting sqref="E60:E1048576 E1:E2">
    <cfRule type="duplicateValues" dxfId="2" priority="2796"/>
  </conditionalFormatting>
  <conditionalFormatting sqref="S6:S76 Y6:Y76 AE6:AE76 AN6:AN76 AU6:AU76 BB6:BB76 BL6:BL76 BS6:BS76 BZ6:BZ76 CL6:CL76 CU6:CU76 DD6:DD76">
    <cfRule type="cellIs" dxfId="1" priority="13" operator="lessThan">
      <formula>7</formula>
    </cfRule>
  </conditionalFormatting>
  <pageMargins left="0.51181102362204722" right="0.51181102362204722" top="0.78740157480314965" bottom="0.78740157480314965" header="0.31496062992125984" footer="0.31496062992125984"/>
  <pageSetup paperSize="9" scale="40" orientation="landscape" horizontalDpi="4294967293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261" id="{D542C2D7-11CD-4744-85C8-4B9A4FBC5A84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M6:M76</xm:sqref>
        </x14:conditionalFormatting>
        <x14:conditionalFormatting xmlns:xm="http://schemas.microsoft.com/office/excel/2006/main">
          <x14:cfRule type="iconSet" priority="3263" id="{F60AF1E8-92DD-4B56-AEDC-0F060CDA58E7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N6:N76</xm:sqref>
        </x14:conditionalFormatting>
        <x14:conditionalFormatting xmlns:xm="http://schemas.microsoft.com/office/excel/2006/main">
          <x14:cfRule type="iconSet" priority="3060" id="{96B67EEA-DEF7-4AA4-93BE-A23E4202911A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N59:N76</xm:sqref>
        </x14:conditionalFormatting>
        <x14:conditionalFormatting xmlns:xm="http://schemas.microsoft.com/office/excel/2006/main">
          <x14:cfRule type="iconSet" priority="3265" id="{F53A9E8C-7EE4-460B-94B0-7C106F60D2E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T6:T76</xm:sqref>
        </x14:conditionalFormatting>
        <x14:conditionalFormatting xmlns:xm="http://schemas.microsoft.com/office/excel/2006/main">
          <x14:cfRule type="iconSet" priority="3267" id="{FABE98A4-ADB1-4913-9A04-66BBC92C1763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Z6:Z76</xm:sqref>
        </x14:conditionalFormatting>
        <x14:conditionalFormatting xmlns:xm="http://schemas.microsoft.com/office/excel/2006/main">
          <x14:cfRule type="iconSet" priority="3269" id="{BC3488DA-FB10-4C7C-8452-1238B179852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AF6:AF76</xm:sqref>
        </x14:conditionalFormatting>
        <x14:conditionalFormatting xmlns:xm="http://schemas.microsoft.com/office/excel/2006/main">
          <x14:cfRule type="iconSet" priority="3271" id="{781BB469-59E6-4CF1-B6C0-61739F8FCFA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AH6:AH76</xm:sqref>
        </x14:conditionalFormatting>
        <x14:conditionalFormatting xmlns:xm="http://schemas.microsoft.com/office/excel/2006/main">
          <x14:cfRule type="iconSet" priority="3273" id="{42152CA7-DED9-4F0C-9F15-B383C2B58A5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AI6:AI76</xm:sqref>
        </x14:conditionalFormatting>
        <x14:conditionalFormatting xmlns:xm="http://schemas.microsoft.com/office/excel/2006/main">
          <x14:cfRule type="iconSet" priority="3275" id="{1AC15BB4-8893-43FC-9475-6E00504C421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AO6:AO76</xm:sqref>
        </x14:conditionalFormatting>
        <x14:conditionalFormatting xmlns:xm="http://schemas.microsoft.com/office/excel/2006/main">
          <x14:cfRule type="iconSet" priority="3277" id="{E2DC00DD-F507-4A37-89DA-427B08CA54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AO7:AO76</xm:sqref>
        </x14:conditionalFormatting>
        <x14:conditionalFormatting xmlns:xm="http://schemas.microsoft.com/office/excel/2006/main">
          <x14:cfRule type="iconSet" priority="8" id="{8A6DA907-F009-4A9B-A688-D626356C297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AV6:AV38</xm:sqref>
        </x14:conditionalFormatting>
        <x14:conditionalFormatting xmlns:xm="http://schemas.microsoft.com/office/excel/2006/main">
          <x14:cfRule type="iconSet" priority="3279" id="{57BC5404-6F70-4738-B5A3-554C57A15FA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AV7:AV76</xm:sqref>
        </x14:conditionalFormatting>
        <x14:conditionalFormatting xmlns:xm="http://schemas.microsoft.com/office/excel/2006/main">
          <x14:cfRule type="iconSet" priority="7" id="{8F78AF46-E5B1-4772-9D9A-C41CED34AD9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BC6</xm:sqref>
        </x14:conditionalFormatting>
        <x14:conditionalFormatting xmlns:xm="http://schemas.microsoft.com/office/excel/2006/main">
          <x14:cfRule type="iconSet" priority="6" id="{3FDD21DA-299E-4017-B9A2-5C1F20C4EDF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BC7:BC38</xm:sqref>
        </x14:conditionalFormatting>
        <x14:conditionalFormatting xmlns:xm="http://schemas.microsoft.com/office/excel/2006/main">
          <x14:cfRule type="iconSet" priority="3281" id="{7ECC16B9-4975-409C-B9FC-2DFF77162BF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BC39:BC76</xm:sqref>
        </x14:conditionalFormatting>
        <x14:conditionalFormatting xmlns:xm="http://schemas.microsoft.com/office/excel/2006/main">
          <x14:cfRule type="iconSet" priority="3080" id="{A0A1E0BF-1685-4B22-9535-EE6CD8E026C1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BC59:BC76</xm:sqref>
        </x14:conditionalFormatting>
        <x14:conditionalFormatting xmlns:xm="http://schemas.microsoft.com/office/excel/2006/main">
          <x14:cfRule type="iconSet" priority="3" id="{E96132AB-10D0-4A17-8D1A-81FD7C41E2DD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BE6:BE38</xm:sqref>
        </x14:conditionalFormatting>
        <x14:conditionalFormatting xmlns:xm="http://schemas.microsoft.com/office/excel/2006/main">
          <x14:cfRule type="iconSet" priority="3283" id="{DC0EC98B-C262-47E7-903B-691A1BD11F3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BE39:BE76</xm:sqref>
        </x14:conditionalFormatting>
        <x14:conditionalFormatting xmlns:xm="http://schemas.microsoft.com/office/excel/2006/main">
          <x14:cfRule type="iconSet" priority="4" id="{4DB1CF87-020F-4E4A-8F8C-1BF29507FA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BF6:BF38</xm:sqref>
        </x14:conditionalFormatting>
        <x14:conditionalFormatting xmlns:xm="http://schemas.microsoft.com/office/excel/2006/main">
          <x14:cfRule type="iconSet" priority="3285" id="{A5D9F116-8257-4583-867B-00E2B717DE6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BF39:BF76</xm:sqref>
        </x14:conditionalFormatting>
        <x14:conditionalFormatting xmlns:xm="http://schemas.microsoft.com/office/excel/2006/main">
          <x14:cfRule type="iconSet" priority="5" id="{689DDE18-3C18-4915-9EB9-D5C8D3A8DF8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BM6:BM38</xm:sqref>
        </x14:conditionalFormatting>
        <x14:conditionalFormatting xmlns:xm="http://schemas.microsoft.com/office/excel/2006/main">
          <x14:cfRule type="iconSet" priority="3287" id="{E0FFBE15-495A-4F65-A766-B5D6E3E8D812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BM39:BM76</xm:sqref>
        </x14:conditionalFormatting>
        <x14:conditionalFormatting xmlns:xm="http://schemas.microsoft.com/office/excel/2006/main">
          <x14:cfRule type="iconSet" priority="2" id="{EAAD0E77-4785-4725-84F0-0C71ED5CE67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BT6:BT38</xm:sqref>
        </x14:conditionalFormatting>
        <x14:conditionalFormatting xmlns:xm="http://schemas.microsoft.com/office/excel/2006/main">
          <x14:cfRule type="iconSet" priority="3289" id="{92103998-A90E-4132-BA7C-F6B2B576836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BT39:BT76</xm:sqref>
        </x14:conditionalFormatting>
        <x14:conditionalFormatting xmlns:xm="http://schemas.microsoft.com/office/excel/2006/main">
          <x14:cfRule type="iconSet" priority="1" id="{DD7E4DD3-BF7B-4C02-BCA6-729F5470AE49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CA6:CA38</xm:sqref>
        </x14:conditionalFormatting>
        <x14:conditionalFormatting xmlns:xm="http://schemas.microsoft.com/office/excel/2006/main">
          <x14:cfRule type="iconSet" priority="3291" id="{F83D6F33-25FC-4A03-8F21-31863C407A0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CA39:CA76</xm:sqref>
        </x14:conditionalFormatting>
        <x14:conditionalFormatting xmlns:xm="http://schemas.microsoft.com/office/excel/2006/main">
          <x14:cfRule type="iconSet" priority="3092" id="{76B38FC0-D166-47A4-95F4-C2921B915BBE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CA59:CA76</xm:sqref>
        </x14:conditionalFormatting>
        <x14:conditionalFormatting xmlns:xm="http://schemas.microsoft.com/office/excel/2006/main">
          <x14:cfRule type="iconSet" priority="3293" id="{324DB8C1-9CF4-46FA-BCD6-AC575A9ED9A5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CC6:CC76</xm:sqref>
        </x14:conditionalFormatting>
        <x14:conditionalFormatting xmlns:xm="http://schemas.microsoft.com/office/excel/2006/main">
          <x14:cfRule type="iconSet" priority="3295" id="{F8E4B751-517F-4D69-9029-8D5FB69247CB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CD6:CD76</xm:sqref>
        </x14:conditionalFormatting>
        <x14:conditionalFormatting xmlns:xm="http://schemas.microsoft.com/office/excel/2006/main">
          <x14:cfRule type="iconSet" priority="3297" id="{A44B46AE-3BF2-41B2-BA80-40804D305520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CM6:CM76</xm:sqref>
        </x14:conditionalFormatting>
        <x14:conditionalFormatting xmlns:xm="http://schemas.microsoft.com/office/excel/2006/main">
          <x14:cfRule type="iconSet" priority="3299" id="{453A1C4A-A8F2-4D58-B749-80BA0304707C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CV6:CV76</xm:sqref>
        </x14:conditionalFormatting>
        <x14:conditionalFormatting xmlns:xm="http://schemas.microsoft.com/office/excel/2006/main">
          <x14:cfRule type="iconSet" priority="3301" id="{01E9F06A-8CA2-4D86-A76B-365DE78CA968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DE6:DE76</xm:sqref>
        </x14:conditionalFormatting>
        <x14:conditionalFormatting xmlns:xm="http://schemas.microsoft.com/office/excel/2006/main">
          <x14:cfRule type="iconSet" priority="3104" id="{69879C94-B253-44DD-9E08-D85AD90A1CFF}">
            <x14:iconSet iconSet="3Symbols2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NoIcons" iconId="0"/>
              <x14:cfIcon iconSet="3Symbols2" iconId="2"/>
            </x14:iconSet>
          </x14:cfRule>
          <xm:sqref>DE59:DE76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62CD2-3015-4D50-BC6C-9654B101B914}">
  <dimension ref="A1:EP393"/>
  <sheetViews>
    <sheetView showGridLines="0" topLeftCell="EB1" zoomScale="85" zoomScaleNormal="85" workbookViewId="0">
      <selection activeCell="EP9" sqref="EP9"/>
    </sheetView>
  </sheetViews>
  <sheetFormatPr defaultRowHeight="14.5" outlineLevelCol="1" x14ac:dyDescent="0.35"/>
  <cols>
    <col min="1" max="1" width="10.26953125" style="138" hidden="1" customWidth="1" outlineLevel="1"/>
    <col min="2" max="2" width="7.7265625" hidden="1" customWidth="1" outlineLevel="1"/>
    <col min="3" max="3" width="20.26953125" hidden="1" customWidth="1" outlineLevel="1"/>
    <col min="4" max="4" width="30.54296875" hidden="1" customWidth="1" outlineLevel="1"/>
    <col min="5" max="5" width="14.453125" hidden="1" customWidth="1" outlineLevel="1"/>
    <col min="6" max="6" width="14.26953125" hidden="1" customWidth="1" outlineLevel="1"/>
    <col min="7" max="7" width="26.54296875" hidden="1" customWidth="1" outlineLevel="1"/>
    <col min="8" max="8" width="10.54296875" style="139" hidden="1" customWidth="1" outlineLevel="1"/>
    <col min="9" max="9" width="16.453125" style="139" hidden="1" customWidth="1" outlineLevel="1"/>
    <col min="10" max="10" width="12.26953125" style="139" hidden="1" customWidth="1" outlineLevel="1"/>
    <col min="11" max="11" width="3.81640625" hidden="1" customWidth="1" outlineLevel="1"/>
    <col min="12" max="12" width="10.26953125" style="138" hidden="1" customWidth="1" outlineLevel="1" collapsed="1"/>
    <col min="13" max="13" width="7.7265625" hidden="1" customWidth="1" outlineLevel="1"/>
    <col min="14" max="14" width="24" hidden="1" customWidth="1" outlineLevel="1"/>
    <col min="15" max="15" width="17.7265625" hidden="1" customWidth="1" outlineLevel="1"/>
    <col min="16" max="16" width="24" hidden="1" customWidth="1" outlineLevel="1"/>
    <col min="17" max="17" width="17.7265625" hidden="1" customWidth="1" outlineLevel="1"/>
    <col min="18" max="18" width="14.26953125" hidden="1" customWidth="1" outlineLevel="1"/>
    <col min="19" max="19" width="28.26953125" hidden="1" customWidth="1" outlineLevel="1"/>
    <col min="20" max="21" width="15.7265625" hidden="1" customWidth="1" outlineLevel="1"/>
    <col min="22" max="22" width="10.1796875" hidden="1" customWidth="1" outlineLevel="1"/>
    <col min="23" max="23" width="3.81640625" hidden="1" customWidth="1" outlineLevel="1"/>
    <col min="24" max="24" width="12.1796875" style="138" hidden="1" customWidth="1" outlineLevel="1" collapsed="1"/>
    <col min="25" max="25" width="7.7265625" hidden="1" customWidth="1" outlineLevel="1"/>
    <col min="26" max="26" width="21.7265625" hidden="1" customWidth="1" outlineLevel="1"/>
    <col min="27" max="27" width="27.7265625" hidden="1" customWidth="1" outlineLevel="1"/>
    <col min="28" max="28" width="14.453125" hidden="1" customWidth="1" outlineLevel="1"/>
    <col min="29" max="29" width="14.26953125" hidden="1" customWidth="1" outlineLevel="1"/>
    <col min="30" max="30" width="15.54296875" hidden="1" customWidth="1" outlineLevel="1"/>
    <col min="31" max="31" width="10.54296875" hidden="1" customWidth="1" outlineLevel="1"/>
    <col min="32" max="32" width="13" hidden="1" customWidth="1" outlineLevel="1"/>
    <col min="33" max="33" width="12.26953125" hidden="1" customWidth="1" outlineLevel="1"/>
    <col min="34" max="34" width="10.1796875" hidden="1" customWidth="1" outlineLevel="1"/>
    <col min="35" max="35" width="3.81640625" hidden="1" customWidth="1" outlineLevel="1"/>
    <col min="36" max="36" width="3.7265625" style="138" hidden="1" customWidth="1" outlineLevel="1" collapsed="1"/>
    <col min="37" max="37" width="7.7265625" hidden="1" customWidth="1" outlineLevel="1"/>
    <col min="38" max="38" width="21.7265625" hidden="1" customWidth="1" outlineLevel="1"/>
    <col min="39" max="39" width="27.7265625" hidden="1" customWidth="1" outlineLevel="1"/>
    <col min="40" max="40" width="14.453125" hidden="1" customWidth="1" outlineLevel="1"/>
    <col min="41" max="41" width="10.7265625" hidden="1" customWidth="1" outlineLevel="1"/>
    <col min="42" max="42" width="12" hidden="1" customWidth="1" outlineLevel="1"/>
    <col min="43" max="43" width="20.54296875" hidden="1" customWidth="1" outlineLevel="1"/>
    <col min="44" max="44" width="13" hidden="1" customWidth="1" outlineLevel="1"/>
    <col min="45" max="45" width="12.26953125" hidden="1" customWidth="1" outlineLevel="1"/>
    <col min="46" max="46" width="10.1796875" hidden="1" customWidth="1" outlineLevel="1"/>
    <col min="47" max="47" width="3.26953125" hidden="1" customWidth="1" outlineLevel="1"/>
    <col min="48" max="48" width="4" style="86" hidden="1" customWidth="1" outlineLevel="1"/>
    <col min="49" max="49" width="7.7265625" hidden="1" customWidth="1" outlineLevel="1"/>
    <col min="50" max="50" width="21.7265625" hidden="1" customWidth="1" outlineLevel="1"/>
    <col min="51" max="51" width="27.7265625" hidden="1" customWidth="1" outlineLevel="1"/>
    <col min="52" max="52" width="14.453125" hidden="1" customWidth="1" outlineLevel="1"/>
    <col min="53" max="53" width="10.7265625" hidden="1" customWidth="1" outlineLevel="1"/>
    <col min="54" max="54" width="12" hidden="1" customWidth="1" outlineLevel="1"/>
    <col min="55" max="55" width="20.54296875" hidden="1" customWidth="1" outlineLevel="1"/>
    <col min="56" max="56" width="13" hidden="1" customWidth="1" outlineLevel="1"/>
    <col min="57" max="57" width="12.26953125" hidden="1" customWidth="1" outlineLevel="1"/>
    <col min="58" max="58" width="10.1796875" hidden="1" customWidth="1" outlineLevel="1"/>
    <col min="59" max="59" width="5.7265625" hidden="1" customWidth="1" outlineLevel="1"/>
    <col min="60" max="60" width="27.1796875" style="86" hidden="1" customWidth="1" outlineLevel="1" collapsed="1"/>
    <col min="61" max="61" width="7.7265625" hidden="1" customWidth="1" outlineLevel="1"/>
    <col min="62" max="62" width="21.7265625" hidden="1" customWidth="1" outlineLevel="1"/>
    <col min="63" max="63" width="27.7265625" hidden="1" customWidth="1" outlineLevel="1"/>
    <col min="64" max="64" width="14.453125" hidden="1" customWidth="1" outlineLevel="1"/>
    <col min="65" max="65" width="10.7265625" hidden="1" customWidth="1" outlineLevel="1"/>
    <col min="66" max="66" width="12" hidden="1" customWidth="1" outlineLevel="1"/>
    <col min="67" max="67" width="30" hidden="1" customWidth="1" outlineLevel="1"/>
    <col min="68" max="68" width="15" hidden="1" customWidth="1" outlineLevel="1"/>
    <col min="69" max="69" width="12.26953125" hidden="1" customWidth="1" outlineLevel="1"/>
    <col min="70" max="70" width="10.1796875" hidden="1" customWidth="1" outlineLevel="1"/>
    <col min="71" max="71" width="3.26953125" hidden="1" customWidth="1" outlineLevel="1"/>
    <col min="72" max="72" width="4" style="86" hidden="1" customWidth="1" outlineLevel="1" collapsed="1"/>
    <col min="73" max="73" width="7.7265625" hidden="1" customWidth="1" outlineLevel="1"/>
    <col min="74" max="74" width="21.7265625" hidden="1" customWidth="1" outlineLevel="1"/>
    <col min="75" max="75" width="27.7265625" hidden="1" customWidth="1" outlineLevel="1"/>
    <col min="76" max="76" width="14.453125" hidden="1" customWidth="1" outlineLevel="1"/>
    <col min="77" max="77" width="10.7265625" hidden="1" customWidth="1" outlineLevel="1"/>
    <col min="78" max="78" width="12" hidden="1" customWidth="1" outlineLevel="1"/>
    <col min="79" max="79" width="20.54296875" hidden="1" customWidth="1" outlineLevel="1"/>
    <col min="80" max="80" width="13" hidden="1" customWidth="1" outlineLevel="1"/>
    <col min="81" max="81" width="12.26953125" hidden="1" customWidth="1" outlineLevel="1"/>
    <col min="82" max="82" width="10.1796875" hidden="1" customWidth="1" outlineLevel="1"/>
    <col min="83" max="83" width="3.26953125" hidden="1" customWidth="1" outlineLevel="1"/>
    <col min="84" max="84" width="4" style="86" hidden="1" customWidth="1" outlineLevel="1"/>
    <col min="85" max="85" width="7.7265625" hidden="1" customWidth="1" outlineLevel="1"/>
    <col min="86" max="86" width="21.7265625" hidden="1" customWidth="1" outlineLevel="1"/>
    <col min="87" max="87" width="27.7265625" hidden="1" customWidth="1" outlineLevel="1"/>
    <col min="88" max="88" width="14.453125" hidden="1" customWidth="1" outlineLevel="1"/>
    <col min="89" max="89" width="10.7265625" hidden="1" customWidth="1" outlineLevel="1"/>
    <col min="90" max="90" width="12" hidden="1" customWidth="1" outlineLevel="1"/>
    <col min="91" max="91" width="20.54296875" hidden="1" customWidth="1" outlineLevel="1"/>
    <col min="92" max="92" width="13" hidden="1" customWidth="1" outlineLevel="1"/>
    <col min="93" max="93" width="12.26953125" hidden="1" customWidth="1" outlineLevel="1"/>
    <col min="94" max="94" width="10.1796875" hidden="1" customWidth="1" outlineLevel="1"/>
    <col min="95" max="95" width="3.26953125" hidden="1" customWidth="1" outlineLevel="1"/>
    <col min="96" max="96" width="4" style="86" hidden="1" customWidth="1" outlineLevel="1" collapsed="1"/>
    <col min="97" max="97" width="7.7265625" hidden="1" customWidth="1" outlineLevel="1"/>
    <col min="98" max="98" width="21.7265625" hidden="1" customWidth="1" outlineLevel="1"/>
    <col min="99" max="99" width="27.7265625" hidden="1" customWidth="1" outlineLevel="1"/>
    <col min="100" max="100" width="14.453125" hidden="1" customWidth="1" outlineLevel="1"/>
    <col min="101" max="101" width="10.7265625" hidden="1" customWidth="1" outlineLevel="1"/>
    <col min="102" max="102" width="12" hidden="1" customWidth="1" outlineLevel="1"/>
    <col min="103" max="103" width="20.54296875" hidden="1" customWidth="1" outlineLevel="1"/>
    <col min="104" max="104" width="13" hidden="1" customWidth="1" outlineLevel="1"/>
    <col min="105" max="105" width="12.26953125" hidden="1" customWidth="1" outlineLevel="1"/>
    <col min="106" max="106" width="10.1796875" hidden="1" customWidth="1" outlineLevel="1"/>
    <col min="107" max="107" width="2.81640625" hidden="1" customWidth="1" outlineLevel="1"/>
    <col min="108" max="108" width="4" style="86" hidden="1" customWidth="1" outlineLevel="1" collapsed="1"/>
    <col min="109" max="109" width="7.7265625" hidden="1" customWidth="1" outlineLevel="1"/>
    <col min="110" max="110" width="21.7265625" hidden="1" customWidth="1" outlineLevel="1"/>
    <col min="111" max="111" width="27.7265625" hidden="1" customWidth="1" outlineLevel="1"/>
    <col min="112" max="112" width="14.453125" hidden="1" customWidth="1" outlineLevel="1"/>
    <col min="113" max="113" width="10.7265625" hidden="1" customWidth="1" outlineLevel="1"/>
    <col min="114" max="114" width="12" hidden="1" customWidth="1" outlineLevel="1"/>
    <col min="115" max="115" width="20.54296875" hidden="1" customWidth="1" outlineLevel="1"/>
    <col min="116" max="116" width="13" hidden="1" customWidth="1" outlineLevel="1"/>
    <col min="117" max="117" width="12.26953125" hidden="1" customWidth="1" outlineLevel="1"/>
    <col min="118" max="118" width="10.1796875" hidden="1" customWidth="1" outlineLevel="1"/>
    <col min="119" max="119" width="2.81640625" hidden="1" customWidth="1" outlineLevel="1"/>
    <col min="120" max="120" width="4" style="86" hidden="1" customWidth="1" outlineLevel="1" collapsed="1"/>
    <col min="121" max="121" width="7.7265625" hidden="1" customWidth="1" outlineLevel="1"/>
    <col min="122" max="122" width="21.7265625" hidden="1" customWidth="1" outlineLevel="1"/>
    <col min="123" max="123" width="27.7265625" hidden="1" customWidth="1" outlineLevel="1"/>
    <col min="124" max="124" width="14.453125" hidden="1" customWidth="1" outlineLevel="1"/>
    <col min="125" max="125" width="10.7265625" hidden="1" customWidth="1" outlineLevel="1"/>
    <col min="126" max="126" width="12" hidden="1" customWidth="1" outlineLevel="1"/>
    <col min="127" max="127" width="20.54296875" hidden="1" customWidth="1" outlineLevel="1"/>
    <col min="128" max="128" width="13" hidden="1" customWidth="1" outlineLevel="1"/>
    <col min="129" max="129" width="12.26953125" hidden="1" customWidth="1" outlineLevel="1"/>
    <col min="130" max="130" width="9" hidden="1" customWidth="1" outlineLevel="1"/>
    <col min="131" max="131" width="2.81640625" hidden="1" customWidth="1" outlineLevel="1"/>
    <col min="132" max="132" width="4" style="86" customWidth="1" collapsed="1"/>
    <col min="133" max="133" width="7.7265625" customWidth="1"/>
    <col min="134" max="134" width="21.7265625" customWidth="1"/>
    <col min="135" max="135" width="27.7265625" customWidth="1"/>
    <col min="136" max="136" width="14.453125" customWidth="1"/>
    <col min="137" max="137" width="10.7265625" customWidth="1"/>
    <col min="138" max="138" width="12" customWidth="1"/>
    <col min="139" max="139" width="20.54296875" customWidth="1"/>
    <col min="140" max="140" width="13" customWidth="1"/>
    <col min="141" max="141" width="12.26953125" customWidth="1"/>
    <col min="142" max="142" width="10.1796875" customWidth="1"/>
  </cols>
  <sheetData>
    <row r="1" spans="1:146" x14ac:dyDescent="0.35">
      <c r="A1" s="42" t="s">
        <v>448</v>
      </c>
      <c r="B1" s="14"/>
      <c r="C1" s="14"/>
      <c r="D1" s="14"/>
      <c r="E1" s="14"/>
      <c r="F1" s="14"/>
      <c r="G1" s="14"/>
      <c r="H1" s="134"/>
      <c r="I1" s="134"/>
      <c r="J1" s="134"/>
      <c r="L1" s="42" t="s">
        <v>449</v>
      </c>
      <c r="M1" s="14"/>
      <c r="N1" s="14"/>
      <c r="O1" s="14"/>
      <c r="P1" s="14"/>
      <c r="Q1" s="14"/>
      <c r="R1" s="14"/>
      <c r="S1" s="14"/>
      <c r="T1" s="14"/>
      <c r="U1" s="14"/>
      <c r="V1" s="14"/>
      <c r="X1" s="42" t="s">
        <v>450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J1" s="42" t="s">
        <v>451</v>
      </c>
      <c r="AK1" s="14"/>
      <c r="AL1" s="14"/>
      <c r="AM1" s="14"/>
      <c r="AN1" s="14"/>
      <c r="AO1" s="14"/>
      <c r="AP1" s="14"/>
      <c r="AQ1" s="14"/>
      <c r="AR1" s="14"/>
      <c r="AS1" s="14"/>
      <c r="AT1" s="14"/>
      <c r="AV1" s="42" t="s">
        <v>452</v>
      </c>
      <c r="AW1" s="14"/>
      <c r="AX1" s="14"/>
      <c r="AY1" s="14"/>
      <c r="AZ1" s="14"/>
      <c r="BA1" s="14"/>
      <c r="BB1" s="14"/>
      <c r="BC1" s="14"/>
      <c r="BD1" s="137"/>
      <c r="BE1" s="137"/>
      <c r="BF1" s="137"/>
      <c r="BH1" s="42" t="s">
        <v>453</v>
      </c>
      <c r="BI1" s="14"/>
      <c r="BJ1" s="14"/>
      <c r="BK1" s="14"/>
      <c r="BL1" s="14"/>
      <c r="BM1" s="14"/>
      <c r="BN1" s="14"/>
      <c r="BO1" s="14"/>
      <c r="BP1" s="137"/>
      <c r="BQ1" s="137"/>
      <c r="BR1" s="137"/>
      <c r="BT1" s="42" t="s">
        <v>442</v>
      </c>
      <c r="BU1" s="14"/>
      <c r="BV1" s="14"/>
      <c r="BW1" s="14"/>
      <c r="BX1" s="14"/>
      <c r="BY1" s="14"/>
      <c r="BZ1" s="14"/>
      <c r="CA1" s="14"/>
      <c r="CB1" s="137"/>
      <c r="CC1" s="137"/>
      <c r="CD1" s="137"/>
      <c r="CF1" s="42" t="s">
        <v>443</v>
      </c>
      <c r="CG1" s="14"/>
      <c r="CH1" s="14"/>
      <c r="CI1" s="14"/>
      <c r="CJ1" s="14"/>
      <c r="CK1" s="14"/>
      <c r="CL1" s="14"/>
      <c r="CM1" s="14"/>
      <c r="CN1" s="137"/>
      <c r="CO1" s="137"/>
      <c r="CP1" s="137"/>
      <c r="CR1" s="42" t="s">
        <v>444</v>
      </c>
      <c r="CS1" s="14"/>
      <c r="CT1" s="14"/>
      <c r="CU1" s="14"/>
      <c r="CV1" s="14"/>
      <c r="CW1" s="14"/>
      <c r="CX1" s="14"/>
      <c r="CY1" s="14"/>
      <c r="CZ1" s="137"/>
      <c r="DA1" s="137"/>
      <c r="DB1" s="137"/>
      <c r="DD1" s="42" t="s">
        <v>445</v>
      </c>
      <c r="DE1" s="14"/>
      <c r="DF1" s="14"/>
      <c r="DG1" s="14"/>
      <c r="DH1" s="14"/>
      <c r="DI1" s="14"/>
      <c r="DJ1" s="14"/>
      <c r="DK1" s="14"/>
      <c r="DL1" s="137"/>
      <c r="DM1" s="137"/>
      <c r="DN1" s="137"/>
      <c r="DP1" s="42" t="s">
        <v>446</v>
      </c>
      <c r="DQ1" s="14"/>
      <c r="DR1" s="14"/>
      <c r="DS1" s="14"/>
      <c r="DT1" s="14"/>
      <c r="DU1" s="14"/>
      <c r="DV1" s="14"/>
      <c r="DW1" s="14"/>
      <c r="DX1" s="137"/>
      <c r="DY1" s="137"/>
      <c r="DZ1" s="137"/>
      <c r="EB1" s="42" t="s">
        <v>447</v>
      </c>
      <c r="EC1" s="14"/>
      <c r="ED1" s="14"/>
      <c r="EE1" s="14"/>
      <c r="EF1" s="14"/>
      <c r="EG1" s="14"/>
      <c r="EH1" s="14"/>
      <c r="EI1" s="14"/>
      <c r="EJ1" s="137"/>
      <c r="EK1" s="137"/>
      <c r="EL1" s="137"/>
      <c r="EP1" s="152" t="s">
        <v>1531</v>
      </c>
    </row>
    <row r="2" spans="1:146" x14ac:dyDescent="0.35">
      <c r="A2" s="86"/>
      <c r="B2" s="45" t="s">
        <v>94</v>
      </c>
      <c r="C2" s="45" t="s">
        <v>95</v>
      </c>
      <c r="D2" s="45" t="s">
        <v>97</v>
      </c>
      <c r="E2" s="45" t="s">
        <v>98</v>
      </c>
      <c r="F2" s="45" t="s">
        <v>99</v>
      </c>
      <c r="G2" s="45" t="s">
        <v>112</v>
      </c>
      <c r="H2" s="45" t="s">
        <v>102</v>
      </c>
      <c r="I2" s="45" t="s">
        <v>100</v>
      </c>
      <c r="J2" s="45" t="s">
        <v>101</v>
      </c>
      <c r="L2" s="86"/>
      <c r="M2" s="45" t="s">
        <v>94</v>
      </c>
      <c r="N2" s="45" t="s">
        <v>95</v>
      </c>
      <c r="O2" s="45" t="s">
        <v>96</v>
      </c>
      <c r="P2" s="45" t="s">
        <v>97</v>
      </c>
      <c r="Q2" s="45" t="s">
        <v>98</v>
      </c>
      <c r="R2" s="45" t="s">
        <v>99</v>
      </c>
      <c r="S2" s="45" t="s">
        <v>112</v>
      </c>
      <c r="T2" s="45" t="s">
        <v>100</v>
      </c>
      <c r="U2" s="45" t="s">
        <v>101</v>
      </c>
      <c r="V2" s="45" t="s">
        <v>102</v>
      </c>
      <c r="X2" s="86"/>
      <c r="Y2" s="45" t="s">
        <v>94</v>
      </c>
      <c r="Z2" s="45" t="s">
        <v>95</v>
      </c>
      <c r="AA2" s="45" t="s">
        <v>96</v>
      </c>
      <c r="AB2" s="45" t="s">
        <v>97</v>
      </c>
      <c r="AC2" s="45" t="s">
        <v>98</v>
      </c>
      <c r="AD2" s="45" t="s">
        <v>99</v>
      </c>
      <c r="AE2" s="45" t="s">
        <v>112</v>
      </c>
      <c r="AF2" s="45" t="s">
        <v>100</v>
      </c>
      <c r="AG2" s="45" t="s">
        <v>101</v>
      </c>
      <c r="AH2" s="45" t="s">
        <v>102</v>
      </c>
      <c r="AJ2" s="86"/>
      <c r="AK2" s="45" t="s">
        <v>94</v>
      </c>
      <c r="AL2" s="45" t="s">
        <v>95</v>
      </c>
      <c r="AM2" s="45" t="s">
        <v>96</v>
      </c>
      <c r="AN2" s="45" t="s">
        <v>97</v>
      </c>
      <c r="AO2" s="45" t="s">
        <v>98</v>
      </c>
      <c r="AP2" s="45" t="s">
        <v>99</v>
      </c>
      <c r="AQ2" s="45" t="s">
        <v>112</v>
      </c>
      <c r="AR2" s="45" t="s">
        <v>100</v>
      </c>
      <c r="AS2" s="45" t="s">
        <v>101</v>
      </c>
      <c r="AT2" s="45" t="s">
        <v>102</v>
      </c>
      <c r="AW2" s="45" t="s">
        <v>94</v>
      </c>
      <c r="AX2" s="45" t="s">
        <v>95</v>
      </c>
      <c r="AY2" s="45" t="s">
        <v>96</v>
      </c>
      <c r="AZ2" s="45" t="s">
        <v>97</v>
      </c>
      <c r="BA2" s="45" t="s">
        <v>98</v>
      </c>
      <c r="BB2" s="45" t="s">
        <v>99</v>
      </c>
      <c r="BC2" s="45" t="s">
        <v>112</v>
      </c>
      <c r="BD2" s="45" t="s">
        <v>100</v>
      </c>
      <c r="BE2" s="45" t="s">
        <v>101</v>
      </c>
      <c r="BF2" s="45" t="s">
        <v>102</v>
      </c>
      <c r="BI2" s="45" t="s">
        <v>94</v>
      </c>
      <c r="BJ2" s="45" t="s">
        <v>95</v>
      </c>
      <c r="BK2" s="45" t="s">
        <v>96</v>
      </c>
      <c r="BL2" s="45" t="s">
        <v>97</v>
      </c>
      <c r="BM2" s="45" t="s">
        <v>98</v>
      </c>
      <c r="BN2" s="45" t="s">
        <v>99</v>
      </c>
      <c r="BO2" s="45" t="s">
        <v>112</v>
      </c>
      <c r="BP2" s="45" t="s">
        <v>100</v>
      </c>
      <c r="BQ2" s="45" t="s">
        <v>101</v>
      </c>
      <c r="BR2" s="45" t="s">
        <v>102</v>
      </c>
      <c r="BU2" s="45" t="s">
        <v>94</v>
      </c>
      <c r="BV2" s="45" t="s">
        <v>95</v>
      </c>
      <c r="BW2" s="45" t="s">
        <v>96</v>
      </c>
      <c r="BX2" s="45" t="s">
        <v>97</v>
      </c>
      <c r="BY2" s="45" t="s">
        <v>98</v>
      </c>
      <c r="BZ2" s="45" t="s">
        <v>99</v>
      </c>
      <c r="CA2" s="45" t="s">
        <v>112</v>
      </c>
      <c r="CB2" s="45" t="s">
        <v>100</v>
      </c>
      <c r="CC2" s="45" t="s">
        <v>101</v>
      </c>
      <c r="CD2" s="45" t="s">
        <v>102</v>
      </c>
      <c r="CG2" s="45" t="s">
        <v>94</v>
      </c>
      <c r="CH2" s="45" t="s">
        <v>95</v>
      </c>
      <c r="CI2" s="45" t="s">
        <v>96</v>
      </c>
      <c r="CJ2" s="45" t="s">
        <v>97</v>
      </c>
      <c r="CK2" s="45" t="s">
        <v>98</v>
      </c>
      <c r="CL2" s="45" t="s">
        <v>99</v>
      </c>
      <c r="CM2" s="45" t="s">
        <v>112</v>
      </c>
      <c r="CN2" s="45" t="s">
        <v>100</v>
      </c>
      <c r="CO2" s="45" t="s">
        <v>101</v>
      </c>
      <c r="CP2" s="45" t="s">
        <v>102</v>
      </c>
      <c r="CS2" s="45" t="s">
        <v>94</v>
      </c>
      <c r="CT2" s="45" t="s">
        <v>95</v>
      </c>
      <c r="CU2" s="45" t="s">
        <v>96</v>
      </c>
      <c r="CV2" s="45" t="s">
        <v>97</v>
      </c>
      <c r="CW2" s="45" t="s">
        <v>98</v>
      </c>
      <c r="CX2" s="45" t="s">
        <v>99</v>
      </c>
      <c r="CY2" s="45" t="s">
        <v>112</v>
      </c>
      <c r="CZ2" s="45" t="s">
        <v>100</v>
      </c>
      <c r="DA2" s="45" t="s">
        <v>101</v>
      </c>
      <c r="DB2" s="45" t="s">
        <v>102</v>
      </c>
      <c r="DE2" s="45" t="s">
        <v>94</v>
      </c>
      <c r="DF2" s="45" t="s">
        <v>95</v>
      </c>
      <c r="DG2" s="45" t="s">
        <v>96</v>
      </c>
      <c r="DH2" s="45" t="s">
        <v>97</v>
      </c>
      <c r="DI2" s="45" t="s">
        <v>98</v>
      </c>
      <c r="DJ2" s="45" t="s">
        <v>99</v>
      </c>
      <c r="DK2" s="45" t="s">
        <v>112</v>
      </c>
      <c r="DL2" s="45" t="s">
        <v>100</v>
      </c>
      <c r="DM2" s="45" t="s">
        <v>101</v>
      </c>
      <c r="DN2" s="45" t="s">
        <v>102</v>
      </c>
      <c r="DQ2" s="45" t="s">
        <v>94</v>
      </c>
      <c r="DR2" s="45" t="s">
        <v>95</v>
      </c>
      <c r="DS2" s="45" t="s">
        <v>96</v>
      </c>
      <c r="DT2" s="45" t="s">
        <v>97</v>
      </c>
      <c r="DU2" s="45" t="s">
        <v>98</v>
      </c>
      <c r="DV2" s="45" t="s">
        <v>99</v>
      </c>
      <c r="DW2" s="45" t="s">
        <v>112</v>
      </c>
      <c r="DX2" s="45" t="s">
        <v>100</v>
      </c>
      <c r="DY2" s="45" t="s">
        <v>101</v>
      </c>
      <c r="DZ2" s="45" t="s">
        <v>102</v>
      </c>
      <c r="EC2" s="45" t="s">
        <v>94</v>
      </c>
      <c r="ED2" s="45" t="s">
        <v>95</v>
      </c>
      <c r="EE2" s="45" t="s">
        <v>96</v>
      </c>
      <c r="EF2" s="45" t="s">
        <v>97</v>
      </c>
      <c r="EG2" s="45" t="s">
        <v>98</v>
      </c>
      <c r="EH2" s="45" t="s">
        <v>99</v>
      </c>
      <c r="EI2" s="45" t="s">
        <v>112</v>
      </c>
      <c r="EJ2" s="45" t="s">
        <v>100</v>
      </c>
      <c r="EK2" s="45" t="s">
        <v>101</v>
      </c>
      <c r="EL2" s="45" t="s">
        <v>102</v>
      </c>
      <c r="EP2" t="s">
        <v>1532</v>
      </c>
    </row>
    <row r="3" spans="1:146" x14ac:dyDescent="0.35">
      <c r="A3" s="86" t="str">
        <f>B3&amp;G3</f>
        <v>48102Share Sub Category SC Johnson</v>
      </c>
      <c r="B3">
        <v>48102</v>
      </c>
      <c r="C3" t="s">
        <v>369</v>
      </c>
      <c r="D3" t="s">
        <v>103</v>
      </c>
      <c r="E3" t="s">
        <v>455</v>
      </c>
      <c r="F3" t="s">
        <v>456</v>
      </c>
      <c r="G3" t="s">
        <v>457</v>
      </c>
      <c r="H3">
        <v>64.25</v>
      </c>
      <c r="I3">
        <v>21.42</v>
      </c>
      <c r="J3">
        <v>30</v>
      </c>
      <c r="L3" s="86" t="str">
        <f>M3&amp;S3</f>
        <v>48102Share Sub Category SC Johnson</v>
      </c>
      <c r="M3">
        <v>48102</v>
      </c>
      <c r="N3" t="s">
        <v>369</v>
      </c>
      <c r="O3" t="s">
        <v>104</v>
      </c>
      <c r="P3" t="s">
        <v>103</v>
      </c>
      <c r="Q3" t="s">
        <v>616</v>
      </c>
      <c r="R3" t="s">
        <v>617</v>
      </c>
      <c r="S3" t="s">
        <v>457</v>
      </c>
      <c r="T3">
        <v>25.71</v>
      </c>
      <c r="U3">
        <v>30</v>
      </c>
      <c r="V3">
        <v>78.209999999999994</v>
      </c>
      <c r="X3" s="86" t="str">
        <f>Y3&amp;AE3</f>
        <v>48102Share Sub Category SC Johnson</v>
      </c>
      <c r="Y3">
        <v>48102</v>
      </c>
      <c r="Z3" t="s">
        <v>369</v>
      </c>
      <c r="AA3" t="s">
        <v>104</v>
      </c>
      <c r="AB3" t="s">
        <v>103</v>
      </c>
      <c r="AC3" t="s">
        <v>881</v>
      </c>
      <c r="AD3" t="s">
        <v>882</v>
      </c>
      <c r="AE3" t="s">
        <v>457</v>
      </c>
      <c r="AF3">
        <v>25.71</v>
      </c>
      <c r="AG3">
        <v>30</v>
      </c>
      <c r="AH3">
        <v>77.09</v>
      </c>
      <c r="AJ3" s="86" t="str">
        <f>AK3&amp;AQ3</f>
        <v>48102Share Sub Category SC Johnson</v>
      </c>
      <c r="AK3">
        <v>48102</v>
      </c>
      <c r="AL3" t="s">
        <v>369</v>
      </c>
      <c r="AM3" t="s">
        <v>104</v>
      </c>
      <c r="AN3" t="s">
        <v>103</v>
      </c>
      <c r="AO3" t="s">
        <v>907</v>
      </c>
      <c r="AP3" t="s">
        <v>908</v>
      </c>
      <c r="AQ3" t="s">
        <v>457</v>
      </c>
      <c r="AR3">
        <v>21.425000000000001</v>
      </c>
      <c r="AS3">
        <v>25</v>
      </c>
      <c r="AT3">
        <v>63.37</v>
      </c>
      <c r="AV3" s="86" t="str">
        <f>AW3&amp;BC3</f>
        <v>48102Share Sub Category SC Johnson</v>
      </c>
      <c r="AW3">
        <v>48102</v>
      </c>
      <c r="AX3" t="s">
        <v>369</v>
      </c>
      <c r="AY3" t="s">
        <v>1004</v>
      </c>
      <c r="AZ3" t="s">
        <v>103</v>
      </c>
      <c r="BA3" t="s">
        <v>1039</v>
      </c>
      <c r="BB3" t="s">
        <v>1040</v>
      </c>
      <c r="BC3" t="s">
        <v>457</v>
      </c>
      <c r="BD3">
        <v>21.425000000000001</v>
      </c>
      <c r="BE3">
        <v>25</v>
      </c>
      <c r="BF3">
        <v>51.77</v>
      </c>
      <c r="BH3" s="86" t="str">
        <f>BI3&amp;BO3</f>
        <v>48102Share Sub Category SC Johnson</v>
      </c>
      <c r="BI3">
        <v>48102</v>
      </c>
      <c r="BJ3" t="s">
        <v>369</v>
      </c>
      <c r="BK3" t="s">
        <v>1004</v>
      </c>
      <c r="BL3" t="s">
        <v>103</v>
      </c>
      <c r="BM3" t="s">
        <v>1217</v>
      </c>
      <c r="BN3" t="s">
        <v>1218</v>
      </c>
      <c r="BO3" t="s">
        <v>457</v>
      </c>
      <c r="BP3">
        <v>25</v>
      </c>
      <c r="BQ3">
        <v>25</v>
      </c>
      <c r="BR3">
        <v>89.56</v>
      </c>
      <c r="BT3" s="86" t="str">
        <f t="shared" ref="BT3:BT66" si="0">BU3&amp;CA3</f>
        <v>48102Lancamentos</v>
      </c>
      <c r="BU3">
        <v>48102</v>
      </c>
      <c r="BV3" t="s">
        <v>369</v>
      </c>
      <c r="BW3" t="s">
        <v>1004</v>
      </c>
      <c r="BX3" t="s">
        <v>103</v>
      </c>
      <c r="BY3" t="s">
        <v>1289</v>
      </c>
      <c r="BZ3" t="s">
        <v>1290</v>
      </c>
      <c r="CA3" t="s">
        <v>953</v>
      </c>
      <c r="CB3">
        <v>9</v>
      </c>
      <c r="CC3">
        <v>18</v>
      </c>
      <c r="CD3">
        <v>75.599999999999994</v>
      </c>
      <c r="CF3" s="86" t="str">
        <f t="shared" ref="CF3:CF66" si="1">CG3&amp;CM3</f>
        <v>48102Lancamentos</v>
      </c>
      <c r="CG3">
        <v>48102</v>
      </c>
      <c r="CH3" t="s">
        <v>369</v>
      </c>
      <c r="CI3" t="s">
        <v>1004</v>
      </c>
      <c r="CJ3" t="s">
        <v>103</v>
      </c>
      <c r="CK3" t="s">
        <v>1485</v>
      </c>
      <c r="CL3" t="s">
        <v>1486</v>
      </c>
      <c r="CM3" t="s">
        <v>953</v>
      </c>
      <c r="CN3">
        <v>9</v>
      </c>
      <c r="CO3">
        <v>18</v>
      </c>
      <c r="CP3">
        <v>75.8</v>
      </c>
      <c r="CR3" s="86" t="str">
        <f t="shared" ref="CR3:CR66" si="2">CS3&amp;CY3</f>
        <v>48102Lancamentos</v>
      </c>
      <c r="CS3">
        <v>48102</v>
      </c>
      <c r="CT3" t="s">
        <v>369</v>
      </c>
      <c r="CU3" t="s">
        <v>454</v>
      </c>
      <c r="CV3" t="s">
        <v>103</v>
      </c>
      <c r="CW3" t="s">
        <v>1616</v>
      </c>
      <c r="CX3" t="s">
        <v>1617</v>
      </c>
      <c r="CY3" t="s">
        <v>953</v>
      </c>
      <c r="CZ3">
        <v>18</v>
      </c>
      <c r="DA3">
        <v>18</v>
      </c>
      <c r="DB3">
        <v>91.2</v>
      </c>
      <c r="DD3" s="86" t="str">
        <f t="shared" ref="DD3:DD66" si="3">DE3&amp;DK3</f>
        <v>48102Mix + Intocáveis SC Johnson</v>
      </c>
      <c r="DE3">
        <v>48102</v>
      </c>
      <c r="DF3" t="s">
        <v>369</v>
      </c>
      <c r="DG3" t="s">
        <v>1004</v>
      </c>
      <c r="DH3" t="s">
        <v>103</v>
      </c>
      <c r="DI3" t="s">
        <v>1670</v>
      </c>
      <c r="DJ3" t="s">
        <v>1671</v>
      </c>
      <c r="DK3" t="s">
        <v>459</v>
      </c>
      <c r="DL3">
        <v>28.8</v>
      </c>
      <c r="DM3">
        <v>40</v>
      </c>
      <c r="DN3">
        <v>76.8</v>
      </c>
      <c r="DP3" s="86" t="str">
        <f t="shared" ref="DP3:DP66" si="4">DQ3&amp;DW3</f>
        <v>48102Mix + Intocáveis SC Johnson</v>
      </c>
      <c r="DQ3">
        <v>48102</v>
      </c>
      <c r="DR3" t="s">
        <v>369</v>
      </c>
      <c r="DS3" t="s">
        <v>1004</v>
      </c>
      <c r="DT3" t="s">
        <v>103</v>
      </c>
      <c r="DU3" t="s">
        <v>1828</v>
      </c>
      <c r="DV3" t="s">
        <v>1829</v>
      </c>
      <c r="DW3" t="s">
        <v>459</v>
      </c>
      <c r="DX3">
        <v>28.8</v>
      </c>
      <c r="DY3">
        <v>40</v>
      </c>
      <c r="DZ3">
        <v>67.8</v>
      </c>
      <c r="EB3" s="86" t="str">
        <f t="shared" ref="EB3:EB66" si="5">EC3&amp;EI3</f>
        <v>48248Mix + Intocáveis SC Johnson</v>
      </c>
      <c r="EC3">
        <v>48248</v>
      </c>
      <c r="ED3" t="s">
        <v>327</v>
      </c>
      <c r="EE3" t="s">
        <v>1345</v>
      </c>
      <c r="EF3" t="s">
        <v>103</v>
      </c>
      <c r="EG3" t="s">
        <v>1870</v>
      </c>
      <c r="EH3" t="s">
        <v>1871</v>
      </c>
      <c r="EI3" t="s">
        <v>459</v>
      </c>
      <c r="EJ3">
        <v>28.8</v>
      </c>
      <c r="EK3">
        <v>40</v>
      </c>
      <c r="EL3">
        <v>87.22</v>
      </c>
      <c r="EP3" t="s">
        <v>1533</v>
      </c>
    </row>
    <row r="4" spans="1:146" x14ac:dyDescent="0.35">
      <c r="A4" s="86" t="str">
        <f t="shared" ref="A4:A67" si="6">B4&amp;G4</f>
        <v>48102Cross Merchan SC Johnson</v>
      </c>
      <c r="B4">
        <v>48102</v>
      </c>
      <c r="C4" t="s">
        <v>369</v>
      </c>
      <c r="D4" t="s">
        <v>103</v>
      </c>
      <c r="E4" t="s">
        <v>455</v>
      </c>
      <c r="F4" t="s">
        <v>456</v>
      </c>
      <c r="G4" t="s">
        <v>111</v>
      </c>
      <c r="H4">
        <v>64.25</v>
      </c>
      <c r="I4">
        <v>0</v>
      </c>
      <c r="J4">
        <v>8</v>
      </c>
      <c r="L4" s="86" t="str">
        <f t="shared" ref="L4:L67" si="7">M4&amp;S4</f>
        <v>48102Cross Merchan SC Johnson</v>
      </c>
      <c r="M4">
        <v>48102</v>
      </c>
      <c r="N4" t="s">
        <v>369</v>
      </c>
      <c r="O4" t="s">
        <v>104</v>
      </c>
      <c r="P4" t="s">
        <v>103</v>
      </c>
      <c r="Q4" t="s">
        <v>616</v>
      </c>
      <c r="R4" t="s">
        <v>617</v>
      </c>
      <c r="S4" t="s">
        <v>111</v>
      </c>
      <c r="T4">
        <v>8</v>
      </c>
      <c r="U4">
        <v>8</v>
      </c>
      <c r="V4">
        <v>78.209999999999994</v>
      </c>
      <c r="X4" s="86" t="str">
        <f t="shared" ref="X4:X67" si="8">Y4&amp;AE4</f>
        <v>48102Cross Merchan SC Johnson</v>
      </c>
      <c r="Y4">
        <v>48102</v>
      </c>
      <c r="Z4" t="s">
        <v>369</v>
      </c>
      <c r="AA4" t="s">
        <v>104</v>
      </c>
      <c r="AB4" t="s">
        <v>103</v>
      </c>
      <c r="AC4" t="s">
        <v>881</v>
      </c>
      <c r="AD4" t="s">
        <v>882</v>
      </c>
      <c r="AE4" t="s">
        <v>111</v>
      </c>
      <c r="AF4">
        <v>8</v>
      </c>
      <c r="AG4">
        <v>8</v>
      </c>
      <c r="AH4">
        <v>77.09</v>
      </c>
      <c r="AJ4" s="86" t="str">
        <f t="shared" ref="AJ4:AJ67" si="9">AK4&amp;AQ4</f>
        <v>48102Cross Merchan SC Johnson</v>
      </c>
      <c r="AK4">
        <v>48102</v>
      </c>
      <c r="AL4" t="s">
        <v>369</v>
      </c>
      <c r="AM4" t="s">
        <v>104</v>
      </c>
      <c r="AN4" t="s">
        <v>103</v>
      </c>
      <c r="AO4" t="s">
        <v>907</v>
      </c>
      <c r="AP4" t="s">
        <v>908</v>
      </c>
      <c r="AQ4" t="s">
        <v>111</v>
      </c>
      <c r="AR4">
        <v>2.5</v>
      </c>
      <c r="AS4">
        <v>5</v>
      </c>
      <c r="AT4">
        <v>63.37</v>
      </c>
      <c r="AV4" s="86" t="str">
        <f t="shared" ref="AV4:AV67" si="10">AW4&amp;BC4</f>
        <v>48102Cross Merchan SC Johnson</v>
      </c>
      <c r="AW4">
        <v>48102</v>
      </c>
      <c r="AX4" t="s">
        <v>369</v>
      </c>
      <c r="AY4" t="s">
        <v>1004</v>
      </c>
      <c r="AZ4" t="s">
        <v>103</v>
      </c>
      <c r="BA4" t="s">
        <v>1039</v>
      </c>
      <c r="BB4" t="s">
        <v>1040</v>
      </c>
      <c r="BC4" t="s">
        <v>111</v>
      </c>
      <c r="BD4">
        <v>1.665</v>
      </c>
      <c r="BE4">
        <v>5</v>
      </c>
      <c r="BF4">
        <v>51.77</v>
      </c>
      <c r="BH4" s="86" t="str">
        <f t="shared" ref="BH4:BH67" si="11">BI4&amp;BO4</f>
        <v>48102Cross Merchan SC Johnson</v>
      </c>
      <c r="BI4">
        <v>48102</v>
      </c>
      <c r="BJ4" t="s">
        <v>369</v>
      </c>
      <c r="BK4" t="s">
        <v>1004</v>
      </c>
      <c r="BL4" t="s">
        <v>103</v>
      </c>
      <c r="BM4" t="s">
        <v>1217</v>
      </c>
      <c r="BN4" t="s">
        <v>1218</v>
      </c>
      <c r="BO4" t="s">
        <v>111</v>
      </c>
      <c r="BP4">
        <v>5</v>
      </c>
      <c r="BQ4">
        <v>5</v>
      </c>
      <c r="BR4">
        <v>89.56</v>
      </c>
      <c r="BT4" s="86" t="str">
        <f t="shared" si="0"/>
        <v>48102Mix + Intocáveis SC Johnson</v>
      </c>
      <c r="BU4">
        <v>48102</v>
      </c>
      <c r="BV4" t="s">
        <v>369</v>
      </c>
      <c r="BW4" t="s">
        <v>1004</v>
      </c>
      <c r="BX4" t="s">
        <v>103</v>
      </c>
      <c r="BY4" t="s">
        <v>1289</v>
      </c>
      <c r="BZ4" t="s">
        <v>1290</v>
      </c>
      <c r="CA4" t="s">
        <v>459</v>
      </c>
      <c r="CB4">
        <v>25.6</v>
      </c>
      <c r="CC4">
        <v>40</v>
      </c>
      <c r="CD4">
        <v>75.599999999999994</v>
      </c>
      <c r="CF4" s="86" t="str">
        <f t="shared" si="1"/>
        <v>48102Mix + Intocáveis SC Johnson</v>
      </c>
      <c r="CG4">
        <v>48102</v>
      </c>
      <c r="CH4" t="s">
        <v>369</v>
      </c>
      <c r="CI4" t="s">
        <v>1004</v>
      </c>
      <c r="CJ4" t="s">
        <v>103</v>
      </c>
      <c r="CK4" t="s">
        <v>1485</v>
      </c>
      <c r="CL4" t="s">
        <v>1486</v>
      </c>
      <c r="CM4" t="s">
        <v>459</v>
      </c>
      <c r="CN4">
        <v>28.8</v>
      </c>
      <c r="CO4">
        <v>40</v>
      </c>
      <c r="CP4">
        <v>75.8</v>
      </c>
      <c r="CR4" s="86" t="str">
        <f t="shared" si="2"/>
        <v>48102Mix + Intocáveis SC Johnson</v>
      </c>
      <c r="CS4">
        <v>48102</v>
      </c>
      <c r="CT4" t="s">
        <v>369</v>
      </c>
      <c r="CU4" t="s">
        <v>454</v>
      </c>
      <c r="CV4" t="s">
        <v>103</v>
      </c>
      <c r="CW4" t="s">
        <v>1616</v>
      </c>
      <c r="CX4" t="s">
        <v>1617</v>
      </c>
      <c r="CY4" t="s">
        <v>459</v>
      </c>
      <c r="CZ4">
        <v>31.2</v>
      </c>
      <c r="DA4">
        <v>40</v>
      </c>
      <c r="DB4">
        <v>91.2</v>
      </c>
      <c r="DD4" s="86" t="str">
        <f t="shared" si="3"/>
        <v>48102Execucao Bonus</v>
      </c>
      <c r="DE4">
        <v>48102</v>
      </c>
      <c r="DF4" t="s">
        <v>369</v>
      </c>
      <c r="DG4" t="s">
        <v>1004</v>
      </c>
      <c r="DH4" t="s">
        <v>103</v>
      </c>
      <c r="DI4" t="s">
        <v>1670</v>
      </c>
      <c r="DJ4" t="s">
        <v>1671</v>
      </c>
      <c r="DK4" t="s">
        <v>1291</v>
      </c>
      <c r="DL4">
        <v>0</v>
      </c>
      <c r="DM4">
        <v>5</v>
      </c>
      <c r="DN4">
        <v>76.8</v>
      </c>
      <c r="DP4" s="86" t="str">
        <f t="shared" si="4"/>
        <v>48102Execucao Bonus</v>
      </c>
      <c r="DQ4">
        <v>48102</v>
      </c>
      <c r="DR4" t="s">
        <v>369</v>
      </c>
      <c r="DS4" t="s">
        <v>1004</v>
      </c>
      <c r="DT4" t="s">
        <v>103</v>
      </c>
      <c r="DU4" t="s">
        <v>1828</v>
      </c>
      <c r="DV4" t="s">
        <v>1829</v>
      </c>
      <c r="DW4" t="s">
        <v>1291</v>
      </c>
      <c r="DX4">
        <v>0</v>
      </c>
      <c r="DY4">
        <v>5</v>
      </c>
      <c r="DZ4">
        <v>67.8</v>
      </c>
      <c r="EB4" s="86" t="str">
        <f t="shared" si="5"/>
        <v>48248Execucao Bonus</v>
      </c>
      <c r="EC4">
        <v>48248</v>
      </c>
      <c r="ED4" t="s">
        <v>327</v>
      </c>
      <c r="EE4" t="s">
        <v>1345</v>
      </c>
      <c r="EF4" t="s">
        <v>103</v>
      </c>
      <c r="EG4" t="s">
        <v>1870</v>
      </c>
      <c r="EH4" t="s">
        <v>1871</v>
      </c>
      <c r="EI4" t="s">
        <v>1291</v>
      </c>
      <c r="EJ4">
        <v>5</v>
      </c>
      <c r="EK4">
        <v>5</v>
      </c>
      <c r="EL4">
        <v>87.22</v>
      </c>
    </row>
    <row r="5" spans="1:146" x14ac:dyDescent="0.35">
      <c r="A5" s="86" t="str">
        <f t="shared" si="6"/>
        <v>48102Share Sub Loc Pao Quente SC Johnson</v>
      </c>
      <c r="B5">
        <v>48102</v>
      </c>
      <c r="C5" t="s">
        <v>369</v>
      </c>
      <c r="D5" t="s">
        <v>103</v>
      </c>
      <c r="E5" t="s">
        <v>455</v>
      </c>
      <c r="F5" t="s">
        <v>456</v>
      </c>
      <c r="G5" t="s">
        <v>458</v>
      </c>
      <c r="H5">
        <v>64.25</v>
      </c>
      <c r="I5">
        <v>10.199999999999999</v>
      </c>
      <c r="J5">
        <v>17</v>
      </c>
      <c r="L5" s="86" t="str">
        <f t="shared" si="7"/>
        <v>48102Share Sub Loc Pao Quente SC Johnson</v>
      </c>
      <c r="M5">
        <v>48102</v>
      </c>
      <c r="N5" t="s">
        <v>369</v>
      </c>
      <c r="O5" t="s">
        <v>104</v>
      </c>
      <c r="P5" t="s">
        <v>103</v>
      </c>
      <c r="Q5" t="s">
        <v>616</v>
      </c>
      <c r="R5" t="s">
        <v>617</v>
      </c>
      <c r="S5" t="s">
        <v>458</v>
      </c>
      <c r="T5">
        <v>8.5</v>
      </c>
      <c r="U5">
        <v>17</v>
      </c>
      <c r="V5">
        <v>78.209999999999994</v>
      </c>
      <c r="X5" s="86" t="str">
        <f t="shared" si="8"/>
        <v>48102Share Sub Loc Pao Quente SC Johnson</v>
      </c>
      <c r="Y5">
        <v>48102</v>
      </c>
      <c r="Z5" t="s">
        <v>369</v>
      </c>
      <c r="AA5" t="s">
        <v>104</v>
      </c>
      <c r="AB5" t="s">
        <v>103</v>
      </c>
      <c r="AC5" t="s">
        <v>881</v>
      </c>
      <c r="AD5" t="s">
        <v>882</v>
      </c>
      <c r="AE5" t="s">
        <v>458</v>
      </c>
      <c r="AF5">
        <v>8.5</v>
      </c>
      <c r="AG5">
        <v>17</v>
      </c>
      <c r="AH5">
        <v>77.09</v>
      </c>
      <c r="AJ5" s="86" t="str">
        <f t="shared" si="9"/>
        <v>48102Share Sub Loc Pao Quente SC Johnson</v>
      </c>
      <c r="AK5">
        <v>48102</v>
      </c>
      <c r="AL5" t="s">
        <v>369</v>
      </c>
      <c r="AM5" t="s">
        <v>104</v>
      </c>
      <c r="AN5" t="s">
        <v>103</v>
      </c>
      <c r="AO5" t="s">
        <v>907</v>
      </c>
      <c r="AP5" t="s">
        <v>908</v>
      </c>
      <c r="AQ5" t="s">
        <v>458</v>
      </c>
      <c r="AR5">
        <v>9</v>
      </c>
      <c r="AS5">
        <v>12</v>
      </c>
      <c r="AT5">
        <v>63.37</v>
      </c>
      <c r="AV5" s="86" t="str">
        <f t="shared" si="10"/>
        <v>48102Share Sub Loc Pao Quente SC Johnson</v>
      </c>
      <c r="AW5">
        <v>48102</v>
      </c>
      <c r="AX5" t="s">
        <v>369</v>
      </c>
      <c r="AY5" t="s">
        <v>1004</v>
      </c>
      <c r="AZ5" t="s">
        <v>103</v>
      </c>
      <c r="BA5" t="s">
        <v>1039</v>
      </c>
      <c r="BB5" t="s">
        <v>1040</v>
      </c>
      <c r="BC5" t="s">
        <v>458</v>
      </c>
      <c r="BD5">
        <v>0</v>
      </c>
      <c r="BE5">
        <v>12</v>
      </c>
      <c r="BF5">
        <v>51.77</v>
      </c>
      <c r="BH5" s="86" t="str">
        <f t="shared" si="11"/>
        <v>48102Share Sub Loc Pao Quente SC Johnson</v>
      </c>
      <c r="BI5">
        <v>48102</v>
      </c>
      <c r="BJ5" t="s">
        <v>369</v>
      </c>
      <c r="BK5" t="s">
        <v>1004</v>
      </c>
      <c r="BL5" t="s">
        <v>103</v>
      </c>
      <c r="BM5" t="s">
        <v>1217</v>
      </c>
      <c r="BN5" t="s">
        <v>1218</v>
      </c>
      <c r="BO5" t="s">
        <v>458</v>
      </c>
      <c r="BP5">
        <v>12</v>
      </c>
      <c r="BQ5">
        <v>12</v>
      </c>
      <c r="BR5">
        <v>89.56</v>
      </c>
      <c r="BT5" s="86" t="str">
        <f t="shared" si="0"/>
        <v>48102Share Sub Category SC Johnson</v>
      </c>
      <c r="BU5">
        <v>48102</v>
      </c>
      <c r="BV5" t="s">
        <v>369</v>
      </c>
      <c r="BW5" t="s">
        <v>1004</v>
      </c>
      <c r="BX5" t="s">
        <v>103</v>
      </c>
      <c r="BY5" t="s">
        <v>1289</v>
      </c>
      <c r="BZ5" t="s">
        <v>1290</v>
      </c>
      <c r="CA5" t="s">
        <v>457</v>
      </c>
      <c r="CB5">
        <v>25</v>
      </c>
      <c r="CC5">
        <v>25</v>
      </c>
      <c r="CD5">
        <v>75.599999999999994</v>
      </c>
      <c r="CF5" s="86" t="str">
        <f t="shared" si="1"/>
        <v>48102Share Sub Category SC Johnson</v>
      </c>
      <c r="CG5">
        <v>48102</v>
      </c>
      <c r="CH5" t="s">
        <v>369</v>
      </c>
      <c r="CI5" t="s">
        <v>1004</v>
      </c>
      <c r="CJ5" t="s">
        <v>103</v>
      </c>
      <c r="CK5" t="s">
        <v>1485</v>
      </c>
      <c r="CL5" t="s">
        <v>1486</v>
      </c>
      <c r="CM5" t="s">
        <v>457</v>
      </c>
      <c r="CN5">
        <v>25</v>
      </c>
      <c r="CO5">
        <v>25</v>
      </c>
      <c r="CP5">
        <v>75.8</v>
      </c>
      <c r="CR5" s="86" t="str">
        <f t="shared" si="2"/>
        <v>48102Share Sub Category SC Johnson</v>
      </c>
      <c r="CS5">
        <v>48102</v>
      </c>
      <c r="CT5" t="s">
        <v>369</v>
      </c>
      <c r="CU5" t="s">
        <v>454</v>
      </c>
      <c r="CV5" t="s">
        <v>103</v>
      </c>
      <c r="CW5" t="s">
        <v>1616</v>
      </c>
      <c r="CX5" t="s">
        <v>1617</v>
      </c>
      <c r="CY5" t="s">
        <v>457</v>
      </c>
      <c r="CZ5">
        <v>25</v>
      </c>
      <c r="DA5">
        <v>25</v>
      </c>
      <c r="DB5">
        <v>91.2</v>
      </c>
      <c r="DD5" s="86" t="str">
        <f t="shared" si="3"/>
        <v>48102Cross Merchan SC Johnson</v>
      </c>
      <c r="DE5">
        <v>48102</v>
      </c>
      <c r="DF5" t="s">
        <v>369</v>
      </c>
      <c r="DG5" t="s">
        <v>1004</v>
      </c>
      <c r="DH5" t="s">
        <v>103</v>
      </c>
      <c r="DI5" t="s">
        <v>1670</v>
      </c>
      <c r="DJ5" t="s">
        <v>1671</v>
      </c>
      <c r="DK5" t="s">
        <v>111</v>
      </c>
      <c r="DL5">
        <v>5</v>
      </c>
      <c r="DM5">
        <v>5</v>
      </c>
      <c r="DN5">
        <v>76.8</v>
      </c>
      <c r="DP5" s="86" t="str">
        <f t="shared" si="4"/>
        <v>48102Cross Merchan SC Johnson</v>
      </c>
      <c r="DQ5">
        <v>48102</v>
      </c>
      <c r="DR5" t="s">
        <v>369</v>
      </c>
      <c r="DS5" t="s">
        <v>1004</v>
      </c>
      <c r="DT5" t="s">
        <v>103</v>
      </c>
      <c r="DU5" t="s">
        <v>1828</v>
      </c>
      <c r="DV5" t="s">
        <v>1829</v>
      </c>
      <c r="DW5" t="s">
        <v>111</v>
      </c>
      <c r="DX5">
        <v>5</v>
      </c>
      <c r="DY5">
        <v>5</v>
      </c>
      <c r="DZ5">
        <v>67.8</v>
      </c>
      <c r="EB5" s="86" t="str">
        <f t="shared" si="5"/>
        <v>48248Cross Merchan SC Johnson</v>
      </c>
      <c r="EC5">
        <v>48248</v>
      </c>
      <c r="ED5" t="s">
        <v>327</v>
      </c>
      <c r="EE5" t="s">
        <v>1345</v>
      </c>
      <c r="EF5" t="s">
        <v>103</v>
      </c>
      <c r="EG5" t="s">
        <v>1870</v>
      </c>
      <c r="EH5" t="s">
        <v>1871</v>
      </c>
      <c r="EI5" t="s">
        <v>111</v>
      </c>
      <c r="EJ5">
        <v>5</v>
      </c>
      <c r="EK5">
        <v>5</v>
      </c>
      <c r="EL5">
        <v>87.22</v>
      </c>
    </row>
    <row r="6" spans="1:146" x14ac:dyDescent="0.35">
      <c r="A6" s="86" t="str">
        <f t="shared" si="6"/>
        <v>48102Mix + Intocáveis SC Johnson</v>
      </c>
      <c r="B6">
        <v>48102</v>
      </c>
      <c r="C6" t="s">
        <v>369</v>
      </c>
      <c r="D6" t="s">
        <v>103</v>
      </c>
      <c r="E6" t="s">
        <v>455</v>
      </c>
      <c r="F6" t="s">
        <v>456</v>
      </c>
      <c r="G6" t="s">
        <v>459</v>
      </c>
      <c r="H6">
        <v>64.25</v>
      </c>
      <c r="I6">
        <v>32.625</v>
      </c>
      <c r="J6">
        <v>45</v>
      </c>
      <c r="L6" s="86" t="str">
        <f t="shared" si="7"/>
        <v>48102Mix + Intocáveis SC Johnson</v>
      </c>
      <c r="M6">
        <v>48102</v>
      </c>
      <c r="N6" t="s">
        <v>369</v>
      </c>
      <c r="O6" t="s">
        <v>104</v>
      </c>
      <c r="P6" t="s">
        <v>103</v>
      </c>
      <c r="Q6" t="s">
        <v>616</v>
      </c>
      <c r="R6" t="s">
        <v>617</v>
      </c>
      <c r="S6" t="s">
        <v>459</v>
      </c>
      <c r="T6">
        <v>36</v>
      </c>
      <c r="U6">
        <v>45</v>
      </c>
      <c r="V6">
        <v>78.209999999999994</v>
      </c>
      <c r="X6" s="86" t="str">
        <f t="shared" si="8"/>
        <v>48102Mix + Intocáveis SC Johnson</v>
      </c>
      <c r="Y6">
        <v>48102</v>
      </c>
      <c r="Z6" t="s">
        <v>369</v>
      </c>
      <c r="AA6" t="s">
        <v>104</v>
      </c>
      <c r="AB6" t="s">
        <v>103</v>
      </c>
      <c r="AC6" t="s">
        <v>881</v>
      </c>
      <c r="AD6" t="s">
        <v>882</v>
      </c>
      <c r="AE6" t="s">
        <v>459</v>
      </c>
      <c r="AF6">
        <v>34.875</v>
      </c>
      <c r="AG6">
        <v>45</v>
      </c>
      <c r="AH6">
        <v>77.09</v>
      </c>
      <c r="AJ6" s="86" t="str">
        <f t="shared" si="9"/>
        <v>48102Mix + Intocáveis SC Johnson</v>
      </c>
      <c r="AK6">
        <v>48102</v>
      </c>
      <c r="AL6" t="s">
        <v>369</v>
      </c>
      <c r="AM6" t="s">
        <v>104</v>
      </c>
      <c r="AN6" t="s">
        <v>103</v>
      </c>
      <c r="AO6" t="s">
        <v>907</v>
      </c>
      <c r="AP6" t="s">
        <v>908</v>
      </c>
      <c r="AQ6" t="s">
        <v>459</v>
      </c>
      <c r="AR6">
        <v>30.44</v>
      </c>
      <c r="AS6">
        <v>40</v>
      </c>
      <c r="AT6">
        <v>63.37</v>
      </c>
      <c r="AV6" s="86" t="str">
        <f t="shared" si="10"/>
        <v>48102Mix + Intocáveis SC Johnson</v>
      </c>
      <c r="AW6">
        <v>48102</v>
      </c>
      <c r="AX6" t="s">
        <v>369</v>
      </c>
      <c r="AY6" t="s">
        <v>1004</v>
      </c>
      <c r="AZ6" t="s">
        <v>103</v>
      </c>
      <c r="BA6" t="s">
        <v>1039</v>
      </c>
      <c r="BB6" t="s">
        <v>1040</v>
      </c>
      <c r="BC6" t="s">
        <v>459</v>
      </c>
      <c r="BD6">
        <v>28.68</v>
      </c>
      <c r="BE6">
        <v>40</v>
      </c>
      <c r="BF6">
        <v>51.77</v>
      </c>
      <c r="BH6" s="86" t="str">
        <f t="shared" si="11"/>
        <v>48102Mix + Intocáveis SC Johnson</v>
      </c>
      <c r="BI6">
        <v>48102</v>
      </c>
      <c r="BJ6" t="s">
        <v>369</v>
      </c>
      <c r="BK6" t="s">
        <v>1004</v>
      </c>
      <c r="BL6" t="s">
        <v>103</v>
      </c>
      <c r="BM6" t="s">
        <v>1217</v>
      </c>
      <c r="BN6" t="s">
        <v>1218</v>
      </c>
      <c r="BO6" t="s">
        <v>459</v>
      </c>
      <c r="BP6">
        <v>29.56</v>
      </c>
      <c r="BQ6">
        <v>40</v>
      </c>
      <c r="BR6">
        <v>89.56</v>
      </c>
      <c r="BT6" s="86" t="str">
        <f t="shared" si="0"/>
        <v>48102Share Sub Loc Pao Quente SC Johnson</v>
      </c>
      <c r="BU6">
        <v>48102</v>
      </c>
      <c r="BV6" t="s">
        <v>369</v>
      </c>
      <c r="BW6" t="s">
        <v>1004</v>
      </c>
      <c r="BX6" t="s">
        <v>103</v>
      </c>
      <c r="BY6" t="s">
        <v>1289</v>
      </c>
      <c r="BZ6" t="s">
        <v>1290</v>
      </c>
      <c r="CA6" t="s">
        <v>458</v>
      </c>
      <c r="CB6">
        <v>6</v>
      </c>
      <c r="CC6">
        <v>12</v>
      </c>
      <c r="CD6">
        <v>75.599999999999994</v>
      </c>
      <c r="CF6" s="86" t="str">
        <f t="shared" si="1"/>
        <v>48102Share Sub Loc Pao Quente SC Johnson</v>
      </c>
      <c r="CG6">
        <v>48102</v>
      </c>
      <c r="CH6" t="s">
        <v>369</v>
      </c>
      <c r="CI6" t="s">
        <v>1004</v>
      </c>
      <c r="CJ6" t="s">
        <v>103</v>
      </c>
      <c r="CK6" t="s">
        <v>1485</v>
      </c>
      <c r="CL6" t="s">
        <v>1486</v>
      </c>
      <c r="CM6" t="s">
        <v>458</v>
      </c>
      <c r="CN6">
        <v>3</v>
      </c>
      <c r="CO6">
        <v>12</v>
      </c>
      <c r="CP6">
        <v>75.8</v>
      </c>
      <c r="CR6" s="86" t="str">
        <f t="shared" si="2"/>
        <v>48102Share Sub Loc Pao Quente SC Johnson</v>
      </c>
      <c r="CS6">
        <v>48102</v>
      </c>
      <c r="CT6" t="s">
        <v>369</v>
      </c>
      <c r="CU6" t="s">
        <v>454</v>
      </c>
      <c r="CV6" t="s">
        <v>103</v>
      </c>
      <c r="CW6" t="s">
        <v>1616</v>
      </c>
      <c r="CX6" t="s">
        <v>1617</v>
      </c>
      <c r="CY6" t="s">
        <v>458</v>
      </c>
      <c r="CZ6">
        <v>12</v>
      </c>
      <c r="DA6">
        <v>12</v>
      </c>
      <c r="DB6">
        <v>91.2</v>
      </c>
      <c r="DD6" s="86" t="str">
        <f t="shared" si="3"/>
        <v>48102Lancamentos</v>
      </c>
      <c r="DE6">
        <v>48102</v>
      </c>
      <c r="DF6" t="s">
        <v>369</v>
      </c>
      <c r="DG6" t="s">
        <v>1004</v>
      </c>
      <c r="DH6" t="s">
        <v>103</v>
      </c>
      <c r="DI6" t="s">
        <v>1670</v>
      </c>
      <c r="DJ6" t="s">
        <v>1671</v>
      </c>
      <c r="DK6" t="s">
        <v>953</v>
      </c>
      <c r="DL6">
        <v>9</v>
      </c>
      <c r="DM6">
        <v>18</v>
      </c>
      <c r="DN6">
        <v>76.8</v>
      </c>
      <c r="DP6" s="86" t="str">
        <f t="shared" si="4"/>
        <v>48102Lancamentos</v>
      </c>
      <c r="DQ6">
        <v>48102</v>
      </c>
      <c r="DR6" t="s">
        <v>369</v>
      </c>
      <c r="DS6" t="s">
        <v>1004</v>
      </c>
      <c r="DT6" t="s">
        <v>103</v>
      </c>
      <c r="DU6" t="s">
        <v>1828</v>
      </c>
      <c r="DV6" t="s">
        <v>1829</v>
      </c>
      <c r="DW6" t="s">
        <v>953</v>
      </c>
      <c r="DX6">
        <v>9</v>
      </c>
      <c r="DY6">
        <v>18</v>
      </c>
      <c r="DZ6">
        <v>67.8</v>
      </c>
      <c r="EB6" s="86" t="str">
        <f t="shared" si="5"/>
        <v>48248Lancamentos</v>
      </c>
      <c r="EC6">
        <v>48248</v>
      </c>
      <c r="ED6" t="s">
        <v>327</v>
      </c>
      <c r="EE6" t="s">
        <v>1345</v>
      </c>
      <c r="EF6" t="s">
        <v>103</v>
      </c>
      <c r="EG6" t="s">
        <v>1870</v>
      </c>
      <c r="EH6" t="s">
        <v>1871</v>
      </c>
      <c r="EI6" t="s">
        <v>953</v>
      </c>
      <c r="EJ6">
        <v>18</v>
      </c>
      <c r="EK6">
        <v>18</v>
      </c>
      <c r="EL6">
        <v>87.22</v>
      </c>
      <c r="EP6" t="s">
        <v>1909</v>
      </c>
    </row>
    <row r="7" spans="1:146" x14ac:dyDescent="0.35">
      <c r="A7" s="86" t="str">
        <f t="shared" si="6"/>
        <v>48248Share Sub Category SC Johnson</v>
      </c>
      <c r="B7">
        <v>48248</v>
      </c>
      <c r="C7" t="s">
        <v>327</v>
      </c>
      <c r="D7" t="s">
        <v>103</v>
      </c>
      <c r="E7" t="s">
        <v>461</v>
      </c>
      <c r="F7" t="s">
        <v>462</v>
      </c>
      <c r="G7" t="s">
        <v>457</v>
      </c>
      <c r="H7">
        <v>66.05</v>
      </c>
      <c r="I7">
        <v>30</v>
      </c>
      <c r="J7">
        <v>30</v>
      </c>
      <c r="L7" s="86" t="str">
        <f t="shared" si="7"/>
        <v>48248Share Sub Category SC Johnson</v>
      </c>
      <c r="M7">
        <v>48248</v>
      </c>
      <c r="N7" t="s">
        <v>327</v>
      </c>
      <c r="O7" t="s">
        <v>104</v>
      </c>
      <c r="P7" t="s">
        <v>103</v>
      </c>
      <c r="Q7" t="s">
        <v>618</v>
      </c>
      <c r="R7" t="s">
        <v>619</v>
      </c>
      <c r="S7" t="s">
        <v>457</v>
      </c>
      <c r="T7">
        <v>21.42</v>
      </c>
      <c r="U7">
        <v>30</v>
      </c>
      <c r="V7">
        <v>68.040000000000006</v>
      </c>
      <c r="X7" s="86" t="str">
        <f t="shared" si="8"/>
        <v>48248Share Sub Category SC Johnson</v>
      </c>
      <c r="Y7">
        <v>48248</v>
      </c>
      <c r="Z7" t="s">
        <v>327</v>
      </c>
      <c r="AA7" t="s">
        <v>104</v>
      </c>
      <c r="AB7" t="s">
        <v>103</v>
      </c>
      <c r="AC7" t="s">
        <v>883</v>
      </c>
      <c r="AD7" t="s">
        <v>884</v>
      </c>
      <c r="AE7" t="s">
        <v>457</v>
      </c>
      <c r="AF7">
        <v>25.71</v>
      </c>
      <c r="AG7">
        <v>30</v>
      </c>
      <c r="AH7">
        <v>76.58</v>
      </c>
      <c r="AJ7" s="86" t="str">
        <f t="shared" si="9"/>
        <v>48102Lancamentos</v>
      </c>
      <c r="AK7">
        <v>48102</v>
      </c>
      <c r="AL7" t="s">
        <v>369</v>
      </c>
      <c r="AM7" t="s">
        <v>104</v>
      </c>
      <c r="AN7" t="s">
        <v>103</v>
      </c>
      <c r="AO7" t="s">
        <v>907</v>
      </c>
      <c r="AP7" t="s">
        <v>908</v>
      </c>
      <c r="AQ7" t="s">
        <v>953</v>
      </c>
      <c r="AR7">
        <v>0</v>
      </c>
      <c r="AS7">
        <v>18</v>
      </c>
      <c r="AT7">
        <v>63.37</v>
      </c>
      <c r="AV7" s="86" t="str">
        <f t="shared" si="10"/>
        <v>48102Lancamentos</v>
      </c>
      <c r="AW7">
        <v>48102</v>
      </c>
      <c r="AX7" t="s">
        <v>369</v>
      </c>
      <c r="AY7" t="s">
        <v>1004</v>
      </c>
      <c r="AZ7" t="s">
        <v>103</v>
      </c>
      <c r="BA7" t="s">
        <v>1039</v>
      </c>
      <c r="BB7" t="s">
        <v>1040</v>
      </c>
      <c r="BC7" t="s">
        <v>953</v>
      </c>
      <c r="BD7">
        <v>0</v>
      </c>
      <c r="BE7">
        <v>18</v>
      </c>
      <c r="BF7">
        <v>51.77</v>
      </c>
      <c r="BH7" s="86" t="str">
        <f t="shared" si="11"/>
        <v>48102Lancamentos</v>
      </c>
      <c r="BI7">
        <v>48102</v>
      </c>
      <c r="BJ7" t="s">
        <v>369</v>
      </c>
      <c r="BK7" t="s">
        <v>1004</v>
      </c>
      <c r="BL7" t="s">
        <v>103</v>
      </c>
      <c r="BM7" t="s">
        <v>1217</v>
      </c>
      <c r="BN7" t="s">
        <v>1218</v>
      </c>
      <c r="BO7" t="s">
        <v>953</v>
      </c>
      <c r="BP7">
        <v>18</v>
      </c>
      <c r="BQ7">
        <v>18</v>
      </c>
      <c r="BR7">
        <v>89.56</v>
      </c>
      <c r="BT7" s="86" t="str">
        <f t="shared" si="0"/>
        <v>48102Cross Merchan SC Johnson</v>
      </c>
      <c r="BU7">
        <v>48102</v>
      </c>
      <c r="BV7" t="s">
        <v>369</v>
      </c>
      <c r="BW7" t="s">
        <v>1004</v>
      </c>
      <c r="BX7" t="s">
        <v>103</v>
      </c>
      <c r="BY7" t="s">
        <v>1289</v>
      </c>
      <c r="BZ7" t="s">
        <v>1290</v>
      </c>
      <c r="CA7" t="s">
        <v>111</v>
      </c>
      <c r="CB7">
        <v>5</v>
      </c>
      <c r="CC7">
        <v>5</v>
      </c>
      <c r="CD7">
        <v>75.599999999999994</v>
      </c>
      <c r="CF7" s="86" t="str">
        <f t="shared" si="1"/>
        <v>48102Cross Merchan SC Johnson</v>
      </c>
      <c r="CG7">
        <v>48102</v>
      </c>
      <c r="CH7" t="s">
        <v>369</v>
      </c>
      <c r="CI7" t="s">
        <v>1004</v>
      </c>
      <c r="CJ7" t="s">
        <v>103</v>
      </c>
      <c r="CK7" t="s">
        <v>1485</v>
      </c>
      <c r="CL7" t="s">
        <v>1486</v>
      </c>
      <c r="CM7" t="s">
        <v>111</v>
      </c>
      <c r="CN7">
        <v>5</v>
      </c>
      <c r="CO7">
        <v>5</v>
      </c>
      <c r="CP7">
        <v>75.8</v>
      </c>
      <c r="CR7" s="86" t="str">
        <f t="shared" si="2"/>
        <v>48102Cross Merchan SC Johnson</v>
      </c>
      <c r="CS7">
        <v>48102</v>
      </c>
      <c r="CT7" t="s">
        <v>369</v>
      </c>
      <c r="CU7" t="s">
        <v>454</v>
      </c>
      <c r="CV7" t="s">
        <v>103</v>
      </c>
      <c r="CW7" t="s">
        <v>1616</v>
      </c>
      <c r="CX7" t="s">
        <v>1617</v>
      </c>
      <c r="CY7" t="s">
        <v>111</v>
      </c>
      <c r="CZ7">
        <v>5</v>
      </c>
      <c r="DA7">
        <v>5</v>
      </c>
      <c r="DB7">
        <v>91.2</v>
      </c>
      <c r="DD7" s="86" t="str">
        <f t="shared" si="3"/>
        <v>48102Share Sub Category SC Johnson</v>
      </c>
      <c r="DE7">
        <v>48102</v>
      </c>
      <c r="DF7" t="s">
        <v>369</v>
      </c>
      <c r="DG7" t="s">
        <v>1004</v>
      </c>
      <c r="DH7" t="s">
        <v>103</v>
      </c>
      <c r="DI7" t="s">
        <v>1670</v>
      </c>
      <c r="DJ7" t="s">
        <v>1671</v>
      </c>
      <c r="DK7" t="s">
        <v>457</v>
      </c>
      <c r="DL7">
        <v>25</v>
      </c>
      <c r="DM7">
        <v>25</v>
      </c>
      <c r="DN7">
        <v>76.8</v>
      </c>
      <c r="DP7" s="86" t="str">
        <f t="shared" si="4"/>
        <v>48102Share Sub Category SC Johnson</v>
      </c>
      <c r="DQ7">
        <v>48102</v>
      </c>
      <c r="DR7" t="s">
        <v>369</v>
      </c>
      <c r="DS7" t="s">
        <v>1004</v>
      </c>
      <c r="DT7" t="s">
        <v>103</v>
      </c>
      <c r="DU7" t="s">
        <v>1828</v>
      </c>
      <c r="DV7" t="s">
        <v>1829</v>
      </c>
      <c r="DW7" t="s">
        <v>457</v>
      </c>
      <c r="DX7">
        <v>25</v>
      </c>
      <c r="DY7">
        <v>25</v>
      </c>
      <c r="DZ7">
        <v>67.8</v>
      </c>
      <c r="EB7" s="86" t="str">
        <f t="shared" si="5"/>
        <v>48248Share Sub Category SC Johnson</v>
      </c>
      <c r="EC7">
        <v>48248</v>
      </c>
      <c r="ED7" t="s">
        <v>327</v>
      </c>
      <c r="EE7" t="s">
        <v>1345</v>
      </c>
      <c r="EF7" t="s">
        <v>103</v>
      </c>
      <c r="EG7" t="s">
        <v>1870</v>
      </c>
      <c r="EH7" t="s">
        <v>1871</v>
      </c>
      <c r="EI7" t="s">
        <v>457</v>
      </c>
      <c r="EJ7">
        <v>21.425000000000001</v>
      </c>
      <c r="EK7">
        <v>25</v>
      </c>
      <c r="EL7">
        <v>87.22</v>
      </c>
    </row>
    <row r="8" spans="1:146" x14ac:dyDescent="0.35">
      <c r="A8" s="86" t="str">
        <f t="shared" si="6"/>
        <v>48248Cross Merchan SC Johnson</v>
      </c>
      <c r="B8">
        <v>48248</v>
      </c>
      <c r="C8" t="s">
        <v>327</v>
      </c>
      <c r="D8" t="s">
        <v>103</v>
      </c>
      <c r="E8" t="s">
        <v>461</v>
      </c>
      <c r="F8" t="s">
        <v>462</v>
      </c>
      <c r="G8" t="s">
        <v>111</v>
      </c>
      <c r="H8">
        <v>66.05</v>
      </c>
      <c r="I8">
        <v>0</v>
      </c>
      <c r="J8">
        <v>8</v>
      </c>
      <c r="L8" s="86" t="str">
        <f t="shared" si="7"/>
        <v>48248Cross Merchan SC Johnson</v>
      </c>
      <c r="M8">
        <v>48248</v>
      </c>
      <c r="N8" t="s">
        <v>327</v>
      </c>
      <c r="O8" t="s">
        <v>104</v>
      </c>
      <c r="P8" t="s">
        <v>103</v>
      </c>
      <c r="Q8" t="s">
        <v>618</v>
      </c>
      <c r="R8" t="s">
        <v>619</v>
      </c>
      <c r="S8" t="s">
        <v>111</v>
      </c>
      <c r="T8">
        <v>8</v>
      </c>
      <c r="U8">
        <v>8</v>
      </c>
      <c r="V8">
        <v>68.040000000000006</v>
      </c>
      <c r="X8" s="86" t="str">
        <f t="shared" si="8"/>
        <v>48248Cross Merchan SC Johnson</v>
      </c>
      <c r="Y8">
        <v>48248</v>
      </c>
      <c r="Z8" t="s">
        <v>327</v>
      </c>
      <c r="AA8" t="s">
        <v>104</v>
      </c>
      <c r="AB8" t="s">
        <v>103</v>
      </c>
      <c r="AC8" t="s">
        <v>883</v>
      </c>
      <c r="AD8" t="s">
        <v>884</v>
      </c>
      <c r="AE8" t="s">
        <v>111</v>
      </c>
      <c r="AF8">
        <v>8</v>
      </c>
      <c r="AG8">
        <v>8</v>
      </c>
      <c r="AH8">
        <v>76.58</v>
      </c>
      <c r="AJ8" s="86" t="str">
        <f t="shared" si="9"/>
        <v>48951Share Sub Category SC Johnson</v>
      </c>
      <c r="AK8">
        <v>48951</v>
      </c>
      <c r="AL8" t="s">
        <v>329</v>
      </c>
      <c r="AM8" t="s">
        <v>36</v>
      </c>
      <c r="AN8" t="s">
        <v>103</v>
      </c>
      <c r="AO8" t="s">
        <v>909</v>
      </c>
      <c r="AP8" t="s">
        <v>910</v>
      </c>
      <c r="AQ8" t="s">
        <v>457</v>
      </c>
      <c r="AR8">
        <v>21.425000000000001</v>
      </c>
      <c r="AS8">
        <v>25</v>
      </c>
      <c r="AT8">
        <v>67.72</v>
      </c>
      <c r="AV8" s="86" t="str">
        <f t="shared" si="10"/>
        <v>48248Share Sub Category SC Johnson</v>
      </c>
      <c r="AW8">
        <v>48248</v>
      </c>
      <c r="AX8" t="s">
        <v>327</v>
      </c>
      <c r="AY8" t="s">
        <v>460</v>
      </c>
      <c r="AZ8" t="s">
        <v>103</v>
      </c>
      <c r="BA8" t="s">
        <v>1041</v>
      </c>
      <c r="BB8" t="s">
        <v>1042</v>
      </c>
      <c r="BC8" t="s">
        <v>457</v>
      </c>
      <c r="BD8">
        <v>25</v>
      </c>
      <c r="BE8">
        <v>25</v>
      </c>
      <c r="BF8">
        <v>59.14</v>
      </c>
      <c r="BH8" s="86" t="str">
        <f t="shared" si="11"/>
        <v>48248Share Sub Category SC Johnson</v>
      </c>
      <c r="BI8">
        <v>48248</v>
      </c>
      <c r="BJ8" t="s">
        <v>327</v>
      </c>
      <c r="BK8" t="s">
        <v>460</v>
      </c>
      <c r="BL8" t="s">
        <v>103</v>
      </c>
      <c r="BM8" t="s">
        <v>1219</v>
      </c>
      <c r="BN8" t="s">
        <v>1220</v>
      </c>
      <c r="BO8" t="s">
        <v>457</v>
      </c>
      <c r="BP8">
        <v>17.850000000000001</v>
      </c>
      <c r="BQ8">
        <v>25</v>
      </c>
      <c r="BR8">
        <v>69.849999999999994</v>
      </c>
      <c r="BT8" s="86" t="str">
        <f t="shared" si="0"/>
        <v>48102Execucao Bonus</v>
      </c>
      <c r="BU8">
        <v>48102</v>
      </c>
      <c r="BV8" t="s">
        <v>369</v>
      </c>
      <c r="BW8" t="s">
        <v>1004</v>
      </c>
      <c r="BX8" t="s">
        <v>103</v>
      </c>
      <c r="BY8" t="s">
        <v>1289</v>
      </c>
      <c r="BZ8" t="s">
        <v>1290</v>
      </c>
      <c r="CA8" t="s">
        <v>1291</v>
      </c>
      <c r="CB8">
        <v>5</v>
      </c>
      <c r="CC8">
        <v>5</v>
      </c>
      <c r="CD8">
        <v>75.599999999999994</v>
      </c>
      <c r="CF8" s="86" t="str">
        <f t="shared" si="1"/>
        <v>48102Execucao Bonus</v>
      </c>
      <c r="CG8">
        <v>48102</v>
      </c>
      <c r="CH8" t="s">
        <v>369</v>
      </c>
      <c r="CI8" t="s">
        <v>1004</v>
      </c>
      <c r="CJ8" t="s">
        <v>103</v>
      </c>
      <c r="CK8" t="s">
        <v>1485</v>
      </c>
      <c r="CL8" t="s">
        <v>1486</v>
      </c>
      <c r="CM8" t="s">
        <v>1291</v>
      </c>
      <c r="CN8">
        <v>5</v>
      </c>
      <c r="CO8">
        <v>5</v>
      </c>
      <c r="CP8">
        <v>75.8</v>
      </c>
      <c r="CR8" s="86" t="str">
        <f t="shared" si="2"/>
        <v>48102Execucao Bonus</v>
      </c>
      <c r="CS8">
        <v>48102</v>
      </c>
      <c r="CT8" t="s">
        <v>369</v>
      </c>
      <c r="CU8" t="s">
        <v>454</v>
      </c>
      <c r="CV8" t="s">
        <v>103</v>
      </c>
      <c r="CW8" t="s">
        <v>1616</v>
      </c>
      <c r="CX8" t="s">
        <v>1617</v>
      </c>
      <c r="CY8" t="s">
        <v>1291</v>
      </c>
      <c r="CZ8">
        <v>0</v>
      </c>
      <c r="DA8">
        <v>5</v>
      </c>
      <c r="DB8">
        <v>91.2</v>
      </c>
      <c r="DD8" s="86" t="str">
        <f t="shared" si="3"/>
        <v>48102Share Sub Loc Pao Quente SC Johnson</v>
      </c>
      <c r="DE8">
        <v>48102</v>
      </c>
      <c r="DF8" t="s">
        <v>369</v>
      </c>
      <c r="DG8" t="s">
        <v>1004</v>
      </c>
      <c r="DH8" t="s">
        <v>103</v>
      </c>
      <c r="DI8" t="s">
        <v>1670</v>
      </c>
      <c r="DJ8" t="s">
        <v>1671</v>
      </c>
      <c r="DK8" t="s">
        <v>458</v>
      </c>
      <c r="DL8">
        <v>9</v>
      </c>
      <c r="DM8">
        <v>12</v>
      </c>
      <c r="DN8">
        <v>76.8</v>
      </c>
      <c r="DP8" s="86" t="str">
        <f t="shared" si="4"/>
        <v>48102Share Sub Loc Pao Quente SC Johnson</v>
      </c>
      <c r="DQ8">
        <v>48102</v>
      </c>
      <c r="DR8" t="s">
        <v>369</v>
      </c>
      <c r="DS8" t="s">
        <v>1004</v>
      </c>
      <c r="DT8" t="s">
        <v>103</v>
      </c>
      <c r="DU8" t="s">
        <v>1828</v>
      </c>
      <c r="DV8" t="s">
        <v>1829</v>
      </c>
      <c r="DW8" t="s">
        <v>458</v>
      </c>
      <c r="DX8">
        <v>0</v>
      </c>
      <c r="DY8">
        <v>12</v>
      </c>
      <c r="DZ8">
        <v>67.8</v>
      </c>
      <c r="EB8" s="86" t="str">
        <f t="shared" si="5"/>
        <v>48248Share Sub Loc Pao Quente SC Johnson</v>
      </c>
      <c r="EC8">
        <v>48248</v>
      </c>
      <c r="ED8" t="s">
        <v>327</v>
      </c>
      <c r="EE8" t="s">
        <v>1345</v>
      </c>
      <c r="EF8" t="s">
        <v>103</v>
      </c>
      <c r="EG8" t="s">
        <v>1870</v>
      </c>
      <c r="EH8" t="s">
        <v>1871</v>
      </c>
      <c r="EI8" t="s">
        <v>458</v>
      </c>
      <c r="EJ8">
        <v>9</v>
      </c>
      <c r="EK8">
        <v>12</v>
      </c>
      <c r="EL8">
        <v>87.22</v>
      </c>
      <c r="EP8" t="s">
        <v>1936</v>
      </c>
    </row>
    <row r="9" spans="1:146" x14ac:dyDescent="0.35">
      <c r="A9" s="86" t="str">
        <f t="shared" si="6"/>
        <v>48248Share Sub Loc Pao Quente SC Johnson</v>
      </c>
      <c r="B9">
        <v>48248</v>
      </c>
      <c r="C9" t="s">
        <v>327</v>
      </c>
      <c r="D9" t="s">
        <v>103</v>
      </c>
      <c r="E9" t="s">
        <v>461</v>
      </c>
      <c r="F9" t="s">
        <v>462</v>
      </c>
      <c r="G9" t="s">
        <v>458</v>
      </c>
      <c r="H9">
        <v>66.05</v>
      </c>
      <c r="I9">
        <v>6.8</v>
      </c>
      <c r="J9">
        <v>17</v>
      </c>
      <c r="L9" s="86" t="str">
        <f t="shared" si="7"/>
        <v>48248Share Sub Loc Pao Quente SC Johnson</v>
      </c>
      <c r="M9">
        <v>48248</v>
      </c>
      <c r="N9" t="s">
        <v>327</v>
      </c>
      <c r="O9" t="s">
        <v>104</v>
      </c>
      <c r="P9" t="s">
        <v>103</v>
      </c>
      <c r="Q9" t="s">
        <v>618</v>
      </c>
      <c r="R9" t="s">
        <v>619</v>
      </c>
      <c r="S9" t="s">
        <v>458</v>
      </c>
      <c r="T9">
        <v>12.75</v>
      </c>
      <c r="U9">
        <v>17</v>
      </c>
      <c r="V9">
        <v>68.040000000000006</v>
      </c>
      <c r="X9" s="86" t="str">
        <f t="shared" si="8"/>
        <v>48248Share Sub Loc Pao Quente SC Johnson</v>
      </c>
      <c r="Y9">
        <v>48248</v>
      </c>
      <c r="Z9" t="s">
        <v>327</v>
      </c>
      <c r="AA9" t="s">
        <v>104</v>
      </c>
      <c r="AB9" t="s">
        <v>103</v>
      </c>
      <c r="AC9" t="s">
        <v>883</v>
      </c>
      <c r="AD9" t="s">
        <v>884</v>
      </c>
      <c r="AE9" t="s">
        <v>458</v>
      </c>
      <c r="AF9">
        <v>17</v>
      </c>
      <c r="AG9">
        <v>17</v>
      </c>
      <c r="AH9">
        <v>76.58</v>
      </c>
      <c r="AJ9" s="86" t="str">
        <f t="shared" si="9"/>
        <v>48951Cross Merchan SC Johnson</v>
      </c>
      <c r="AK9">
        <v>48951</v>
      </c>
      <c r="AL9" t="s">
        <v>329</v>
      </c>
      <c r="AM9" t="s">
        <v>36</v>
      </c>
      <c r="AN9" t="s">
        <v>103</v>
      </c>
      <c r="AO9" t="s">
        <v>909</v>
      </c>
      <c r="AP9" t="s">
        <v>910</v>
      </c>
      <c r="AQ9" t="s">
        <v>111</v>
      </c>
      <c r="AR9">
        <v>2.5</v>
      </c>
      <c r="AS9">
        <v>5</v>
      </c>
      <c r="AT9">
        <v>67.72</v>
      </c>
      <c r="AV9" s="86" t="str">
        <f t="shared" si="10"/>
        <v>48248Cross Merchan SC Johnson</v>
      </c>
      <c r="AW9">
        <v>48248</v>
      </c>
      <c r="AX9" t="s">
        <v>327</v>
      </c>
      <c r="AY9" t="s">
        <v>460</v>
      </c>
      <c r="AZ9" t="s">
        <v>103</v>
      </c>
      <c r="BA9" t="s">
        <v>1041</v>
      </c>
      <c r="BB9" t="s">
        <v>1042</v>
      </c>
      <c r="BC9" t="s">
        <v>111</v>
      </c>
      <c r="BD9">
        <v>1.665</v>
      </c>
      <c r="BE9">
        <v>5</v>
      </c>
      <c r="BF9">
        <v>59.14</v>
      </c>
      <c r="BH9" s="86" t="str">
        <f t="shared" si="11"/>
        <v>48248Cross Merchan SC Johnson</v>
      </c>
      <c r="BI9">
        <v>48248</v>
      </c>
      <c r="BJ9" t="s">
        <v>327</v>
      </c>
      <c r="BK9" t="s">
        <v>460</v>
      </c>
      <c r="BL9" t="s">
        <v>103</v>
      </c>
      <c r="BM9" t="s">
        <v>1219</v>
      </c>
      <c r="BN9" t="s">
        <v>1220</v>
      </c>
      <c r="BO9" t="s">
        <v>111</v>
      </c>
      <c r="BP9">
        <v>5</v>
      </c>
      <c r="BQ9">
        <v>5</v>
      </c>
      <c r="BR9">
        <v>69.849999999999994</v>
      </c>
      <c r="BT9" s="86" t="str">
        <f t="shared" si="0"/>
        <v>48374Lancamentos</v>
      </c>
      <c r="BU9">
        <v>48374</v>
      </c>
      <c r="BV9" t="s">
        <v>370</v>
      </c>
      <c r="BW9" t="s">
        <v>482</v>
      </c>
      <c r="BX9" t="s">
        <v>103</v>
      </c>
      <c r="BY9" t="s">
        <v>1346</v>
      </c>
      <c r="BZ9" t="s">
        <v>1347</v>
      </c>
      <c r="CA9" t="s">
        <v>953</v>
      </c>
      <c r="CB9">
        <v>9</v>
      </c>
      <c r="CC9">
        <v>18</v>
      </c>
      <c r="CD9">
        <v>65.38</v>
      </c>
      <c r="CF9" s="86" t="str">
        <f t="shared" si="1"/>
        <v>48374Lancamentos</v>
      </c>
      <c r="CG9">
        <v>48374</v>
      </c>
      <c r="CH9" t="s">
        <v>370</v>
      </c>
      <c r="CI9" t="s">
        <v>482</v>
      </c>
      <c r="CJ9" t="s">
        <v>103</v>
      </c>
      <c r="CK9" t="s">
        <v>1453</v>
      </c>
      <c r="CL9" t="s">
        <v>1454</v>
      </c>
      <c r="CM9" t="s">
        <v>953</v>
      </c>
      <c r="CN9">
        <v>18</v>
      </c>
      <c r="CO9">
        <v>18</v>
      </c>
      <c r="CP9">
        <v>88.25</v>
      </c>
      <c r="CR9" s="86" t="str">
        <f t="shared" si="2"/>
        <v>48951Lancamentos</v>
      </c>
      <c r="CS9">
        <v>48951</v>
      </c>
      <c r="CT9" t="s">
        <v>329</v>
      </c>
      <c r="CU9" t="s">
        <v>1306</v>
      </c>
      <c r="CV9" t="s">
        <v>103</v>
      </c>
      <c r="CW9" t="s">
        <v>1572</v>
      </c>
      <c r="CX9" t="s">
        <v>1573</v>
      </c>
      <c r="CY9" t="s">
        <v>953</v>
      </c>
      <c r="CZ9">
        <v>18</v>
      </c>
      <c r="DA9">
        <v>18</v>
      </c>
      <c r="DB9">
        <v>71.62</v>
      </c>
      <c r="DD9" s="86" t="str">
        <f t="shared" si="3"/>
        <v>48374Mix + Intocáveis SC Johnson</v>
      </c>
      <c r="DE9">
        <v>48374</v>
      </c>
      <c r="DF9" t="s">
        <v>370</v>
      </c>
      <c r="DG9" t="s">
        <v>482</v>
      </c>
      <c r="DH9" t="s">
        <v>103</v>
      </c>
      <c r="DI9" t="s">
        <v>1672</v>
      </c>
      <c r="DJ9" t="s">
        <v>1673</v>
      </c>
      <c r="DK9" t="s">
        <v>459</v>
      </c>
      <c r="DL9">
        <v>30.4</v>
      </c>
      <c r="DM9">
        <v>40</v>
      </c>
      <c r="DN9">
        <v>85.25</v>
      </c>
      <c r="DP9" s="86" t="str">
        <f t="shared" si="4"/>
        <v>48248Mix + Intocáveis SC Johnson</v>
      </c>
      <c r="DQ9">
        <v>48248</v>
      </c>
      <c r="DR9" t="s">
        <v>327</v>
      </c>
      <c r="DS9" t="s">
        <v>1345</v>
      </c>
      <c r="DT9" t="s">
        <v>103</v>
      </c>
      <c r="DU9" t="s">
        <v>1860</v>
      </c>
      <c r="DV9" t="s">
        <v>1861</v>
      </c>
      <c r="DW9" t="s">
        <v>459</v>
      </c>
      <c r="DX9">
        <v>27.2</v>
      </c>
      <c r="DY9">
        <v>40</v>
      </c>
      <c r="DZ9">
        <v>88.62</v>
      </c>
      <c r="EB9" s="86" t="str">
        <f t="shared" si="5"/>
        <v>48374Mix + Intocáveis SC Johnson</v>
      </c>
      <c r="EC9">
        <v>48374</v>
      </c>
      <c r="ED9" t="s">
        <v>370</v>
      </c>
      <c r="EE9" t="s">
        <v>482</v>
      </c>
      <c r="EF9" t="s">
        <v>103</v>
      </c>
      <c r="EG9" t="s">
        <v>1910</v>
      </c>
      <c r="EH9" t="s">
        <v>1911</v>
      </c>
      <c r="EI9" t="s">
        <v>459</v>
      </c>
      <c r="EJ9">
        <v>24</v>
      </c>
      <c r="EK9">
        <v>40</v>
      </c>
      <c r="EL9">
        <v>78.849999999999994</v>
      </c>
    </row>
    <row r="10" spans="1:146" x14ac:dyDescent="0.35">
      <c r="A10" s="86" t="str">
        <f t="shared" si="6"/>
        <v>48248Mix + Intocáveis SC Johnson</v>
      </c>
      <c r="B10">
        <v>48248</v>
      </c>
      <c r="C10" t="s">
        <v>327</v>
      </c>
      <c r="D10" t="s">
        <v>103</v>
      </c>
      <c r="E10" t="s">
        <v>461</v>
      </c>
      <c r="F10" t="s">
        <v>462</v>
      </c>
      <c r="G10" t="s">
        <v>459</v>
      </c>
      <c r="H10">
        <v>66.05</v>
      </c>
      <c r="I10">
        <v>29.25</v>
      </c>
      <c r="J10">
        <v>45</v>
      </c>
      <c r="L10" s="86" t="str">
        <f t="shared" si="7"/>
        <v>48248Mix + Intocáveis SC Johnson</v>
      </c>
      <c r="M10">
        <v>48248</v>
      </c>
      <c r="N10" t="s">
        <v>327</v>
      </c>
      <c r="O10" t="s">
        <v>104</v>
      </c>
      <c r="P10" t="s">
        <v>103</v>
      </c>
      <c r="Q10" t="s">
        <v>618</v>
      </c>
      <c r="R10" t="s">
        <v>619</v>
      </c>
      <c r="S10" t="s">
        <v>459</v>
      </c>
      <c r="T10">
        <v>25.875</v>
      </c>
      <c r="U10">
        <v>45</v>
      </c>
      <c r="V10">
        <v>68.040000000000006</v>
      </c>
      <c r="X10" s="86" t="str">
        <f t="shared" si="8"/>
        <v>48248Mix + Intocáveis SC Johnson</v>
      </c>
      <c r="Y10">
        <v>48248</v>
      </c>
      <c r="Z10" t="s">
        <v>327</v>
      </c>
      <c r="AA10" t="s">
        <v>104</v>
      </c>
      <c r="AB10" t="s">
        <v>103</v>
      </c>
      <c r="AC10" t="s">
        <v>883</v>
      </c>
      <c r="AD10" t="s">
        <v>884</v>
      </c>
      <c r="AE10" t="s">
        <v>459</v>
      </c>
      <c r="AF10">
        <v>25.875</v>
      </c>
      <c r="AG10">
        <v>45</v>
      </c>
      <c r="AH10">
        <v>76.58</v>
      </c>
      <c r="AJ10" s="86" t="str">
        <f t="shared" si="9"/>
        <v>48951Share Sub Loc Pao Quente SC Johnson</v>
      </c>
      <c r="AK10">
        <v>48951</v>
      </c>
      <c r="AL10" t="s">
        <v>329</v>
      </c>
      <c r="AM10" t="s">
        <v>36</v>
      </c>
      <c r="AN10" t="s">
        <v>103</v>
      </c>
      <c r="AO10" t="s">
        <v>909</v>
      </c>
      <c r="AP10" t="s">
        <v>910</v>
      </c>
      <c r="AQ10" t="s">
        <v>458</v>
      </c>
      <c r="AR10">
        <v>9</v>
      </c>
      <c r="AS10">
        <v>12</v>
      </c>
      <c r="AT10">
        <v>67.72</v>
      </c>
      <c r="AV10" s="86" t="str">
        <f t="shared" si="10"/>
        <v>48248Share Sub Loc Pao Quente SC Johnson</v>
      </c>
      <c r="AW10">
        <v>48248</v>
      </c>
      <c r="AX10" t="s">
        <v>327</v>
      </c>
      <c r="AY10" t="s">
        <v>460</v>
      </c>
      <c r="AZ10" t="s">
        <v>103</v>
      </c>
      <c r="BA10" t="s">
        <v>1041</v>
      </c>
      <c r="BB10" t="s">
        <v>1042</v>
      </c>
      <c r="BC10" t="s">
        <v>458</v>
      </c>
      <c r="BD10">
        <v>9</v>
      </c>
      <c r="BE10">
        <v>12</v>
      </c>
      <c r="BF10">
        <v>59.14</v>
      </c>
      <c r="BH10" s="86" t="str">
        <f t="shared" si="11"/>
        <v>48248Share Sub Loc Pao Quente SC Johnson</v>
      </c>
      <c r="BI10">
        <v>48248</v>
      </c>
      <c r="BJ10" t="s">
        <v>327</v>
      </c>
      <c r="BK10" t="s">
        <v>460</v>
      </c>
      <c r="BL10" t="s">
        <v>103</v>
      </c>
      <c r="BM10" t="s">
        <v>1219</v>
      </c>
      <c r="BN10" t="s">
        <v>1220</v>
      </c>
      <c r="BO10" t="s">
        <v>458</v>
      </c>
      <c r="BP10">
        <v>9</v>
      </c>
      <c r="BQ10">
        <v>12</v>
      </c>
      <c r="BR10">
        <v>69.849999999999994</v>
      </c>
      <c r="BT10" s="86" t="str">
        <f t="shared" si="0"/>
        <v>48374Mix + Intocáveis SC Johnson</v>
      </c>
      <c r="BU10">
        <v>48374</v>
      </c>
      <c r="BV10" t="s">
        <v>370</v>
      </c>
      <c r="BW10" t="s">
        <v>482</v>
      </c>
      <c r="BX10" t="s">
        <v>103</v>
      </c>
      <c r="BY10" t="s">
        <v>1346</v>
      </c>
      <c r="BZ10" t="s">
        <v>1347</v>
      </c>
      <c r="CA10" t="s">
        <v>459</v>
      </c>
      <c r="CB10">
        <v>23.2</v>
      </c>
      <c r="CC10">
        <v>40</v>
      </c>
      <c r="CD10">
        <v>65.38</v>
      </c>
      <c r="CF10" s="86" t="str">
        <f t="shared" si="1"/>
        <v>48374Mix + Intocáveis SC Johnson</v>
      </c>
      <c r="CG10">
        <v>48374</v>
      </c>
      <c r="CH10" t="s">
        <v>370</v>
      </c>
      <c r="CI10" t="s">
        <v>482</v>
      </c>
      <c r="CJ10" t="s">
        <v>103</v>
      </c>
      <c r="CK10" t="s">
        <v>1453</v>
      </c>
      <c r="CL10" t="s">
        <v>1454</v>
      </c>
      <c r="CM10" t="s">
        <v>459</v>
      </c>
      <c r="CN10">
        <v>30.4</v>
      </c>
      <c r="CO10">
        <v>40</v>
      </c>
      <c r="CP10">
        <v>88.25</v>
      </c>
      <c r="CR10" s="86" t="str">
        <f t="shared" si="2"/>
        <v>48951Mix + Intocáveis SC Johnson</v>
      </c>
      <c r="CS10">
        <v>48951</v>
      </c>
      <c r="CT10" t="s">
        <v>329</v>
      </c>
      <c r="CU10" t="s">
        <v>1306</v>
      </c>
      <c r="CV10" t="s">
        <v>103</v>
      </c>
      <c r="CW10" t="s">
        <v>1572</v>
      </c>
      <c r="CX10" t="s">
        <v>1573</v>
      </c>
      <c r="CY10" t="s">
        <v>459</v>
      </c>
      <c r="CZ10">
        <v>13.2</v>
      </c>
      <c r="DA10">
        <v>40</v>
      </c>
      <c r="DB10">
        <v>71.62</v>
      </c>
      <c r="DD10" s="86" t="str">
        <f t="shared" si="3"/>
        <v>48374Execucao Bonus</v>
      </c>
      <c r="DE10">
        <v>48374</v>
      </c>
      <c r="DF10" t="s">
        <v>370</v>
      </c>
      <c r="DG10" t="s">
        <v>482</v>
      </c>
      <c r="DH10" t="s">
        <v>103</v>
      </c>
      <c r="DI10" t="s">
        <v>1672</v>
      </c>
      <c r="DJ10" t="s">
        <v>1673</v>
      </c>
      <c r="DK10" t="s">
        <v>1291</v>
      </c>
      <c r="DL10">
        <v>5</v>
      </c>
      <c r="DM10">
        <v>5</v>
      </c>
      <c r="DN10">
        <v>85.25</v>
      </c>
      <c r="DP10" s="86" t="str">
        <f t="shared" si="4"/>
        <v>48248Execucao Bonus</v>
      </c>
      <c r="DQ10">
        <v>48248</v>
      </c>
      <c r="DR10" t="s">
        <v>327</v>
      </c>
      <c r="DS10" t="s">
        <v>1345</v>
      </c>
      <c r="DT10" t="s">
        <v>103</v>
      </c>
      <c r="DU10" t="s">
        <v>1860</v>
      </c>
      <c r="DV10" t="s">
        <v>1861</v>
      </c>
      <c r="DW10" t="s">
        <v>1291</v>
      </c>
      <c r="DX10">
        <v>5</v>
      </c>
      <c r="DY10">
        <v>5</v>
      </c>
      <c r="DZ10">
        <v>88.62</v>
      </c>
      <c r="EB10" s="86" t="str">
        <f t="shared" si="5"/>
        <v>48374Execucao Bonus</v>
      </c>
      <c r="EC10">
        <v>48374</v>
      </c>
      <c r="ED10" t="s">
        <v>370</v>
      </c>
      <c r="EE10" t="s">
        <v>482</v>
      </c>
      <c r="EF10" t="s">
        <v>103</v>
      </c>
      <c r="EG10" t="s">
        <v>1910</v>
      </c>
      <c r="EH10" t="s">
        <v>1911</v>
      </c>
      <c r="EI10" t="s">
        <v>1291</v>
      </c>
      <c r="EJ10">
        <v>5</v>
      </c>
      <c r="EK10">
        <v>5</v>
      </c>
      <c r="EL10">
        <v>78.849999999999994</v>
      </c>
    </row>
    <row r="11" spans="1:146" x14ac:dyDescent="0.35">
      <c r="A11" s="86" t="str">
        <f t="shared" si="6"/>
        <v>48374Share Sub Category SC Johnson</v>
      </c>
      <c r="B11">
        <v>48374</v>
      </c>
      <c r="C11" t="s">
        <v>370</v>
      </c>
      <c r="D11" t="s">
        <v>103</v>
      </c>
      <c r="E11" t="s">
        <v>463</v>
      </c>
      <c r="F11" t="s">
        <v>464</v>
      </c>
      <c r="G11" t="s">
        <v>457</v>
      </c>
      <c r="H11">
        <v>67.930000000000007</v>
      </c>
      <c r="I11">
        <v>17.13</v>
      </c>
      <c r="J11">
        <v>30</v>
      </c>
      <c r="L11" s="86" t="str">
        <f t="shared" si="7"/>
        <v>48374Share Sub Category SC Johnson</v>
      </c>
      <c r="M11">
        <v>48374</v>
      </c>
      <c r="N11" t="s">
        <v>370</v>
      </c>
      <c r="O11" t="s">
        <v>482</v>
      </c>
      <c r="P11" t="s">
        <v>103</v>
      </c>
      <c r="Q11" t="s">
        <v>620</v>
      </c>
      <c r="R11" t="s">
        <v>621</v>
      </c>
      <c r="S11" t="s">
        <v>457</v>
      </c>
      <c r="T11">
        <v>17.13</v>
      </c>
      <c r="U11">
        <v>30</v>
      </c>
      <c r="V11">
        <v>69.63</v>
      </c>
      <c r="X11" s="86" t="str">
        <f t="shared" si="8"/>
        <v>48374Share Sub Category SC Johnson</v>
      </c>
      <c r="Y11">
        <v>48374</v>
      </c>
      <c r="Z11" t="s">
        <v>370</v>
      </c>
      <c r="AA11" t="s">
        <v>104</v>
      </c>
      <c r="AB11" t="s">
        <v>103</v>
      </c>
      <c r="AC11" t="s">
        <v>793</v>
      </c>
      <c r="AD11" t="s">
        <v>794</v>
      </c>
      <c r="AE11" t="s">
        <v>457</v>
      </c>
      <c r="AF11">
        <v>25.71</v>
      </c>
      <c r="AG11">
        <v>30</v>
      </c>
      <c r="AH11">
        <v>80.209999999999994</v>
      </c>
      <c r="AJ11" s="86" t="str">
        <f t="shared" si="9"/>
        <v>48951Mix + Intocáveis SC Johnson</v>
      </c>
      <c r="AK11">
        <v>48951</v>
      </c>
      <c r="AL11" t="s">
        <v>329</v>
      </c>
      <c r="AM11" t="s">
        <v>36</v>
      </c>
      <c r="AN11" t="s">
        <v>103</v>
      </c>
      <c r="AO11" t="s">
        <v>909</v>
      </c>
      <c r="AP11" t="s">
        <v>910</v>
      </c>
      <c r="AQ11" t="s">
        <v>459</v>
      </c>
      <c r="AR11">
        <v>34.799999999999997</v>
      </c>
      <c r="AS11">
        <v>40</v>
      </c>
      <c r="AT11">
        <v>67.72</v>
      </c>
      <c r="AV11" s="86" t="str">
        <f t="shared" si="10"/>
        <v>48248Mix + Intocáveis SC Johnson</v>
      </c>
      <c r="AW11">
        <v>48248</v>
      </c>
      <c r="AX11" t="s">
        <v>327</v>
      </c>
      <c r="AY11" t="s">
        <v>460</v>
      </c>
      <c r="AZ11" t="s">
        <v>103</v>
      </c>
      <c r="BA11" t="s">
        <v>1041</v>
      </c>
      <c r="BB11" t="s">
        <v>1042</v>
      </c>
      <c r="BC11" t="s">
        <v>459</v>
      </c>
      <c r="BD11">
        <v>23.48</v>
      </c>
      <c r="BE11">
        <v>40</v>
      </c>
      <c r="BF11">
        <v>59.14</v>
      </c>
      <c r="BH11" s="86" t="str">
        <f t="shared" si="11"/>
        <v>48248Mix + Intocáveis SC Johnson</v>
      </c>
      <c r="BI11">
        <v>48248</v>
      </c>
      <c r="BJ11" t="s">
        <v>327</v>
      </c>
      <c r="BK11" t="s">
        <v>460</v>
      </c>
      <c r="BL11" t="s">
        <v>103</v>
      </c>
      <c r="BM11" t="s">
        <v>1219</v>
      </c>
      <c r="BN11" t="s">
        <v>1220</v>
      </c>
      <c r="BO11" t="s">
        <v>459</v>
      </c>
      <c r="BP11">
        <v>20</v>
      </c>
      <c r="BQ11">
        <v>40</v>
      </c>
      <c r="BR11">
        <v>69.849999999999994</v>
      </c>
      <c r="BT11" s="86" t="str">
        <f t="shared" si="0"/>
        <v>48374Share Sub Category SC Johnson</v>
      </c>
      <c r="BU11">
        <v>48374</v>
      </c>
      <c r="BV11" t="s">
        <v>370</v>
      </c>
      <c r="BW11" t="s">
        <v>482</v>
      </c>
      <c r="BX11" t="s">
        <v>103</v>
      </c>
      <c r="BY11" t="s">
        <v>1346</v>
      </c>
      <c r="BZ11" t="s">
        <v>1347</v>
      </c>
      <c r="CA11" t="s">
        <v>457</v>
      </c>
      <c r="CB11">
        <v>17.850000000000001</v>
      </c>
      <c r="CC11">
        <v>25</v>
      </c>
      <c r="CD11">
        <v>65.38</v>
      </c>
      <c r="CF11" s="86" t="str">
        <f t="shared" si="1"/>
        <v>48374Share Sub Category SC Johnson</v>
      </c>
      <c r="CG11">
        <v>48374</v>
      </c>
      <c r="CH11" t="s">
        <v>370</v>
      </c>
      <c r="CI11" t="s">
        <v>482</v>
      </c>
      <c r="CJ11" t="s">
        <v>103</v>
      </c>
      <c r="CK11" t="s">
        <v>1453</v>
      </c>
      <c r="CL11" t="s">
        <v>1454</v>
      </c>
      <c r="CM11" t="s">
        <v>457</v>
      </c>
      <c r="CN11">
        <v>17.850000000000001</v>
      </c>
      <c r="CO11">
        <v>25</v>
      </c>
      <c r="CP11">
        <v>88.25</v>
      </c>
      <c r="CR11" s="86" t="str">
        <f t="shared" si="2"/>
        <v>48951Share Sub Category SC Johnson</v>
      </c>
      <c r="CS11">
        <v>48951</v>
      </c>
      <c r="CT11" t="s">
        <v>329</v>
      </c>
      <c r="CU11" t="s">
        <v>1306</v>
      </c>
      <c r="CV11" t="s">
        <v>103</v>
      </c>
      <c r="CW11" t="s">
        <v>1572</v>
      </c>
      <c r="CX11" t="s">
        <v>1573</v>
      </c>
      <c r="CY11" t="s">
        <v>457</v>
      </c>
      <c r="CZ11">
        <v>21.425000000000001</v>
      </c>
      <c r="DA11">
        <v>25</v>
      </c>
      <c r="DB11">
        <v>71.62</v>
      </c>
      <c r="DD11" s="86" t="str">
        <f t="shared" si="3"/>
        <v>48374Cross Merchan SC Johnson</v>
      </c>
      <c r="DE11">
        <v>48374</v>
      </c>
      <c r="DF11" t="s">
        <v>370</v>
      </c>
      <c r="DG11" t="s">
        <v>482</v>
      </c>
      <c r="DH11" t="s">
        <v>103</v>
      </c>
      <c r="DI11" t="s">
        <v>1672</v>
      </c>
      <c r="DJ11" t="s">
        <v>1673</v>
      </c>
      <c r="DK11" t="s">
        <v>111</v>
      </c>
      <c r="DL11">
        <v>5</v>
      </c>
      <c r="DM11">
        <v>5</v>
      </c>
      <c r="DN11">
        <v>85.25</v>
      </c>
      <c r="DP11" s="86" t="str">
        <f t="shared" si="4"/>
        <v>48248Cross Merchan SC Johnson</v>
      </c>
      <c r="DQ11">
        <v>48248</v>
      </c>
      <c r="DR11" t="s">
        <v>327</v>
      </c>
      <c r="DS11" t="s">
        <v>1345</v>
      </c>
      <c r="DT11" t="s">
        <v>103</v>
      </c>
      <c r="DU11" t="s">
        <v>1860</v>
      </c>
      <c r="DV11" t="s">
        <v>1861</v>
      </c>
      <c r="DW11" t="s">
        <v>111</v>
      </c>
      <c r="DX11">
        <v>5</v>
      </c>
      <c r="DY11">
        <v>5</v>
      </c>
      <c r="DZ11">
        <v>88.62</v>
      </c>
      <c r="EB11" s="86" t="str">
        <f t="shared" si="5"/>
        <v>48374Cross Merchan SC Johnson</v>
      </c>
      <c r="EC11">
        <v>48374</v>
      </c>
      <c r="ED11" t="s">
        <v>370</v>
      </c>
      <c r="EE11" t="s">
        <v>482</v>
      </c>
      <c r="EF11" t="s">
        <v>103</v>
      </c>
      <c r="EG11" t="s">
        <v>1910</v>
      </c>
      <c r="EH11" t="s">
        <v>1911</v>
      </c>
      <c r="EI11" t="s">
        <v>111</v>
      </c>
      <c r="EJ11">
        <v>5</v>
      </c>
      <c r="EK11">
        <v>5</v>
      </c>
      <c r="EL11">
        <v>78.849999999999994</v>
      </c>
    </row>
    <row r="12" spans="1:146" x14ac:dyDescent="0.35">
      <c r="A12" s="86" t="str">
        <f t="shared" si="6"/>
        <v>48374Cross Merchan SC Johnson</v>
      </c>
      <c r="B12">
        <v>48374</v>
      </c>
      <c r="C12" t="s">
        <v>370</v>
      </c>
      <c r="D12" t="s">
        <v>103</v>
      </c>
      <c r="E12" t="s">
        <v>463</v>
      </c>
      <c r="F12" t="s">
        <v>464</v>
      </c>
      <c r="G12" t="s">
        <v>111</v>
      </c>
      <c r="H12">
        <v>67.930000000000007</v>
      </c>
      <c r="I12">
        <v>8</v>
      </c>
      <c r="J12">
        <v>8</v>
      </c>
      <c r="L12" s="86" t="str">
        <f t="shared" si="7"/>
        <v>48374Cross Merchan SC Johnson</v>
      </c>
      <c r="M12">
        <v>48374</v>
      </c>
      <c r="N12" t="s">
        <v>370</v>
      </c>
      <c r="O12" t="s">
        <v>482</v>
      </c>
      <c r="P12" t="s">
        <v>103</v>
      </c>
      <c r="Q12" t="s">
        <v>620</v>
      </c>
      <c r="R12" t="s">
        <v>621</v>
      </c>
      <c r="S12" t="s">
        <v>111</v>
      </c>
      <c r="T12">
        <v>8</v>
      </c>
      <c r="U12">
        <v>8</v>
      </c>
      <c r="V12">
        <v>69.63</v>
      </c>
      <c r="X12" s="86" t="str">
        <f t="shared" si="8"/>
        <v>48374Cross Merchan SC Johnson</v>
      </c>
      <c r="Y12">
        <v>48374</v>
      </c>
      <c r="Z12" t="s">
        <v>370</v>
      </c>
      <c r="AA12" t="s">
        <v>104</v>
      </c>
      <c r="AB12" t="s">
        <v>103</v>
      </c>
      <c r="AC12" t="s">
        <v>793</v>
      </c>
      <c r="AD12" t="s">
        <v>794</v>
      </c>
      <c r="AE12" t="s">
        <v>111</v>
      </c>
      <c r="AF12">
        <v>8</v>
      </c>
      <c r="AG12">
        <v>8</v>
      </c>
      <c r="AH12">
        <v>80.209999999999994</v>
      </c>
      <c r="AJ12" s="86" t="str">
        <f t="shared" si="9"/>
        <v>48951Lancamentos</v>
      </c>
      <c r="AK12">
        <v>48951</v>
      </c>
      <c r="AL12" t="s">
        <v>329</v>
      </c>
      <c r="AM12" t="s">
        <v>36</v>
      </c>
      <c r="AN12" t="s">
        <v>103</v>
      </c>
      <c r="AO12" t="s">
        <v>909</v>
      </c>
      <c r="AP12" t="s">
        <v>910</v>
      </c>
      <c r="AQ12" t="s">
        <v>953</v>
      </c>
      <c r="AR12">
        <v>0</v>
      </c>
      <c r="AS12">
        <v>18</v>
      </c>
      <c r="AT12">
        <v>67.72</v>
      </c>
      <c r="AV12" s="86" t="str">
        <f t="shared" si="10"/>
        <v>48248Lancamentos</v>
      </c>
      <c r="AW12">
        <v>48248</v>
      </c>
      <c r="AX12" t="s">
        <v>327</v>
      </c>
      <c r="AY12" t="s">
        <v>460</v>
      </c>
      <c r="AZ12" t="s">
        <v>103</v>
      </c>
      <c r="BA12" t="s">
        <v>1041</v>
      </c>
      <c r="BB12" t="s">
        <v>1042</v>
      </c>
      <c r="BC12" t="s">
        <v>953</v>
      </c>
      <c r="BD12">
        <v>0</v>
      </c>
      <c r="BE12">
        <v>18</v>
      </c>
      <c r="BF12">
        <v>59.14</v>
      </c>
      <c r="BH12" s="86" t="str">
        <f t="shared" si="11"/>
        <v>48248Lancamentos</v>
      </c>
      <c r="BI12">
        <v>48248</v>
      </c>
      <c r="BJ12" t="s">
        <v>327</v>
      </c>
      <c r="BK12" t="s">
        <v>460</v>
      </c>
      <c r="BL12" t="s">
        <v>103</v>
      </c>
      <c r="BM12" t="s">
        <v>1219</v>
      </c>
      <c r="BN12" t="s">
        <v>1220</v>
      </c>
      <c r="BO12" t="s">
        <v>953</v>
      </c>
      <c r="BP12">
        <v>18</v>
      </c>
      <c r="BQ12">
        <v>18</v>
      </c>
      <c r="BR12">
        <v>69.849999999999994</v>
      </c>
      <c r="BT12" s="86" t="str">
        <f t="shared" si="0"/>
        <v>48374Share Sub Loc Pao Quente SC Johnson</v>
      </c>
      <c r="BU12">
        <v>48374</v>
      </c>
      <c r="BV12" t="s">
        <v>370</v>
      </c>
      <c r="BW12" t="s">
        <v>482</v>
      </c>
      <c r="BX12" t="s">
        <v>103</v>
      </c>
      <c r="BY12" t="s">
        <v>1346</v>
      </c>
      <c r="BZ12" t="s">
        <v>1347</v>
      </c>
      <c r="CA12" t="s">
        <v>458</v>
      </c>
      <c r="CB12">
        <v>12</v>
      </c>
      <c r="CC12">
        <v>12</v>
      </c>
      <c r="CD12">
        <v>65.38</v>
      </c>
      <c r="CF12" s="86" t="str">
        <f t="shared" si="1"/>
        <v>48374Share Sub Loc Pao Quente SC Johnson</v>
      </c>
      <c r="CG12">
        <v>48374</v>
      </c>
      <c r="CH12" t="s">
        <v>370</v>
      </c>
      <c r="CI12" t="s">
        <v>482</v>
      </c>
      <c r="CJ12" t="s">
        <v>103</v>
      </c>
      <c r="CK12" t="s">
        <v>1453</v>
      </c>
      <c r="CL12" t="s">
        <v>1454</v>
      </c>
      <c r="CM12" t="s">
        <v>458</v>
      </c>
      <c r="CN12">
        <v>12</v>
      </c>
      <c r="CO12">
        <v>12</v>
      </c>
      <c r="CP12">
        <v>88.25</v>
      </c>
      <c r="CR12" s="86" t="str">
        <f t="shared" si="2"/>
        <v>48951Share Sub Loc Pao Quente SC Johnson</v>
      </c>
      <c r="CS12">
        <v>48951</v>
      </c>
      <c r="CT12" t="s">
        <v>329</v>
      </c>
      <c r="CU12" t="s">
        <v>1306</v>
      </c>
      <c r="CV12" t="s">
        <v>103</v>
      </c>
      <c r="CW12" t="s">
        <v>1572</v>
      </c>
      <c r="CX12" t="s">
        <v>1573</v>
      </c>
      <c r="CY12" t="s">
        <v>458</v>
      </c>
      <c r="CZ12">
        <v>9</v>
      </c>
      <c r="DA12">
        <v>12</v>
      </c>
      <c r="DB12">
        <v>71.62</v>
      </c>
      <c r="DD12" s="86" t="str">
        <f t="shared" si="3"/>
        <v>48374Lancamentos</v>
      </c>
      <c r="DE12">
        <v>48374</v>
      </c>
      <c r="DF12" t="s">
        <v>370</v>
      </c>
      <c r="DG12" t="s">
        <v>482</v>
      </c>
      <c r="DH12" t="s">
        <v>103</v>
      </c>
      <c r="DI12" t="s">
        <v>1672</v>
      </c>
      <c r="DJ12" t="s">
        <v>1673</v>
      </c>
      <c r="DK12" t="s">
        <v>953</v>
      </c>
      <c r="DL12">
        <v>18</v>
      </c>
      <c r="DM12">
        <v>18</v>
      </c>
      <c r="DN12">
        <v>85.25</v>
      </c>
      <c r="DP12" s="86" t="str">
        <f t="shared" si="4"/>
        <v>48248Lancamentos</v>
      </c>
      <c r="DQ12">
        <v>48248</v>
      </c>
      <c r="DR12" t="s">
        <v>327</v>
      </c>
      <c r="DS12" t="s">
        <v>1345</v>
      </c>
      <c r="DT12" t="s">
        <v>103</v>
      </c>
      <c r="DU12" t="s">
        <v>1860</v>
      </c>
      <c r="DV12" t="s">
        <v>1861</v>
      </c>
      <c r="DW12" t="s">
        <v>953</v>
      </c>
      <c r="DX12">
        <v>18</v>
      </c>
      <c r="DY12">
        <v>18</v>
      </c>
      <c r="DZ12">
        <v>88.62</v>
      </c>
      <c r="EB12" s="86" t="str">
        <f t="shared" si="5"/>
        <v>48374Lancamentos</v>
      </c>
      <c r="EC12">
        <v>48374</v>
      </c>
      <c r="ED12" t="s">
        <v>370</v>
      </c>
      <c r="EE12" t="s">
        <v>482</v>
      </c>
      <c r="EF12" t="s">
        <v>103</v>
      </c>
      <c r="EG12" t="s">
        <v>1910</v>
      </c>
      <c r="EH12" t="s">
        <v>1911</v>
      </c>
      <c r="EI12" t="s">
        <v>953</v>
      </c>
      <c r="EJ12">
        <v>18</v>
      </c>
      <c r="EK12">
        <v>18</v>
      </c>
      <c r="EL12">
        <v>78.849999999999994</v>
      </c>
    </row>
    <row r="13" spans="1:146" x14ac:dyDescent="0.35">
      <c r="A13" s="86" t="str">
        <f t="shared" si="6"/>
        <v>48374Share Sub Loc Pao Quente SC Johnson</v>
      </c>
      <c r="B13">
        <v>48374</v>
      </c>
      <c r="C13" t="s">
        <v>370</v>
      </c>
      <c r="D13" t="s">
        <v>103</v>
      </c>
      <c r="E13" t="s">
        <v>463</v>
      </c>
      <c r="F13" t="s">
        <v>464</v>
      </c>
      <c r="G13" t="s">
        <v>458</v>
      </c>
      <c r="H13">
        <v>67.930000000000007</v>
      </c>
      <c r="I13">
        <v>6.8</v>
      </c>
      <c r="J13">
        <v>17</v>
      </c>
      <c r="L13" s="86" t="str">
        <f t="shared" si="7"/>
        <v>48374Share Sub Loc Pao Quente SC Johnson</v>
      </c>
      <c r="M13">
        <v>48374</v>
      </c>
      <c r="N13" t="s">
        <v>370</v>
      </c>
      <c r="O13" t="s">
        <v>482</v>
      </c>
      <c r="P13" t="s">
        <v>103</v>
      </c>
      <c r="Q13" t="s">
        <v>620</v>
      </c>
      <c r="R13" t="s">
        <v>621</v>
      </c>
      <c r="S13" t="s">
        <v>458</v>
      </c>
      <c r="T13">
        <v>8.5</v>
      </c>
      <c r="U13">
        <v>17</v>
      </c>
      <c r="V13">
        <v>69.63</v>
      </c>
      <c r="X13" s="86" t="str">
        <f t="shared" si="8"/>
        <v>48374Share Sub Loc Pao Quente SC Johnson</v>
      </c>
      <c r="Y13">
        <v>48374</v>
      </c>
      <c r="Z13" t="s">
        <v>370</v>
      </c>
      <c r="AA13" t="s">
        <v>104</v>
      </c>
      <c r="AB13" t="s">
        <v>103</v>
      </c>
      <c r="AC13" t="s">
        <v>793</v>
      </c>
      <c r="AD13" t="s">
        <v>794</v>
      </c>
      <c r="AE13" t="s">
        <v>458</v>
      </c>
      <c r="AF13">
        <v>12.75</v>
      </c>
      <c r="AG13">
        <v>17</v>
      </c>
      <c r="AH13">
        <v>80.209999999999994</v>
      </c>
      <c r="AJ13" s="86" t="str">
        <f t="shared" si="9"/>
        <v>50548Share Sub Category SC Johnson</v>
      </c>
      <c r="AK13">
        <v>50548</v>
      </c>
      <c r="AL13" t="s">
        <v>330</v>
      </c>
      <c r="AM13" t="s">
        <v>36</v>
      </c>
      <c r="AN13" t="s">
        <v>103</v>
      </c>
      <c r="AO13" t="s">
        <v>911</v>
      </c>
      <c r="AP13" t="s">
        <v>912</v>
      </c>
      <c r="AQ13" t="s">
        <v>457</v>
      </c>
      <c r="AR13">
        <v>17.850000000000001</v>
      </c>
      <c r="AS13">
        <v>25</v>
      </c>
      <c r="AT13">
        <v>58.65</v>
      </c>
      <c r="AV13" s="86" t="str">
        <f t="shared" si="10"/>
        <v>48374Share Sub Category SC Johnson</v>
      </c>
      <c r="AW13">
        <v>48374</v>
      </c>
      <c r="AX13" t="s">
        <v>370</v>
      </c>
      <c r="AY13" t="s">
        <v>482</v>
      </c>
      <c r="AZ13" t="s">
        <v>103</v>
      </c>
      <c r="BA13" t="s">
        <v>1135</v>
      </c>
      <c r="BB13" t="s">
        <v>1136</v>
      </c>
      <c r="BC13" t="s">
        <v>457</v>
      </c>
      <c r="BD13">
        <v>14.275</v>
      </c>
      <c r="BE13">
        <v>25</v>
      </c>
      <c r="BF13">
        <v>75.45</v>
      </c>
      <c r="BH13" s="86" t="str">
        <f t="shared" si="11"/>
        <v>48374Share Sub Category SC Johnson</v>
      </c>
      <c r="BI13">
        <v>48374</v>
      </c>
      <c r="BJ13" t="s">
        <v>370</v>
      </c>
      <c r="BK13" t="s">
        <v>482</v>
      </c>
      <c r="BL13" t="s">
        <v>103</v>
      </c>
      <c r="BM13" t="s">
        <v>1167</v>
      </c>
      <c r="BN13" t="s">
        <v>1168</v>
      </c>
      <c r="BO13" t="s">
        <v>457</v>
      </c>
      <c r="BP13">
        <v>21.425000000000001</v>
      </c>
      <c r="BQ13">
        <v>25</v>
      </c>
      <c r="BR13">
        <v>67.98</v>
      </c>
      <c r="BT13" s="86" t="str">
        <f t="shared" si="0"/>
        <v>48374Cross Merchan SC Johnson</v>
      </c>
      <c r="BU13">
        <v>48374</v>
      </c>
      <c r="BV13" t="s">
        <v>370</v>
      </c>
      <c r="BW13" t="s">
        <v>482</v>
      </c>
      <c r="BX13" t="s">
        <v>103</v>
      </c>
      <c r="BY13" t="s">
        <v>1346</v>
      </c>
      <c r="BZ13" t="s">
        <v>1347</v>
      </c>
      <c r="CA13" t="s">
        <v>111</v>
      </c>
      <c r="CB13">
        <v>3.335</v>
      </c>
      <c r="CC13">
        <v>5</v>
      </c>
      <c r="CD13">
        <v>65.38</v>
      </c>
      <c r="CF13" s="86" t="str">
        <f t="shared" si="1"/>
        <v>48374Cross Merchan SC Johnson</v>
      </c>
      <c r="CG13">
        <v>48374</v>
      </c>
      <c r="CH13" t="s">
        <v>370</v>
      </c>
      <c r="CI13" t="s">
        <v>482</v>
      </c>
      <c r="CJ13" t="s">
        <v>103</v>
      </c>
      <c r="CK13" t="s">
        <v>1453</v>
      </c>
      <c r="CL13" t="s">
        <v>1454</v>
      </c>
      <c r="CM13" t="s">
        <v>111</v>
      </c>
      <c r="CN13">
        <v>5</v>
      </c>
      <c r="CO13">
        <v>5</v>
      </c>
      <c r="CP13">
        <v>88.25</v>
      </c>
      <c r="CR13" s="86" t="str">
        <f t="shared" si="2"/>
        <v>48951Cross Merchan SC Johnson</v>
      </c>
      <c r="CS13">
        <v>48951</v>
      </c>
      <c r="CT13" t="s">
        <v>329</v>
      </c>
      <c r="CU13" t="s">
        <v>1306</v>
      </c>
      <c r="CV13" t="s">
        <v>103</v>
      </c>
      <c r="CW13" t="s">
        <v>1572</v>
      </c>
      <c r="CX13" t="s">
        <v>1573</v>
      </c>
      <c r="CY13" t="s">
        <v>111</v>
      </c>
      <c r="CZ13">
        <v>5</v>
      </c>
      <c r="DA13">
        <v>5</v>
      </c>
      <c r="DB13">
        <v>71.62</v>
      </c>
      <c r="DD13" s="86" t="str">
        <f t="shared" si="3"/>
        <v>48374Share Sub Category SC Johnson</v>
      </c>
      <c r="DE13">
        <v>48374</v>
      </c>
      <c r="DF13" t="s">
        <v>370</v>
      </c>
      <c r="DG13" t="s">
        <v>482</v>
      </c>
      <c r="DH13" t="s">
        <v>103</v>
      </c>
      <c r="DI13" t="s">
        <v>1672</v>
      </c>
      <c r="DJ13" t="s">
        <v>1673</v>
      </c>
      <c r="DK13" t="s">
        <v>457</v>
      </c>
      <c r="DL13">
        <v>17.850000000000001</v>
      </c>
      <c r="DM13">
        <v>25</v>
      </c>
      <c r="DN13">
        <v>85.25</v>
      </c>
      <c r="DP13" s="86" t="str">
        <f t="shared" si="4"/>
        <v>48248Share Sub Category SC Johnson</v>
      </c>
      <c r="DQ13">
        <v>48248</v>
      </c>
      <c r="DR13" t="s">
        <v>327</v>
      </c>
      <c r="DS13" t="s">
        <v>1345</v>
      </c>
      <c r="DT13" t="s">
        <v>103</v>
      </c>
      <c r="DU13" t="s">
        <v>1860</v>
      </c>
      <c r="DV13" t="s">
        <v>1861</v>
      </c>
      <c r="DW13" t="s">
        <v>457</v>
      </c>
      <c r="DX13">
        <v>21.425000000000001</v>
      </c>
      <c r="DY13">
        <v>25</v>
      </c>
      <c r="DZ13">
        <v>88.62</v>
      </c>
      <c r="EB13" s="86" t="str">
        <f t="shared" si="5"/>
        <v>48374Share Sub Category SC Johnson</v>
      </c>
      <c r="EC13">
        <v>48374</v>
      </c>
      <c r="ED13" t="s">
        <v>370</v>
      </c>
      <c r="EE13" t="s">
        <v>482</v>
      </c>
      <c r="EF13" t="s">
        <v>103</v>
      </c>
      <c r="EG13" t="s">
        <v>1910</v>
      </c>
      <c r="EH13" t="s">
        <v>1911</v>
      </c>
      <c r="EI13" t="s">
        <v>457</v>
      </c>
      <c r="EJ13">
        <v>17.850000000000001</v>
      </c>
      <c r="EK13">
        <v>25</v>
      </c>
      <c r="EL13">
        <v>78.849999999999994</v>
      </c>
    </row>
    <row r="14" spans="1:146" x14ac:dyDescent="0.35">
      <c r="A14" s="86" t="str">
        <f t="shared" si="6"/>
        <v>48374Mix + Intocáveis SC Johnson</v>
      </c>
      <c r="B14">
        <v>48374</v>
      </c>
      <c r="C14" t="s">
        <v>370</v>
      </c>
      <c r="D14" t="s">
        <v>103</v>
      </c>
      <c r="E14" t="s">
        <v>463</v>
      </c>
      <c r="F14" t="s">
        <v>464</v>
      </c>
      <c r="G14" t="s">
        <v>459</v>
      </c>
      <c r="H14">
        <v>67.930000000000007</v>
      </c>
      <c r="I14">
        <v>36</v>
      </c>
      <c r="J14">
        <v>45</v>
      </c>
      <c r="L14" s="86" t="str">
        <f t="shared" si="7"/>
        <v>48374Mix + Intocáveis SC Johnson</v>
      </c>
      <c r="M14">
        <v>48374</v>
      </c>
      <c r="N14" t="s">
        <v>370</v>
      </c>
      <c r="O14" t="s">
        <v>482</v>
      </c>
      <c r="P14" t="s">
        <v>103</v>
      </c>
      <c r="Q14" t="s">
        <v>620</v>
      </c>
      <c r="R14" t="s">
        <v>621</v>
      </c>
      <c r="S14" t="s">
        <v>459</v>
      </c>
      <c r="T14">
        <v>36</v>
      </c>
      <c r="U14">
        <v>45</v>
      </c>
      <c r="V14">
        <v>69.63</v>
      </c>
      <c r="X14" s="86" t="str">
        <f t="shared" si="8"/>
        <v>48374Mix + Intocáveis SC Johnson</v>
      </c>
      <c r="Y14">
        <v>48374</v>
      </c>
      <c r="Z14" t="s">
        <v>370</v>
      </c>
      <c r="AA14" t="s">
        <v>104</v>
      </c>
      <c r="AB14" t="s">
        <v>103</v>
      </c>
      <c r="AC14" t="s">
        <v>793</v>
      </c>
      <c r="AD14" t="s">
        <v>794</v>
      </c>
      <c r="AE14" t="s">
        <v>459</v>
      </c>
      <c r="AF14">
        <v>33.75</v>
      </c>
      <c r="AG14">
        <v>45</v>
      </c>
      <c r="AH14">
        <v>80.209999999999994</v>
      </c>
      <c r="AJ14" s="86" t="str">
        <f t="shared" si="9"/>
        <v>50548Cross Merchan SC Johnson</v>
      </c>
      <c r="AK14">
        <v>50548</v>
      </c>
      <c r="AL14" t="s">
        <v>330</v>
      </c>
      <c r="AM14" t="s">
        <v>36</v>
      </c>
      <c r="AN14" t="s">
        <v>103</v>
      </c>
      <c r="AO14" t="s">
        <v>911</v>
      </c>
      <c r="AP14" t="s">
        <v>912</v>
      </c>
      <c r="AQ14" t="s">
        <v>111</v>
      </c>
      <c r="AR14">
        <v>0</v>
      </c>
      <c r="AS14">
        <v>5</v>
      </c>
      <c r="AT14">
        <v>58.65</v>
      </c>
      <c r="AV14" s="86" t="str">
        <f t="shared" si="10"/>
        <v>48374Cross Merchan SC Johnson</v>
      </c>
      <c r="AW14">
        <v>48374</v>
      </c>
      <c r="AX14" t="s">
        <v>370</v>
      </c>
      <c r="AY14" t="s">
        <v>482</v>
      </c>
      <c r="AZ14" t="s">
        <v>103</v>
      </c>
      <c r="BA14" t="s">
        <v>1135</v>
      </c>
      <c r="BB14" t="s">
        <v>1136</v>
      </c>
      <c r="BC14" t="s">
        <v>111</v>
      </c>
      <c r="BD14">
        <v>3.335</v>
      </c>
      <c r="BE14">
        <v>5</v>
      </c>
      <c r="BF14">
        <v>75.45</v>
      </c>
      <c r="BH14" s="86" t="str">
        <f t="shared" si="11"/>
        <v>48374Cross Merchan SC Johnson</v>
      </c>
      <c r="BI14">
        <v>48374</v>
      </c>
      <c r="BJ14" t="s">
        <v>370</v>
      </c>
      <c r="BK14" t="s">
        <v>482</v>
      </c>
      <c r="BL14" t="s">
        <v>103</v>
      </c>
      <c r="BM14" t="s">
        <v>1167</v>
      </c>
      <c r="BN14" t="s">
        <v>1168</v>
      </c>
      <c r="BO14" t="s">
        <v>111</v>
      </c>
      <c r="BP14">
        <v>5</v>
      </c>
      <c r="BQ14">
        <v>5</v>
      </c>
      <c r="BR14">
        <v>67.98</v>
      </c>
      <c r="BT14" s="86" t="str">
        <f t="shared" si="0"/>
        <v>48374Execucao Bonus</v>
      </c>
      <c r="BU14">
        <v>48374</v>
      </c>
      <c r="BV14" t="s">
        <v>370</v>
      </c>
      <c r="BW14" t="s">
        <v>482</v>
      </c>
      <c r="BX14" t="s">
        <v>103</v>
      </c>
      <c r="BY14" t="s">
        <v>1346</v>
      </c>
      <c r="BZ14" t="s">
        <v>1347</v>
      </c>
      <c r="CA14" t="s">
        <v>1291</v>
      </c>
      <c r="CB14">
        <v>0</v>
      </c>
      <c r="CC14">
        <v>5</v>
      </c>
      <c r="CD14">
        <v>65.38</v>
      </c>
      <c r="CF14" s="86" t="str">
        <f t="shared" si="1"/>
        <v>48374Execucao Bonus</v>
      </c>
      <c r="CG14">
        <v>48374</v>
      </c>
      <c r="CH14" t="s">
        <v>370</v>
      </c>
      <c r="CI14" t="s">
        <v>482</v>
      </c>
      <c r="CJ14" t="s">
        <v>103</v>
      </c>
      <c r="CK14" t="s">
        <v>1453</v>
      </c>
      <c r="CL14" t="s">
        <v>1454</v>
      </c>
      <c r="CM14" t="s">
        <v>1291</v>
      </c>
      <c r="CN14">
        <v>5</v>
      </c>
      <c r="CO14">
        <v>5</v>
      </c>
      <c r="CP14">
        <v>88.25</v>
      </c>
      <c r="CR14" s="86" t="str">
        <f t="shared" si="2"/>
        <v>48951Execucao Bonus</v>
      </c>
      <c r="CS14">
        <v>48951</v>
      </c>
      <c r="CT14" t="s">
        <v>329</v>
      </c>
      <c r="CU14" t="s">
        <v>1306</v>
      </c>
      <c r="CV14" t="s">
        <v>103</v>
      </c>
      <c r="CW14" t="s">
        <v>1572</v>
      </c>
      <c r="CX14" t="s">
        <v>1573</v>
      </c>
      <c r="CY14" t="s">
        <v>1291</v>
      </c>
      <c r="CZ14">
        <v>5</v>
      </c>
      <c r="DA14">
        <v>5</v>
      </c>
      <c r="DB14">
        <v>71.62</v>
      </c>
      <c r="DD14" s="86" t="str">
        <f t="shared" si="3"/>
        <v>48374Share Sub Loc Pao Quente SC Johnson</v>
      </c>
      <c r="DE14">
        <v>48374</v>
      </c>
      <c r="DF14" t="s">
        <v>370</v>
      </c>
      <c r="DG14" t="s">
        <v>482</v>
      </c>
      <c r="DH14" t="s">
        <v>103</v>
      </c>
      <c r="DI14" t="s">
        <v>1672</v>
      </c>
      <c r="DJ14" t="s">
        <v>1673</v>
      </c>
      <c r="DK14" t="s">
        <v>458</v>
      </c>
      <c r="DL14">
        <v>9</v>
      </c>
      <c r="DM14">
        <v>12</v>
      </c>
      <c r="DN14">
        <v>85.25</v>
      </c>
      <c r="DP14" s="86" t="str">
        <f t="shared" si="4"/>
        <v>48248Share Sub Loc Pao Quente SC Johnson</v>
      </c>
      <c r="DQ14">
        <v>48248</v>
      </c>
      <c r="DR14" t="s">
        <v>327</v>
      </c>
      <c r="DS14" t="s">
        <v>1345</v>
      </c>
      <c r="DT14" t="s">
        <v>103</v>
      </c>
      <c r="DU14" t="s">
        <v>1860</v>
      </c>
      <c r="DV14" t="s">
        <v>1861</v>
      </c>
      <c r="DW14" t="s">
        <v>458</v>
      </c>
      <c r="DX14">
        <v>12</v>
      </c>
      <c r="DY14">
        <v>12</v>
      </c>
      <c r="DZ14">
        <v>88.62</v>
      </c>
      <c r="EB14" s="86" t="str">
        <f t="shared" si="5"/>
        <v>48374Share Sub Loc Pao Quente SC Johnson</v>
      </c>
      <c r="EC14">
        <v>48374</v>
      </c>
      <c r="ED14" t="s">
        <v>370</v>
      </c>
      <c r="EE14" t="s">
        <v>482</v>
      </c>
      <c r="EF14" t="s">
        <v>103</v>
      </c>
      <c r="EG14" t="s">
        <v>1910</v>
      </c>
      <c r="EH14" t="s">
        <v>1911</v>
      </c>
      <c r="EI14" t="s">
        <v>458</v>
      </c>
      <c r="EJ14">
        <v>9</v>
      </c>
      <c r="EK14">
        <v>12</v>
      </c>
      <c r="EL14">
        <v>78.849999999999994</v>
      </c>
    </row>
    <row r="15" spans="1:146" x14ac:dyDescent="0.35">
      <c r="A15" s="86" t="str">
        <f t="shared" si="6"/>
        <v>48796Share Sub Category SC Johnson</v>
      </c>
      <c r="B15">
        <v>48796</v>
      </c>
      <c r="C15" t="s">
        <v>328</v>
      </c>
      <c r="D15" t="s">
        <v>103</v>
      </c>
      <c r="E15" t="s">
        <v>465</v>
      </c>
      <c r="F15" t="s">
        <v>466</v>
      </c>
      <c r="G15" t="s">
        <v>457</v>
      </c>
      <c r="H15">
        <v>66.5</v>
      </c>
      <c r="I15">
        <v>21.42</v>
      </c>
      <c r="J15">
        <v>30</v>
      </c>
      <c r="L15" s="86" t="str">
        <f t="shared" si="7"/>
        <v>48796Share Sub Category SC Johnson</v>
      </c>
      <c r="M15">
        <v>48796</v>
      </c>
      <c r="N15" t="s">
        <v>328</v>
      </c>
      <c r="O15" t="s">
        <v>36</v>
      </c>
      <c r="P15" t="s">
        <v>103</v>
      </c>
      <c r="Q15" t="s">
        <v>622</v>
      </c>
      <c r="R15" t="s">
        <v>623</v>
      </c>
      <c r="S15" t="s">
        <v>457</v>
      </c>
      <c r="T15">
        <v>25.71</v>
      </c>
      <c r="U15">
        <v>30</v>
      </c>
      <c r="V15">
        <v>72.459999999999994</v>
      </c>
      <c r="X15" s="86" t="str">
        <f t="shared" si="8"/>
        <v>48951Share Sub Category SC Johnson</v>
      </c>
      <c r="Y15">
        <v>48951</v>
      </c>
      <c r="Z15" t="s">
        <v>329</v>
      </c>
      <c r="AA15" t="s">
        <v>36</v>
      </c>
      <c r="AB15" t="s">
        <v>103</v>
      </c>
      <c r="AC15" t="s">
        <v>759</v>
      </c>
      <c r="AD15" t="s">
        <v>760</v>
      </c>
      <c r="AE15" t="s">
        <v>457</v>
      </c>
      <c r="AF15">
        <v>25.71</v>
      </c>
      <c r="AG15">
        <v>30</v>
      </c>
      <c r="AH15">
        <v>90.09</v>
      </c>
      <c r="AJ15" s="86" t="str">
        <f t="shared" si="9"/>
        <v>50548Share Sub Loc Pao Quente SC Johnson</v>
      </c>
      <c r="AK15">
        <v>50548</v>
      </c>
      <c r="AL15" t="s">
        <v>330</v>
      </c>
      <c r="AM15" t="s">
        <v>36</v>
      </c>
      <c r="AN15" t="s">
        <v>103</v>
      </c>
      <c r="AO15" t="s">
        <v>911</v>
      </c>
      <c r="AP15" t="s">
        <v>912</v>
      </c>
      <c r="AQ15" t="s">
        <v>458</v>
      </c>
      <c r="AR15">
        <v>6</v>
      </c>
      <c r="AS15">
        <v>12</v>
      </c>
      <c r="AT15">
        <v>58.65</v>
      </c>
      <c r="AV15" s="86" t="str">
        <f t="shared" si="10"/>
        <v>48374Share Sub Loc Pao Quente SC Johnson</v>
      </c>
      <c r="AW15">
        <v>48374</v>
      </c>
      <c r="AX15" t="s">
        <v>370</v>
      </c>
      <c r="AY15" t="s">
        <v>482</v>
      </c>
      <c r="AZ15" t="s">
        <v>103</v>
      </c>
      <c r="BA15" t="s">
        <v>1135</v>
      </c>
      <c r="BB15" t="s">
        <v>1136</v>
      </c>
      <c r="BC15" t="s">
        <v>458</v>
      </c>
      <c r="BD15">
        <v>12</v>
      </c>
      <c r="BE15">
        <v>12</v>
      </c>
      <c r="BF15">
        <v>75.45</v>
      </c>
      <c r="BH15" s="86" t="str">
        <f t="shared" si="11"/>
        <v>48374Share Sub Loc Pao Quente SC Johnson</v>
      </c>
      <c r="BI15">
        <v>48374</v>
      </c>
      <c r="BJ15" t="s">
        <v>370</v>
      </c>
      <c r="BK15" t="s">
        <v>482</v>
      </c>
      <c r="BL15" t="s">
        <v>103</v>
      </c>
      <c r="BM15" t="s">
        <v>1167</v>
      </c>
      <c r="BN15" t="s">
        <v>1168</v>
      </c>
      <c r="BO15" t="s">
        <v>458</v>
      </c>
      <c r="BP15">
        <v>12</v>
      </c>
      <c r="BQ15">
        <v>12</v>
      </c>
      <c r="BR15">
        <v>67.98</v>
      </c>
      <c r="BT15" s="86" t="str">
        <f t="shared" si="0"/>
        <v>48951Lancamentos</v>
      </c>
      <c r="BU15">
        <v>48951</v>
      </c>
      <c r="BV15" t="s">
        <v>329</v>
      </c>
      <c r="BW15" t="s">
        <v>1306</v>
      </c>
      <c r="BX15" t="s">
        <v>103</v>
      </c>
      <c r="BY15" t="s">
        <v>1348</v>
      </c>
      <c r="BZ15" t="s">
        <v>1349</v>
      </c>
      <c r="CA15" t="s">
        <v>953</v>
      </c>
      <c r="CB15">
        <v>9</v>
      </c>
      <c r="CC15">
        <v>18</v>
      </c>
      <c r="CD15">
        <v>81.33</v>
      </c>
      <c r="CF15" s="86" t="str">
        <f t="shared" si="1"/>
        <v>48951Lancamentos</v>
      </c>
      <c r="CG15">
        <v>48951</v>
      </c>
      <c r="CH15" t="s">
        <v>329</v>
      </c>
      <c r="CI15" t="s">
        <v>1306</v>
      </c>
      <c r="CJ15" t="s">
        <v>103</v>
      </c>
      <c r="CK15" t="s">
        <v>1430</v>
      </c>
      <c r="CL15" t="s">
        <v>1431</v>
      </c>
      <c r="CM15" t="s">
        <v>953</v>
      </c>
      <c r="CN15">
        <v>9</v>
      </c>
      <c r="CO15">
        <v>18</v>
      </c>
      <c r="CP15">
        <v>84.6</v>
      </c>
      <c r="CR15" s="86" t="str">
        <f t="shared" si="2"/>
        <v>50548Lancamentos</v>
      </c>
      <c r="CS15">
        <v>50548</v>
      </c>
      <c r="CT15" t="s">
        <v>330</v>
      </c>
      <c r="CU15" t="s">
        <v>1306</v>
      </c>
      <c r="CV15" t="s">
        <v>103</v>
      </c>
      <c r="CW15" t="s">
        <v>1542</v>
      </c>
      <c r="CX15" t="s">
        <v>1543</v>
      </c>
      <c r="CY15" t="s">
        <v>953</v>
      </c>
      <c r="CZ15">
        <v>18</v>
      </c>
      <c r="DA15">
        <v>18</v>
      </c>
      <c r="DB15">
        <v>101</v>
      </c>
      <c r="DD15" s="86" t="str">
        <f t="shared" si="3"/>
        <v>50548Mix + Intocáveis SC Johnson</v>
      </c>
      <c r="DE15">
        <v>50548</v>
      </c>
      <c r="DF15" t="s">
        <v>330</v>
      </c>
      <c r="DG15" t="s">
        <v>1306</v>
      </c>
      <c r="DH15" t="s">
        <v>103</v>
      </c>
      <c r="DI15" t="s">
        <v>1674</v>
      </c>
      <c r="DJ15" t="s">
        <v>1675</v>
      </c>
      <c r="DK15" t="s">
        <v>459</v>
      </c>
      <c r="DL15">
        <v>37.6</v>
      </c>
      <c r="DM15">
        <v>40</v>
      </c>
      <c r="DN15">
        <v>100</v>
      </c>
      <c r="DP15" s="86" t="str">
        <f t="shared" si="4"/>
        <v>48374Mix + Intocáveis SC Johnson</v>
      </c>
      <c r="DQ15">
        <v>48374</v>
      </c>
      <c r="DR15" t="s">
        <v>370</v>
      </c>
      <c r="DS15" t="s">
        <v>482</v>
      </c>
      <c r="DT15" t="s">
        <v>103</v>
      </c>
      <c r="DU15" t="s">
        <v>1800</v>
      </c>
      <c r="DV15" t="s">
        <v>1801</v>
      </c>
      <c r="DW15" t="s">
        <v>459</v>
      </c>
      <c r="DX15">
        <v>25.6</v>
      </c>
      <c r="DY15">
        <v>40</v>
      </c>
      <c r="DZ15">
        <v>76.88</v>
      </c>
      <c r="EB15" s="86" t="str">
        <f t="shared" si="5"/>
        <v>48951Mix + Intocáveis SC Johnson</v>
      </c>
      <c r="EC15">
        <v>48951</v>
      </c>
      <c r="ED15" t="s">
        <v>329</v>
      </c>
      <c r="EE15" t="s">
        <v>1306</v>
      </c>
      <c r="EF15" t="s">
        <v>103</v>
      </c>
      <c r="EG15" t="s">
        <v>1912</v>
      </c>
      <c r="EH15" t="s">
        <v>1913</v>
      </c>
      <c r="EI15" t="s">
        <v>459</v>
      </c>
      <c r="EJ15">
        <v>37.6</v>
      </c>
      <c r="EK15">
        <v>40</v>
      </c>
      <c r="EL15">
        <v>95.45</v>
      </c>
    </row>
    <row r="16" spans="1:146" x14ac:dyDescent="0.35">
      <c r="A16" s="86" t="str">
        <f t="shared" si="6"/>
        <v>48796Cross Merchan SC Johnson</v>
      </c>
      <c r="B16">
        <v>48796</v>
      </c>
      <c r="C16" t="s">
        <v>328</v>
      </c>
      <c r="D16" t="s">
        <v>103</v>
      </c>
      <c r="E16" t="s">
        <v>465</v>
      </c>
      <c r="F16" t="s">
        <v>466</v>
      </c>
      <c r="G16" t="s">
        <v>111</v>
      </c>
      <c r="H16">
        <v>66.5</v>
      </c>
      <c r="I16">
        <v>0</v>
      </c>
      <c r="J16">
        <v>8</v>
      </c>
      <c r="L16" s="86" t="str">
        <f t="shared" si="7"/>
        <v>48796Cross Merchan SC Johnson</v>
      </c>
      <c r="M16">
        <v>48796</v>
      </c>
      <c r="N16" t="s">
        <v>328</v>
      </c>
      <c r="O16" t="s">
        <v>36</v>
      </c>
      <c r="P16" t="s">
        <v>103</v>
      </c>
      <c r="Q16" t="s">
        <v>622</v>
      </c>
      <c r="R16" t="s">
        <v>623</v>
      </c>
      <c r="S16" t="s">
        <v>111</v>
      </c>
      <c r="T16">
        <v>0</v>
      </c>
      <c r="U16">
        <v>8</v>
      </c>
      <c r="V16">
        <v>72.459999999999994</v>
      </c>
      <c r="X16" s="86" t="str">
        <f t="shared" si="8"/>
        <v>48951Cross Merchan SC Johnson</v>
      </c>
      <c r="Y16">
        <v>48951</v>
      </c>
      <c r="Z16" t="s">
        <v>329</v>
      </c>
      <c r="AA16" t="s">
        <v>36</v>
      </c>
      <c r="AB16" t="s">
        <v>103</v>
      </c>
      <c r="AC16" t="s">
        <v>759</v>
      </c>
      <c r="AD16" t="s">
        <v>760</v>
      </c>
      <c r="AE16" t="s">
        <v>111</v>
      </c>
      <c r="AF16">
        <v>8</v>
      </c>
      <c r="AG16">
        <v>8</v>
      </c>
      <c r="AH16">
        <v>90.09</v>
      </c>
      <c r="AJ16" s="86" t="str">
        <f t="shared" si="9"/>
        <v>50548Mix + Intocáveis SC Johnson</v>
      </c>
      <c r="AK16">
        <v>50548</v>
      </c>
      <c r="AL16" t="s">
        <v>330</v>
      </c>
      <c r="AM16" t="s">
        <v>36</v>
      </c>
      <c r="AN16" t="s">
        <v>103</v>
      </c>
      <c r="AO16" t="s">
        <v>911</v>
      </c>
      <c r="AP16" t="s">
        <v>912</v>
      </c>
      <c r="AQ16" t="s">
        <v>459</v>
      </c>
      <c r="AR16">
        <v>34.799999999999997</v>
      </c>
      <c r="AS16">
        <v>40</v>
      </c>
      <c r="AT16">
        <v>58.65</v>
      </c>
      <c r="AV16" s="86" t="str">
        <f t="shared" si="10"/>
        <v>48374Mix + Intocáveis SC Johnson</v>
      </c>
      <c r="AW16">
        <v>48374</v>
      </c>
      <c r="AX16" t="s">
        <v>370</v>
      </c>
      <c r="AY16" t="s">
        <v>482</v>
      </c>
      <c r="AZ16" t="s">
        <v>103</v>
      </c>
      <c r="BA16" t="s">
        <v>1135</v>
      </c>
      <c r="BB16" t="s">
        <v>1136</v>
      </c>
      <c r="BC16" t="s">
        <v>459</v>
      </c>
      <c r="BD16">
        <v>27.84</v>
      </c>
      <c r="BE16">
        <v>40</v>
      </c>
      <c r="BF16">
        <v>75.45</v>
      </c>
      <c r="BH16" s="86" t="str">
        <f t="shared" si="11"/>
        <v>48374Mix + Intocáveis SC Johnson</v>
      </c>
      <c r="BI16">
        <v>48374</v>
      </c>
      <c r="BJ16" t="s">
        <v>370</v>
      </c>
      <c r="BK16" t="s">
        <v>482</v>
      </c>
      <c r="BL16" t="s">
        <v>103</v>
      </c>
      <c r="BM16" t="s">
        <v>1167</v>
      </c>
      <c r="BN16" t="s">
        <v>1168</v>
      </c>
      <c r="BO16" t="s">
        <v>459</v>
      </c>
      <c r="BP16">
        <v>29.56</v>
      </c>
      <c r="BQ16">
        <v>40</v>
      </c>
      <c r="BR16">
        <v>67.98</v>
      </c>
      <c r="BT16" s="86" t="str">
        <f t="shared" si="0"/>
        <v>48951Mix + Intocáveis SC Johnson</v>
      </c>
      <c r="BU16">
        <v>48951</v>
      </c>
      <c r="BV16" t="s">
        <v>329</v>
      </c>
      <c r="BW16" t="s">
        <v>1306</v>
      </c>
      <c r="BX16" t="s">
        <v>103</v>
      </c>
      <c r="BY16" t="s">
        <v>1348</v>
      </c>
      <c r="BZ16" t="s">
        <v>1349</v>
      </c>
      <c r="CA16" t="s">
        <v>459</v>
      </c>
      <c r="CB16">
        <v>32</v>
      </c>
      <c r="CC16">
        <v>40</v>
      </c>
      <c r="CD16">
        <v>81.33</v>
      </c>
      <c r="CF16" s="86" t="str">
        <f t="shared" si="1"/>
        <v>48951Mix + Intocáveis SC Johnson</v>
      </c>
      <c r="CG16">
        <v>48951</v>
      </c>
      <c r="CH16" t="s">
        <v>329</v>
      </c>
      <c r="CI16" t="s">
        <v>1306</v>
      </c>
      <c r="CJ16" t="s">
        <v>103</v>
      </c>
      <c r="CK16" t="s">
        <v>1430</v>
      </c>
      <c r="CL16" t="s">
        <v>1431</v>
      </c>
      <c r="CM16" t="s">
        <v>459</v>
      </c>
      <c r="CN16">
        <v>33.6</v>
      </c>
      <c r="CO16">
        <v>40</v>
      </c>
      <c r="CP16">
        <v>84.6</v>
      </c>
      <c r="CR16" s="86" t="str">
        <f t="shared" si="2"/>
        <v>50548Mix + Intocáveis SC Johnson</v>
      </c>
      <c r="CS16">
        <v>50548</v>
      </c>
      <c r="CT16" t="s">
        <v>330</v>
      </c>
      <c r="CU16" t="s">
        <v>1306</v>
      </c>
      <c r="CV16" t="s">
        <v>103</v>
      </c>
      <c r="CW16" t="s">
        <v>1542</v>
      </c>
      <c r="CX16" t="s">
        <v>1543</v>
      </c>
      <c r="CY16" t="s">
        <v>459</v>
      </c>
      <c r="CZ16">
        <v>36</v>
      </c>
      <c r="DA16">
        <v>40</v>
      </c>
      <c r="DB16">
        <v>101</v>
      </c>
      <c r="DD16" s="86" t="str">
        <f t="shared" si="3"/>
        <v>50548Execucao Bonus</v>
      </c>
      <c r="DE16">
        <v>50548</v>
      </c>
      <c r="DF16" t="s">
        <v>330</v>
      </c>
      <c r="DG16" t="s">
        <v>1306</v>
      </c>
      <c r="DH16" t="s">
        <v>103</v>
      </c>
      <c r="DI16" t="s">
        <v>1674</v>
      </c>
      <c r="DJ16" t="s">
        <v>1675</v>
      </c>
      <c r="DK16" t="s">
        <v>1291</v>
      </c>
      <c r="DL16">
        <v>2.4</v>
      </c>
      <c r="DM16">
        <v>5</v>
      </c>
      <c r="DN16">
        <v>100</v>
      </c>
      <c r="DP16" s="86" t="str">
        <f t="shared" si="4"/>
        <v>48374Execucao Bonus</v>
      </c>
      <c r="DQ16">
        <v>48374</v>
      </c>
      <c r="DR16" t="s">
        <v>370</v>
      </c>
      <c r="DS16" t="s">
        <v>482</v>
      </c>
      <c r="DT16" t="s">
        <v>103</v>
      </c>
      <c r="DU16" t="s">
        <v>1800</v>
      </c>
      <c r="DV16" t="s">
        <v>1801</v>
      </c>
      <c r="DW16" t="s">
        <v>1291</v>
      </c>
      <c r="DX16">
        <v>5</v>
      </c>
      <c r="DY16">
        <v>5</v>
      </c>
      <c r="DZ16">
        <v>76.88</v>
      </c>
      <c r="EB16" s="86" t="str">
        <f t="shared" si="5"/>
        <v>48951Execucao Bonus</v>
      </c>
      <c r="EC16">
        <v>48951</v>
      </c>
      <c r="ED16" t="s">
        <v>329</v>
      </c>
      <c r="EE16" t="s">
        <v>1306</v>
      </c>
      <c r="EF16" t="s">
        <v>103</v>
      </c>
      <c r="EG16" t="s">
        <v>1912</v>
      </c>
      <c r="EH16" t="s">
        <v>1913</v>
      </c>
      <c r="EI16" t="s">
        <v>1291</v>
      </c>
      <c r="EJ16">
        <v>5</v>
      </c>
      <c r="EK16">
        <v>5</v>
      </c>
      <c r="EL16">
        <v>95.45</v>
      </c>
    </row>
    <row r="17" spans="1:142" x14ac:dyDescent="0.35">
      <c r="A17" s="86" t="str">
        <f t="shared" si="6"/>
        <v>48796Share Sub Loc Pao Quente SC Johnson</v>
      </c>
      <c r="B17">
        <v>48796</v>
      </c>
      <c r="C17" t="s">
        <v>328</v>
      </c>
      <c r="D17" t="s">
        <v>103</v>
      </c>
      <c r="E17" t="s">
        <v>465</v>
      </c>
      <c r="F17" t="s">
        <v>466</v>
      </c>
      <c r="G17" t="s">
        <v>458</v>
      </c>
      <c r="H17">
        <v>66.5</v>
      </c>
      <c r="I17">
        <v>10.199999999999999</v>
      </c>
      <c r="J17">
        <v>17</v>
      </c>
      <c r="L17" s="86" t="str">
        <f t="shared" si="7"/>
        <v>48796Share Sub Loc Pao Quente SC Johnson</v>
      </c>
      <c r="M17">
        <v>48796</v>
      </c>
      <c r="N17" t="s">
        <v>328</v>
      </c>
      <c r="O17" t="s">
        <v>36</v>
      </c>
      <c r="P17" t="s">
        <v>103</v>
      </c>
      <c r="Q17" t="s">
        <v>622</v>
      </c>
      <c r="R17" t="s">
        <v>623</v>
      </c>
      <c r="S17" t="s">
        <v>458</v>
      </c>
      <c r="T17">
        <v>8.5</v>
      </c>
      <c r="U17">
        <v>17</v>
      </c>
      <c r="V17">
        <v>72.459999999999994</v>
      </c>
      <c r="X17" s="86" t="str">
        <f t="shared" si="8"/>
        <v>48951Share Sub Loc Pao Quente SC Johnson</v>
      </c>
      <c r="Y17">
        <v>48951</v>
      </c>
      <c r="Z17" t="s">
        <v>329</v>
      </c>
      <c r="AA17" t="s">
        <v>36</v>
      </c>
      <c r="AB17" t="s">
        <v>103</v>
      </c>
      <c r="AC17" t="s">
        <v>759</v>
      </c>
      <c r="AD17" t="s">
        <v>760</v>
      </c>
      <c r="AE17" t="s">
        <v>458</v>
      </c>
      <c r="AF17">
        <v>17</v>
      </c>
      <c r="AG17">
        <v>17</v>
      </c>
      <c r="AH17">
        <v>90.09</v>
      </c>
      <c r="AJ17" s="86" t="str">
        <f t="shared" si="9"/>
        <v>50548Lancamentos</v>
      </c>
      <c r="AK17">
        <v>50548</v>
      </c>
      <c r="AL17" t="s">
        <v>330</v>
      </c>
      <c r="AM17" t="s">
        <v>36</v>
      </c>
      <c r="AN17" t="s">
        <v>103</v>
      </c>
      <c r="AO17" t="s">
        <v>911</v>
      </c>
      <c r="AP17" t="s">
        <v>912</v>
      </c>
      <c r="AQ17" t="s">
        <v>953</v>
      </c>
      <c r="AR17">
        <v>0</v>
      </c>
      <c r="AS17">
        <v>18</v>
      </c>
      <c r="AT17">
        <v>58.65</v>
      </c>
      <c r="AV17" s="86" t="str">
        <f t="shared" si="10"/>
        <v>48374Lancamentos</v>
      </c>
      <c r="AW17">
        <v>48374</v>
      </c>
      <c r="AX17" t="s">
        <v>370</v>
      </c>
      <c r="AY17" t="s">
        <v>482</v>
      </c>
      <c r="AZ17" t="s">
        <v>103</v>
      </c>
      <c r="BA17" t="s">
        <v>1135</v>
      </c>
      <c r="BB17" t="s">
        <v>1136</v>
      </c>
      <c r="BC17" t="s">
        <v>953</v>
      </c>
      <c r="BD17">
        <v>18</v>
      </c>
      <c r="BE17">
        <v>18</v>
      </c>
      <c r="BF17">
        <v>75.45</v>
      </c>
      <c r="BH17" s="86" t="str">
        <f t="shared" si="11"/>
        <v>48374Lancamentos</v>
      </c>
      <c r="BI17">
        <v>48374</v>
      </c>
      <c r="BJ17" t="s">
        <v>370</v>
      </c>
      <c r="BK17" t="s">
        <v>482</v>
      </c>
      <c r="BL17" t="s">
        <v>103</v>
      </c>
      <c r="BM17" t="s">
        <v>1167</v>
      </c>
      <c r="BN17" t="s">
        <v>1168</v>
      </c>
      <c r="BO17" t="s">
        <v>953</v>
      </c>
      <c r="BP17">
        <v>0</v>
      </c>
      <c r="BQ17">
        <v>18</v>
      </c>
      <c r="BR17">
        <v>67.98</v>
      </c>
      <c r="BT17" s="86" t="str">
        <f t="shared" si="0"/>
        <v>48951Share Sub Category SC Johnson</v>
      </c>
      <c r="BU17">
        <v>48951</v>
      </c>
      <c r="BV17" t="s">
        <v>329</v>
      </c>
      <c r="BW17" t="s">
        <v>1306</v>
      </c>
      <c r="BX17" t="s">
        <v>103</v>
      </c>
      <c r="BY17" t="s">
        <v>1348</v>
      </c>
      <c r="BZ17" t="s">
        <v>1349</v>
      </c>
      <c r="CA17" t="s">
        <v>457</v>
      </c>
      <c r="CB17">
        <v>25</v>
      </c>
      <c r="CC17">
        <v>25</v>
      </c>
      <c r="CD17">
        <v>81.33</v>
      </c>
      <c r="CF17" s="86" t="str">
        <f t="shared" si="1"/>
        <v>48951Share Sub Category SC Johnson</v>
      </c>
      <c r="CG17">
        <v>48951</v>
      </c>
      <c r="CH17" t="s">
        <v>329</v>
      </c>
      <c r="CI17" t="s">
        <v>1306</v>
      </c>
      <c r="CJ17" t="s">
        <v>103</v>
      </c>
      <c r="CK17" t="s">
        <v>1430</v>
      </c>
      <c r="CL17" t="s">
        <v>1431</v>
      </c>
      <c r="CM17" t="s">
        <v>457</v>
      </c>
      <c r="CN17">
        <v>25</v>
      </c>
      <c r="CO17">
        <v>25</v>
      </c>
      <c r="CP17">
        <v>84.6</v>
      </c>
      <c r="CR17" s="86" t="str">
        <f t="shared" si="2"/>
        <v>50548Share Sub Category SC Johnson</v>
      </c>
      <c r="CS17">
        <v>50548</v>
      </c>
      <c r="CT17" t="s">
        <v>330</v>
      </c>
      <c r="CU17" t="s">
        <v>1306</v>
      </c>
      <c r="CV17" t="s">
        <v>103</v>
      </c>
      <c r="CW17" t="s">
        <v>1542</v>
      </c>
      <c r="CX17" t="s">
        <v>1543</v>
      </c>
      <c r="CY17" t="s">
        <v>457</v>
      </c>
      <c r="CZ17">
        <v>25</v>
      </c>
      <c r="DA17">
        <v>25</v>
      </c>
      <c r="DB17">
        <v>101</v>
      </c>
      <c r="DD17" s="86" t="str">
        <f t="shared" si="3"/>
        <v>50548Cross Merchan SC Johnson</v>
      </c>
      <c r="DE17">
        <v>50548</v>
      </c>
      <c r="DF17" t="s">
        <v>330</v>
      </c>
      <c r="DG17" t="s">
        <v>1306</v>
      </c>
      <c r="DH17" t="s">
        <v>103</v>
      </c>
      <c r="DI17" t="s">
        <v>1674</v>
      </c>
      <c r="DJ17" t="s">
        <v>1675</v>
      </c>
      <c r="DK17" t="s">
        <v>111</v>
      </c>
      <c r="DL17">
        <v>5</v>
      </c>
      <c r="DM17">
        <v>5</v>
      </c>
      <c r="DN17">
        <v>100</v>
      </c>
      <c r="DP17" s="86" t="str">
        <f t="shared" si="4"/>
        <v>48374Cross Merchan SC Johnson</v>
      </c>
      <c r="DQ17">
        <v>48374</v>
      </c>
      <c r="DR17" t="s">
        <v>370</v>
      </c>
      <c r="DS17" t="s">
        <v>482</v>
      </c>
      <c r="DT17" t="s">
        <v>103</v>
      </c>
      <c r="DU17" t="s">
        <v>1800</v>
      </c>
      <c r="DV17" t="s">
        <v>1801</v>
      </c>
      <c r="DW17" t="s">
        <v>111</v>
      </c>
      <c r="DX17">
        <v>5</v>
      </c>
      <c r="DY17">
        <v>5</v>
      </c>
      <c r="DZ17">
        <v>76.88</v>
      </c>
      <c r="EB17" s="86" t="str">
        <f t="shared" si="5"/>
        <v>48951Cross Merchan SC Johnson</v>
      </c>
      <c r="EC17">
        <v>48951</v>
      </c>
      <c r="ED17" t="s">
        <v>329</v>
      </c>
      <c r="EE17" t="s">
        <v>1306</v>
      </c>
      <c r="EF17" t="s">
        <v>103</v>
      </c>
      <c r="EG17" t="s">
        <v>1912</v>
      </c>
      <c r="EH17" t="s">
        <v>1913</v>
      </c>
      <c r="EI17" t="s">
        <v>111</v>
      </c>
      <c r="EJ17">
        <v>5</v>
      </c>
      <c r="EK17">
        <v>5</v>
      </c>
      <c r="EL17">
        <v>95.45</v>
      </c>
    </row>
    <row r="18" spans="1:142" x14ac:dyDescent="0.35">
      <c r="A18" s="86" t="str">
        <f t="shared" si="6"/>
        <v>48796Mix + Intocáveis SC Johnson</v>
      </c>
      <c r="B18">
        <v>48796</v>
      </c>
      <c r="C18" t="s">
        <v>328</v>
      </c>
      <c r="D18" t="s">
        <v>103</v>
      </c>
      <c r="E18" t="s">
        <v>465</v>
      </c>
      <c r="F18" t="s">
        <v>466</v>
      </c>
      <c r="G18" t="s">
        <v>459</v>
      </c>
      <c r="H18">
        <v>66.5</v>
      </c>
      <c r="I18">
        <v>34.875</v>
      </c>
      <c r="J18">
        <v>45</v>
      </c>
      <c r="L18" s="86" t="str">
        <f t="shared" si="7"/>
        <v>48796Mix + Intocáveis SC Johnson</v>
      </c>
      <c r="M18">
        <v>48796</v>
      </c>
      <c r="N18" t="s">
        <v>328</v>
      </c>
      <c r="O18" t="s">
        <v>36</v>
      </c>
      <c r="P18" t="s">
        <v>103</v>
      </c>
      <c r="Q18" t="s">
        <v>622</v>
      </c>
      <c r="R18" t="s">
        <v>623</v>
      </c>
      <c r="S18" t="s">
        <v>459</v>
      </c>
      <c r="T18">
        <v>38.25</v>
      </c>
      <c r="U18">
        <v>45</v>
      </c>
      <c r="V18">
        <v>72.459999999999994</v>
      </c>
      <c r="X18" s="86" t="str">
        <f t="shared" si="8"/>
        <v>48951Mix + Intocáveis SC Johnson</v>
      </c>
      <c r="Y18">
        <v>48951</v>
      </c>
      <c r="Z18" t="s">
        <v>329</v>
      </c>
      <c r="AA18" t="s">
        <v>36</v>
      </c>
      <c r="AB18" t="s">
        <v>103</v>
      </c>
      <c r="AC18" t="s">
        <v>759</v>
      </c>
      <c r="AD18" t="s">
        <v>760</v>
      </c>
      <c r="AE18" t="s">
        <v>459</v>
      </c>
      <c r="AF18">
        <v>39.375</v>
      </c>
      <c r="AG18">
        <v>45</v>
      </c>
      <c r="AH18">
        <v>90.09</v>
      </c>
      <c r="AJ18" s="86" t="str">
        <f t="shared" si="9"/>
        <v>51049Share Sub Category SC Johnson</v>
      </c>
      <c r="AK18">
        <v>51049</v>
      </c>
      <c r="AL18" t="s">
        <v>371</v>
      </c>
      <c r="AM18" t="s">
        <v>104</v>
      </c>
      <c r="AN18" t="s">
        <v>103</v>
      </c>
      <c r="AO18" t="s">
        <v>913</v>
      </c>
      <c r="AP18" t="s">
        <v>914</v>
      </c>
      <c r="AQ18" t="s">
        <v>457</v>
      </c>
      <c r="AR18">
        <v>21.425000000000001</v>
      </c>
      <c r="AS18">
        <v>25</v>
      </c>
      <c r="AT18">
        <v>66.37</v>
      </c>
      <c r="AV18" s="86" t="str">
        <f t="shared" si="10"/>
        <v>48951Share Sub Category SC Johnson</v>
      </c>
      <c r="AW18">
        <v>48951</v>
      </c>
      <c r="AX18" t="s">
        <v>329</v>
      </c>
      <c r="AY18" t="s">
        <v>36</v>
      </c>
      <c r="AZ18" t="s">
        <v>103</v>
      </c>
      <c r="BA18" t="s">
        <v>1043</v>
      </c>
      <c r="BB18" t="s">
        <v>1044</v>
      </c>
      <c r="BC18" t="s">
        <v>457</v>
      </c>
      <c r="BD18">
        <v>25</v>
      </c>
      <c r="BE18">
        <v>25</v>
      </c>
      <c r="BF18">
        <v>66.11</v>
      </c>
      <c r="BH18" s="86" t="str">
        <f t="shared" si="11"/>
        <v>48951Share Sub Category SC Johnson</v>
      </c>
      <c r="BI18">
        <v>48951</v>
      </c>
      <c r="BJ18" t="s">
        <v>329</v>
      </c>
      <c r="BK18" t="s">
        <v>36</v>
      </c>
      <c r="BL18" t="s">
        <v>103</v>
      </c>
      <c r="BM18" t="s">
        <v>1171</v>
      </c>
      <c r="BN18" t="s">
        <v>1172</v>
      </c>
      <c r="BO18" t="s">
        <v>457</v>
      </c>
      <c r="BP18">
        <v>25</v>
      </c>
      <c r="BQ18">
        <v>25</v>
      </c>
      <c r="BR18">
        <v>75.39</v>
      </c>
      <c r="BT18" s="86" t="str">
        <f t="shared" si="0"/>
        <v>48951Share Sub Loc Pao Quente SC Johnson</v>
      </c>
      <c r="BU18">
        <v>48951</v>
      </c>
      <c r="BV18" t="s">
        <v>329</v>
      </c>
      <c r="BW18" t="s">
        <v>1306</v>
      </c>
      <c r="BX18" t="s">
        <v>103</v>
      </c>
      <c r="BY18" t="s">
        <v>1348</v>
      </c>
      <c r="BZ18" t="s">
        <v>1349</v>
      </c>
      <c r="CA18" t="s">
        <v>458</v>
      </c>
      <c r="CB18">
        <v>12</v>
      </c>
      <c r="CC18">
        <v>12</v>
      </c>
      <c r="CD18">
        <v>81.33</v>
      </c>
      <c r="CF18" s="86" t="str">
        <f t="shared" si="1"/>
        <v>48951Share Sub Loc Pao Quente SC Johnson</v>
      </c>
      <c r="CG18">
        <v>48951</v>
      </c>
      <c r="CH18" t="s">
        <v>329</v>
      </c>
      <c r="CI18" t="s">
        <v>1306</v>
      </c>
      <c r="CJ18" t="s">
        <v>103</v>
      </c>
      <c r="CK18" t="s">
        <v>1430</v>
      </c>
      <c r="CL18" t="s">
        <v>1431</v>
      </c>
      <c r="CM18" t="s">
        <v>458</v>
      </c>
      <c r="CN18">
        <v>12</v>
      </c>
      <c r="CO18">
        <v>12</v>
      </c>
      <c r="CP18">
        <v>84.6</v>
      </c>
      <c r="CR18" s="86" t="str">
        <f t="shared" si="2"/>
        <v>50548Share Sub Loc Pao Quente SC Johnson</v>
      </c>
      <c r="CS18">
        <v>50548</v>
      </c>
      <c r="CT18" t="s">
        <v>330</v>
      </c>
      <c r="CU18" t="s">
        <v>1306</v>
      </c>
      <c r="CV18" t="s">
        <v>103</v>
      </c>
      <c r="CW18" t="s">
        <v>1542</v>
      </c>
      <c r="CX18" t="s">
        <v>1543</v>
      </c>
      <c r="CY18" t="s">
        <v>458</v>
      </c>
      <c r="CZ18">
        <v>12</v>
      </c>
      <c r="DA18">
        <v>12</v>
      </c>
      <c r="DB18">
        <v>101</v>
      </c>
      <c r="DD18" s="86" t="str">
        <f t="shared" si="3"/>
        <v>50548Lancamentos</v>
      </c>
      <c r="DE18">
        <v>50548</v>
      </c>
      <c r="DF18" t="s">
        <v>330</v>
      </c>
      <c r="DG18" t="s">
        <v>1306</v>
      </c>
      <c r="DH18" t="s">
        <v>103</v>
      </c>
      <c r="DI18" t="s">
        <v>1674</v>
      </c>
      <c r="DJ18" t="s">
        <v>1675</v>
      </c>
      <c r="DK18" t="s">
        <v>953</v>
      </c>
      <c r="DL18">
        <v>18</v>
      </c>
      <c r="DM18">
        <v>18</v>
      </c>
      <c r="DN18">
        <v>100</v>
      </c>
      <c r="DP18" s="86" t="str">
        <f t="shared" si="4"/>
        <v>48374Lancamentos</v>
      </c>
      <c r="DQ18">
        <v>48374</v>
      </c>
      <c r="DR18" t="s">
        <v>370</v>
      </c>
      <c r="DS18" t="s">
        <v>482</v>
      </c>
      <c r="DT18" t="s">
        <v>103</v>
      </c>
      <c r="DU18" t="s">
        <v>1800</v>
      </c>
      <c r="DV18" t="s">
        <v>1801</v>
      </c>
      <c r="DW18" t="s">
        <v>953</v>
      </c>
      <c r="DX18">
        <v>18</v>
      </c>
      <c r="DY18">
        <v>18</v>
      </c>
      <c r="DZ18">
        <v>76.88</v>
      </c>
      <c r="EB18" s="86" t="str">
        <f t="shared" si="5"/>
        <v>48951Lancamentos</v>
      </c>
      <c r="EC18">
        <v>48951</v>
      </c>
      <c r="ED18" t="s">
        <v>329</v>
      </c>
      <c r="EE18" t="s">
        <v>1306</v>
      </c>
      <c r="EF18" t="s">
        <v>103</v>
      </c>
      <c r="EG18" t="s">
        <v>1912</v>
      </c>
      <c r="EH18" t="s">
        <v>1913</v>
      </c>
      <c r="EI18" t="s">
        <v>953</v>
      </c>
      <c r="EJ18">
        <v>18</v>
      </c>
      <c r="EK18">
        <v>18</v>
      </c>
      <c r="EL18">
        <v>95.45</v>
      </c>
    </row>
    <row r="19" spans="1:142" x14ac:dyDescent="0.35">
      <c r="A19" s="86" t="str">
        <f t="shared" si="6"/>
        <v>48951Share Sub Category SC Johnson</v>
      </c>
      <c r="B19">
        <v>48951</v>
      </c>
      <c r="C19" t="s">
        <v>329</v>
      </c>
      <c r="D19" t="s">
        <v>103</v>
      </c>
      <c r="E19" t="s">
        <v>467</v>
      </c>
      <c r="F19" t="s">
        <v>468</v>
      </c>
      <c r="G19" t="s">
        <v>457</v>
      </c>
      <c r="H19">
        <v>83.29</v>
      </c>
      <c r="I19">
        <v>25.71</v>
      </c>
      <c r="J19">
        <v>30</v>
      </c>
      <c r="L19" s="86" t="str">
        <f t="shared" si="7"/>
        <v>48951Share Sub Category SC Johnson</v>
      </c>
      <c r="M19">
        <v>48951</v>
      </c>
      <c r="N19" t="s">
        <v>329</v>
      </c>
      <c r="O19" t="s">
        <v>36</v>
      </c>
      <c r="P19" t="s">
        <v>103</v>
      </c>
      <c r="Q19" t="s">
        <v>624</v>
      </c>
      <c r="R19" t="s">
        <v>625</v>
      </c>
      <c r="S19" t="s">
        <v>457</v>
      </c>
      <c r="T19">
        <v>21.42</v>
      </c>
      <c r="U19">
        <v>30</v>
      </c>
      <c r="V19">
        <v>75.05</v>
      </c>
      <c r="X19" s="86" t="str">
        <f t="shared" si="8"/>
        <v>50548Share Sub Category SC Johnson</v>
      </c>
      <c r="Y19">
        <v>50548</v>
      </c>
      <c r="Z19" t="s">
        <v>330</v>
      </c>
      <c r="AA19" t="s">
        <v>36</v>
      </c>
      <c r="AB19" t="s">
        <v>103</v>
      </c>
      <c r="AC19" t="s">
        <v>795</v>
      </c>
      <c r="AD19" t="s">
        <v>796</v>
      </c>
      <c r="AE19" t="s">
        <v>457</v>
      </c>
      <c r="AF19">
        <v>21.42</v>
      </c>
      <c r="AG19">
        <v>30</v>
      </c>
      <c r="AH19">
        <v>71.67</v>
      </c>
      <c r="AJ19" s="86" t="str">
        <f t="shared" si="9"/>
        <v>51049Cross Merchan SC Johnson</v>
      </c>
      <c r="AK19">
        <v>51049</v>
      </c>
      <c r="AL19" t="s">
        <v>371</v>
      </c>
      <c r="AM19" t="s">
        <v>104</v>
      </c>
      <c r="AN19" t="s">
        <v>103</v>
      </c>
      <c r="AO19" t="s">
        <v>913</v>
      </c>
      <c r="AP19" t="s">
        <v>914</v>
      </c>
      <c r="AQ19" t="s">
        <v>111</v>
      </c>
      <c r="AR19">
        <v>2.5</v>
      </c>
      <c r="AS19">
        <v>5</v>
      </c>
      <c r="AT19">
        <v>66.37</v>
      </c>
      <c r="AV19" s="86" t="str">
        <f t="shared" si="10"/>
        <v>48951Cross Merchan SC Johnson</v>
      </c>
      <c r="AW19">
        <v>48951</v>
      </c>
      <c r="AX19" t="s">
        <v>329</v>
      </c>
      <c r="AY19" t="s">
        <v>36</v>
      </c>
      <c r="AZ19" t="s">
        <v>103</v>
      </c>
      <c r="BA19" t="s">
        <v>1043</v>
      </c>
      <c r="BB19" t="s">
        <v>1044</v>
      </c>
      <c r="BC19" t="s">
        <v>111</v>
      </c>
      <c r="BD19">
        <v>1.665</v>
      </c>
      <c r="BE19">
        <v>5</v>
      </c>
      <c r="BF19">
        <v>66.11</v>
      </c>
      <c r="BH19" s="86" t="str">
        <f t="shared" si="11"/>
        <v>48951Cross Merchan SC Johnson</v>
      </c>
      <c r="BI19">
        <v>48951</v>
      </c>
      <c r="BJ19" t="s">
        <v>329</v>
      </c>
      <c r="BK19" t="s">
        <v>36</v>
      </c>
      <c r="BL19" t="s">
        <v>103</v>
      </c>
      <c r="BM19" t="s">
        <v>1171</v>
      </c>
      <c r="BN19" t="s">
        <v>1172</v>
      </c>
      <c r="BO19" t="s">
        <v>111</v>
      </c>
      <c r="BP19">
        <v>1.665</v>
      </c>
      <c r="BQ19">
        <v>5</v>
      </c>
      <c r="BR19">
        <v>75.39</v>
      </c>
      <c r="BT19" s="86" t="str">
        <f t="shared" si="0"/>
        <v>48951Cross Merchan SC Johnson</v>
      </c>
      <c r="BU19">
        <v>48951</v>
      </c>
      <c r="BV19" t="s">
        <v>329</v>
      </c>
      <c r="BW19" t="s">
        <v>1306</v>
      </c>
      <c r="BX19" t="s">
        <v>103</v>
      </c>
      <c r="BY19" t="s">
        <v>1348</v>
      </c>
      <c r="BZ19" t="s">
        <v>1349</v>
      </c>
      <c r="CA19" t="s">
        <v>111</v>
      </c>
      <c r="CB19">
        <v>3.335</v>
      </c>
      <c r="CC19">
        <v>5</v>
      </c>
      <c r="CD19">
        <v>81.33</v>
      </c>
      <c r="CF19" s="86" t="str">
        <f t="shared" si="1"/>
        <v>48951Cross Merchan SC Johnson</v>
      </c>
      <c r="CG19">
        <v>48951</v>
      </c>
      <c r="CH19" t="s">
        <v>329</v>
      </c>
      <c r="CI19" t="s">
        <v>1306</v>
      </c>
      <c r="CJ19" t="s">
        <v>103</v>
      </c>
      <c r="CK19" t="s">
        <v>1430</v>
      </c>
      <c r="CL19" t="s">
        <v>1431</v>
      </c>
      <c r="CM19" t="s">
        <v>111</v>
      </c>
      <c r="CN19">
        <v>5</v>
      </c>
      <c r="CO19">
        <v>5</v>
      </c>
      <c r="CP19">
        <v>84.6</v>
      </c>
      <c r="CR19" s="86" t="str">
        <f t="shared" si="2"/>
        <v>50548Cross Merchan SC Johnson</v>
      </c>
      <c r="CS19">
        <v>50548</v>
      </c>
      <c r="CT19" t="s">
        <v>330</v>
      </c>
      <c r="CU19" t="s">
        <v>1306</v>
      </c>
      <c r="CV19" t="s">
        <v>103</v>
      </c>
      <c r="CW19" t="s">
        <v>1542</v>
      </c>
      <c r="CX19" t="s">
        <v>1543</v>
      </c>
      <c r="CY19" t="s">
        <v>111</v>
      </c>
      <c r="CZ19">
        <v>5</v>
      </c>
      <c r="DA19">
        <v>5</v>
      </c>
      <c r="DB19">
        <v>101</v>
      </c>
      <c r="DD19" s="86" t="str">
        <f t="shared" si="3"/>
        <v>50548Share Sub Category SC Johnson</v>
      </c>
      <c r="DE19">
        <v>50548</v>
      </c>
      <c r="DF19" t="s">
        <v>330</v>
      </c>
      <c r="DG19" t="s">
        <v>1306</v>
      </c>
      <c r="DH19" t="s">
        <v>103</v>
      </c>
      <c r="DI19" t="s">
        <v>1674</v>
      </c>
      <c r="DJ19" t="s">
        <v>1675</v>
      </c>
      <c r="DK19" t="s">
        <v>457</v>
      </c>
      <c r="DL19">
        <v>25</v>
      </c>
      <c r="DM19">
        <v>25</v>
      </c>
      <c r="DN19">
        <v>100</v>
      </c>
      <c r="DP19" s="86" t="str">
        <f t="shared" si="4"/>
        <v>48374Share Sub Category SC Johnson</v>
      </c>
      <c r="DQ19">
        <v>48374</v>
      </c>
      <c r="DR19" t="s">
        <v>370</v>
      </c>
      <c r="DS19" t="s">
        <v>482</v>
      </c>
      <c r="DT19" t="s">
        <v>103</v>
      </c>
      <c r="DU19" t="s">
        <v>1800</v>
      </c>
      <c r="DV19" t="s">
        <v>1801</v>
      </c>
      <c r="DW19" t="s">
        <v>457</v>
      </c>
      <c r="DX19">
        <v>14.275</v>
      </c>
      <c r="DY19">
        <v>25</v>
      </c>
      <c r="DZ19">
        <v>76.88</v>
      </c>
      <c r="EB19" s="86" t="str">
        <f t="shared" si="5"/>
        <v>48951Share Sub Category SC Johnson</v>
      </c>
      <c r="EC19">
        <v>48951</v>
      </c>
      <c r="ED19" t="s">
        <v>329</v>
      </c>
      <c r="EE19" t="s">
        <v>1306</v>
      </c>
      <c r="EF19" t="s">
        <v>103</v>
      </c>
      <c r="EG19" t="s">
        <v>1912</v>
      </c>
      <c r="EH19" t="s">
        <v>1913</v>
      </c>
      <c r="EI19" t="s">
        <v>457</v>
      </c>
      <c r="EJ19">
        <v>17.850000000000001</v>
      </c>
      <c r="EK19">
        <v>25</v>
      </c>
      <c r="EL19">
        <v>95.45</v>
      </c>
    </row>
    <row r="20" spans="1:142" x14ac:dyDescent="0.35">
      <c r="A20" s="86" t="str">
        <f t="shared" si="6"/>
        <v>48951Cross Merchan SC Johnson</v>
      </c>
      <c r="B20">
        <v>48951</v>
      </c>
      <c r="C20" t="s">
        <v>329</v>
      </c>
      <c r="D20" t="s">
        <v>103</v>
      </c>
      <c r="E20" t="s">
        <v>467</v>
      </c>
      <c r="F20" t="s">
        <v>468</v>
      </c>
      <c r="G20" t="s">
        <v>111</v>
      </c>
      <c r="H20">
        <v>83.29</v>
      </c>
      <c r="I20">
        <v>8</v>
      </c>
      <c r="J20">
        <v>8</v>
      </c>
      <c r="L20" s="86" t="str">
        <f t="shared" si="7"/>
        <v>48951Cross Merchan SC Johnson</v>
      </c>
      <c r="M20">
        <v>48951</v>
      </c>
      <c r="N20" t="s">
        <v>329</v>
      </c>
      <c r="O20" t="s">
        <v>36</v>
      </c>
      <c r="P20" t="s">
        <v>103</v>
      </c>
      <c r="Q20" t="s">
        <v>624</v>
      </c>
      <c r="R20" t="s">
        <v>625</v>
      </c>
      <c r="S20" t="s">
        <v>111</v>
      </c>
      <c r="T20">
        <v>8</v>
      </c>
      <c r="U20">
        <v>8</v>
      </c>
      <c r="V20">
        <v>75.05</v>
      </c>
      <c r="X20" s="86" t="str">
        <f t="shared" si="8"/>
        <v>50548Cross Merchan SC Johnson</v>
      </c>
      <c r="Y20">
        <v>50548</v>
      </c>
      <c r="Z20" t="s">
        <v>330</v>
      </c>
      <c r="AA20" t="s">
        <v>36</v>
      </c>
      <c r="AB20" t="s">
        <v>103</v>
      </c>
      <c r="AC20" t="s">
        <v>795</v>
      </c>
      <c r="AD20" t="s">
        <v>796</v>
      </c>
      <c r="AE20" t="s">
        <v>111</v>
      </c>
      <c r="AF20">
        <v>8</v>
      </c>
      <c r="AG20">
        <v>8</v>
      </c>
      <c r="AH20">
        <v>71.67</v>
      </c>
      <c r="AJ20" s="86" t="str">
        <f t="shared" si="9"/>
        <v>51049Share Sub Loc Pao Quente SC Johnson</v>
      </c>
      <c r="AK20">
        <v>51049</v>
      </c>
      <c r="AL20" t="s">
        <v>371</v>
      </c>
      <c r="AM20" t="s">
        <v>104</v>
      </c>
      <c r="AN20" t="s">
        <v>103</v>
      </c>
      <c r="AO20" t="s">
        <v>913</v>
      </c>
      <c r="AP20" t="s">
        <v>914</v>
      </c>
      <c r="AQ20" t="s">
        <v>458</v>
      </c>
      <c r="AR20">
        <v>12</v>
      </c>
      <c r="AS20">
        <v>12</v>
      </c>
      <c r="AT20">
        <v>66.37</v>
      </c>
      <c r="AV20" s="86" t="str">
        <f t="shared" si="10"/>
        <v>48951Share Sub Loc Pao Quente SC Johnson</v>
      </c>
      <c r="AW20">
        <v>48951</v>
      </c>
      <c r="AX20" t="s">
        <v>329</v>
      </c>
      <c r="AY20" t="s">
        <v>36</v>
      </c>
      <c r="AZ20" t="s">
        <v>103</v>
      </c>
      <c r="BA20" t="s">
        <v>1043</v>
      </c>
      <c r="BB20" t="s">
        <v>1044</v>
      </c>
      <c r="BC20" t="s">
        <v>458</v>
      </c>
      <c r="BD20">
        <v>9</v>
      </c>
      <c r="BE20">
        <v>12</v>
      </c>
      <c r="BF20">
        <v>66.11</v>
      </c>
      <c r="BH20" s="86" t="str">
        <f t="shared" si="11"/>
        <v>48951Share Sub Loc Pao Quente SC Johnson</v>
      </c>
      <c r="BI20">
        <v>48951</v>
      </c>
      <c r="BJ20" t="s">
        <v>329</v>
      </c>
      <c r="BK20" t="s">
        <v>36</v>
      </c>
      <c r="BL20" t="s">
        <v>103</v>
      </c>
      <c r="BM20" t="s">
        <v>1171</v>
      </c>
      <c r="BN20" t="s">
        <v>1172</v>
      </c>
      <c r="BO20" t="s">
        <v>458</v>
      </c>
      <c r="BP20">
        <v>9</v>
      </c>
      <c r="BQ20">
        <v>12</v>
      </c>
      <c r="BR20">
        <v>75.39</v>
      </c>
      <c r="BT20" s="86" t="str">
        <f t="shared" si="0"/>
        <v>48951Execucao Bonus</v>
      </c>
      <c r="BU20">
        <v>48951</v>
      </c>
      <c r="BV20" t="s">
        <v>329</v>
      </c>
      <c r="BW20" t="s">
        <v>1306</v>
      </c>
      <c r="BX20" t="s">
        <v>103</v>
      </c>
      <c r="BY20" t="s">
        <v>1348</v>
      </c>
      <c r="BZ20" t="s">
        <v>1349</v>
      </c>
      <c r="CA20" t="s">
        <v>1291</v>
      </c>
      <c r="CB20">
        <v>0</v>
      </c>
      <c r="CC20">
        <v>5</v>
      </c>
      <c r="CD20">
        <v>81.33</v>
      </c>
      <c r="CF20" s="86" t="str">
        <f t="shared" si="1"/>
        <v>48951Execucao Bonus</v>
      </c>
      <c r="CG20">
        <v>48951</v>
      </c>
      <c r="CH20" t="s">
        <v>329</v>
      </c>
      <c r="CI20" t="s">
        <v>1306</v>
      </c>
      <c r="CJ20" t="s">
        <v>103</v>
      </c>
      <c r="CK20" t="s">
        <v>1430</v>
      </c>
      <c r="CL20" t="s">
        <v>1431</v>
      </c>
      <c r="CM20" t="s">
        <v>1291</v>
      </c>
      <c r="CN20">
        <v>0</v>
      </c>
      <c r="CO20">
        <v>5</v>
      </c>
      <c r="CP20">
        <v>84.6</v>
      </c>
      <c r="CR20" s="86" t="str">
        <f t="shared" si="2"/>
        <v>50548Execucao Bonus</v>
      </c>
      <c r="CS20">
        <v>50548</v>
      </c>
      <c r="CT20" t="s">
        <v>330</v>
      </c>
      <c r="CU20" t="s">
        <v>1306</v>
      </c>
      <c r="CV20" t="s">
        <v>103</v>
      </c>
      <c r="CW20" t="s">
        <v>1542</v>
      </c>
      <c r="CX20" t="s">
        <v>1543</v>
      </c>
      <c r="CY20" t="s">
        <v>1291</v>
      </c>
      <c r="CZ20">
        <v>4</v>
      </c>
      <c r="DA20">
        <v>5</v>
      </c>
      <c r="DB20">
        <v>101</v>
      </c>
      <c r="DD20" s="86" t="str">
        <f t="shared" si="3"/>
        <v>50548Share Sub Loc Pao Quente SC Johnson</v>
      </c>
      <c r="DE20">
        <v>50548</v>
      </c>
      <c r="DF20" t="s">
        <v>330</v>
      </c>
      <c r="DG20" t="s">
        <v>1306</v>
      </c>
      <c r="DH20" t="s">
        <v>103</v>
      </c>
      <c r="DI20" t="s">
        <v>1674</v>
      </c>
      <c r="DJ20" t="s">
        <v>1675</v>
      </c>
      <c r="DK20" t="s">
        <v>458</v>
      </c>
      <c r="DL20">
        <v>12</v>
      </c>
      <c r="DM20">
        <v>12</v>
      </c>
      <c r="DN20">
        <v>100</v>
      </c>
      <c r="DP20" s="86" t="str">
        <f t="shared" si="4"/>
        <v>48374Share Sub Loc Pao Quente SC Johnson</v>
      </c>
      <c r="DQ20">
        <v>48374</v>
      </c>
      <c r="DR20" t="s">
        <v>370</v>
      </c>
      <c r="DS20" t="s">
        <v>482</v>
      </c>
      <c r="DT20" t="s">
        <v>103</v>
      </c>
      <c r="DU20" t="s">
        <v>1800</v>
      </c>
      <c r="DV20" t="s">
        <v>1801</v>
      </c>
      <c r="DW20" t="s">
        <v>458</v>
      </c>
      <c r="DX20">
        <v>9</v>
      </c>
      <c r="DY20">
        <v>12</v>
      </c>
      <c r="DZ20">
        <v>76.88</v>
      </c>
      <c r="EB20" s="86" t="str">
        <f t="shared" si="5"/>
        <v>48951Share Sub Loc Pao Quente SC Johnson</v>
      </c>
      <c r="EC20">
        <v>48951</v>
      </c>
      <c r="ED20" t="s">
        <v>329</v>
      </c>
      <c r="EE20" t="s">
        <v>1306</v>
      </c>
      <c r="EF20" t="s">
        <v>103</v>
      </c>
      <c r="EG20" t="s">
        <v>1912</v>
      </c>
      <c r="EH20" t="s">
        <v>1913</v>
      </c>
      <c r="EI20" t="s">
        <v>458</v>
      </c>
      <c r="EJ20">
        <v>12</v>
      </c>
      <c r="EK20">
        <v>12</v>
      </c>
      <c r="EL20">
        <v>95.45</v>
      </c>
    </row>
    <row r="21" spans="1:142" x14ac:dyDescent="0.35">
      <c r="A21" s="86" t="str">
        <f t="shared" si="6"/>
        <v>48951Share Sub Loc Pao Quente SC Johnson</v>
      </c>
      <c r="B21">
        <v>48951</v>
      </c>
      <c r="C21" t="s">
        <v>329</v>
      </c>
      <c r="D21" t="s">
        <v>103</v>
      </c>
      <c r="E21" t="s">
        <v>467</v>
      </c>
      <c r="F21" t="s">
        <v>468</v>
      </c>
      <c r="G21" t="s">
        <v>458</v>
      </c>
      <c r="H21">
        <v>83.29</v>
      </c>
      <c r="I21">
        <v>10.199999999999999</v>
      </c>
      <c r="J21">
        <v>17</v>
      </c>
      <c r="L21" s="86" t="str">
        <f t="shared" si="7"/>
        <v>48951Share Sub Loc Pao Quente SC Johnson</v>
      </c>
      <c r="M21">
        <v>48951</v>
      </c>
      <c r="N21" t="s">
        <v>329</v>
      </c>
      <c r="O21" t="s">
        <v>36</v>
      </c>
      <c r="P21" t="s">
        <v>103</v>
      </c>
      <c r="Q21" t="s">
        <v>624</v>
      </c>
      <c r="R21" t="s">
        <v>625</v>
      </c>
      <c r="S21" t="s">
        <v>458</v>
      </c>
      <c r="T21">
        <v>8.5</v>
      </c>
      <c r="U21">
        <v>17</v>
      </c>
      <c r="V21">
        <v>75.05</v>
      </c>
      <c r="X21" s="86" t="str">
        <f t="shared" si="8"/>
        <v>50548Share Sub Loc Pao Quente SC Johnson</v>
      </c>
      <c r="Y21">
        <v>50548</v>
      </c>
      <c r="Z21" t="s">
        <v>330</v>
      </c>
      <c r="AA21" t="s">
        <v>36</v>
      </c>
      <c r="AB21" t="s">
        <v>103</v>
      </c>
      <c r="AC21" t="s">
        <v>795</v>
      </c>
      <c r="AD21" t="s">
        <v>796</v>
      </c>
      <c r="AE21" t="s">
        <v>458</v>
      </c>
      <c r="AF21">
        <v>8.5</v>
      </c>
      <c r="AG21">
        <v>17</v>
      </c>
      <c r="AH21">
        <v>71.67</v>
      </c>
      <c r="AJ21" s="86" t="str">
        <f t="shared" si="9"/>
        <v>51049Mix + Intocáveis SC Johnson</v>
      </c>
      <c r="AK21">
        <v>51049</v>
      </c>
      <c r="AL21" t="s">
        <v>371</v>
      </c>
      <c r="AM21" t="s">
        <v>104</v>
      </c>
      <c r="AN21" t="s">
        <v>103</v>
      </c>
      <c r="AO21" t="s">
        <v>913</v>
      </c>
      <c r="AP21" t="s">
        <v>914</v>
      </c>
      <c r="AQ21" t="s">
        <v>459</v>
      </c>
      <c r="AR21">
        <v>30.44</v>
      </c>
      <c r="AS21">
        <v>40</v>
      </c>
      <c r="AT21">
        <v>66.37</v>
      </c>
      <c r="AV21" s="86" t="str">
        <f t="shared" si="10"/>
        <v>48951Mix + Intocáveis SC Johnson</v>
      </c>
      <c r="AW21">
        <v>48951</v>
      </c>
      <c r="AX21" t="s">
        <v>329</v>
      </c>
      <c r="AY21" t="s">
        <v>36</v>
      </c>
      <c r="AZ21" t="s">
        <v>103</v>
      </c>
      <c r="BA21" t="s">
        <v>1043</v>
      </c>
      <c r="BB21" t="s">
        <v>1044</v>
      </c>
      <c r="BC21" t="s">
        <v>459</v>
      </c>
      <c r="BD21">
        <v>30.44</v>
      </c>
      <c r="BE21">
        <v>40</v>
      </c>
      <c r="BF21">
        <v>66.11</v>
      </c>
      <c r="BH21" s="86" t="str">
        <f t="shared" si="11"/>
        <v>48951Mix + Intocáveis SC Johnson</v>
      </c>
      <c r="BI21">
        <v>48951</v>
      </c>
      <c r="BJ21" t="s">
        <v>329</v>
      </c>
      <c r="BK21" t="s">
        <v>36</v>
      </c>
      <c r="BL21" t="s">
        <v>103</v>
      </c>
      <c r="BM21" t="s">
        <v>1171</v>
      </c>
      <c r="BN21" t="s">
        <v>1172</v>
      </c>
      <c r="BO21" t="s">
        <v>459</v>
      </c>
      <c r="BP21">
        <v>21.72</v>
      </c>
      <c r="BQ21">
        <v>40</v>
      </c>
      <c r="BR21">
        <v>75.39</v>
      </c>
      <c r="BT21" s="86" t="str">
        <f t="shared" si="0"/>
        <v>50548Lancamentos</v>
      </c>
      <c r="BU21">
        <v>50548</v>
      </c>
      <c r="BV21" t="s">
        <v>330</v>
      </c>
      <c r="BW21" t="s">
        <v>1306</v>
      </c>
      <c r="BX21" t="s">
        <v>103</v>
      </c>
      <c r="BY21" t="s">
        <v>1350</v>
      </c>
      <c r="BZ21" t="s">
        <v>1351</v>
      </c>
      <c r="CA21" t="s">
        <v>953</v>
      </c>
      <c r="CB21">
        <v>9</v>
      </c>
      <c r="CC21">
        <v>18</v>
      </c>
      <c r="CD21">
        <v>81.760000000000005</v>
      </c>
      <c r="CF21" s="86" t="str">
        <f t="shared" si="1"/>
        <v>50548Lancamentos</v>
      </c>
      <c r="CG21">
        <v>50548</v>
      </c>
      <c r="CH21" t="s">
        <v>330</v>
      </c>
      <c r="CI21" t="s">
        <v>1306</v>
      </c>
      <c r="CJ21" t="s">
        <v>103</v>
      </c>
      <c r="CK21" t="s">
        <v>1432</v>
      </c>
      <c r="CL21" t="s">
        <v>1433</v>
      </c>
      <c r="CM21" t="s">
        <v>953</v>
      </c>
      <c r="CN21">
        <v>18</v>
      </c>
      <c r="CO21">
        <v>18</v>
      </c>
      <c r="CP21">
        <v>94.83</v>
      </c>
      <c r="CR21" s="86" t="str">
        <f t="shared" si="2"/>
        <v>51049Lancamentos</v>
      </c>
      <c r="CS21">
        <v>51049</v>
      </c>
      <c r="CT21" t="s">
        <v>371</v>
      </c>
      <c r="CU21" t="s">
        <v>1004</v>
      </c>
      <c r="CV21" t="s">
        <v>103</v>
      </c>
      <c r="CW21" t="s">
        <v>1618</v>
      </c>
      <c r="CX21" t="s">
        <v>1619</v>
      </c>
      <c r="CY21" t="s">
        <v>953</v>
      </c>
      <c r="CZ21">
        <v>18</v>
      </c>
      <c r="DA21">
        <v>18</v>
      </c>
      <c r="DB21">
        <v>93.2</v>
      </c>
      <c r="DD21" s="86" t="str">
        <f t="shared" si="3"/>
        <v>51049Mix + Intocáveis SC Johnson</v>
      </c>
      <c r="DE21">
        <v>51049</v>
      </c>
      <c r="DF21" t="s">
        <v>371</v>
      </c>
      <c r="DG21" t="s">
        <v>1004</v>
      </c>
      <c r="DH21" t="s">
        <v>103</v>
      </c>
      <c r="DI21" t="s">
        <v>1676</v>
      </c>
      <c r="DJ21" t="s">
        <v>1677</v>
      </c>
      <c r="DK21" t="s">
        <v>459</v>
      </c>
      <c r="DL21">
        <v>28</v>
      </c>
      <c r="DM21">
        <v>40</v>
      </c>
      <c r="DN21">
        <v>76</v>
      </c>
      <c r="DP21" s="86" t="str">
        <f t="shared" si="4"/>
        <v>48951Mix + Intocáveis SC Johnson</v>
      </c>
      <c r="DQ21">
        <v>48951</v>
      </c>
      <c r="DR21" t="s">
        <v>329</v>
      </c>
      <c r="DS21" t="s">
        <v>1306</v>
      </c>
      <c r="DT21" t="s">
        <v>103</v>
      </c>
      <c r="DU21" t="s">
        <v>1758</v>
      </c>
      <c r="DV21" t="s">
        <v>1759</v>
      </c>
      <c r="DW21" t="s">
        <v>459</v>
      </c>
      <c r="DX21">
        <v>35.200000000000003</v>
      </c>
      <c r="DY21">
        <v>40</v>
      </c>
      <c r="DZ21">
        <v>96.62</v>
      </c>
      <c r="EB21" s="86" t="str">
        <f t="shared" si="5"/>
        <v>50548Mix + Intocáveis SC Johnson</v>
      </c>
      <c r="EC21">
        <v>50548</v>
      </c>
      <c r="ED21" t="s">
        <v>330</v>
      </c>
      <c r="EE21" t="s">
        <v>1306</v>
      </c>
      <c r="EF21" t="s">
        <v>103</v>
      </c>
      <c r="EG21" t="s">
        <v>1914</v>
      </c>
      <c r="EH21" t="s">
        <v>1915</v>
      </c>
      <c r="EI21" t="s">
        <v>459</v>
      </c>
      <c r="EJ21">
        <v>38.4</v>
      </c>
      <c r="EK21">
        <v>40</v>
      </c>
      <c r="EL21">
        <v>94.4</v>
      </c>
    </row>
    <row r="22" spans="1:142" x14ac:dyDescent="0.35">
      <c r="A22" s="86" t="str">
        <f t="shared" si="6"/>
        <v>48951Mix + Intocáveis SC Johnson</v>
      </c>
      <c r="B22">
        <v>48951</v>
      </c>
      <c r="C22" t="s">
        <v>329</v>
      </c>
      <c r="D22" t="s">
        <v>103</v>
      </c>
      <c r="E22" t="s">
        <v>467</v>
      </c>
      <c r="F22" t="s">
        <v>468</v>
      </c>
      <c r="G22" t="s">
        <v>459</v>
      </c>
      <c r="H22">
        <v>83.29</v>
      </c>
      <c r="I22">
        <v>39.375</v>
      </c>
      <c r="J22">
        <v>45</v>
      </c>
      <c r="L22" s="86" t="str">
        <f t="shared" si="7"/>
        <v>48951Mix + Intocáveis SC Johnson</v>
      </c>
      <c r="M22">
        <v>48951</v>
      </c>
      <c r="N22" t="s">
        <v>329</v>
      </c>
      <c r="O22" t="s">
        <v>36</v>
      </c>
      <c r="P22" t="s">
        <v>103</v>
      </c>
      <c r="Q22" t="s">
        <v>624</v>
      </c>
      <c r="R22" t="s">
        <v>625</v>
      </c>
      <c r="S22" t="s">
        <v>459</v>
      </c>
      <c r="T22">
        <v>37.125</v>
      </c>
      <c r="U22">
        <v>45</v>
      </c>
      <c r="V22">
        <v>75.05</v>
      </c>
      <c r="X22" s="86" t="str">
        <f t="shared" si="8"/>
        <v>50548Mix + Intocáveis SC Johnson</v>
      </c>
      <c r="Y22">
        <v>50548</v>
      </c>
      <c r="Z22" t="s">
        <v>330</v>
      </c>
      <c r="AA22" t="s">
        <v>36</v>
      </c>
      <c r="AB22" t="s">
        <v>103</v>
      </c>
      <c r="AC22" t="s">
        <v>795</v>
      </c>
      <c r="AD22" t="s">
        <v>796</v>
      </c>
      <c r="AE22" t="s">
        <v>459</v>
      </c>
      <c r="AF22">
        <v>33.75</v>
      </c>
      <c r="AG22">
        <v>45</v>
      </c>
      <c r="AH22">
        <v>71.67</v>
      </c>
      <c r="AJ22" s="86" t="str">
        <f t="shared" si="9"/>
        <v>51049Lancamentos</v>
      </c>
      <c r="AK22">
        <v>51049</v>
      </c>
      <c r="AL22" t="s">
        <v>371</v>
      </c>
      <c r="AM22" t="s">
        <v>104</v>
      </c>
      <c r="AN22" t="s">
        <v>103</v>
      </c>
      <c r="AO22" t="s">
        <v>913</v>
      </c>
      <c r="AP22" t="s">
        <v>914</v>
      </c>
      <c r="AQ22" t="s">
        <v>953</v>
      </c>
      <c r="AR22">
        <v>0</v>
      </c>
      <c r="AS22">
        <v>18</v>
      </c>
      <c r="AT22">
        <v>66.37</v>
      </c>
      <c r="AV22" s="86" t="str">
        <f t="shared" si="10"/>
        <v>48951Lancamentos</v>
      </c>
      <c r="AW22">
        <v>48951</v>
      </c>
      <c r="AX22" t="s">
        <v>329</v>
      </c>
      <c r="AY22" t="s">
        <v>36</v>
      </c>
      <c r="AZ22" t="s">
        <v>103</v>
      </c>
      <c r="BA22" t="s">
        <v>1043</v>
      </c>
      <c r="BB22" t="s">
        <v>1044</v>
      </c>
      <c r="BC22" t="s">
        <v>953</v>
      </c>
      <c r="BD22">
        <v>0</v>
      </c>
      <c r="BE22">
        <v>18</v>
      </c>
      <c r="BF22">
        <v>66.11</v>
      </c>
      <c r="BH22" s="86" t="str">
        <f t="shared" si="11"/>
        <v>48951Lancamentos</v>
      </c>
      <c r="BI22">
        <v>48951</v>
      </c>
      <c r="BJ22" t="s">
        <v>329</v>
      </c>
      <c r="BK22" t="s">
        <v>36</v>
      </c>
      <c r="BL22" t="s">
        <v>103</v>
      </c>
      <c r="BM22" t="s">
        <v>1171</v>
      </c>
      <c r="BN22" t="s">
        <v>1172</v>
      </c>
      <c r="BO22" t="s">
        <v>953</v>
      </c>
      <c r="BP22">
        <v>18</v>
      </c>
      <c r="BQ22">
        <v>18</v>
      </c>
      <c r="BR22">
        <v>75.39</v>
      </c>
      <c r="BT22" s="86" t="str">
        <f t="shared" si="0"/>
        <v>50548Mix + Intocáveis SC Johnson</v>
      </c>
      <c r="BU22">
        <v>50548</v>
      </c>
      <c r="BV22" t="s">
        <v>330</v>
      </c>
      <c r="BW22" t="s">
        <v>1306</v>
      </c>
      <c r="BX22" t="s">
        <v>103</v>
      </c>
      <c r="BY22" t="s">
        <v>1350</v>
      </c>
      <c r="BZ22" t="s">
        <v>1351</v>
      </c>
      <c r="CA22" t="s">
        <v>459</v>
      </c>
      <c r="CB22">
        <v>36</v>
      </c>
      <c r="CC22">
        <v>40</v>
      </c>
      <c r="CD22">
        <v>81.760000000000005</v>
      </c>
      <c r="CF22" s="86" t="str">
        <f t="shared" si="1"/>
        <v>50548Mix + Intocáveis SC Johnson</v>
      </c>
      <c r="CG22">
        <v>50548</v>
      </c>
      <c r="CH22" t="s">
        <v>330</v>
      </c>
      <c r="CI22" t="s">
        <v>1306</v>
      </c>
      <c r="CJ22" t="s">
        <v>103</v>
      </c>
      <c r="CK22" t="s">
        <v>1432</v>
      </c>
      <c r="CL22" t="s">
        <v>1433</v>
      </c>
      <c r="CM22" t="s">
        <v>459</v>
      </c>
      <c r="CN22">
        <v>38.4</v>
      </c>
      <c r="CO22">
        <v>40</v>
      </c>
      <c r="CP22">
        <v>94.83</v>
      </c>
      <c r="CR22" s="86" t="str">
        <f t="shared" si="2"/>
        <v>51049Mix + Intocáveis SC Johnson</v>
      </c>
      <c r="CS22">
        <v>51049</v>
      </c>
      <c r="CT22" t="s">
        <v>371</v>
      </c>
      <c r="CU22" t="s">
        <v>1004</v>
      </c>
      <c r="CV22" t="s">
        <v>103</v>
      </c>
      <c r="CW22" t="s">
        <v>1618</v>
      </c>
      <c r="CX22" t="s">
        <v>1619</v>
      </c>
      <c r="CY22" t="s">
        <v>459</v>
      </c>
      <c r="CZ22">
        <v>31.2</v>
      </c>
      <c r="DA22">
        <v>40</v>
      </c>
      <c r="DB22">
        <v>93.2</v>
      </c>
      <c r="DD22" s="86" t="str">
        <f t="shared" si="3"/>
        <v>51049Execucao Bonus</v>
      </c>
      <c r="DE22">
        <v>51049</v>
      </c>
      <c r="DF22" t="s">
        <v>371</v>
      </c>
      <c r="DG22" t="s">
        <v>1004</v>
      </c>
      <c r="DH22" t="s">
        <v>103</v>
      </c>
      <c r="DI22" t="s">
        <v>1676</v>
      </c>
      <c r="DJ22" t="s">
        <v>1677</v>
      </c>
      <c r="DK22" t="s">
        <v>1291</v>
      </c>
      <c r="DL22">
        <v>0</v>
      </c>
      <c r="DM22">
        <v>5</v>
      </c>
      <c r="DN22">
        <v>76</v>
      </c>
      <c r="DP22" s="86" t="str">
        <f t="shared" si="4"/>
        <v>48951Execucao Bonus</v>
      </c>
      <c r="DQ22">
        <v>48951</v>
      </c>
      <c r="DR22" t="s">
        <v>329</v>
      </c>
      <c r="DS22" t="s">
        <v>1306</v>
      </c>
      <c r="DT22" t="s">
        <v>103</v>
      </c>
      <c r="DU22" t="s">
        <v>1758</v>
      </c>
      <c r="DV22" t="s">
        <v>1759</v>
      </c>
      <c r="DW22" t="s">
        <v>1291</v>
      </c>
      <c r="DX22">
        <v>5</v>
      </c>
      <c r="DY22">
        <v>5</v>
      </c>
      <c r="DZ22">
        <v>96.62</v>
      </c>
      <c r="EB22" s="86" t="str">
        <f t="shared" si="5"/>
        <v>50548Execucao Bonus</v>
      </c>
      <c r="EC22">
        <v>50548</v>
      </c>
      <c r="ED22" t="s">
        <v>330</v>
      </c>
      <c r="EE22" t="s">
        <v>1306</v>
      </c>
      <c r="EF22" t="s">
        <v>103</v>
      </c>
      <c r="EG22" t="s">
        <v>1914</v>
      </c>
      <c r="EH22" t="s">
        <v>1915</v>
      </c>
      <c r="EI22" t="s">
        <v>1291</v>
      </c>
      <c r="EJ22">
        <v>5</v>
      </c>
      <c r="EK22">
        <v>5</v>
      </c>
      <c r="EL22">
        <v>94.4</v>
      </c>
    </row>
    <row r="23" spans="1:142" x14ac:dyDescent="0.35">
      <c r="A23" s="86" t="str">
        <f t="shared" si="6"/>
        <v>50548Share Sub Category SC Johnson</v>
      </c>
      <c r="B23">
        <v>50548</v>
      </c>
      <c r="C23" t="s">
        <v>330</v>
      </c>
      <c r="D23" t="s">
        <v>103</v>
      </c>
      <c r="E23" t="s">
        <v>469</v>
      </c>
      <c r="F23" t="s">
        <v>470</v>
      </c>
      <c r="G23" t="s">
        <v>457</v>
      </c>
      <c r="H23">
        <v>83.29</v>
      </c>
      <c r="I23">
        <v>25.71</v>
      </c>
      <c r="J23">
        <v>30</v>
      </c>
      <c r="L23" s="86" t="str">
        <f t="shared" si="7"/>
        <v>50548Share Sub Category SC Johnson</v>
      </c>
      <c r="M23">
        <v>50548</v>
      </c>
      <c r="N23" t="s">
        <v>330</v>
      </c>
      <c r="O23" t="s">
        <v>36</v>
      </c>
      <c r="P23" t="s">
        <v>103</v>
      </c>
      <c r="Q23" t="s">
        <v>626</v>
      </c>
      <c r="R23" t="s">
        <v>627</v>
      </c>
      <c r="S23" t="s">
        <v>457</v>
      </c>
      <c r="T23">
        <v>25.71</v>
      </c>
      <c r="U23">
        <v>30</v>
      </c>
      <c r="V23">
        <v>72.209999999999994</v>
      </c>
      <c r="X23" s="86" t="str">
        <f t="shared" si="8"/>
        <v>51049Share Sub Category SC Johnson</v>
      </c>
      <c r="Y23">
        <v>51049</v>
      </c>
      <c r="Z23" t="s">
        <v>371</v>
      </c>
      <c r="AA23" t="s">
        <v>104</v>
      </c>
      <c r="AB23" t="s">
        <v>103</v>
      </c>
      <c r="AC23" t="s">
        <v>885</v>
      </c>
      <c r="AD23" t="s">
        <v>886</v>
      </c>
      <c r="AE23" t="s">
        <v>457</v>
      </c>
      <c r="AF23">
        <v>30</v>
      </c>
      <c r="AG23">
        <v>30</v>
      </c>
      <c r="AH23">
        <v>85.63</v>
      </c>
      <c r="AJ23" s="86" t="str">
        <f t="shared" si="9"/>
        <v>51067Share Sub Category SC Johnson</v>
      </c>
      <c r="AK23">
        <v>51067</v>
      </c>
      <c r="AL23" t="s">
        <v>372</v>
      </c>
      <c r="AM23" t="s">
        <v>1004</v>
      </c>
      <c r="AN23" t="s">
        <v>103</v>
      </c>
      <c r="AO23" t="s">
        <v>1005</v>
      </c>
      <c r="AP23" t="s">
        <v>1006</v>
      </c>
      <c r="AQ23" t="s">
        <v>457</v>
      </c>
      <c r="AR23">
        <v>21.425000000000001</v>
      </c>
      <c r="AS23">
        <v>25</v>
      </c>
      <c r="AT23">
        <v>62.48</v>
      </c>
      <c r="AV23" s="86" t="str">
        <f t="shared" si="10"/>
        <v>50548Share Sub Category SC Johnson</v>
      </c>
      <c r="AW23">
        <v>50548</v>
      </c>
      <c r="AX23" t="s">
        <v>330</v>
      </c>
      <c r="AY23" t="s">
        <v>36</v>
      </c>
      <c r="AZ23" t="s">
        <v>103</v>
      </c>
      <c r="BA23" t="s">
        <v>1045</v>
      </c>
      <c r="BB23" t="s">
        <v>1046</v>
      </c>
      <c r="BC23" t="s">
        <v>457</v>
      </c>
      <c r="BD23">
        <v>25</v>
      </c>
      <c r="BE23">
        <v>25</v>
      </c>
      <c r="BF23">
        <v>65.7</v>
      </c>
      <c r="BH23" s="86" t="str">
        <f t="shared" si="11"/>
        <v>50548Share Sub Category SC Johnson</v>
      </c>
      <c r="BI23">
        <v>50548</v>
      </c>
      <c r="BJ23" t="s">
        <v>330</v>
      </c>
      <c r="BK23" t="s">
        <v>36</v>
      </c>
      <c r="BL23" t="s">
        <v>103</v>
      </c>
      <c r="BM23" t="s">
        <v>1173</v>
      </c>
      <c r="BN23" t="s">
        <v>1174</v>
      </c>
      <c r="BO23" t="s">
        <v>457</v>
      </c>
      <c r="BP23">
        <v>25</v>
      </c>
      <c r="BQ23">
        <v>25</v>
      </c>
      <c r="BR23">
        <v>78.89</v>
      </c>
      <c r="BT23" s="86" t="str">
        <f t="shared" si="0"/>
        <v>50548Share Sub Category SC Johnson</v>
      </c>
      <c r="BU23">
        <v>50548</v>
      </c>
      <c r="BV23" t="s">
        <v>330</v>
      </c>
      <c r="BW23" t="s">
        <v>1306</v>
      </c>
      <c r="BX23" t="s">
        <v>103</v>
      </c>
      <c r="BY23" t="s">
        <v>1350</v>
      </c>
      <c r="BZ23" t="s">
        <v>1351</v>
      </c>
      <c r="CA23" t="s">
        <v>457</v>
      </c>
      <c r="CB23">
        <v>21.425000000000001</v>
      </c>
      <c r="CC23">
        <v>25</v>
      </c>
      <c r="CD23">
        <v>81.760000000000005</v>
      </c>
      <c r="CF23" s="86" t="str">
        <f t="shared" si="1"/>
        <v>50548Share Sub Category SC Johnson</v>
      </c>
      <c r="CG23">
        <v>50548</v>
      </c>
      <c r="CH23" t="s">
        <v>330</v>
      </c>
      <c r="CI23" t="s">
        <v>1306</v>
      </c>
      <c r="CJ23" t="s">
        <v>103</v>
      </c>
      <c r="CK23" t="s">
        <v>1432</v>
      </c>
      <c r="CL23" t="s">
        <v>1433</v>
      </c>
      <c r="CM23" t="s">
        <v>457</v>
      </c>
      <c r="CN23">
        <v>21.425000000000001</v>
      </c>
      <c r="CO23">
        <v>25</v>
      </c>
      <c r="CP23">
        <v>94.83</v>
      </c>
      <c r="CR23" s="86" t="str">
        <f t="shared" si="2"/>
        <v>51049Share Sub Category SC Johnson</v>
      </c>
      <c r="CS23">
        <v>51049</v>
      </c>
      <c r="CT23" t="s">
        <v>371</v>
      </c>
      <c r="CU23" t="s">
        <v>1004</v>
      </c>
      <c r="CV23" t="s">
        <v>103</v>
      </c>
      <c r="CW23" t="s">
        <v>1618</v>
      </c>
      <c r="CX23" t="s">
        <v>1619</v>
      </c>
      <c r="CY23" t="s">
        <v>457</v>
      </c>
      <c r="CZ23">
        <v>25</v>
      </c>
      <c r="DA23">
        <v>25</v>
      </c>
      <c r="DB23">
        <v>93.2</v>
      </c>
      <c r="DD23" s="86" t="str">
        <f t="shared" si="3"/>
        <v>51049Cross Merchan SC Johnson</v>
      </c>
      <c r="DE23">
        <v>51049</v>
      </c>
      <c r="DF23" t="s">
        <v>371</v>
      </c>
      <c r="DG23" t="s">
        <v>1004</v>
      </c>
      <c r="DH23" t="s">
        <v>103</v>
      </c>
      <c r="DI23" t="s">
        <v>1676</v>
      </c>
      <c r="DJ23" t="s">
        <v>1677</v>
      </c>
      <c r="DK23" t="s">
        <v>111</v>
      </c>
      <c r="DL23">
        <v>5</v>
      </c>
      <c r="DM23">
        <v>5</v>
      </c>
      <c r="DN23">
        <v>76</v>
      </c>
      <c r="DP23" s="86" t="str">
        <f t="shared" si="4"/>
        <v>48951Cross Merchan SC Johnson</v>
      </c>
      <c r="DQ23">
        <v>48951</v>
      </c>
      <c r="DR23" t="s">
        <v>329</v>
      </c>
      <c r="DS23" t="s">
        <v>1306</v>
      </c>
      <c r="DT23" t="s">
        <v>103</v>
      </c>
      <c r="DU23" t="s">
        <v>1758</v>
      </c>
      <c r="DV23" t="s">
        <v>1759</v>
      </c>
      <c r="DW23" t="s">
        <v>111</v>
      </c>
      <c r="DX23">
        <v>5</v>
      </c>
      <c r="DY23">
        <v>5</v>
      </c>
      <c r="DZ23">
        <v>96.62</v>
      </c>
      <c r="EB23" s="86" t="str">
        <f t="shared" si="5"/>
        <v>50548Cross Merchan SC Johnson</v>
      </c>
      <c r="EC23">
        <v>50548</v>
      </c>
      <c r="ED23" t="s">
        <v>330</v>
      </c>
      <c r="EE23" t="s">
        <v>1306</v>
      </c>
      <c r="EF23" t="s">
        <v>103</v>
      </c>
      <c r="EG23" t="s">
        <v>1914</v>
      </c>
      <c r="EH23" t="s">
        <v>1915</v>
      </c>
      <c r="EI23" t="s">
        <v>111</v>
      </c>
      <c r="EJ23">
        <v>5</v>
      </c>
      <c r="EK23">
        <v>5</v>
      </c>
      <c r="EL23">
        <v>94.4</v>
      </c>
    </row>
    <row r="24" spans="1:142" x14ac:dyDescent="0.35">
      <c r="A24" s="86" t="str">
        <f t="shared" si="6"/>
        <v>50548Cross Merchan SC Johnson</v>
      </c>
      <c r="B24">
        <v>50548</v>
      </c>
      <c r="C24" t="s">
        <v>330</v>
      </c>
      <c r="D24" t="s">
        <v>103</v>
      </c>
      <c r="E24" t="s">
        <v>469</v>
      </c>
      <c r="F24" t="s">
        <v>470</v>
      </c>
      <c r="G24" t="s">
        <v>111</v>
      </c>
      <c r="H24">
        <v>83.29</v>
      </c>
      <c r="I24">
        <v>8</v>
      </c>
      <c r="J24">
        <v>8</v>
      </c>
      <c r="L24" s="86" t="str">
        <f t="shared" si="7"/>
        <v>50548Cross Merchan SC Johnson</v>
      </c>
      <c r="M24">
        <v>50548</v>
      </c>
      <c r="N24" t="s">
        <v>330</v>
      </c>
      <c r="O24" t="s">
        <v>36</v>
      </c>
      <c r="P24" t="s">
        <v>103</v>
      </c>
      <c r="Q24" t="s">
        <v>626</v>
      </c>
      <c r="R24" t="s">
        <v>627</v>
      </c>
      <c r="S24" t="s">
        <v>111</v>
      </c>
      <c r="T24">
        <v>0</v>
      </c>
      <c r="U24">
        <v>8</v>
      </c>
      <c r="V24">
        <v>72.209999999999994</v>
      </c>
      <c r="X24" s="86" t="str">
        <f t="shared" si="8"/>
        <v>51049Cross Merchan SC Johnson</v>
      </c>
      <c r="Y24">
        <v>51049</v>
      </c>
      <c r="Z24" t="s">
        <v>371</v>
      </c>
      <c r="AA24" t="s">
        <v>104</v>
      </c>
      <c r="AB24" t="s">
        <v>103</v>
      </c>
      <c r="AC24" t="s">
        <v>885</v>
      </c>
      <c r="AD24" t="s">
        <v>886</v>
      </c>
      <c r="AE24" t="s">
        <v>111</v>
      </c>
      <c r="AF24">
        <v>8</v>
      </c>
      <c r="AG24">
        <v>8</v>
      </c>
      <c r="AH24">
        <v>85.63</v>
      </c>
      <c r="AJ24" s="86" t="str">
        <f t="shared" si="9"/>
        <v>51067Cross Merchan SC Johnson</v>
      </c>
      <c r="AK24">
        <v>51067</v>
      </c>
      <c r="AL24" t="s">
        <v>372</v>
      </c>
      <c r="AM24" t="s">
        <v>1004</v>
      </c>
      <c r="AN24" t="s">
        <v>103</v>
      </c>
      <c r="AO24" t="s">
        <v>1005</v>
      </c>
      <c r="AP24" t="s">
        <v>1006</v>
      </c>
      <c r="AQ24" t="s">
        <v>111</v>
      </c>
      <c r="AR24">
        <v>2.5</v>
      </c>
      <c r="AS24">
        <v>5</v>
      </c>
      <c r="AT24">
        <v>62.48</v>
      </c>
      <c r="AV24" s="86" t="str">
        <f t="shared" si="10"/>
        <v>50548Cross Merchan SC Johnson</v>
      </c>
      <c r="AW24">
        <v>50548</v>
      </c>
      <c r="AX24" t="s">
        <v>330</v>
      </c>
      <c r="AY24" t="s">
        <v>36</v>
      </c>
      <c r="AZ24" t="s">
        <v>103</v>
      </c>
      <c r="BA24" t="s">
        <v>1045</v>
      </c>
      <c r="BB24" t="s">
        <v>1046</v>
      </c>
      <c r="BC24" t="s">
        <v>111</v>
      </c>
      <c r="BD24">
        <v>1.665</v>
      </c>
      <c r="BE24">
        <v>5</v>
      </c>
      <c r="BF24">
        <v>65.7</v>
      </c>
      <c r="BH24" s="86" t="str">
        <f t="shared" si="11"/>
        <v>50548Cross Merchan SC Johnson</v>
      </c>
      <c r="BI24">
        <v>50548</v>
      </c>
      <c r="BJ24" t="s">
        <v>330</v>
      </c>
      <c r="BK24" t="s">
        <v>36</v>
      </c>
      <c r="BL24" t="s">
        <v>103</v>
      </c>
      <c r="BM24" t="s">
        <v>1173</v>
      </c>
      <c r="BN24" t="s">
        <v>1174</v>
      </c>
      <c r="BO24" t="s">
        <v>111</v>
      </c>
      <c r="BP24">
        <v>3.335</v>
      </c>
      <c r="BQ24">
        <v>5</v>
      </c>
      <c r="BR24">
        <v>78.89</v>
      </c>
      <c r="BT24" s="86" t="str">
        <f t="shared" si="0"/>
        <v>50548Share Sub Loc Pao Quente SC Johnson</v>
      </c>
      <c r="BU24">
        <v>50548</v>
      </c>
      <c r="BV24" t="s">
        <v>330</v>
      </c>
      <c r="BW24" t="s">
        <v>1306</v>
      </c>
      <c r="BX24" t="s">
        <v>103</v>
      </c>
      <c r="BY24" t="s">
        <v>1350</v>
      </c>
      <c r="BZ24" t="s">
        <v>1351</v>
      </c>
      <c r="CA24" t="s">
        <v>458</v>
      </c>
      <c r="CB24">
        <v>12</v>
      </c>
      <c r="CC24">
        <v>12</v>
      </c>
      <c r="CD24">
        <v>81.760000000000005</v>
      </c>
      <c r="CF24" s="86" t="str">
        <f t="shared" si="1"/>
        <v>50548Share Sub Loc Pao Quente SC Johnson</v>
      </c>
      <c r="CG24">
        <v>50548</v>
      </c>
      <c r="CH24" t="s">
        <v>330</v>
      </c>
      <c r="CI24" t="s">
        <v>1306</v>
      </c>
      <c r="CJ24" t="s">
        <v>103</v>
      </c>
      <c r="CK24" t="s">
        <v>1432</v>
      </c>
      <c r="CL24" t="s">
        <v>1433</v>
      </c>
      <c r="CM24" t="s">
        <v>458</v>
      </c>
      <c r="CN24">
        <v>12</v>
      </c>
      <c r="CO24">
        <v>12</v>
      </c>
      <c r="CP24">
        <v>94.83</v>
      </c>
      <c r="CR24" s="86" t="str">
        <f t="shared" si="2"/>
        <v>51049Share Sub Loc Pao Quente SC Johnson</v>
      </c>
      <c r="CS24">
        <v>51049</v>
      </c>
      <c r="CT24" t="s">
        <v>371</v>
      </c>
      <c r="CU24" t="s">
        <v>1004</v>
      </c>
      <c r="CV24" t="s">
        <v>103</v>
      </c>
      <c r="CW24" t="s">
        <v>1618</v>
      </c>
      <c r="CX24" t="s">
        <v>1619</v>
      </c>
      <c r="CY24" t="s">
        <v>458</v>
      </c>
      <c r="CZ24">
        <v>9</v>
      </c>
      <c r="DA24">
        <v>12</v>
      </c>
      <c r="DB24">
        <v>93.2</v>
      </c>
      <c r="DD24" s="86" t="str">
        <f t="shared" si="3"/>
        <v>51049Lancamentos</v>
      </c>
      <c r="DE24">
        <v>51049</v>
      </c>
      <c r="DF24" t="s">
        <v>371</v>
      </c>
      <c r="DG24" t="s">
        <v>1004</v>
      </c>
      <c r="DH24" t="s">
        <v>103</v>
      </c>
      <c r="DI24" t="s">
        <v>1676</v>
      </c>
      <c r="DJ24" t="s">
        <v>1677</v>
      </c>
      <c r="DK24" t="s">
        <v>953</v>
      </c>
      <c r="DL24">
        <v>9</v>
      </c>
      <c r="DM24">
        <v>18</v>
      </c>
      <c r="DN24">
        <v>76</v>
      </c>
      <c r="DP24" s="86" t="str">
        <f t="shared" si="4"/>
        <v>48951Lancamentos</v>
      </c>
      <c r="DQ24">
        <v>48951</v>
      </c>
      <c r="DR24" t="s">
        <v>329</v>
      </c>
      <c r="DS24" t="s">
        <v>1306</v>
      </c>
      <c r="DT24" t="s">
        <v>103</v>
      </c>
      <c r="DU24" t="s">
        <v>1758</v>
      </c>
      <c r="DV24" t="s">
        <v>1759</v>
      </c>
      <c r="DW24" t="s">
        <v>953</v>
      </c>
      <c r="DX24">
        <v>18</v>
      </c>
      <c r="DY24">
        <v>18</v>
      </c>
      <c r="DZ24">
        <v>96.62</v>
      </c>
      <c r="EB24" s="86" t="str">
        <f t="shared" si="5"/>
        <v>50548Lancamentos</v>
      </c>
      <c r="EC24">
        <v>50548</v>
      </c>
      <c r="ED24" t="s">
        <v>330</v>
      </c>
      <c r="EE24" t="s">
        <v>1306</v>
      </c>
      <c r="EF24" t="s">
        <v>103</v>
      </c>
      <c r="EG24" t="s">
        <v>1914</v>
      </c>
      <c r="EH24" t="s">
        <v>1915</v>
      </c>
      <c r="EI24" t="s">
        <v>953</v>
      </c>
      <c r="EJ24">
        <v>9</v>
      </c>
      <c r="EK24">
        <v>18</v>
      </c>
      <c r="EL24">
        <v>94.4</v>
      </c>
    </row>
    <row r="25" spans="1:142" x14ac:dyDescent="0.35">
      <c r="A25" s="86" t="str">
        <f t="shared" si="6"/>
        <v>50548Share Sub Loc Pao Quente SC Johnson</v>
      </c>
      <c r="B25">
        <v>50548</v>
      </c>
      <c r="C25" t="s">
        <v>330</v>
      </c>
      <c r="D25" t="s">
        <v>103</v>
      </c>
      <c r="E25" t="s">
        <v>469</v>
      </c>
      <c r="F25" t="s">
        <v>470</v>
      </c>
      <c r="G25" t="s">
        <v>458</v>
      </c>
      <c r="H25">
        <v>83.29</v>
      </c>
      <c r="I25">
        <v>10.199999999999999</v>
      </c>
      <c r="J25">
        <v>17</v>
      </c>
      <c r="L25" s="86" t="str">
        <f t="shared" si="7"/>
        <v>50548Share Sub Loc Pao Quente SC Johnson</v>
      </c>
      <c r="M25">
        <v>50548</v>
      </c>
      <c r="N25" t="s">
        <v>330</v>
      </c>
      <c r="O25" t="s">
        <v>36</v>
      </c>
      <c r="P25" t="s">
        <v>103</v>
      </c>
      <c r="Q25" t="s">
        <v>626</v>
      </c>
      <c r="R25" t="s">
        <v>627</v>
      </c>
      <c r="S25" t="s">
        <v>458</v>
      </c>
      <c r="T25">
        <v>12.75</v>
      </c>
      <c r="U25">
        <v>17</v>
      </c>
      <c r="V25">
        <v>72.209999999999994</v>
      </c>
      <c r="X25" s="86" t="str">
        <f t="shared" si="8"/>
        <v>51049Share Sub Loc Pao Quente SC Johnson</v>
      </c>
      <c r="Y25">
        <v>51049</v>
      </c>
      <c r="Z25" t="s">
        <v>371</v>
      </c>
      <c r="AA25" t="s">
        <v>104</v>
      </c>
      <c r="AB25" t="s">
        <v>103</v>
      </c>
      <c r="AC25" t="s">
        <v>885</v>
      </c>
      <c r="AD25" t="s">
        <v>886</v>
      </c>
      <c r="AE25" t="s">
        <v>458</v>
      </c>
      <c r="AF25">
        <v>12.75</v>
      </c>
      <c r="AG25">
        <v>17</v>
      </c>
      <c r="AH25">
        <v>85.63</v>
      </c>
      <c r="AJ25" s="86" t="str">
        <f t="shared" si="9"/>
        <v>51067Share Sub Loc Pao Quente SC Johnson</v>
      </c>
      <c r="AK25">
        <v>51067</v>
      </c>
      <c r="AL25" t="s">
        <v>372</v>
      </c>
      <c r="AM25" t="s">
        <v>1004</v>
      </c>
      <c r="AN25" t="s">
        <v>103</v>
      </c>
      <c r="AO25" t="s">
        <v>1005</v>
      </c>
      <c r="AP25" t="s">
        <v>1006</v>
      </c>
      <c r="AQ25" t="s">
        <v>458</v>
      </c>
      <c r="AR25">
        <v>9</v>
      </c>
      <c r="AS25">
        <v>12</v>
      </c>
      <c r="AT25">
        <v>62.48</v>
      </c>
      <c r="AV25" s="86" t="str">
        <f t="shared" si="10"/>
        <v>50548Share Sub Loc Pao Quente SC Johnson</v>
      </c>
      <c r="AW25">
        <v>50548</v>
      </c>
      <c r="AX25" t="s">
        <v>330</v>
      </c>
      <c r="AY25" t="s">
        <v>36</v>
      </c>
      <c r="AZ25" t="s">
        <v>103</v>
      </c>
      <c r="BA25" t="s">
        <v>1045</v>
      </c>
      <c r="BB25" t="s">
        <v>1046</v>
      </c>
      <c r="BC25" t="s">
        <v>458</v>
      </c>
      <c r="BD25">
        <v>6</v>
      </c>
      <c r="BE25">
        <v>12</v>
      </c>
      <c r="BF25">
        <v>65.7</v>
      </c>
      <c r="BH25" s="86" t="str">
        <f t="shared" si="11"/>
        <v>50548Share Sub Loc Pao Quente SC Johnson</v>
      </c>
      <c r="BI25">
        <v>50548</v>
      </c>
      <c r="BJ25" t="s">
        <v>330</v>
      </c>
      <c r="BK25" t="s">
        <v>36</v>
      </c>
      <c r="BL25" t="s">
        <v>103</v>
      </c>
      <c r="BM25" t="s">
        <v>1173</v>
      </c>
      <c r="BN25" t="s">
        <v>1174</v>
      </c>
      <c r="BO25" t="s">
        <v>458</v>
      </c>
      <c r="BP25">
        <v>3</v>
      </c>
      <c r="BQ25">
        <v>12</v>
      </c>
      <c r="BR25">
        <v>78.89</v>
      </c>
      <c r="BT25" s="86" t="str">
        <f t="shared" si="0"/>
        <v>50548Cross Merchan SC Johnson</v>
      </c>
      <c r="BU25">
        <v>50548</v>
      </c>
      <c r="BV25" t="s">
        <v>330</v>
      </c>
      <c r="BW25" t="s">
        <v>1306</v>
      </c>
      <c r="BX25" t="s">
        <v>103</v>
      </c>
      <c r="BY25" t="s">
        <v>1350</v>
      </c>
      <c r="BZ25" t="s">
        <v>1351</v>
      </c>
      <c r="CA25" t="s">
        <v>111</v>
      </c>
      <c r="CB25">
        <v>3.335</v>
      </c>
      <c r="CC25">
        <v>5</v>
      </c>
      <c r="CD25">
        <v>81.760000000000005</v>
      </c>
      <c r="CF25" s="86" t="str">
        <f t="shared" si="1"/>
        <v>50548Cross Merchan SC Johnson</v>
      </c>
      <c r="CG25">
        <v>50548</v>
      </c>
      <c r="CH25" t="s">
        <v>330</v>
      </c>
      <c r="CI25" t="s">
        <v>1306</v>
      </c>
      <c r="CJ25" t="s">
        <v>103</v>
      </c>
      <c r="CK25" t="s">
        <v>1432</v>
      </c>
      <c r="CL25" t="s">
        <v>1433</v>
      </c>
      <c r="CM25" t="s">
        <v>111</v>
      </c>
      <c r="CN25">
        <v>5</v>
      </c>
      <c r="CO25">
        <v>5</v>
      </c>
      <c r="CP25">
        <v>94.83</v>
      </c>
      <c r="CR25" s="86" t="str">
        <f t="shared" si="2"/>
        <v>51049Cross Merchan SC Johnson</v>
      </c>
      <c r="CS25">
        <v>51049</v>
      </c>
      <c r="CT25" t="s">
        <v>371</v>
      </c>
      <c r="CU25" t="s">
        <v>1004</v>
      </c>
      <c r="CV25" t="s">
        <v>103</v>
      </c>
      <c r="CW25" t="s">
        <v>1618</v>
      </c>
      <c r="CX25" t="s">
        <v>1619</v>
      </c>
      <c r="CY25" t="s">
        <v>111</v>
      </c>
      <c r="CZ25">
        <v>5</v>
      </c>
      <c r="DA25">
        <v>5</v>
      </c>
      <c r="DB25">
        <v>93.2</v>
      </c>
      <c r="DD25" s="86" t="str">
        <f t="shared" si="3"/>
        <v>51049Share Sub Category SC Johnson</v>
      </c>
      <c r="DE25">
        <v>51049</v>
      </c>
      <c r="DF25" t="s">
        <v>371</v>
      </c>
      <c r="DG25" t="s">
        <v>1004</v>
      </c>
      <c r="DH25" t="s">
        <v>103</v>
      </c>
      <c r="DI25" t="s">
        <v>1676</v>
      </c>
      <c r="DJ25" t="s">
        <v>1677</v>
      </c>
      <c r="DK25" t="s">
        <v>457</v>
      </c>
      <c r="DL25">
        <v>25</v>
      </c>
      <c r="DM25">
        <v>25</v>
      </c>
      <c r="DN25">
        <v>76</v>
      </c>
      <c r="DP25" s="86" t="str">
        <f t="shared" si="4"/>
        <v>48951Share Sub Category SC Johnson</v>
      </c>
      <c r="DQ25">
        <v>48951</v>
      </c>
      <c r="DR25" t="s">
        <v>329</v>
      </c>
      <c r="DS25" t="s">
        <v>1306</v>
      </c>
      <c r="DT25" t="s">
        <v>103</v>
      </c>
      <c r="DU25" t="s">
        <v>1758</v>
      </c>
      <c r="DV25" t="s">
        <v>1759</v>
      </c>
      <c r="DW25" t="s">
        <v>457</v>
      </c>
      <c r="DX25">
        <v>21.425000000000001</v>
      </c>
      <c r="DY25">
        <v>25</v>
      </c>
      <c r="DZ25">
        <v>96.62</v>
      </c>
      <c r="EB25" s="86" t="str">
        <f t="shared" si="5"/>
        <v>50548Share Sub Category SC Johnson</v>
      </c>
      <c r="EC25">
        <v>50548</v>
      </c>
      <c r="ED25" t="s">
        <v>330</v>
      </c>
      <c r="EE25" t="s">
        <v>1306</v>
      </c>
      <c r="EF25" t="s">
        <v>103</v>
      </c>
      <c r="EG25" t="s">
        <v>1914</v>
      </c>
      <c r="EH25" t="s">
        <v>1915</v>
      </c>
      <c r="EI25" t="s">
        <v>457</v>
      </c>
      <c r="EJ25">
        <v>25</v>
      </c>
      <c r="EK25">
        <v>25</v>
      </c>
      <c r="EL25">
        <v>94.4</v>
      </c>
    </row>
    <row r="26" spans="1:142" x14ac:dyDescent="0.35">
      <c r="A26" s="86" t="str">
        <f t="shared" si="6"/>
        <v>50548Mix + Intocáveis SC Johnson</v>
      </c>
      <c r="B26">
        <v>50548</v>
      </c>
      <c r="C26" t="s">
        <v>330</v>
      </c>
      <c r="D26" t="s">
        <v>103</v>
      </c>
      <c r="E26" t="s">
        <v>469</v>
      </c>
      <c r="F26" t="s">
        <v>470</v>
      </c>
      <c r="G26" t="s">
        <v>459</v>
      </c>
      <c r="H26">
        <v>83.29</v>
      </c>
      <c r="I26">
        <v>39.375</v>
      </c>
      <c r="J26">
        <v>45</v>
      </c>
      <c r="L26" s="86" t="str">
        <f t="shared" si="7"/>
        <v>50548Mix + Intocáveis SC Johnson</v>
      </c>
      <c r="M26">
        <v>50548</v>
      </c>
      <c r="N26" t="s">
        <v>330</v>
      </c>
      <c r="O26" t="s">
        <v>36</v>
      </c>
      <c r="P26" t="s">
        <v>103</v>
      </c>
      <c r="Q26" t="s">
        <v>626</v>
      </c>
      <c r="R26" t="s">
        <v>627</v>
      </c>
      <c r="S26" t="s">
        <v>459</v>
      </c>
      <c r="T26">
        <v>33.75</v>
      </c>
      <c r="U26">
        <v>45</v>
      </c>
      <c r="V26">
        <v>72.209999999999994</v>
      </c>
      <c r="X26" s="86" t="str">
        <f t="shared" si="8"/>
        <v>51049Mix + Intocáveis SC Johnson</v>
      </c>
      <c r="Y26">
        <v>51049</v>
      </c>
      <c r="Z26" t="s">
        <v>371</v>
      </c>
      <c r="AA26" t="s">
        <v>104</v>
      </c>
      <c r="AB26" t="s">
        <v>103</v>
      </c>
      <c r="AC26" t="s">
        <v>885</v>
      </c>
      <c r="AD26" t="s">
        <v>886</v>
      </c>
      <c r="AE26" t="s">
        <v>459</v>
      </c>
      <c r="AF26">
        <v>34.875</v>
      </c>
      <c r="AG26">
        <v>45</v>
      </c>
      <c r="AH26">
        <v>85.63</v>
      </c>
      <c r="AJ26" s="86" t="str">
        <f t="shared" si="9"/>
        <v>51067Mix + Intocáveis SC Johnson</v>
      </c>
      <c r="AK26">
        <v>51067</v>
      </c>
      <c r="AL26" t="s">
        <v>372</v>
      </c>
      <c r="AM26" t="s">
        <v>1004</v>
      </c>
      <c r="AN26" t="s">
        <v>103</v>
      </c>
      <c r="AO26" t="s">
        <v>1005</v>
      </c>
      <c r="AP26" t="s">
        <v>1006</v>
      </c>
      <c r="AQ26" t="s">
        <v>459</v>
      </c>
      <c r="AR26">
        <v>29.56</v>
      </c>
      <c r="AS26">
        <v>40</v>
      </c>
      <c r="AT26">
        <v>62.48</v>
      </c>
      <c r="AV26" s="86" t="str">
        <f t="shared" si="10"/>
        <v>50548Mix + Intocáveis SC Johnson</v>
      </c>
      <c r="AW26">
        <v>50548</v>
      </c>
      <c r="AX26" t="s">
        <v>330</v>
      </c>
      <c r="AY26" t="s">
        <v>36</v>
      </c>
      <c r="AZ26" t="s">
        <v>103</v>
      </c>
      <c r="BA26" t="s">
        <v>1045</v>
      </c>
      <c r="BB26" t="s">
        <v>1046</v>
      </c>
      <c r="BC26" t="s">
        <v>459</v>
      </c>
      <c r="BD26">
        <v>33.04</v>
      </c>
      <c r="BE26">
        <v>40</v>
      </c>
      <c r="BF26">
        <v>65.7</v>
      </c>
      <c r="BH26" s="86" t="str">
        <f t="shared" si="11"/>
        <v>50548Mix + Intocáveis SC Johnson</v>
      </c>
      <c r="BI26">
        <v>50548</v>
      </c>
      <c r="BJ26" t="s">
        <v>330</v>
      </c>
      <c r="BK26" t="s">
        <v>36</v>
      </c>
      <c r="BL26" t="s">
        <v>103</v>
      </c>
      <c r="BM26" t="s">
        <v>1173</v>
      </c>
      <c r="BN26" t="s">
        <v>1174</v>
      </c>
      <c r="BO26" t="s">
        <v>459</v>
      </c>
      <c r="BP26">
        <v>29.56</v>
      </c>
      <c r="BQ26">
        <v>40</v>
      </c>
      <c r="BR26">
        <v>78.89</v>
      </c>
      <c r="BT26" s="86" t="str">
        <f t="shared" si="0"/>
        <v>50548Execucao Bonus</v>
      </c>
      <c r="BU26">
        <v>50548</v>
      </c>
      <c r="BV26" t="s">
        <v>330</v>
      </c>
      <c r="BW26" t="s">
        <v>1306</v>
      </c>
      <c r="BX26" t="s">
        <v>103</v>
      </c>
      <c r="BY26" t="s">
        <v>1350</v>
      </c>
      <c r="BZ26" t="s">
        <v>1351</v>
      </c>
      <c r="CA26" t="s">
        <v>1291</v>
      </c>
      <c r="CB26">
        <v>0</v>
      </c>
      <c r="CC26">
        <v>5</v>
      </c>
      <c r="CD26">
        <v>81.760000000000005</v>
      </c>
      <c r="CF26" s="86" t="str">
        <f t="shared" si="1"/>
        <v>50548Execucao Bonus</v>
      </c>
      <c r="CG26">
        <v>50548</v>
      </c>
      <c r="CH26" t="s">
        <v>330</v>
      </c>
      <c r="CI26" t="s">
        <v>1306</v>
      </c>
      <c r="CJ26" t="s">
        <v>103</v>
      </c>
      <c r="CK26" t="s">
        <v>1432</v>
      </c>
      <c r="CL26" t="s">
        <v>1433</v>
      </c>
      <c r="CM26" t="s">
        <v>1291</v>
      </c>
      <c r="CN26">
        <v>0</v>
      </c>
      <c r="CO26">
        <v>5</v>
      </c>
      <c r="CP26">
        <v>94.83</v>
      </c>
      <c r="CR26" s="86" t="str">
        <f t="shared" si="2"/>
        <v>51049Execucao Bonus</v>
      </c>
      <c r="CS26">
        <v>51049</v>
      </c>
      <c r="CT26" t="s">
        <v>371</v>
      </c>
      <c r="CU26" t="s">
        <v>1004</v>
      </c>
      <c r="CV26" t="s">
        <v>103</v>
      </c>
      <c r="CW26" t="s">
        <v>1618</v>
      </c>
      <c r="CX26" t="s">
        <v>1619</v>
      </c>
      <c r="CY26" t="s">
        <v>1291</v>
      </c>
      <c r="CZ26">
        <v>5</v>
      </c>
      <c r="DA26">
        <v>5</v>
      </c>
      <c r="DB26">
        <v>93.2</v>
      </c>
      <c r="DD26" s="86" t="str">
        <f t="shared" si="3"/>
        <v>51049Share Sub Loc Pao Quente SC Johnson</v>
      </c>
      <c r="DE26">
        <v>51049</v>
      </c>
      <c r="DF26" t="s">
        <v>371</v>
      </c>
      <c r="DG26" t="s">
        <v>1004</v>
      </c>
      <c r="DH26" t="s">
        <v>103</v>
      </c>
      <c r="DI26" t="s">
        <v>1676</v>
      </c>
      <c r="DJ26" t="s">
        <v>1677</v>
      </c>
      <c r="DK26" t="s">
        <v>458</v>
      </c>
      <c r="DL26">
        <v>9</v>
      </c>
      <c r="DM26">
        <v>12</v>
      </c>
      <c r="DN26">
        <v>76</v>
      </c>
      <c r="DP26" s="86" t="str">
        <f t="shared" si="4"/>
        <v>48951Share Sub Loc Pao Quente SC Johnson</v>
      </c>
      <c r="DQ26">
        <v>48951</v>
      </c>
      <c r="DR26" t="s">
        <v>329</v>
      </c>
      <c r="DS26" t="s">
        <v>1306</v>
      </c>
      <c r="DT26" t="s">
        <v>103</v>
      </c>
      <c r="DU26" t="s">
        <v>1758</v>
      </c>
      <c r="DV26" t="s">
        <v>1759</v>
      </c>
      <c r="DW26" t="s">
        <v>458</v>
      </c>
      <c r="DX26">
        <v>12</v>
      </c>
      <c r="DY26">
        <v>12</v>
      </c>
      <c r="DZ26">
        <v>96.62</v>
      </c>
      <c r="EB26" s="86" t="str">
        <f t="shared" si="5"/>
        <v>50548Share Sub Loc Pao Quente SC Johnson</v>
      </c>
      <c r="EC26">
        <v>50548</v>
      </c>
      <c r="ED26" t="s">
        <v>330</v>
      </c>
      <c r="EE26" t="s">
        <v>1306</v>
      </c>
      <c r="EF26" t="s">
        <v>103</v>
      </c>
      <c r="EG26" t="s">
        <v>1914</v>
      </c>
      <c r="EH26" t="s">
        <v>1915</v>
      </c>
      <c r="EI26" t="s">
        <v>458</v>
      </c>
      <c r="EJ26">
        <v>12</v>
      </c>
      <c r="EK26">
        <v>12</v>
      </c>
      <c r="EL26">
        <v>94.4</v>
      </c>
    </row>
    <row r="27" spans="1:142" x14ac:dyDescent="0.35">
      <c r="A27" s="86" t="str">
        <f t="shared" si="6"/>
        <v>51049Share Sub Category SC Johnson</v>
      </c>
      <c r="B27">
        <v>51049</v>
      </c>
      <c r="C27" t="s">
        <v>371</v>
      </c>
      <c r="D27" t="s">
        <v>103</v>
      </c>
      <c r="E27" t="s">
        <v>471</v>
      </c>
      <c r="F27" t="s">
        <v>472</v>
      </c>
      <c r="G27" t="s">
        <v>457</v>
      </c>
      <c r="H27">
        <v>64.010000000000005</v>
      </c>
      <c r="I27">
        <v>25.71</v>
      </c>
      <c r="J27">
        <v>30</v>
      </c>
      <c r="L27" s="86" t="str">
        <f t="shared" si="7"/>
        <v>51049Share Sub Category SC Johnson</v>
      </c>
      <c r="M27">
        <v>51049</v>
      </c>
      <c r="N27" t="s">
        <v>371</v>
      </c>
      <c r="O27" t="s">
        <v>104</v>
      </c>
      <c r="P27" t="s">
        <v>103</v>
      </c>
      <c r="Q27" t="s">
        <v>628</v>
      </c>
      <c r="R27" t="s">
        <v>629</v>
      </c>
      <c r="S27" t="s">
        <v>457</v>
      </c>
      <c r="T27">
        <v>17.13</v>
      </c>
      <c r="U27">
        <v>30</v>
      </c>
      <c r="V27">
        <v>52.5</v>
      </c>
      <c r="X27" s="86" t="str">
        <f t="shared" si="8"/>
        <v>51067Share Sub Category SC Johnson</v>
      </c>
      <c r="Y27">
        <v>51067</v>
      </c>
      <c r="Z27" t="s">
        <v>372</v>
      </c>
      <c r="AA27" t="s">
        <v>104</v>
      </c>
      <c r="AB27" t="s">
        <v>103</v>
      </c>
      <c r="AC27" t="s">
        <v>887</v>
      </c>
      <c r="AD27" t="s">
        <v>888</v>
      </c>
      <c r="AE27" t="s">
        <v>457</v>
      </c>
      <c r="AF27">
        <v>21.42</v>
      </c>
      <c r="AG27">
        <v>30</v>
      </c>
      <c r="AH27">
        <v>77.05</v>
      </c>
      <c r="AJ27" s="86" t="str">
        <f t="shared" si="9"/>
        <v>51067Lancamentos</v>
      </c>
      <c r="AK27">
        <v>51067</v>
      </c>
      <c r="AL27" t="s">
        <v>372</v>
      </c>
      <c r="AM27" t="s">
        <v>1004</v>
      </c>
      <c r="AN27" t="s">
        <v>103</v>
      </c>
      <c r="AO27" t="s">
        <v>1005</v>
      </c>
      <c r="AP27" t="s">
        <v>1006</v>
      </c>
      <c r="AQ27" t="s">
        <v>953</v>
      </c>
      <c r="AR27">
        <v>0</v>
      </c>
      <c r="AS27">
        <v>18</v>
      </c>
      <c r="AT27">
        <v>62.48</v>
      </c>
      <c r="AV27" s="86" t="str">
        <f t="shared" si="10"/>
        <v>50548Lancamentos</v>
      </c>
      <c r="AW27">
        <v>50548</v>
      </c>
      <c r="AX27" t="s">
        <v>330</v>
      </c>
      <c r="AY27" t="s">
        <v>36</v>
      </c>
      <c r="AZ27" t="s">
        <v>103</v>
      </c>
      <c r="BA27" t="s">
        <v>1045</v>
      </c>
      <c r="BB27" t="s">
        <v>1046</v>
      </c>
      <c r="BC27" t="s">
        <v>953</v>
      </c>
      <c r="BD27">
        <v>0</v>
      </c>
      <c r="BE27">
        <v>18</v>
      </c>
      <c r="BF27">
        <v>65.7</v>
      </c>
      <c r="BH27" s="86" t="str">
        <f t="shared" si="11"/>
        <v>50548Lancamentos</v>
      </c>
      <c r="BI27">
        <v>50548</v>
      </c>
      <c r="BJ27" t="s">
        <v>330</v>
      </c>
      <c r="BK27" t="s">
        <v>36</v>
      </c>
      <c r="BL27" t="s">
        <v>103</v>
      </c>
      <c r="BM27" t="s">
        <v>1173</v>
      </c>
      <c r="BN27" t="s">
        <v>1174</v>
      </c>
      <c r="BO27" t="s">
        <v>953</v>
      </c>
      <c r="BP27">
        <v>18</v>
      </c>
      <c r="BQ27">
        <v>18</v>
      </c>
      <c r="BR27">
        <v>78.89</v>
      </c>
      <c r="BT27" s="86" t="str">
        <f t="shared" si="0"/>
        <v>51049Lancamentos</v>
      </c>
      <c r="BU27">
        <v>51049</v>
      </c>
      <c r="BV27" t="s">
        <v>371</v>
      </c>
      <c r="BW27" t="s">
        <v>1004</v>
      </c>
      <c r="BX27" t="s">
        <v>103</v>
      </c>
      <c r="BY27" t="s">
        <v>1292</v>
      </c>
      <c r="BZ27" t="s">
        <v>1293</v>
      </c>
      <c r="CA27" t="s">
        <v>953</v>
      </c>
      <c r="CB27">
        <v>9</v>
      </c>
      <c r="CC27">
        <v>18</v>
      </c>
      <c r="CD27">
        <v>78.22</v>
      </c>
      <c r="CF27" s="86" t="str">
        <f t="shared" si="1"/>
        <v>51049Lancamentos</v>
      </c>
      <c r="CG27">
        <v>51049</v>
      </c>
      <c r="CH27" t="s">
        <v>371</v>
      </c>
      <c r="CI27" t="s">
        <v>1004</v>
      </c>
      <c r="CJ27" t="s">
        <v>103</v>
      </c>
      <c r="CK27" t="s">
        <v>1487</v>
      </c>
      <c r="CL27" t="s">
        <v>1488</v>
      </c>
      <c r="CM27" t="s">
        <v>953</v>
      </c>
      <c r="CN27">
        <v>0</v>
      </c>
      <c r="CO27">
        <v>18</v>
      </c>
      <c r="CP27">
        <v>64.8</v>
      </c>
      <c r="CR27" s="86" t="str">
        <f t="shared" si="2"/>
        <v>51067Lancamentos</v>
      </c>
      <c r="CS27">
        <v>51067</v>
      </c>
      <c r="CT27" t="s">
        <v>372</v>
      </c>
      <c r="CU27" t="s">
        <v>1004</v>
      </c>
      <c r="CV27" t="s">
        <v>103</v>
      </c>
      <c r="CW27" t="s">
        <v>1574</v>
      </c>
      <c r="CX27" t="s">
        <v>1575</v>
      </c>
      <c r="CY27" t="s">
        <v>953</v>
      </c>
      <c r="CZ27">
        <v>9</v>
      </c>
      <c r="DA27">
        <v>18</v>
      </c>
      <c r="DB27">
        <v>78.8</v>
      </c>
      <c r="DD27" s="86" t="str">
        <f t="shared" si="3"/>
        <v>51067Mix + Intocáveis SC Johnson</v>
      </c>
      <c r="DE27">
        <v>51067</v>
      </c>
      <c r="DF27" t="s">
        <v>372</v>
      </c>
      <c r="DG27" t="s">
        <v>1004</v>
      </c>
      <c r="DH27" t="s">
        <v>103</v>
      </c>
      <c r="DI27" t="s">
        <v>1678</v>
      </c>
      <c r="DJ27" t="s">
        <v>1679</v>
      </c>
      <c r="DK27" t="s">
        <v>459</v>
      </c>
      <c r="DL27">
        <v>27.2</v>
      </c>
      <c r="DM27">
        <v>40</v>
      </c>
      <c r="DN27">
        <v>63.96</v>
      </c>
      <c r="DP27" s="86" t="str">
        <f t="shared" si="4"/>
        <v>50548Mix + Intocáveis SC Johnson</v>
      </c>
      <c r="DQ27">
        <v>50548</v>
      </c>
      <c r="DR27" t="s">
        <v>330</v>
      </c>
      <c r="DS27" t="s">
        <v>1306</v>
      </c>
      <c r="DT27" t="s">
        <v>103</v>
      </c>
      <c r="DU27" t="s">
        <v>1760</v>
      </c>
      <c r="DV27" t="s">
        <v>1761</v>
      </c>
      <c r="DW27" t="s">
        <v>459</v>
      </c>
      <c r="DX27">
        <v>36.799999999999997</v>
      </c>
      <c r="DY27">
        <v>40</v>
      </c>
      <c r="DZ27">
        <v>100</v>
      </c>
      <c r="EB27" s="86" t="str">
        <f t="shared" si="5"/>
        <v>52169Mix + Intocáveis SC Johnson</v>
      </c>
      <c r="EC27">
        <v>52169</v>
      </c>
      <c r="ED27" t="s">
        <v>331</v>
      </c>
      <c r="EE27" t="s">
        <v>1306</v>
      </c>
      <c r="EF27" t="s">
        <v>103</v>
      </c>
      <c r="EG27" t="s">
        <v>1916</v>
      </c>
      <c r="EH27" t="s">
        <v>1917</v>
      </c>
      <c r="EI27" t="s">
        <v>459</v>
      </c>
      <c r="EJ27">
        <v>38.4</v>
      </c>
      <c r="EK27">
        <v>40</v>
      </c>
      <c r="EL27">
        <v>99.83</v>
      </c>
    </row>
    <row r="28" spans="1:142" x14ac:dyDescent="0.35">
      <c r="A28" s="86" t="str">
        <f t="shared" si="6"/>
        <v>51049Cross Merchan SC Johnson</v>
      </c>
      <c r="B28">
        <v>51049</v>
      </c>
      <c r="C28" t="s">
        <v>371</v>
      </c>
      <c r="D28" t="s">
        <v>103</v>
      </c>
      <c r="E28" t="s">
        <v>471</v>
      </c>
      <c r="F28" t="s">
        <v>472</v>
      </c>
      <c r="G28" t="s">
        <v>111</v>
      </c>
      <c r="H28">
        <v>64.010000000000005</v>
      </c>
      <c r="I28">
        <v>0</v>
      </c>
      <c r="J28">
        <v>8</v>
      </c>
      <c r="L28" s="86" t="str">
        <f t="shared" si="7"/>
        <v>51049Cross Merchan SC Johnson</v>
      </c>
      <c r="M28">
        <v>51049</v>
      </c>
      <c r="N28" t="s">
        <v>371</v>
      </c>
      <c r="O28" t="s">
        <v>104</v>
      </c>
      <c r="P28" t="s">
        <v>103</v>
      </c>
      <c r="Q28" t="s">
        <v>628</v>
      </c>
      <c r="R28" t="s">
        <v>629</v>
      </c>
      <c r="S28" t="s">
        <v>111</v>
      </c>
      <c r="T28">
        <v>8</v>
      </c>
      <c r="U28">
        <v>8</v>
      </c>
      <c r="V28">
        <v>52.5</v>
      </c>
      <c r="X28" s="86" t="str">
        <f t="shared" si="8"/>
        <v>51067Cross Merchan SC Johnson</v>
      </c>
      <c r="Y28">
        <v>51067</v>
      </c>
      <c r="Z28" t="s">
        <v>372</v>
      </c>
      <c r="AA28" t="s">
        <v>104</v>
      </c>
      <c r="AB28" t="s">
        <v>103</v>
      </c>
      <c r="AC28" t="s">
        <v>887</v>
      </c>
      <c r="AD28" t="s">
        <v>888</v>
      </c>
      <c r="AE28" t="s">
        <v>111</v>
      </c>
      <c r="AF28">
        <v>8</v>
      </c>
      <c r="AG28">
        <v>8</v>
      </c>
      <c r="AH28">
        <v>77.05</v>
      </c>
      <c r="AJ28" s="86" t="str">
        <f t="shared" si="9"/>
        <v>51123Share Sub Category SC Johnson</v>
      </c>
      <c r="AK28">
        <v>51123</v>
      </c>
      <c r="AL28" t="s">
        <v>373</v>
      </c>
      <c r="AM28" t="s">
        <v>104</v>
      </c>
      <c r="AN28" t="s">
        <v>103</v>
      </c>
      <c r="AO28" t="s">
        <v>915</v>
      </c>
      <c r="AP28" t="s">
        <v>916</v>
      </c>
      <c r="AQ28" t="s">
        <v>457</v>
      </c>
      <c r="AR28">
        <v>25</v>
      </c>
      <c r="AS28">
        <v>25</v>
      </c>
      <c r="AT28">
        <v>70.819999999999993</v>
      </c>
      <c r="AV28" s="86" t="str">
        <f t="shared" si="10"/>
        <v>51049Share Sub Category SC Johnson</v>
      </c>
      <c r="AW28">
        <v>51049</v>
      </c>
      <c r="AX28" t="s">
        <v>371</v>
      </c>
      <c r="AY28" t="s">
        <v>1004</v>
      </c>
      <c r="AZ28" t="s">
        <v>103</v>
      </c>
      <c r="BA28" t="s">
        <v>1047</v>
      </c>
      <c r="BB28" t="s">
        <v>1048</v>
      </c>
      <c r="BC28" t="s">
        <v>457</v>
      </c>
      <c r="BD28">
        <v>14.275</v>
      </c>
      <c r="BE28">
        <v>25</v>
      </c>
      <c r="BF28">
        <v>41.94</v>
      </c>
      <c r="BH28" s="86" t="str">
        <f t="shared" si="11"/>
        <v>51049Share Sub Category SC Johnson</v>
      </c>
      <c r="BI28">
        <v>51049</v>
      </c>
      <c r="BJ28" t="s">
        <v>371</v>
      </c>
      <c r="BK28" t="s">
        <v>1004</v>
      </c>
      <c r="BL28" t="s">
        <v>103</v>
      </c>
      <c r="BM28" t="s">
        <v>1175</v>
      </c>
      <c r="BN28" t="s">
        <v>1176</v>
      </c>
      <c r="BO28" t="s">
        <v>457</v>
      </c>
      <c r="BP28">
        <v>25</v>
      </c>
      <c r="BQ28">
        <v>25</v>
      </c>
      <c r="BR28">
        <v>72.44</v>
      </c>
      <c r="BT28" s="86" t="str">
        <f t="shared" si="0"/>
        <v>51049Mix + Intocáveis SC Johnson</v>
      </c>
      <c r="BU28">
        <v>51049</v>
      </c>
      <c r="BV28" t="s">
        <v>371</v>
      </c>
      <c r="BW28" t="s">
        <v>1004</v>
      </c>
      <c r="BX28" t="s">
        <v>103</v>
      </c>
      <c r="BY28" t="s">
        <v>1292</v>
      </c>
      <c r="BZ28" t="s">
        <v>1293</v>
      </c>
      <c r="CA28" t="s">
        <v>459</v>
      </c>
      <c r="CB28">
        <v>28.8</v>
      </c>
      <c r="CC28">
        <v>40</v>
      </c>
      <c r="CD28">
        <v>78.22</v>
      </c>
      <c r="CF28" s="86" t="str">
        <f t="shared" si="1"/>
        <v>51049Mix + Intocáveis SC Johnson</v>
      </c>
      <c r="CG28">
        <v>51049</v>
      </c>
      <c r="CH28" t="s">
        <v>371</v>
      </c>
      <c r="CI28" t="s">
        <v>1004</v>
      </c>
      <c r="CJ28" t="s">
        <v>103</v>
      </c>
      <c r="CK28" t="s">
        <v>1487</v>
      </c>
      <c r="CL28" t="s">
        <v>1488</v>
      </c>
      <c r="CM28" t="s">
        <v>459</v>
      </c>
      <c r="CN28">
        <v>28.8</v>
      </c>
      <c r="CO28">
        <v>40</v>
      </c>
      <c r="CP28">
        <v>64.8</v>
      </c>
      <c r="CR28" s="86" t="str">
        <f t="shared" si="2"/>
        <v>51067Mix + Intocáveis SC Johnson</v>
      </c>
      <c r="CS28">
        <v>51067</v>
      </c>
      <c r="CT28" t="s">
        <v>372</v>
      </c>
      <c r="CU28" t="s">
        <v>1004</v>
      </c>
      <c r="CV28" t="s">
        <v>103</v>
      </c>
      <c r="CW28" t="s">
        <v>1574</v>
      </c>
      <c r="CX28" t="s">
        <v>1575</v>
      </c>
      <c r="CY28" t="s">
        <v>459</v>
      </c>
      <c r="CZ28">
        <v>28.8</v>
      </c>
      <c r="DA28">
        <v>40</v>
      </c>
      <c r="DB28">
        <v>78.8</v>
      </c>
      <c r="DD28" s="86" t="str">
        <f t="shared" si="3"/>
        <v>51067Execucao Bonus</v>
      </c>
      <c r="DE28">
        <v>51067</v>
      </c>
      <c r="DF28" t="s">
        <v>372</v>
      </c>
      <c r="DG28" t="s">
        <v>1004</v>
      </c>
      <c r="DH28" t="s">
        <v>103</v>
      </c>
      <c r="DI28" t="s">
        <v>1678</v>
      </c>
      <c r="DJ28" t="s">
        <v>1679</v>
      </c>
      <c r="DK28" t="s">
        <v>1291</v>
      </c>
      <c r="DL28">
        <v>0</v>
      </c>
      <c r="DM28">
        <v>5</v>
      </c>
      <c r="DN28">
        <v>63.96</v>
      </c>
      <c r="DP28" s="86" t="str">
        <f t="shared" si="4"/>
        <v>50548Execucao Bonus</v>
      </c>
      <c r="DQ28">
        <v>50548</v>
      </c>
      <c r="DR28" t="s">
        <v>330</v>
      </c>
      <c r="DS28" t="s">
        <v>1306</v>
      </c>
      <c r="DT28" t="s">
        <v>103</v>
      </c>
      <c r="DU28" t="s">
        <v>1760</v>
      </c>
      <c r="DV28" t="s">
        <v>1761</v>
      </c>
      <c r="DW28" t="s">
        <v>1291</v>
      </c>
      <c r="DX28">
        <v>3.2</v>
      </c>
      <c r="DY28">
        <v>5</v>
      </c>
      <c r="DZ28">
        <v>100</v>
      </c>
      <c r="EB28" s="86" t="str">
        <f t="shared" si="5"/>
        <v>52169Execucao Bonus</v>
      </c>
      <c r="EC28">
        <v>52169</v>
      </c>
      <c r="ED28" t="s">
        <v>331</v>
      </c>
      <c r="EE28" t="s">
        <v>1306</v>
      </c>
      <c r="EF28" t="s">
        <v>103</v>
      </c>
      <c r="EG28" t="s">
        <v>1916</v>
      </c>
      <c r="EH28" t="s">
        <v>1917</v>
      </c>
      <c r="EI28" t="s">
        <v>1291</v>
      </c>
      <c r="EJ28">
        <v>5</v>
      </c>
      <c r="EK28">
        <v>5</v>
      </c>
      <c r="EL28">
        <v>99.83</v>
      </c>
    </row>
    <row r="29" spans="1:142" x14ac:dyDescent="0.35">
      <c r="A29" s="86" t="str">
        <f t="shared" si="6"/>
        <v>51049Share Sub Loc Pao Quente SC Johnson</v>
      </c>
      <c r="B29">
        <v>51049</v>
      </c>
      <c r="C29" t="s">
        <v>371</v>
      </c>
      <c r="D29" t="s">
        <v>103</v>
      </c>
      <c r="E29" t="s">
        <v>471</v>
      </c>
      <c r="F29" t="s">
        <v>472</v>
      </c>
      <c r="G29" t="s">
        <v>458</v>
      </c>
      <c r="H29">
        <v>64.010000000000005</v>
      </c>
      <c r="I29">
        <v>6.8</v>
      </c>
      <c r="J29">
        <v>17</v>
      </c>
      <c r="L29" s="86" t="str">
        <f t="shared" si="7"/>
        <v>51049Share Sub Loc Pao Quente SC Johnson</v>
      </c>
      <c r="M29">
        <v>51049</v>
      </c>
      <c r="N29" t="s">
        <v>371</v>
      </c>
      <c r="O29" t="s">
        <v>104</v>
      </c>
      <c r="P29" t="s">
        <v>103</v>
      </c>
      <c r="Q29" t="s">
        <v>628</v>
      </c>
      <c r="R29" t="s">
        <v>629</v>
      </c>
      <c r="S29" t="s">
        <v>458</v>
      </c>
      <c r="T29">
        <v>12.75</v>
      </c>
      <c r="U29">
        <v>17</v>
      </c>
      <c r="V29">
        <v>52.5</v>
      </c>
      <c r="X29" s="86" t="str">
        <f t="shared" si="8"/>
        <v>51067Share Sub Loc Pao Quente SC Johnson</v>
      </c>
      <c r="Y29">
        <v>51067</v>
      </c>
      <c r="Z29" t="s">
        <v>372</v>
      </c>
      <c r="AA29" t="s">
        <v>104</v>
      </c>
      <c r="AB29" t="s">
        <v>103</v>
      </c>
      <c r="AC29" t="s">
        <v>887</v>
      </c>
      <c r="AD29" t="s">
        <v>888</v>
      </c>
      <c r="AE29" t="s">
        <v>458</v>
      </c>
      <c r="AF29">
        <v>12.75</v>
      </c>
      <c r="AG29">
        <v>17</v>
      </c>
      <c r="AH29">
        <v>77.05</v>
      </c>
      <c r="AJ29" s="86" t="str">
        <f t="shared" si="9"/>
        <v>51123Cross Merchan SC Johnson</v>
      </c>
      <c r="AK29">
        <v>51123</v>
      </c>
      <c r="AL29" t="s">
        <v>373</v>
      </c>
      <c r="AM29" t="s">
        <v>104</v>
      </c>
      <c r="AN29" t="s">
        <v>103</v>
      </c>
      <c r="AO29" t="s">
        <v>915</v>
      </c>
      <c r="AP29" t="s">
        <v>916</v>
      </c>
      <c r="AQ29" t="s">
        <v>111</v>
      </c>
      <c r="AR29">
        <v>2.5</v>
      </c>
      <c r="AS29">
        <v>5</v>
      </c>
      <c r="AT29">
        <v>70.819999999999993</v>
      </c>
      <c r="AV29" s="86" t="str">
        <f t="shared" si="10"/>
        <v>51049Cross Merchan SC Johnson</v>
      </c>
      <c r="AW29">
        <v>51049</v>
      </c>
      <c r="AX29" t="s">
        <v>371</v>
      </c>
      <c r="AY29" t="s">
        <v>1004</v>
      </c>
      <c r="AZ29" t="s">
        <v>103</v>
      </c>
      <c r="BA29" t="s">
        <v>1047</v>
      </c>
      <c r="BB29" t="s">
        <v>1048</v>
      </c>
      <c r="BC29" t="s">
        <v>111</v>
      </c>
      <c r="BD29">
        <v>1.665</v>
      </c>
      <c r="BE29">
        <v>5</v>
      </c>
      <c r="BF29">
        <v>41.94</v>
      </c>
      <c r="BH29" s="86" t="str">
        <f t="shared" si="11"/>
        <v>51049Cross Merchan SC Johnson</v>
      </c>
      <c r="BI29">
        <v>51049</v>
      </c>
      <c r="BJ29" t="s">
        <v>371</v>
      </c>
      <c r="BK29" t="s">
        <v>1004</v>
      </c>
      <c r="BL29" t="s">
        <v>103</v>
      </c>
      <c r="BM29" t="s">
        <v>1175</v>
      </c>
      <c r="BN29" t="s">
        <v>1176</v>
      </c>
      <c r="BO29" t="s">
        <v>111</v>
      </c>
      <c r="BP29">
        <v>5</v>
      </c>
      <c r="BQ29">
        <v>5</v>
      </c>
      <c r="BR29">
        <v>72.44</v>
      </c>
      <c r="BT29" s="86" t="str">
        <f t="shared" si="0"/>
        <v>51049Share Sub Category SC Johnson</v>
      </c>
      <c r="BU29">
        <v>51049</v>
      </c>
      <c r="BV29" t="s">
        <v>371</v>
      </c>
      <c r="BW29" t="s">
        <v>1004</v>
      </c>
      <c r="BX29" t="s">
        <v>103</v>
      </c>
      <c r="BY29" t="s">
        <v>1292</v>
      </c>
      <c r="BZ29" t="s">
        <v>1293</v>
      </c>
      <c r="CA29" t="s">
        <v>457</v>
      </c>
      <c r="CB29">
        <v>21.425000000000001</v>
      </c>
      <c r="CC29">
        <v>25</v>
      </c>
      <c r="CD29">
        <v>78.22</v>
      </c>
      <c r="CF29" s="86" t="str">
        <f t="shared" si="1"/>
        <v>51049Share Sub Category SC Johnson</v>
      </c>
      <c r="CG29">
        <v>51049</v>
      </c>
      <c r="CH29" t="s">
        <v>371</v>
      </c>
      <c r="CI29" t="s">
        <v>1004</v>
      </c>
      <c r="CJ29" t="s">
        <v>103</v>
      </c>
      <c r="CK29" t="s">
        <v>1487</v>
      </c>
      <c r="CL29" t="s">
        <v>1488</v>
      </c>
      <c r="CM29" t="s">
        <v>457</v>
      </c>
      <c r="CN29">
        <v>25</v>
      </c>
      <c r="CO29">
        <v>25</v>
      </c>
      <c r="CP29">
        <v>64.8</v>
      </c>
      <c r="CR29" s="86" t="str">
        <f t="shared" si="2"/>
        <v>51067Share Sub Category SC Johnson</v>
      </c>
      <c r="CS29">
        <v>51067</v>
      </c>
      <c r="CT29" t="s">
        <v>372</v>
      </c>
      <c r="CU29" t="s">
        <v>1004</v>
      </c>
      <c r="CV29" t="s">
        <v>103</v>
      </c>
      <c r="CW29" t="s">
        <v>1574</v>
      </c>
      <c r="CX29" t="s">
        <v>1575</v>
      </c>
      <c r="CY29" t="s">
        <v>457</v>
      </c>
      <c r="CZ29">
        <v>25</v>
      </c>
      <c r="DA29">
        <v>25</v>
      </c>
      <c r="DB29">
        <v>78.8</v>
      </c>
      <c r="DD29" s="86" t="str">
        <f t="shared" si="3"/>
        <v>51067Cross Merchan SC Johnson</v>
      </c>
      <c r="DE29">
        <v>51067</v>
      </c>
      <c r="DF29" t="s">
        <v>372</v>
      </c>
      <c r="DG29" t="s">
        <v>1004</v>
      </c>
      <c r="DH29" t="s">
        <v>103</v>
      </c>
      <c r="DI29" t="s">
        <v>1678</v>
      </c>
      <c r="DJ29" t="s">
        <v>1679</v>
      </c>
      <c r="DK29" t="s">
        <v>111</v>
      </c>
      <c r="DL29">
        <v>3.335</v>
      </c>
      <c r="DM29">
        <v>5</v>
      </c>
      <c r="DN29">
        <v>63.96</v>
      </c>
      <c r="DP29" s="86" t="str">
        <f t="shared" si="4"/>
        <v>50548Cross Merchan SC Johnson</v>
      </c>
      <c r="DQ29">
        <v>50548</v>
      </c>
      <c r="DR29" t="s">
        <v>330</v>
      </c>
      <c r="DS29" t="s">
        <v>1306</v>
      </c>
      <c r="DT29" t="s">
        <v>103</v>
      </c>
      <c r="DU29" t="s">
        <v>1760</v>
      </c>
      <c r="DV29" t="s">
        <v>1761</v>
      </c>
      <c r="DW29" t="s">
        <v>111</v>
      </c>
      <c r="DX29">
        <v>5</v>
      </c>
      <c r="DY29">
        <v>5</v>
      </c>
      <c r="DZ29">
        <v>100</v>
      </c>
      <c r="EB29" s="86" t="str">
        <f t="shared" si="5"/>
        <v>52169Cross Merchan SC Johnson</v>
      </c>
      <c r="EC29">
        <v>52169</v>
      </c>
      <c r="ED29" t="s">
        <v>331</v>
      </c>
      <c r="EE29" t="s">
        <v>1306</v>
      </c>
      <c r="EF29" t="s">
        <v>103</v>
      </c>
      <c r="EG29" t="s">
        <v>1916</v>
      </c>
      <c r="EH29" t="s">
        <v>1917</v>
      </c>
      <c r="EI29" t="s">
        <v>111</v>
      </c>
      <c r="EJ29">
        <v>5</v>
      </c>
      <c r="EK29">
        <v>5</v>
      </c>
      <c r="EL29">
        <v>99.83</v>
      </c>
    </row>
    <row r="30" spans="1:142" x14ac:dyDescent="0.35">
      <c r="A30" s="86" t="str">
        <f t="shared" si="6"/>
        <v>51049Mix + Intocáveis SC Johnson</v>
      </c>
      <c r="B30">
        <v>51049</v>
      </c>
      <c r="C30" t="s">
        <v>371</v>
      </c>
      <c r="D30" t="s">
        <v>103</v>
      </c>
      <c r="E30" t="s">
        <v>471</v>
      </c>
      <c r="F30" t="s">
        <v>472</v>
      </c>
      <c r="G30" t="s">
        <v>459</v>
      </c>
      <c r="H30">
        <v>64.010000000000005</v>
      </c>
      <c r="I30">
        <v>31.5</v>
      </c>
      <c r="J30">
        <v>45</v>
      </c>
      <c r="L30" s="86" t="str">
        <f t="shared" si="7"/>
        <v>51049Mix + Intocáveis SC Johnson</v>
      </c>
      <c r="M30">
        <v>51049</v>
      </c>
      <c r="N30" t="s">
        <v>371</v>
      </c>
      <c r="O30" t="s">
        <v>104</v>
      </c>
      <c r="P30" t="s">
        <v>103</v>
      </c>
      <c r="Q30" t="s">
        <v>628</v>
      </c>
      <c r="R30" t="s">
        <v>629</v>
      </c>
      <c r="S30" t="s">
        <v>459</v>
      </c>
      <c r="T30">
        <v>14.625</v>
      </c>
      <c r="U30">
        <v>45</v>
      </c>
      <c r="V30">
        <v>52.5</v>
      </c>
      <c r="X30" s="86" t="str">
        <f t="shared" si="8"/>
        <v>51067Mix + Intocáveis SC Johnson</v>
      </c>
      <c r="Y30">
        <v>51067</v>
      </c>
      <c r="Z30" t="s">
        <v>372</v>
      </c>
      <c r="AA30" t="s">
        <v>104</v>
      </c>
      <c r="AB30" t="s">
        <v>103</v>
      </c>
      <c r="AC30" t="s">
        <v>887</v>
      </c>
      <c r="AD30" t="s">
        <v>888</v>
      </c>
      <c r="AE30" t="s">
        <v>459</v>
      </c>
      <c r="AF30">
        <v>34.875</v>
      </c>
      <c r="AG30">
        <v>45</v>
      </c>
      <c r="AH30">
        <v>77.05</v>
      </c>
      <c r="AJ30" s="86" t="str">
        <f t="shared" si="9"/>
        <v>51123Share Sub Loc Pao Quente SC Johnson</v>
      </c>
      <c r="AK30">
        <v>51123</v>
      </c>
      <c r="AL30" t="s">
        <v>373</v>
      </c>
      <c r="AM30" t="s">
        <v>104</v>
      </c>
      <c r="AN30" t="s">
        <v>103</v>
      </c>
      <c r="AO30" t="s">
        <v>915</v>
      </c>
      <c r="AP30" t="s">
        <v>916</v>
      </c>
      <c r="AQ30" t="s">
        <v>458</v>
      </c>
      <c r="AR30">
        <v>12</v>
      </c>
      <c r="AS30">
        <v>12</v>
      </c>
      <c r="AT30">
        <v>70.819999999999993</v>
      </c>
      <c r="AV30" s="86" t="str">
        <f t="shared" si="10"/>
        <v>51049Share Sub Loc Pao Quente SC Johnson</v>
      </c>
      <c r="AW30">
        <v>51049</v>
      </c>
      <c r="AX30" t="s">
        <v>371</v>
      </c>
      <c r="AY30" t="s">
        <v>1004</v>
      </c>
      <c r="AZ30" t="s">
        <v>103</v>
      </c>
      <c r="BA30" t="s">
        <v>1047</v>
      </c>
      <c r="BB30" t="s">
        <v>1048</v>
      </c>
      <c r="BC30" t="s">
        <v>458</v>
      </c>
      <c r="BD30">
        <v>6</v>
      </c>
      <c r="BE30">
        <v>12</v>
      </c>
      <c r="BF30">
        <v>41.94</v>
      </c>
      <c r="BH30" s="86" t="str">
        <f t="shared" si="11"/>
        <v>51049Share Sub Loc Pao Quente SC Johnson</v>
      </c>
      <c r="BI30">
        <v>51049</v>
      </c>
      <c r="BJ30" t="s">
        <v>371</v>
      </c>
      <c r="BK30" t="s">
        <v>1004</v>
      </c>
      <c r="BL30" t="s">
        <v>103</v>
      </c>
      <c r="BM30" t="s">
        <v>1175</v>
      </c>
      <c r="BN30" t="s">
        <v>1176</v>
      </c>
      <c r="BO30" t="s">
        <v>458</v>
      </c>
      <c r="BP30">
        <v>12</v>
      </c>
      <c r="BQ30">
        <v>12</v>
      </c>
      <c r="BR30">
        <v>72.44</v>
      </c>
      <c r="BT30" s="86" t="str">
        <f t="shared" si="0"/>
        <v>51049Share Sub Loc Pao Quente SC Johnson</v>
      </c>
      <c r="BU30">
        <v>51049</v>
      </c>
      <c r="BV30" t="s">
        <v>371</v>
      </c>
      <c r="BW30" t="s">
        <v>1004</v>
      </c>
      <c r="BX30" t="s">
        <v>103</v>
      </c>
      <c r="BY30" t="s">
        <v>1292</v>
      </c>
      <c r="BZ30" t="s">
        <v>1293</v>
      </c>
      <c r="CA30" t="s">
        <v>458</v>
      </c>
      <c r="CB30">
        <v>9</v>
      </c>
      <c r="CC30">
        <v>12</v>
      </c>
      <c r="CD30">
        <v>78.22</v>
      </c>
      <c r="CF30" s="86" t="str">
        <f t="shared" si="1"/>
        <v>51049Share Sub Loc Pao Quente SC Johnson</v>
      </c>
      <c r="CG30">
        <v>51049</v>
      </c>
      <c r="CH30" t="s">
        <v>371</v>
      </c>
      <c r="CI30" t="s">
        <v>1004</v>
      </c>
      <c r="CJ30" t="s">
        <v>103</v>
      </c>
      <c r="CK30" t="s">
        <v>1487</v>
      </c>
      <c r="CL30" t="s">
        <v>1488</v>
      </c>
      <c r="CM30" t="s">
        <v>458</v>
      </c>
      <c r="CN30">
        <v>6</v>
      </c>
      <c r="CO30">
        <v>12</v>
      </c>
      <c r="CP30">
        <v>64.8</v>
      </c>
      <c r="CR30" s="86" t="str">
        <f t="shared" si="2"/>
        <v>51067Share Sub Loc Pao Quente SC Johnson</v>
      </c>
      <c r="CS30">
        <v>51067</v>
      </c>
      <c r="CT30" t="s">
        <v>372</v>
      </c>
      <c r="CU30" t="s">
        <v>1004</v>
      </c>
      <c r="CV30" t="s">
        <v>103</v>
      </c>
      <c r="CW30" t="s">
        <v>1574</v>
      </c>
      <c r="CX30" t="s">
        <v>1575</v>
      </c>
      <c r="CY30" t="s">
        <v>458</v>
      </c>
      <c r="CZ30">
        <v>6</v>
      </c>
      <c r="DA30">
        <v>12</v>
      </c>
      <c r="DB30">
        <v>78.8</v>
      </c>
      <c r="DD30" s="86" t="str">
        <f t="shared" si="3"/>
        <v>51067Lancamentos</v>
      </c>
      <c r="DE30">
        <v>51067</v>
      </c>
      <c r="DF30" t="s">
        <v>372</v>
      </c>
      <c r="DG30" t="s">
        <v>1004</v>
      </c>
      <c r="DH30" t="s">
        <v>103</v>
      </c>
      <c r="DI30" t="s">
        <v>1678</v>
      </c>
      <c r="DJ30" t="s">
        <v>1679</v>
      </c>
      <c r="DK30" t="s">
        <v>953</v>
      </c>
      <c r="DL30">
        <v>9</v>
      </c>
      <c r="DM30">
        <v>18</v>
      </c>
      <c r="DN30">
        <v>63.96</v>
      </c>
      <c r="DP30" s="86" t="str">
        <f t="shared" si="4"/>
        <v>50548Lancamentos</v>
      </c>
      <c r="DQ30">
        <v>50548</v>
      </c>
      <c r="DR30" t="s">
        <v>330</v>
      </c>
      <c r="DS30" t="s">
        <v>1306</v>
      </c>
      <c r="DT30" t="s">
        <v>103</v>
      </c>
      <c r="DU30" t="s">
        <v>1760</v>
      </c>
      <c r="DV30" t="s">
        <v>1761</v>
      </c>
      <c r="DW30" t="s">
        <v>953</v>
      </c>
      <c r="DX30">
        <v>18</v>
      </c>
      <c r="DY30">
        <v>18</v>
      </c>
      <c r="DZ30">
        <v>100</v>
      </c>
      <c r="EB30" s="86" t="str">
        <f t="shared" si="5"/>
        <v>52169Lancamentos</v>
      </c>
      <c r="EC30">
        <v>52169</v>
      </c>
      <c r="ED30" t="s">
        <v>331</v>
      </c>
      <c r="EE30" t="s">
        <v>1306</v>
      </c>
      <c r="EF30" t="s">
        <v>103</v>
      </c>
      <c r="EG30" t="s">
        <v>1916</v>
      </c>
      <c r="EH30" t="s">
        <v>1917</v>
      </c>
      <c r="EI30" t="s">
        <v>953</v>
      </c>
      <c r="EJ30">
        <v>18</v>
      </c>
      <c r="EK30">
        <v>18</v>
      </c>
      <c r="EL30">
        <v>99.83</v>
      </c>
    </row>
    <row r="31" spans="1:142" x14ac:dyDescent="0.35">
      <c r="A31" s="86" t="str">
        <f t="shared" si="6"/>
        <v>51067Share Sub Category SC Johnson</v>
      </c>
      <c r="B31">
        <v>51067</v>
      </c>
      <c r="C31" t="s">
        <v>372</v>
      </c>
      <c r="D31" t="s">
        <v>103</v>
      </c>
      <c r="E31" t="s">
        <v>473</v>
      </c>
      <c r="F31" t="s">
        <v>474</v>
      </c>
      <c r="G31" t="s">
        <v>457</v>
      </c>
      <c r="H31">
        <v>66.260000000000005</v>
      </c>
      <c r="I31">
        <v>25.71</v>
      </c>
      <c r="J31">
        <v>30</v>
      </c>
      <c r="L31" s="86" t="str">
        <f t="shared" si="7"/>
        <v>51067Share Sub Category SC Johnson</v>
      </c>
      <c r="M31">
        <v>51067</v>
      </c>
      <c r="N31" t="s">
        <v>372</v>
      </c>
      <c r="O31" t="s">
        <v>104</v>
      </c>
      <c r="P31" t="s">
        <v>103</v>
      </c>
      <c r="Q31" t="s">
        <v>630</v>
      </c>
      <c r="R31" t="s">
        <v>631</v>
      </c>
      <c r="S31" t="s">
        <v>457</v>
      </c>
      <c r="T31">
        <v>21.42</v>
      </c>
      <c r="U31">
        <v>30</v>
      </c>
      <c r="V31">
        <v>78.17</v>
      </c>
      <c r="X31" s="86" t="str">
        <f t="shared" si="8"/>
        <v>51123Share Sub Category SC Johnson</v>
      </c>
      <c r="Y31">
        <v>51123</v>
      </c>
      <c r="Z31" t="s">
        <v>373</v>
      </c>
      <c r="AA31" t="s">
        <v>104</v>
      </c>
      <c r="AB31" t="s">
        <v>103</v>
      </c>
      <c r="AC31" t="s">
        <v>889</v>
      </c>
      <c r="AD31" t="s">
        <v>890</v>
      </c>
      <c r="AE31" t="s">
        <v>457</v>
      </c>
      <c r="AF31">
        <v>30</v>
      </c>
      <c r="AG31">
        <v>30</v>
      </c>
      <c r="AH31">
        <v>88.75</v>
      </c>
      <c r="AJ31" s="86" t="str">
        <f t="shared" si="9"/>
        <v>51123Mix + Intocáveis SC Johnson</v>
      </c>
      <c r="AK31">
        <v>51123</v>
      </c>
      <c r="AL31" t="s">
        <v>373</v>
      </c>
      <c r="AM31" t="s">
        <v>104</v>
      </c>
      <c r="AN31" t="s">
        <v>103</v>
      </c>
      <c r="AO31" t="s">
        <v>915</v>
      </c>
      <c r="AP31" t="s">
        <v>916</v>
      </c>
      <c r="AQ31" t="s">
        <v>459</v>
      </c>
      <c r="AR31">
        <v>31.32</v>
      </c>
      <c r="AS31">
        <v>40</v>
      </c>
      <c r="AT31">
        <v>70.819999999999993</v>
      </c>
      <c r="AV31" s="86" t="str">
        <f t="shared" si="10"/>
        <v>51049Mix + Intocáveis SC Johnson</v>
      </c>
      <c r="AW31">
        <v>51049</v>
      </c>
      <c r="AX31" t="s">
        <v>371</v>
      </c>
      <c r="AY31" t="s">
        <v>1004</v>
      </c>
      <c r="AZ31" t="s">
        <v>103</v>
      </c>
      <c r="BA31" t="s">
        <v>1047</v>
      </c>
      <c r="BB31" t="s">
        <v>1048</v>
      </c>
      <c r="BC31" t="s">
        <v>459</v>
      </c>
      <c r="BD31">
        <v>20</v>
      </c>
      <c r="BE31">
        <v>40</v>
      </c>
      <c r="BF31">
        <v>41.94</v>
      </c>
      <c r="BH31" s="86" t="str">
        <f t="shared" si="11"/>
        <v>51049Mix + Intocáveis SC Johnson</v>
      </c>
      <c r="BI31">
        <v>51049</v>
      </c>
      <c r="BJ31" t="s">
        <v>371</v>
      </c>
      <c r="BK31" t="s">
        <v>1004</v>
      </c>
      <c r="BL31" t="s">
        <v>103</v>
      </c>
      <c r="BM31" t="s">
        <v>1175</v>
      </c>
      <c r="BN31" t="s">
        <v>1176</v>
      </c>
      <c r="BO31" t="s">
        <v>459</v>
      </c>
      <c r="BP31">
        <v>30.44</v>
      </c>
      <c r="BQ31">
        <v>40</v>
      </c>
      <c r="BR31">
        <v>72.44</v>
      </c>
      <c r="BT31" s="86" t="str">
        <f t="shared" si="0"/>
        <v>51049Cross Merchan SC Johnson</v>
      </c>
      <c r="BU31">
        <v>51049</v>
      </c>
      <c r="BV31" t="s">
        <v>371</v>
      </c>
      <c r="BW31" t="s">
        <v>1004</v>
      </c>
      <c r="BX31" t="s">
        <v>103</v>
      </c>
      <c r="BY31" t="s">
        <v>1292</v>
      </c>
      <c r="BZ31" t="s">
        <v>1293</v>
      </c>
      <c r="CA31" t="s">
        <v>111</v>
      </c>
      <c r="CB31">
        <v>5</v>
      </c>
      <c r="CC31">
        <v>5</v>
      </c>
      <c r="CD31">
        <v>78.22</v>
      </c>
      <c r="CF31" s="86" t="str">
        <f t="shared" si="1"/>
        <v>51049Cross Merchan SC Johnson</v>
      </c>
      <c r="CG31">
        <v>51049</v>
      </c>
      <c r="CH31" t="s">
        <v>371</v>
      </c>
      <c r="CI31" t="s">
        <v>1004</v>
      </c>
      <c r="CJ31" t="s">
        <v>103</v>
      </c>
      <c r="CK31" t="s">
        <v>1487</v>
      </c>
      <c r="CL31" t="s">
        <v>1488</v>
      </c>
      <c r="CM31" t="s">
        <v>111</v>
      </c>
      <c r="CN31">
        <v>5</v>
      </c>
      <c r="CO31">
        <v>5</v>
      </c>
      <c r="CP31">
        <v>64.8</v>
      </c>
      <c r="CR31" s="86" t="str">
        <f t="shared" si="2"/>
        <v>51067Cross Merchan SC Johnson</v>
      </c>
      <c r="CS31">
        <v>51067</v>
      </c>
      <c r="CT31" t="s">
        <v>372</v>
      </c>
      <c r="CU31" t="s">
        <v>1004</v>
      </c>
      <c r="CV31" t="s">
        <v>103</v>
      </c>
      <c r="CW31" t="s">
        <v>1574</v>
      </c>
      <c r="CX31" t="s">
        <v>1575</v>
      </c>
      <c r="CY31" t="s">
        <v>111</v>
      </c>
      <c r="CZ31">
        <v>5</v>
      </c>
      <c r="DA31">
        <v>5</v>
      </c>
      <c r="DB31">
        <v>78.8</v>
      </c>
      <c r="DD31" s="86" t="str">
        <f t="shared" si="3"/>
        <v>51067Share Sub Category SC Johnson</v>
      </c>
      <c r="DE31">
        <v>51067</v>
      </c>
      <c r="DF31" t="s">
        <v>372</v>
      </c>
      <c r="DG31" t="s">
        <v>1004</v>
      </c>
      <c r="DH31" t="s">
        <v>103</v>
      </c>
      <c r="DI31" t="s">
        <v>1678</v>
      </c>
      <c r="DJ31" t="s">
        <v>1679</v>
      </c>
      <c r="DK31" t="s">
        <v>457</v>
      </c>
      <c r="DL31">
        <v>21.425000000000001</v>
      </c>
      <c r="DM31">
        <v>25</v>
      </c>
      <c r="DN31">
        <v>63.96</v>
      </c>
      <c r="DP31" s="86" t="str">
        <f t="shared" si="4"/>
        <v>50548Share Sub Category SC Johnson</v>
      </c>
      <c r="DQ31">
        <v>50548</v>
      </c>
      <c r="DR31" t="s">
        <v>330</v>
      </c>
      <c r="DS31" t="s">
        <v>1306</v>
      </c>
      <c r="DT31" t="s">
        <v>103</v>
      </c>
      <c r="DU31" t="s">
        <v>1760</v>
      </c>
      <c r="DV31" t="s">
        <v>1761</v>
      </c>
      <c r="DW31" t="s">
        <v>457</v>
      </c>
      <c r="DX31">
        <v>25</v>
      </c>
      <c r="DY31">
        <v>25</v>
      </c>
      <c r="DZ31">
        <v>100</v>
      </c>
      <c r="EB31" s="86" t="str">
        <f t="shared" si="5"/>
        <v>52169Share Sub Category SC Johnson</v>
      </c>
      <c r="EC31">
        <v>52169</v>
      </c>
      <c r="ED31" t="s">
        <v>331</v>
      </c>
      <c r="EE31" t="s">
        <v>1306</v>
      </c>
      <c r="EF31" t="s">
        <v>103</v>
      </c>
      <c r="EG31" t="s">
        <v>1916</v>
      </c>
      <c r="EH31" t="s">
        <v>1917</v>
      </c>
      <c r="EI31" t="s">
        <v>457</v>
      </c>
      <c r="EJ31">
        <v>21.425000000000001</v>
      </c>
      <c r="EK31">
        <v>25</v>
      </c>
      <c r="EL31">
        <v>99.83</v>
      </c>
    </row>
    <row r="32" spans="1:142" x14ac:dyDescent="0.35">
      <c r="A32" s="86" t="str">
        <f t="shared" si="6"/>
        <v>51067Cross Merchan SC Johnson</v>
      </c>
      <c r="B32">
        <v>51067</v>
      </c>
      <c r="C32" t="s">
        <v>372</v>
      </c>
      <c r="D32" t="s">
        <v>103</v>
      </c>
      <c r="E32" t="s">
        <v>473</v>
      </c>
      <c r="F32" t="s">
        <v>474</v>
      </c>
      <c r="G32" t="s">
        <v>111</v>
      </c>
      <c r="H32">
        <v>66.260000000000005</v>
      </c>
      <c r="I32">
        <v>0</v>
      </c>
      <c r="J32">
        <v>8</v>
      </c>
      <c r="L32" s="86" t="str">
        <f t="shared" si="7"/>
        <v>51067Cross Merchan SC Johnson</v>
      </c>
      <c r="M32">
        <v>51067</v>
      </c>
      <c r="N32" t="s">
        <v>372</v>
      </c>
      <c r="O32" t="s">
        <v>104</v>
      </c>
      <c r="P32" t="s">
        <v>103</v>
      </c>
      <c r="Q32" t="s">
        <v>630</v>
      </c>
      <c r="R32" t="s">
        <v>631</v>
      </c>
      <c r="S32" t="s">
        <v>111</v>
      </c>
      <c r="T32">
        <v>8</v>
      </c>
      <c r="U32">
        <v>8</v>
      </c>
      <c r="V32">
        <v>78.17</v>
      </c>
      <c r="X32" s="86" t="str">
        <f t="shared" si="8"/>
        <v>51123Cross Merchan SC Johnson</v>
      </c>
      <c r="Y32">
        <v>51123</v>
      </c>
      <c r="Z32" t="s">
        <v>373</v>
      </c>
      <c r="AA32" t="s">
        <v>104</v>
      </c>
      <c r="AB32" t="s">
        <v>103</v>
      </c>
      <c r="AC32" t="s">
        <v>889</v>
      </c>
      <c r="AD32" t="s">
        <v>890</v>
      </c>
      <c r="AE32" t="s">
        <v>111</v>
      </c>
      <c r="AF32">
        <v>8</v>
      </c>
      <c r="AG32">
        <v>8</v>
      </c>
      <c r="AH32">
        <v>88.75</v>
      </c>
      <c r="AJ32" s="86" t="str">
        <f t="shared" si="9"/>
        <v>51123Lancamentos</v>
      </c>
      <c r="AK32">
        <v>51123</v>
      </c>
      <c r="AL32" t="s">
        <v>373</v>
      </c>
      <c r="AM32" t="s">
        <v>104</v>
      </c>
      <c r="AN32" t="s">
        <v>103</v>
      </c>
      <c r="AO32" t="s">
        <v>915</v>
      </c>
      <c r="AP32" t="s">
        <v>916</v>
      </c>
      <c r="AQ32" t="s">
        <v>953</v>
      </c>
      <c r="AR32">
        <v>0</v>
      </c>
      <c r="AS32">
        <v>18</v>
      </c>
      <c r="AT32">
        <v>70.819999999999993</v>
      </c>
      <c r="AV32" s="86" t="str">
        <f t="shared" si="10"/>
        <v>51049Lancamentos</v>
      </c>
      <c r="AW32">
        <v>51049</v>
      </c>
      <c r="AX32" t="s">
        <v>371</v>
      </c>
      <c r="AY32" t="s">
        <v>1004</v>
      </c>
      <c r="AZ32" t="s">
        <v>103</v>
      </c>
      <c r="BA32" t="s">
        <v>1047</v>
      </c>
      <c r="BB32" t="s">
        <v>1048</v>
      </c>
      <c r="BC32" t="s">
        <v>953</v>
      </c>
      <c r="BD32">
        <v>0</v>
      </c>
      <c r="BE32">
        <v>18</v>
      </c>
      <c r="BF32">
        <v>41.94</v>
      </c>
      <c r="BH32" s="86" t="str">
        <f t="shared" si="11"/>
        <v>51049Lancamentos</v>
      </c>
      <c r="BI32">
        <v>51049</v>
      </c>
      <c r="BJ32" t="s">
        <v>371</v>
      </c>
      <c r="BK32" t="s">
        <v>1004</v>
      </c>
      <c r="BL32" t="s">
        <v>103</v>
      </c>
      <c r="BM32" t="s">
        <v>1175</v>
      </c>
      <c r="BN32" t="s">
        <v>1176</v>
      </c>
      <c r="BO32" t="s">
        <v>953</v>
      </c>
      <c r="BP32">
        <v>0</v>
      </c>
      <c r="BQ32">
        <v>18</v>
      </c>
      <c r="BR32">
        <v>72.44</v>
      </c>
      <c r="BT32" s="86" t="str">
        <f t="shared" si="0"/>
        <v>51049Execucao Bonus</v>
      </c>
      <c r="BU32">
        <v>51049</v>
      </c>
      <c r="BV32" t="s">
        <v>371</v>
      </c>
      <c r="BW32" t="s">
        <v>1004</v>
      </c>
      <c r="BX32" t="s">
        <v>103</v>
      </c>
      <c r="BY32" t="s">
        <v>1292</v>
      </c>
      <c r="BZ32" t="s">
        <v>1293</v>
      </c>
      <c r="CA32" t="s">
        <v>1291</v>
      </c>
      <c r="CB32">
        <v>5</v>
      </c>
      <c r="CC32">
        <v>5</v>
      </c>
      <c r="CD32">
        <v>78.22</v>
      </c>
      <c r="CF32" s="86" t="str">
        <f t="shared" si="1"/>
        <v>51049Execucao Bonus</v>
      </c>
      <c r="CG32">
        <v>51049</v>
      </c>
      <c r="CH32" t="s">
        <v>371</v>
      </c>
      <c r="CI32" t="s">
        <v>1004</v>
      </c>
      <c r="CJ32" t="s">
        <v>103</v>
      </c>
      <c r="CK32" t="s">
        <v>1487</v>
      </c>
      <c r="CL32" t="s">
        <v>1488</v>
      </c>
      <c r="CM32" t="s">
        <v>1291</v>
      </c>
      <c r="CN32">
        <v>0</v>
      </c>
      <c r="CO32">
        <v>5</v>
      </c>
      <c r="CP32">
        <v>64.8</v>
      </c>
      <c r="CR32" s="86" t="str">
        <f t="shared" si="2"/>
        <v>51067Execucao Bonus</v>
      </c>
      <c r="CS32">
        <v>51067</v>
      </c>
      <c r="CT32" t="s">
        <v>372</v>
      </c>
      <c r="CU32" t="s">
        <v>1004</v>
      </c>
      <c r="CV32" t="s">
        <v>103</v>
      </c>
      <c r="CW32" t="s">
        <v>1574</v>
      </c>
      <c r="CX32" t="s">
        <v>1575</v>
      </c>
      <c r="CY32" t="s">
        <v>1291</v>
      </c>
      <c r="CZ32">
        <v>5</v>
      </c>
      <c r="DA32">
        <v>5</v>
      </c>
      <c r="DB32">
        <v>78.8</v>
      </c>
      <c r="DD32" s="86" t="str">
        <f t="shared" si="3"/>
        <v>51067Share Sub Loc Pao Quente SC Johnson</v>
      </c>
      <c r="DE32">
        <v>51067</v>
      </c>
      <c r="DF32" t="s">
        <v>372</v>
      </c>
      <c r="DG32" t="s">
        <v>1004</v>
      </c>
      <c r="DH32" t="s">
        <v>103</v>
      </c>
      <c r="DI32" t="s">
        <v>1678</v>
      </c>
      <c r="DJ32" t="s">
        <v>1679</v>
      </c>
      <c r="DK32" t="s">
        <v>458</v>
      </c>
      <c r="DL32">
        <v>3</v>
      </c>
      <c r="DM32">
        <v>12</v>
      </c>
      <c r="DN32">
        <v>63.96</v>
      </c>
      <c r="DP32" s="86" t="str">
        <f t="shared" si="4"/>
        <v>50548Share Sub Loc Pao Quente SC Johnson</v>
      </c>
      <c r="DQ32">
        <v>50548</v>
      </c>
      <c r="DR32" t="s">
        <v>330</v>
      </c>
      <c r="DS32" t="s">
        <v>1306</v>
      </c>
      <c r="DT32" t="s">
        <v>103</v>
      </c>
      <c r="DU32" t="s">
        <v>1760</v>
      </c>
      <c r="DV32" t="s">
        <v>1761</v>
      </c>
      <c r="DW32" t="s">
        <v>458</v>
      </c>
      <c r="DX32">
        <v>12</v>
      </c>
      <c r="DY32">
        <v>12</v>
      </c>
      <c r="DZ32">
        <v>100</v>
      </c>
      <c r="EB32" s="86" t="str">
        <f t="shared" si="5"/>
        <v>52169Share Sub Loc Pao Quente SC Johnson</v>
      </c>
      <c r="EC32">
        <v>52169</v>
      </c>
      <c r="ED32" t="s">
        <v>331</v>
      </c>
      <c r="EE32" t="s">
        <v>1306</v>
      </c>
      <c r="EF32" t="s">
        <v>103</v>
      </c>
      <c r="EG32" t="s">
        <v>1916</v>
      </c>
      <c r="EH32" t="s">
        <v>1917</v>
      </c>
      <c r="EI32" t="s">
        <v>458</v>
      </c>
      <c r="EJ32">
        <v>12</v>
      </c>
      <c r="EK32">
        <v>12</v>
      </c>
      <c r="EL32">
        <v>99.83</v>
      </c>
    </row>
    <row r="33" spans="1:142" x14ac:dyDescent="0.35">
      <c r="A33" s="86" t="str">
        <f t="shared" si="6"/>
        <v>51067Share Sub Loc Pao Quente SC Johnson</v>
      </c>
      <c r="B33">
        <v>51067</v>
      </c>
      <c r="C33" t="s">
        <v>372</v>
      </c>
      <c r="D33" t="s">
        <v>103</v>
      </c>
      <c r="E33" t="s">
        <v>473</v>
      </c>
      <c r="F33" t="s">
        <v>474</v>
      </c>
      <c r="G33" t="s">
        <v>458</v>
      </c>
      <c r="H33">
        <v>66.260000000000005</v>
      </c>
      <c r="I33">
        <v>6.8</v>
      </c>
      <c r="J33">
        <v>17</v>
      </c>
      <c r="L33" s="86" t="str">
        <f t="shared" si="7"/>
        <v>51067Share Sub Loc Pao Quente SC Johnson</v>
      </c>
      <c r="M33">
        <v>51067</v>
      </c>
      <c r="N33" t="s">
        <v>372</v>
      </c>
      <c r="O33" t="s">
        <v>104</v>
      </c>
      <c r="P33" t="s">
        <v>103</v>
      </c>
      <c r="Q33" t="s">
        <v>630</v>
      </c>
      <c r="R33" t="s">
        <v>631</v>
      </c>
      <c r="S33" t="s">
        <v>458</v>
      </c>
      <c r="T33">
        <v>12.75</v>
      </c>
      <c r="U33">
        <v>17</v>
      </c>
      <c r="V33">
        <v>78.17</v>
      </c>
      <c r="X33" s="86" t="str">
        <f t="shared" si="8"/>
        <v>51123Share Sub Loc Pao Quente SC Johnson</v>
      </c>
      <c r="Y33">
        <v>51123</v>
      </c>
      <c r="Z33" t="s">
        <v>373</v>
      </c>
      <c r="AA33" t="s">
        <v>104</v>
      </c>
      <c r="AB33" t="s">
        <v>103</v>
      </c>
      <c r="AC33" t="s">
        <v>889</v>
      </c>
      <c r="AD33" t="s">
        <v>890</v>
      </c>
      <c r="AE33" t="s">
        <v>458</v>
      </c>
      <c r="AF33">
        <v>17</v>
      </c>
      <c r="AG33">
        <v>17</v>
      </c>
      <c r="AH33">
        <v>88.75</v>
      </c>
      <c r="AJ33" s="86" t="str">
        <f t="shared" si="9"/>
        <v>51551Share Sub Category SC Johnson</v>
      </c>
      <c r="AK33">
        <v>51551</v>
      </c>
      <c r="AL33" t="s">
        <v>357</v>
      </c>
      <c r="AM33" t="s">
        <v>477</v>
      </c>
      <c r="AN33" t="s">
        <v>103</v>
      </c>
      <c r="AO33" t="s">
        <v>980</v>
      </c>
      <c r="AP33" t="s">
        <v>981</v>
      </c>
      <c r="AQ33" t="s">
        <v>457</v>
      </c>
      <c r="AR33">
        <v>14.275</v>
      </c>
      <c r="AS33">
        <v>25</v>
      </c>
      <c r="AT33">
        <v>42.47</v>
      </c>
      <c r="AV33" s="86" t="str">
        <f t="shared" si="10"/>
        <v>51067Share Sub Category SC Johnson</v>
      </c>
      <c r="AW33">
        <v>51067</v>
      </c>
      <c r="AX33" t="s">
        <v>372</v>
      </c>
      <c r="AY33" t="s">
        <v>1004</v>
      </c>
      <c r="AZ33" t="s">
        <v>103</v>
      </c>
      <c r="BA33" t="s">
        <v>1049</v>
      </c>
      <c r="BB33" t="s">
        <v>1050</v>
      </c>
      <c r="BC33" t="s">
        <v>457</v>
      </c>
      <c r="BD33">
        <v>21.425000000000001</v>
      </c>
      <c r="BE33">
        <v>25</v>
      </c>
      <c r="BF33">
        <v>45.21</v>
      </c>
      <c r="BH33" s="86" t="str">
        <f t="shared" si="11"/>
        <v>51067Share Sub Category SC Johnson</v>
      </c>
      <c r="BI33">
        <v>51067</v>
      </c>
      <c r="BJ33" t="s">
        <v>372</v>
      </c>
      <c r="BK33" t="s">
        <v>1004</v>
      </c>
      <c r="BL33" t="s">
        <v>103</v>
      </c>
      <c r="BM33" t="s">
        <v>1177</v>
      </c>
      <c r="BN33" t="s">
        <v>1178</v>
      </c>
      <c r="BO33" t="s">
        <v>457</v>
      </c>
      <c r="BP33">
        <v>21.425000000000001</v>
      </c>
      <c r="BQ33">
        <v>25</v>
      </c>
      <c r="BR33">
        <v>71.31</v>
      </c>
      <c r="BT33" s="86" t="str">
        <f t="shared" si="0"/>
        <v>51067Lancamentos</v>
      </c>
      <c r="BU33">
        <v>51067</v>
      </c>
      <c r="BV33" t="s">
        <v>372</v>
      </c>
      <c r="BW33" t="s">
        <v>1004</v>
      </c>
      <c r="BX33" t="s">
        <v>103</v>
      </c>
      <c r="BY33" t="s">
        <v>1294</v>
      </c>
      <c r="BZ33" t="s">
        <v>1295</v>
      </c>
      <c r="CA33" t="s">
        <v>953</v>
      </c>
      <c r="CB33">
        <v>9</v>
      </c>
      <c r="CC33">
        <v>18</v>
      </c>
      <c r="CD33">
        <v>74.42</v>
      </c>
      <c r="CF33" s="86" t="str">
        <f t="shared" si="1"/>
        <v>51067Lancamentos</v>
      </c>
      <c r="CG33">
        <v>51067</v>
      </c>
      <c r="CH33" t="s">
        <v>372</v>
      </c>
      <c r="CI33" t="s">
        <v>1004</v>
      </c>
      <c r="CJ33" t="s">
        <v>103</v>
      </c>
      <c r="CK33" t="s">
        <v>1489</v>
      </c>
      <c r="CL33" t="s">
        <v>1490</v>
      </c>
      <c r="CM33" t="s">
        <v>953</v>
      </c>
      <c r="CN33">
        <v>9</v>
      </c>
      <c r="CO33">
        <v>18</v>
      </c>
      <c r="CP33">
        <v>78</v>
      </c>
      <c r="CR33" s="86" t="str">
        <f t="shared" si="2"/>
        <v>51123Lancamentos</v>
      </c>
      <c r="CS33">
        <v>51123</v>
      </c>
      <c r="CT33" t="s">
        <v>373</v>
      </c>
      <c r="CU33" t="s">
        <v>454</v>
      </c>
      <c r="CV33" t="s">
        <v>103</v>
      </c>
      <c r="CW33" t="s">
        <v>1620</v>
      </c>
      <c r="CX33" t="s">
        <v>1621</v>
      </c>
      <c r="CY33" t="s">
        <v>953</v>
      </c>
      <c r="CZ33">
        <v>18</v>
      </c>
      <c r="DA33">
        <v>18</v>
      </c>
      <c r="DB33">
        <v>92.62</v>
      </c>
      <c r="DD33" s="86" t="str">
        <f t="shared" si="3"/>
        <v>51123Mix + Intocáveis SC Johnson</v>
      </c>
      <c r="DE33">
        <v>51123</v>
      </c>
      <c r="DF33" t="s">
        <v>373</v>
      </c>
      <c r="DG33" t="s">
        <v>1004</v>
      </c>
      <c r="DH33" t="s">
        <v>103</v>
      </c>
      <c r="DI33" t="s">
        <v>1680</v>
      </c>
      <c r="DJ33" t="s">
        <v>1681</v>
      </c>
      <c r="DK33" t="s">
        <v>459</v>
      </c>
      <c r="DL33">
        <v>28.8</v>
      </c>
      <c r="DM33">
        <v>40</v>
      </c>
      <c r="DN33">
        <v>58.8</v>
      </c>
      <c r="DP33" s="86" t="str">
        <f t="shared" si="4"/>
        <v>51049Mix + Intocáveis SC Johnson</v>
      </c>
      <c r="DQ33">
        <v>51049</v>
      </c>
      <c r="DR33" t="s">
        <v>371</v>
      </c>
      <c r="DS33" t="s">
        <v>1004</v>
      </c>
      <c r="DT33" t="s">
        <v>103</v>
      </c>
      <c r="DU33" t="s">
        <v>1830</v>
      </c>
      <c r="DV33" t="s">
        <v>1831</v>
      </c>
      <c r="DW33" t="s">
        <v>459</v>
      </c>
      <c r="DX33">
        <v>28.8</v>
      </c>
      <c r="DY33">
        <v>40</v>
      </c>
      <c r="DZ33">
        <v>67.8</v>
      </c>
      <c r="EB33" s="86" t="str">
        <f t="shared" si="5"/>
        <v>53461Mix + Intocáveis SC Johnson</v>
      </c>
      <c r="EC33">
        <v>53461</v>
      </c>
      <c r="ED33" t="s">
        <v>384</v>
      </c>
      <c r="EE33" t="s">
        <v>482</v>
      </c>
      <c r="EF33" t="s">
        <v>103</v>
      </c>
      <c r="EG33" t="s">
        <v>1884</v>
      </c>
      <c r="EH33" t="s">
        <v>1885</v>
      </c>
      <c r="EI33" t="s">
        <v>459</v>
      </c>
      <c r="EJ33">
        <v>33.6</v>
      </c>
      <c r="EK33">
        <v>40</v>
      </c>
      <c r="EL33">
        <v>98.6</v>
      </c>
    </row>
    <row r="34" spans="1:142" x14ac:dyDescent="0.35">
      <c r="A34" s="86" t="str">
        <f t="shared" si="6"/>
        <v>51067Mix + Intocáveis SC Johnson</v>
      </c>
      <c r="B34">
        <v>51067</v>
      </c>
      <c r="C34" t="s">
        <v>372</v>
      </c>
      <c r="D34" t="s">
        <v>103</v>
      </c>
      <c r="E34" t="s">
        <v>473</v>
      </c>
      <c r="F34" t="s">
        <v>474</v>
      </c>
      <c r="G34" t="s">
        <v>459</v>
      </c>
      <c r="H34">
        <v>66.260000000000005</v>
      </c>
      <c r="I34">
        <v>33.75</v>
      </c>
      <c r="J34">
        <v>45</v>
      </c>
      <c r="L34" s="86" t="str">
        <f t="shared" si="7"/>
        <v>51067Mix + Intocáveis SC Johnson</v>
      </c>
      <c r="M34">
        <v>51067</v>
      </c>
      <c r="N34" t="s">
        <v>372</v>
      </c>
      <c r="O34" t="s">
        <v>104</v>
      </c>
      <c r="P34" t="s">
        <v>103</v>
      </c>
      <c r="Q34" t="s">
        <v>630</v>
      </c>
      <c r="R34" t="s">
        <v>631</v>
      </c>
      <c r="S34" t="s">
        <v>459</v>
      </c>
      <c r="T34">
        <v>36</v>
      </c>
      <c r="U34">
        <v>45</v>
      </c>
      <c r="V34">
        <v>78.17</v>
      </c>
      <c r="X34" s="86" t="str">
        <f t="shared" si="8"/>
        <v>51123Mix + Intocáveis SC Johnson</v>
      </c>
      <c r="Y34">
        <v>51123</v>
      </c>
      <c r="Z34" t="s">
        <v>373</v>
      </c>
      <c r="AA34" t="s">
        <v>104</v>
      </c>
      <c r="AB34" t="s">
        <v>103</v>
      </c>
      <c r="AC34" t="s">
        <v>889</v>
      </c>
      <c r="AD34" t="s">
        <v>890</v>
      </c>
      <c r="AE34" t="s">
        <v>459</v>
      </c>
      <c r="AF34">
        <v>33.75</v>
      </c>
      <c r="AG34">
        <v>45</v>
      </c>
      <c r="AH34">
        <v>88.75</v>
      </c>
      <c r="AJ34" s="86" t="str">
        <f t="shared" si="9"/>
        <v>51551Cross Merchan SC Johnson</v>
      </c>
      <c r="AK34">
        <v>51551</v>
      </c>
      <c r="AL34" t="s">
        <v>357</v>
      </c>
      <c r="AM34" t="s">
        <v>477</v>
      </c>
      <c r="AN34" t="s">
        <v>103</v>
      </c>
      <c r="AO34" t="s">
        <v>980</v>
      </c>
      <c r="AP34" t="s">
        <v>981</v>
      </c>
      <c r="AQ34" t="s">
        <v>111</v>
      </c>
      <c r="AR34">
        <v>0</v>
      </c>
      <c r="AS34">
        <v>5</v>
      </c>
      <c r="AT34">
        <v>42.47</v>
      </c>
      <c r="AV34" s="86" t="str">
        <f t="shared" si="10"/>
        <v>51067Cross Merchan SC Johnson</v>
      </c>
      <c r="AW34">
        <v>51067</v>
      </c>
      <c r="AX34" t="s">
        <v>372</v>
      </c>
      <c r="AY34" t="s">
        <v>1004</v>
      </c>
      <c r="AZ34" t="s">
        <v>103</v>
      </c>
      <c r="BA34" t="s">
        <v>1049</v>
      </c>
      <c r="BB34" t="s">
        <v>1050</v>
      </c>
      <c r="BC34" t="s">
        <v>111</v>
      </c>
      <c r="BD34">
        <v>1.665</v>
      </c>
      <c r="BE34">
        <v>5</v>
      </c>
      <c r="BF34">
        <v>45.21</v>
      </c>
      <c r="BH34" s="86" t="str">
        <f t="shared" si="11"/>
        <v>51067Cross Merchan SC Johnson</v>
      </c>
      <c r="BI34">
        <v>51067</v>
      </c>
      <c r="BJ34" t="s">
        <v>372</v>
      </c>
      <c r="BK34" t="s">
        <v>1004</v>
      </c>
      <c r="BL34" t="s">
        <v>103</v>
      </c>
      <c r="BM34" t="s">
        <v>1177</v>
      </c>
      <c r="BN34" t="s">
        <v>1178</v>
      </c>
      <c r="BO34" t="s">
        <v>111</v>
      </c>
      <c r="BP34">
        <v>5</v>
      </c>
      <c r="BQ34">
        <v>5</v>
      </c>
      <c r="BR34">
        <v>71.31</v>
      </c>
      <c r="BT34" s="86" t="str">
        <f t="shared" si="0"/>
        <v>51067Mix + Intocáveis SC Johnson</v>
      </c>
      <c r="BU34">
        <v>51067</v>
      </c>
      <c r="BV34" t="s">
        <v>372</v>
      </c>
      <c r="BW34" t="s">
        <v>1004</v>
      </c>
      <c r="BX34" t="s">
        <v>103</v>
      </c>
      <c r="BY34" t="s">
        <v>1294</v>
      </c>
      <c r="BZ34" t="s">
        <v>1295</v>
      </c>
      <c r="CA34" t="s">
        <v>459</v>
      </c>
      <c r="CB34">
        <v>28</v>
      </c>
      <c r="CC34">
        <v>40</v>
      </c>
      <c r="CD34">
        <v>74.42</v>
      </c>
      <c r="CF34" s="86" t="str">
        <f t="shared" si="1"/>
        <v>51067Mix + Intocáveis SC Johnson</v>
      </c>
      <c r="CG34">
        <v>51067</v>
      </c>
      <c r="CH34" t="s">
        <v>372</v>
      </c>
      <c r="CI34" t="s">
        <v>1004</v>
      </c>
      <c r="CJ34" t="s">
        <v>103</v>
      </c>
      <c r="CK34" t="s">
        <v>1489</v>
      </c>
      <c r="CL34" t="s">
        <v>1490</v>
      </c>
      <c r="CM34" t="s">
        <v>459</v>
      </c>
      <c r="CN34">
        <v>28</v>
      </c>
      <c r="CO34">
        <v>40</v>
      </c>
      <c r="CP34">
        <v>78</v>
      </c>
      <c r="CR34" s="86" t="str">
        <f t="shared" si="2"/>
        <v>51123Mix + Intocáveis SC Johnson</v>
      </c>
      <c r="CS34">
        <v>51123</v>
      </c>
      <c r="CT34" t="s">
        <v>373</v>
      </c>
      <c r="CU34" t="s">
        <v>454</v>
      </c>
      <c r="CV34" t="s">
        <v>103</v>
      </c>
      <c r="CW34" t="s">
        <v>1620</v>
      </c>
      <c r="CX34" t="s">
        <v>1621</v>
      </c>
      <c r="CY34" t="s">
        <v>459</v>
      </c>
      <c r="CZ34">
        <v>31.2</v>
      </c>
      <c r="DA34">
        <v>40</v>
      </c>
      <c r="DB34">
        <v>92.62</v>
      </c>
      <c r="DD34" s="86" t="str">
        <f t="shared" si="3"/>
        <v>51123Execucao Bonus</v>
      </c>
      <c r="DE34">
        <v>51123</v>
      </c>
      <c r="DF34" t="s">
        <v>373</v>
      </c>
      <c r="DG34" t="s">
        <v>1004</v>
      </c>
      <c r="DH34" t="s">
        <v>103</v>
      </c>
      <c r="DI34" t="s">
        <v>1680</v>
      </c>
      <c r="DJ34" t="s">
        <v>1681</v>
      </c>
      <c r="DK34" t="s">
        <v>1291</v>
      </c>
      <c r="DL34">
        <v>0</v>
      </c>
      <c r="DM34">
        <v>5</v>
      </c>
      <c r="DN34">
        <v>58.8</v>
      </c>
      <c r="DP34" s="86" t="str">
        <f t="shared" si="4"/>
        <v>51049Execucao Bonus</v>
      </c>
      <c r="DQ34">
        <v>51049</v>
      </c>
      <c r="DR34" t="s">
        <v>371</v>
      </c>
      <c r="DS34" t="s">
        <v>1004</v>
      </c>
      <c r="DT34" t="s">
        <v>103</v>
      </c>
      <c r="DU34" t="s">
        <v>1830</v>
      </c>
      <c r="DV34" t="s">
        <v>1831</v>
      </c>
      <c r="DW34" t="s">
        <v>1291</v>
      </c>
      <c r="DX34">
        <v>0</v>
      </c>
      <c r="DY34">
        <v>5</v>
      </c>
      <c r="DZ34">
        <v>67.8</v>
      </c>
      <c r="EB34" s="86" t="str">
        <f t="shared" si="5"/>
        <v>53461Execucao Bonus</v>
      </c>
      <c r="EC34">
        <v>53461</v>
      </c>
      <c r="ED34" t="s">
        <v>384</v>
      </c>
      <c r="EE34" t="s">
        <v>482</v>
      </c>
      <c r="EF34" t="s">
        <v>103</v>
      </c>
      <c r="EG34" t="s">
        <v>1884</v>
      </c>
      <c r="EH34" t="s">
        <v>1885</v>
      </c>
      <c r="EI34" t="s">
        <v>1291</v>
      </c>
      <c r="EJ34">
        <v>5</v>
      </c>
      <c r="EK34">
        <v>5</v>
      </c>
      <c r="EL34">
        <v>98.6</v>
      </c>
    </row>
    <row r="35" spans="1:142" x14ac:dyDescent="0.35">
      <c r="A35" s="86" t="str">
        <f t="shared" si="6"/>
        <v>51123Share Sub Category SC Johnson</v>
      </c>
      <c r="B35">
        <v>51123</v>
      </c>
      <c r="C35" t="s">
        <v>373</v>
      </c>
      <c r="D35" t="s">
        <v>103</v>
      </c>
      <c r="E35" t="s">
        <v>475</v>
      </c>
      <c r="F35" t="s">
        <v>476</v>
      </c>
      <c r="G35" t="s">
        <v>457</v>
      </c>
      <c r="H35">
        <v>66.290000000000006</v>
      </c>
      <c r="I35">
        <v>25.71</v>
      </c>
      <c r="J35">
        <v>30</v>
      </c>
      <c r="L35" s="86" t="str">
        <f t="shared" si="7"/>
        <v>51123Share Sub Category SC Johnson</v>
      </c>
      <c r="M35">
        <v>51123</v>
      </c>
      <c r="N35" t="s">
        <v>373</v>
      </c>
      <c r="O35" t="s">
        <v>104</v>
      </c>
      <c r="P35" t="s">
        <v>103</v>
      </c>
      <c r="Q35" t="s">
        <v>632</v>
      </c>
      <c r="R35" t="s">
        <v>633</v>
      </c>
      <c r="S35" t="s">
        <v>457</v>
      </c>
      <c r="T35">
        <v>25.71</v>
      </c>
      <c r="U35">
        <v>30</v>
      </c>
      <c r="V35">
        <v>86.71</v>
      </c>
      <c r="X35" s="86" t="str">
        <f t="shared" si="8"/>
        <v>51551Share Sub Category SC Johnson</v>
      </c>
      <c r="Y35">
        <v>51551</v>
      </c>
      <c r="Z35" t="s">
        <v>357</v>
      </c>
      <c r="AA35" t="s">
        <v>477</v>
      </c>
      <c r="AB35" t="s">
        <v>103</v>
      </c>
      <c r="AC35" t="s">
        <v>847</v>
      </c>
      <c r="AD35" t="s">
        <v>848</v>
      </c>
      <c r="AE35" t="s">
        <v>457</v>
      </c>
      <c r="AF35">
        <v>21.42</v>
      </c>
      <c r="AG35">
        <v>30</v>
      </c>
      <c r="AH35">
        <v>47.05</v>
      </c>
      <c r="AJ35" s="86" t="str">
        <f t="shared" si="9"/>
        <v>51551Share Sub Loc Pao Quente SC Johnson</v>
      </c>
      <c r="AK35">
        <v>51551</v>
      </c>
      <c r="AL35" t="s">
        <v>357</v>
      </c>
      <c r="AM35" t="s">
        <v>477</v>
      </c>
      <c r="AN35" t="s">
        <v>103</v>
      </c>
      <c r="AO35" t="s">
        <v>980</v>
      </c>
      <c r="AP35" t="s">
        <v>981</v>
      </c>
      <c r="AQ35" t="s">
        <v>458</v>
      </c>
      <c r="AR35">
        <v>3</v>
      </c>
      <c r="AS35">
        <v>12</v>
      </c>
      <c r="AT35">
        <v>42.47</v>
      </c>
      <c r="AV35" s="86" t="str">
        <f t="shared" si="10"/>
        <v>51067Share Sub Loc Pao Quente SC Johnson</v>
      </c>
      <c r="AW35">
        <v>51067</v>
      </c>
      <c r="AX35" t="s">
        <v>372</v>
      </c>
      <c r="AY35" t="s">
        <v>1004</v>
      </c>
      <c r="AZ35" t="s">
        <v>103</v>
      </c>
      <c r="BA35" t="s">
        <v>1049</v>
      </c>
      <c r="BB35" t="s">
        <v>1050</v>
      </c>
      <c r="BC35" t="s">
        <v>458</v>
      </c>
      <c r="BD35">
        <v>3</v>
      </c>
      <c r="BE35">
        <v>12</v>
      </c>
      <c r="BF35">
        <v>45.21</v>
      </c>
      <c r="BH35" s="86" t="str">
        <f t="shared" si="11"/>
        <v>51067Share Sub Loc Pao Quente SC Johnson</v>
      </c>
      <c r="BI35">
        <v>51067</v>
      </c>
      <c r="BJ35" t="s">
        <v>372</v>
      </c>
      <c r="BK35" t="s">
        <v>1004</v>
      </c>
      <c r="BL35" t="s">
        <v>103</v>
      </c>
      <c r="BM35" t="s">
        <v>1177</v>
      </c>
      <c r="BN35" t="s">
        <v>1178</v>
      </c>
      <c r="BO35" t="s">
        <v>458</v>
      </c>
      <c r="BP35">
        <v>6</v>
      </c>
      <c r="BQ35">
        <v>12</v>
      </c>
      <c r="BR35">
        <v>71.31</v>
      </c>
      <c r="BT35" s="86" t="str">
        <f t="shared" si="0"/>
        <v>51067Share Sub Category SC Johnson</v>
      </c>
      <c r="BU35">
        <v>51067</v>
      </c>
      <c r="BV35" t="s">
        <v>372</v>
      </c>
      <c r="BW35" t="s">
        <v>1004</v>
      </c>
      <c r="BX35" t="s">
        <v>103</v>
      </c>
      <c r="BY35" t="s">
        <v>1294</v>
      </c>
      <c r="BZ35" t="s">
        <v>1295</v>
      </c>
      <c r="CA35" t="s">
        <v>457</v>
      </c>
      <c r="CB35">
        <v>21.425000000000001</v>
      </c>
      <c r="CC35">
        <v>25</v>
      </c>
      <c r="CD35">
        <v>74.42</v>
      </c>
      <c r="CF35" s="86" t="str">
        <f t="shared" si="1"/>
        <v>51067Share Sub Category SC Johnson</v>
      </c>
      <c r="CG35">
        <v>51067</v>
      </c>
      <c r="CH35" t="s">
        <v>372</v>
      </c>
      <c r="CI35" t="s">
        <v>1004</v>
      </c>
      <c r="CJ35" t="s">
        <v>103</v>
      </c>
      <c r="CK35" t="s">
        <v>1489</v>
      </c>
      <c r="CL35" t="s">
        <v>1490</v>
      </c>
      <c r="CM35" t="s">
        <v>457</v>
      </c>
      <c r="CN35">
        <v>25</v>
      </c>
      <c r="CO35">
        <v>25</v>
      </c>
      <c r="CP35">
        <v>78</v>
      </c>
      <c r="CR35" s="86" t="str">
        <f t="shared" si="2"/>
        <v>51123Share Sub Category SC Johnson</v>
      </c>
      <c r="CS35">
        <v>51123</v>
      </c>
      <c r="CT35" t="s">
        <v>373</v>
      </c>
      <c r="CU35" t="s">
        <v>454</v>
      </c>
      <c r="CV35" t="s">
        <v>103</v>
      </c>
      <c r="CW35" t="s">
        <v>1620</v>
      </c>
      <c r="CX35" t="s">
        <v>1621</v>
      </c>
      <c r="CY35" t="s">
        <v>457</v>
      </c>
      <c r="CZ35">
        <v>21.425000000000001</v>
      </c>
      <c r="DA35">
        <v>25</v>
      </c>
      <c r="DB35">
        <v>92.62</v>
      </c>
      <c r="DD35" s="86" t="str">
        <f t="shared" si="3"/>
        <v>51123Cross Merchan SC Johnson</v>
      </c>
      <c r="DE35">
        <v>51123</v>
      </c>
      <c r="DF35" t="s">
        <v>373</v>
      </c>
      <c r="DG35" t="s">
        <v>1004</v>
      </c>
      <c r="DH35" t="s">
        <v>103</v>
      </c>
      <c r="DI35" t="s">
        <v>1680</v>
      </c>
      <c r="DJ35" t="s">
        <v>1681</v>
      </c>
      <c r="DK35" t="s">
        <v>111</v>
      </c>
      <c r="DL35">
        <v>5</v>
      </c>
      <c r="DM35">
        <v>5</v>
      </c>
      <c r="DN35">
        <v>58.8</v>
      </c>
      <c r="DP35" s="86" t="str">
        <f t="shared" si="4"/>
        <v>51049Cross Merchan SC Johnson</v>
      </c>
      <c r="DQ35">
        <v>51049</v>
      </c>
      <c r="DR35" t="s">
        <v>371</v>
      </c>
      <c r="DS35" t="s">
        <v>1004</v>
      </c>
      <c r="DT35" t="s">
        <v>103</v>
      </c>
      <c r="DU35" t="s">
        <v>1830</v>
      </c>
      <c r="DV35" t="s">
        <v>1831</v>
      </c>
      <c r="DW35" t="s">
        <v>111</v>
      </c>
      <c r="DX35">
        <v>5</v>
      </c>
      <c r="DY35">
        <v>5</v>
      </c>
      <c r="DZ35">
        <v>67.8</v>
      </c>
      <c r="EB35" s="86" t="str">
        <f t="shared" si="5"/>
        <v>53461Cross Merchan SC Johnson</v>
      </c>
      <c r="EC35">
        <v>53461</v>
      </c>
      <c r="ED35" t="s">
        <v>384</v>
      </c>
      <c r="EE35" t="s">
        <v>482</v>
      </c>
      <c r="EF35" t="s">
        <v>103</v>
      </c>
      <c r="EG35" t="s">
        <v>1884</v>
      </c>
      <c r="EH35" t="s">
        <v>1885</v>
      </c>
      <c r="EI35" t="s">
        <v>111</v>
      </c>
      <c r="EJ35">
        <v>5</v>
      </c>
      <c r="EK35">
        <v>5</v>
      </c>
      <c r="EL35">
        <v>98.6</v>
      </c>
    </row>
    <row r="36" spans="1:142" x14ac:dyDescent="0.35">
      <c r="A36" s="86" t="str">
        <f t="shared" si="6"/>
        <v>51123Cross Merchan SC Johnson</v>
      </c>
      <c r="B36">
        <v>51123</v>
      </c>
      <c r="C36" t="s">
        <v>373</v>
      </c>
      <c r="D36" t="s">
        <v>103</v>
      </c>
      <c r="E36" t="s">
        <v>475</v>
      </c>
      <c r="F36" t="s">
        <v>476</v>
      </c>
      <c r="G36" t="s">
        <v>111</v>
      </c>
      <c r="H36">
        <v>66.290000000000006</v>
      </c>
      <c r="I36">
        <v>0</v>
      </c>
      <c r="J36">
        <v>8</v>
      </c>
      <c r="L36" s="86" t="str">
        <f t="shared" si="7"/>
        <v>51123Cross Merchan SC Johnson</v>
      </c>
      <c r="M36">
        <v>51123</v>
      </c>
      <c r="N36" t="s">
        <v>373</v>
      </c>
      <c r="O36" t="s">
        <v>104</v>
      </c>
      <c r="P36" t="s">
        <v>103</v>
      </c>
      <c r="Q36" t="s">
        <v>632</v>
      </c>
      <c r="R36" t="s">
        <v>633</v>
      </c>
      <c r="S36" t="s">
        <v>111</v>
      </c>
      <c r="T36">
        <v>8</v>
      </c>
      <c r="U36">
        <v>8</v>
      </c>
      <c r="V36">
        <v>86.71</v>
      </c>
      <c r="X36" s="86" t="str">
        <f t="shared" si="8"/>
        <v>51551Cross Merchan SC Johnson</v>
      </c>
      <c r="Y36">
        <v>51551</v>
      </c>
      <c r="Z36" t="s">
        <v>357</v>
      </c>
      <c r="AA36" t="s">
        <v>477</v>
      </c>
      <c r="AB36" t="s">
        <v>103</v>
      </c>
      <c r="AC36" t="s">
        <v>847</v>
      </c>
      <c r="AD36" t="s">
        <v>848</v>
      </c>
      <c r="AE36" t="s">
        <v>111</v>
      </c>
      <c r="AF36">
        <v>0</v>
      </c>
      <c r="AG36">
        <v>8</v>
      </c>
      <c r="AH36">
        <v>47.05</v>
      </c>
      <c r="AJ36" s="86" t="str">
        <f t="shared" si="9"/>
        <v>51551Mix + Intocáveis SC Johnson</v>
      </c>
      <c r="AK36">
        <v>51551</v>
      </c>
      <c r="AL36" t="s">
        <v>357</v>
      </c>
      <c r="AM36" t="s">
        <v>477</v>
      </c>
      <c r="AN36" t="s">
        <v>103</v>
      </c>
      <c r="AO36" t="s">
        <v>980</v>
      </c>
      <c r="AP36" t="s">
        <v>981</v>
      </c>
      <c r="AQ36" t="s">
        <v>459</v>
      </c>
      <c r="AR36">
        <v>25.2</v>
      </c>
      <c r="AS36">
        <v>40</v>
      </c>
      <c r="AT36">
        <v>42.47</v>
      </c>
      <c r="AV36" s="86" t="str">
        <f t="shared" si="10"/>
        <v>51067Mix + Intocáveis SC Johnson</v>
      </c>
      <c r="AW36">
        <v>51067</v>
      </c>
      <c r="AX36" t="s">
        <v>372</v>
      </c>
      <c r="AY36" t="s">
        <v>1004</v>
      </c>
      <c r="AZ36" t="s">
        <v>103</v>
      </c>
      <c r="BA36" t="s">
        <v>1049</v>
      </c>
      <c r="BB36" t="s">
        <v>1050</v>
      </c>
      <c r="BC36" t="s">
        <v>459</v>
      </c>
      <c r="BD36">
        <v>19.12</v>
      </c>
      <c r="BE36">
        <v>40</v>
      </c>
      <c r="BF36">
        <v>45.21</v>
      </c>
      <c r="BH36" s="86" t="str">
        <f t="shared" si="11"/>
        <v>51067Mix + Intocáveis SC Johnson</v>
      </c>
      <c r="BI36">
        <v>51067</v>
      </c>
      <c r="BJ36" t="s">
        <v>372</v>
      </c>
      <c r="BK36" t="s">
        <v>1004</v>
      </c>
      <c r="BL36" t="s">
        <v>103</v>
      </c>
      <c r="BM36" t="s">
        <v>1177</v>
      </c>
      <c r="BN36" t="s">
        <v>1178</v>
      </c>
      <c r="BO36" t="s">
        <v>459</v>
      </c>
      <c r="BP36">
        <v>20.88</v>
      </c>
      <c r="BQ36">
        <v>40</v>
      </c>
      <c r="BR36">
        <v>71.31</v>
      </c>
      <c r="BT36" s="86" t="str">
        <f t="shared" si="0"/>
        <v>51067Share Sub Loc Pao Quente SC Johnson</v>
      </c>
      <c r="BU36">
        <v>51067</v>
      </c>
      <c r="BV36" t="s">
        <v>372</v>
      </c>
      <c r="BW36" t="s">
        <v>1004</v>
      </c>
      <c r="BX36" t="s">
        <v>103</v>
      </c>
      <c r="BY36" t="s">
        <v>1294</v>
      </c>
      <c r="BZ36" t="s">
        <v>1295</v>
      </c>
      <c r="CA36" t="s">
        <v>458</v>
      </c>
      <c r="CB36">
        <v>6</v>
      </c>
      <c r="CC36">
        <v>12</v>
      </c>
      <c r="CD36">
        <v>74.42</v>
      </c>
      <c r="CF36" s="86" t="str">
        <f t="shared" si="1"/>
        <v>51067Share Sub Loc Pao Quente SC Johnson</v>
      </c>
      <c r="CG36">
        <v>51067</v>
      </c>
      <c r="CH36" t="s">
        <v>372</v>
      </c>
      <c r="CI36" t="s">
        <v>1004</v>
      </c>
      <c r="CJ36" t="s">
        <v>103</v>
      </c>
      <c r="CK36" t="s">
        <v>1489</v>
      </c>
      <c r="CL36" t="s">
        <v>1490</v>
      </c>
      <c r="CM36" t="s">
        <v>458</v>
      </c>
      <c r="CN36">
        <v>6</v>
      </c>
      <c r="CO36">
        <v>12</v>
      </c>
      <c r="CP36">
        <v>78</v>
      </c>
      <c r="CR36" s="86" t="str">
        <f t="shared" si="2"/>
        <v>51123Share Sub Loc Pao Quente SC Johnson</v>
      </c>
      <c r="CS36">
        <v>51123</v>
      </c>
      <c r="CT36" t="s">
        <v>373</v>
      </c>
      <c r="CU36" t="s">
        <v>454</v>
      </c>
      <c r="CV36" t="s">
        <v>103</v>
      </c>
      <c r="CW36" t="s">
        <v>1620</v>
      </c>
      <c r="CX36" t="s">
        <v>1621</v>
      </c>
      <c r="CY36" t="s">
        <v>458</v>
      </c>
      <c r="CZ36">
        <v>12</v>
      </c>
      <c r="DA36">
        <v>12</v>
      </c>
      <c r="DB36">
        <v>92.62</v>
      </c>
      <c r="DD36" s="86" t="str">
        <f t="shared" si="3"/>
        <v>51123Lancamentos</v>
      </c>
      <c r="DE36">
        <v>51123</v>
      </c>
      <c r="DF36" t="s">
        <v>373</v>
      </c>
      <c r="DG36" t="s">
        <v>1004</v>
      </c>
      <c r="DH36" t="s">
        <v>103</v>
      </c>
      <c r="DI36" t="s">
        <v>1680</v>
      </c>
      <c r="DJ36" t="s">
        <v>1681</v>
      </c>
      <c r="DK36" t="s">
        <v>953</v>
      </c>
      <c r="DL36">
        <v>0</v>
      </c>
      <c r="DM36">
        <v>18</v>
      </c>
      <c r="DN36">
        <v>58.8</v>
      </c>
      <c r="DP36" s="86" t="str">
        <f t="shared" si="4"/>
        <v>51049Lancamentos</v>
      </c>
      <c r="DQ36">
        <v>51049</v>
      </c>
      <c r="DR36" t="s">
        <v>371</v>
      </c>
      <c r="DS36" t="s">
        <v>1004</v>
      </c>
      <c r="DT36" t="s">
        <v>103</v>
      </c>
      <c r="DU36" t="s">
        <v>1830</v>
      </c>
      <c r="DV36" t="s">
        <v>1831</v>
      </c>
      <c r="DW36" t="s">
        <v>953</v>
      </c>
      <c r="DX36">
        <v>0</v>
      </c>
      <c r="DY36">
        <v>18</v>
      </c>
      <c r="DZ36">
        <v>67.8</v>
      </c>
      <c r="EB36" s="86" t="str">
        <f t="shared" si="5"/>
        <v>53461Lancamentos</v>
      </c>
      <c r="EC36">
        <v>53461</v>
      </c>
      <c r="ED36" t="s">
        <v>384</v>
      </c>
      <c r="EE36" t="s">
        <v>482</v>
      </c>
      <c r="EF36" t="s">
        <v>103</v>
      </c>
      <c r="EG36" t="s">
        <v>1884</v>
      </c>
      <c r="EH36" t="s">
        <v>1885</v>
      </c>
      <c r="EI36" t="s">
        <v>953</v>
      </c>
      <c r="EJ36">
        <v>18</v>
      </c>
      <c r="EK36">
        <v>18</v>
      </c>
      <c r="EL36">
        <v>98.6</v>
      </c>
    </row>
    <row r="37" spans="1:142" x14ac:dyDescent="0.35">
      <c r="A37" s="86" t="str">
        <f t="shared" si="6"/>
        <v>51123Share Sub Loc Pao Quente SC Johnson</v>
      </c>
      <c r="B37">
        <v>51123</v>
      </c>
      <c r="C37" t="s">
        <v>373</v>
      </c>
      <c r="D37" t="s">
        <v>103</v>
      </c>
      <c r="E37" t="s">
        <v>475</v>
      </c>
      <c r="F37" t="s">
        <v>476</v>
      </c>
      <c r="G37" t="s">
        <v>458</v>
      </c>
      <c r="H37">
        <v>66.290000000000006</v>
      </c>
      <c r="I37">
        <v>10.199999999999999</v>
      </c>
      <c r="J37">
        <v>17</v>
      </c>
      <c r="L37" s="86" t="str">
        <f t="shared" si="7"/>
        <v>51123Share Sub Loc Pao Quente SC Johnson</v>
      </c>
      <c r="M37">
        <v>51123</v>
      </c>
      <c r="N37" t="s">
        <v>373</v>
      </c>
      <c r="O37" t="s">
        <v>104</v>
      </c>
      <c r="P37" t="s">
        <v>103</v>
      </c>
      <c r="Q37" t="s">
        <v>632</v>
      </c>
      <c r="R37" t="s">
        <v>633</v>
      </c>
      <c r="S37" t="s">
        <v>458</v>
      </c>
      <c r="T37">
        <v>17</v>
      </c>
      <c r="U37">
        <v>17</v>
      </c>
      <c r="V37">
        <v>86.71</v>
      </c>
      <c r="X37" s="86" t="str">
        <f t="shared" si="8"/>
        <v>51551Share Sub Loc Pao Quente SC Johnson</v>
      </c>
      <c r="Y37">
        <v>51551</v>
      </c>
      <c r="Z37" t="s">
        <v>357</v>
      </c>
      <c r="AA37" t="s">
        <v>477</v>
      </c>
      <c r="AB37" t="s">
        <v>103</v>
      </c>
      <c r="AC37" t="s">
        <v>847</v>
      </c>
      <c r="AD37" t="s">
        <v>848</v>
      </c>
      <c r="AE37" t="s">
        <v>458</v>
      </c>
      <c r="AF37">
        <v>4.25</v>
      </c>
      <c r="AG37">
        <v>17</v>
      </c>
      <c r="AH37">
        <v>47.05</v>
      </c>
      <c r="AJ37" s="86" t="str">
        <f t="shared" si="9"/>
        <v>51551Lancamentos</v>
      </c>
      <c r="AK37">
        <v>51551</v>
      </c>
      <c r="AL37" t="s">
        <v>357</v>
      </c>
      <c r="AM37" t="s">
        <v>477</v>
      </c>
      <c r="AN37" t="s">
        <v>103</v>
      </c>
      <c r="AO37" t="s">
        <v>980</v>
      </c>
      <c r="AP37" t="s">
        <v>981</v>
      </c>
      <c r="AQ37" t="s">
        <v>953</v>
      </c>
      <c r="AR37">
        <v>0</v>
      </c>
      <c r="AS37">
        <v>18</v>
      </c>
      <c r="AT37">
        <v>42.47</v>
      </c>
      <c r="AV37" s="86" t="str">
        <f t="shared" si="10"/>
        <v>51067Lancamentos</v>
      </c>
      <c r="AW37">
        <v>51067</v>
      </c>
      <c r="AX37" t="s">
        <v>372</v>
      </c>
      <c r="AY37" t="s">
        <v>1004</v>
      </c>
      <c r="AZ37" t="s">
        <v>103</v>
      </c>
      <c r="BA37" t="s">
        <v>1049</v>
      </c>
      <c r="BB37" t="s">
        <v>1050</v>
      </c>
      <c r="BC37" t="s">
        <v>953</v>
      </c>
      <c r="BD37">
        <v>0</v>
      </c>
      <c r="BE37">
        <v>18</v>
      </c>
      <c r="BF37">
        <v>45.21</v>
      </c>
      <c r="BH37" s="86" t="str">
        <f t="shared" si="11"/>
        <v>51067Lancamentos</v>
      </c>
      <c r="BI37">
        <v>51067</v>
      </c>
      <c r="BJ37" t="s">
        <v>372</v>
      </c>
      <c r="BK37" t="s">
        <v>1004</v>
      </c>
      <c r="BL37" t="s">
        <v>103</v>
      </c>
      <c r="BM37" t="s">
        <v>1177</v>
      </c>
      <c r="BN37" t="s">
        <v>1178</v>
      </c>
      <c r="BO37" t="s">
        <v>953</v>
      </c>
      <c r="BP37">
        <v>18</v>
      </c>
      <c r="BQ37">
        <v>18</v>
      </c>
      <c r="BR37">
        <v>71.31</v>
      </c>
      <c r="BT37" s="86" t="str">
        <f t="shared" si="0"/>
        <v>51067Cross Merchan SC Johnson</v>
      </c>
      <c r="BU37">
        <v>51067</v>
      </c>
      <c r="BV37" t="s">
        <v>372</v>
      </c>
      <c r="BW37" t="s">
        <v>1004</v>
      </c>
      <c r="BX37" t="s">
        <v>103</v>
      </c>
      <c r="BY37" t="s">
        <v>1294</v>
      </c>
      <c r="BZ37" t="s">
        <v>1295</v>
      </c>
      <c r="CA37" t="s">
        <v>111</v>
      </c>
      <c r="CB37">
        <v>5</v>
      </c>
      <c r="CC37">
        <v>5</v>
      </c>
      <c r="CD37">
        <v>74.42</v>
      </c>
      <c r="CF37" s="86" t="str">
        <f t="shared" si="1"/>
        <v>51067Cross Merchan SC Johnson</v>
      </c>
      <c r="CG37">
        <v>51067</v>
      </c>
      <c r="CH37" t="s">
        <v>372</v>
      </c>
      <c r="CI37" t="s">
        <v>1004</v>
      </c>
      <c r="CJ37" t="s">
        <v>103</v>
      </c>
      <c r="CK37" t="s">
        <v>1489</v>
      </c>
      <c r="CL37" t="s">
        <v>1490</v>
      </c>
      <c r="CM37" t="s">
        <v>111</v>
      </c>
      <c r="CN37">
        <v>5</v>
      </c>
      <c r="CO37">
        <v>5</v>
      </c>
      <c r="CP37">
        <v>78</v>
      </c>
      <c r="CR37" s="86" t="str">
        <f t="shared" si="2"/>
        <v>51123Cross Merchan SC Johnson</v>
      </c>
      <c r="CS37">
        <v>51123</v>
      </c>
      <c r="CT37" t="s">
        <v>373</v>
      </c>
      <c r="CU37" t="s">
        <v>454</v>
      </c>
      <c r="CV37" t="s">
        <v>103</v>
      </c>
      <c r="CW37" t="s">
        <v>1620</v>
      </c>
      <c r="CX37" t="s">
        <v>1621</v>
      </c>
      <c r="CY37" t="s">
        <v>111</v>
      </c>
      <c r="CZ37">
        <v>5</v>
      </c>
      <c r="DA37">
        <v>5</v>
      </c>
      <c r="DB37">
        <v>92.62</v>
      </c>
      <c r="DD37" s="86" t="str">
        <f t="shared" si="3"/>
        <v>51123Share Sub Category SC Johnson</v>
      </c>
      <c r="DE37">
        <v>51123</v>
      </c>
      <c r="DF37" t="s">
        <v>373</v>
      </c>
      <c r="DG37" t="s">
        <v>1004</v>
      </c>
      <c r="DH37" t="s">
        <v>103</v>
      </c>
      <c r="DI37" t="s">
        <v>1680</v>
      </c>
      <c r="DJ37" t="s">
        <v>1681</v>
      </c>
      <c r="DK37" t="s">
        <v>457</v>
      </c>
      <c r="DL37">
        <v>25</v>
      </c>
      <c r="DM37">
        <v>25</v>
      </c>
      <c r="DN37">
        <v>58.8</v>
      </c>
      <c r="DP37" s="86" t="str">
        <f t="shared" si="4"/>
        <v>51049Share Sub Category SC Johnson</v>
      </c>
      <c r="DQ37">
        <v>51049</v>
      </c>
      <c r="DR37" t="s">
        <v>371</v>
      </c>
      <c r="DS37" t="s">
        <v>1004</v>
      </c>
      <c r="DT37" t="s">
        <v>103</v>
      </c>
      <c r="DU37" t="s">
        <v>1830</v>
      </c>
      <c r="DV37" t="s">
        <v>1831</v>
      </c>
      <c r="DW37" t="s">
        <v>457</v>
      </c>
      <c r="DX37">
        <v>25</v>
      </c>
      <c r="DY37">
        <v>25</v>
      </c>
      <c r="DZ37">
        <v>67.8</v>
      </c>
      <c r="EB37" s="86" t="str">
        <f t="shared" si="5"/>
        <v>53461Share Sub Category SC Johnson</v>
      </c>
      <c r="EC37">
        <v>53461</v>
      </c>
      <c r="ED37" t="s">
        <v>384</v>
      </c>
      <c r="EE37" t="s">
        <v>482</v>
      </c>
      <c r="EF37" t="s">
        <v>103</v>
      </c>
      <c r="EG37" t="s">
        <v>1884</v>
      </c>
      <c r="EH37" t="s">
        <v>1885</v>
      </c>
      <c r="EI37" t="s">
        <v>457</v>
      </c>
      <c r="EJ37">
        <v>25</v>
      </c>
      <c r="EK37">
        <v>25</v>
      </c>
      <c r="EL37">
        <v>98.6</v>
      </c>
    </row>
    <row r="38" spans="1:142" x14ac:dyDescent="0.35">
      <c r="A38" s="86" t="str">
        <f t="shared" si="6"/>
        <v>51123Mix + Intocáveis SC Johnson</v>
      </c>
      <c r="B38">
        <v>51123</v>
      </c>
      <c r="C38" t="s">
        <v>373</v>
      </c>
      <c r="D38" t="s">
        <v>103</v>
      </c>
      <c r="E38" t="s">
        <v>475</v>
      </c>
      <c r="F38" t="s">
        <v>476</v>
      </c>
      <c r="G38" t="s">
        <v>459</v>
      </c>
      <c r="H38">
        <v>66.290000000000006</v>
      </c>
      <c r="I38">
        <v>30.375</v>
      </c>
      <c r="J38">
        <v>45</v>
      </c>
      <c r="L38" s="86" t="str">
        <f t="shared" si="7"/>
        <v>51123Mix + Intocáveis SC Johnson</v>
      </c>
      <c r="M38">
        <v>51123</v>
      </c>
      <c r="N38" t="s">
        <v>373</v>
      </c>
      <c r="O38" t="s">
        <v>104</v>
      </c>
      <c r="P38" t="s">
        <v>103</v>
      </c>
      <c r="Q38" t="s">
        <v>632</v>
      </c>
      <c r="R38" t="s">
        <v>633</v>
      </c>
      <c r="S38" t="s">
        <v>459</v>
      </c>
      <c r="T38">
        <v>36</v>
      </c>
      <c r="U38">
        <v>45</v>
      </c>
      <c r="V38">
        <v>86.71</v>
      </c>
      <c r="X38" s="86" t="str">
        <f t="shared" si="8"/>
        <v>51551Mix + Intocáveis SC Johnson</v>
      </c>
      <c r="Y38">
        <v>51551</v>
      </c>
      <c r="Z38" t="s">
        <v>357</v>
      </c>
      <c r="AA38" t="s">
        <v>477</v>
      </c>
      <c r="AB38" t="s">
        <v>103</v>
      </c>
      <c r="AC38" t="s">
        <v>847</v>
      </c>
      <c r="AD38" t="s">
        <v>848</v>
      </c>
      <c r="AE38" t="s">
        <v>459</v>
      </c>
      <c r="AF38">
        <v>21.375</v>
      </c>
      <c r="AG38">
        <v>45</v>
      </c>
      <c r="AH38">
        <v>47.05</v>
      </c>
      <c r="AJ38" s="86" t="str">
        <f t="shared" si="9"/>
        <v>52169Share Sub Category SC Johnson</v>
      </c>
      <c r="AK38">
        <v>52169</v>
      </c>
      <c r="AL38" t="s">
        <v>331</v>
      </c>
      <c r="AM38" t="s">
        <v>36</v>
      </c>
      <c r="AN38" t="s">
        <v>103</v>
      </c>
      <c r="AO38" t="s">
        <v>917</v>
      </c>
      <c r="AP38" t="s">
        <v>918</v>
      </c>
      <c r="AQ38" t="s">
        <v>457</v>
      </c>
      <c r="AR38">
        <v>21.425000000000001</v>
      </c>
      <c r="AS38">
        <v>25</v>
      </c>
      <c r="AT38">
        <v>66.84</v>
      </c>
      <c r="AV38" s="86" t="str">
        <f t="shared" si="10"/>
        <v>51123Share Sub Category SC Johnson</v>
      </c>
      <c r="AW38">
        <v>51123</v>
      </c>
      <c r="AX38" t="s">
        <v>373</v>
      </c>
      <c r="AY38" t="s">
        <v>1004</v>
      </c>
      <c r="AZ38" t="s">
        <v>103</v>
      </c>
      <c r="BA38" t="s">
        <v>1051</v>
      </c>
      <c r="BB38" t="s">
        <v>1052</v>
      </c>
      <c r="BC38" t="s">
        <v>457</v>
      </c>
      <c r="BD38">
        <v>21.425000000000001</v>
      </c>
      <c r="BE38">
        <v>25</v>
      </c>
      <c r="BF38">
        <v>54.77</v>
      </c>
      <c r="BH38" s="86" t="str">
        <f t="shared" si="11"/>
        <v>51123Share Sub Category SC Johnson</v>
      </c>
      <c r="BI38">
        <v>51123</v>
      </c>
      <c r="BJ38" t="s">
        <v>373</v>
      </c>
      <c r="BK38" t="s">
        <v>1004</v>
      </c>
      <c r="BL38" t="s">
        <v>103</v>
      </c>
      <c r="BM38" t="s">
        <v>1179</v>
      </c>
      <c r="BN38" t="s">
        <v>1180</v>
      </c>
      <c r="BO38" t="s">
        <v>457</v>
      </c>
      <c r="BP38">
        <v>25</v>
      </c>
      <c r="BQ38">
        <v>25</v>
      </c>
      <c r="BR38">
        <v>88.68</v>
      </c>
      <c r="BT38" s="86" t="str">
        <f t="shared" si="0"/>
        <v>51067Execucao Bonus</v>
      </c>
      <c r="BU38">
        <v>51067</v>
      </c>
      <c r="BV38" t="s">
        <v>372</v>
      </c>
      <c r="BW38" t="s">
        <v>1004</v>
      </c>
      <c r="BX38" t="s">
        <v>103</v>
      </c>
      <c r="BY38" t="s">
        <v>1294</v>
      </c>
      <c r="BZ38" t="s">
        <v>1295</v>
      </c>
      <c r="CA38" t="s">
        <v>1291</v>
      </c>
      <c r="CB38">
        <v>5</v>
      </c>
      <c r="CC38">
        <v>5</v>
      </c>
      <c r="CD38">
        <v>74.42</v>
      </c>
      <c r="CF38" s="86" t="str">
        <f t="shared" si="1"/>
        <v>51067Execucao Bonus</v>
      </c>
      <c r="CG38">
        <v>51067</v>
      </c>
      <c r="CH38" t="s">
        <v>372</v>
      </c>
      <c r="CI38" t="s">
        <v>1004</v>
      </c>
      <c r="CJ38" t="s">
        <v>103</v>
      </c>
      <c r="CK38" t="s">
        <v>1489</v>
      </c>
      <c r="CL38" t="s">
        <v>1490</v>
      </c>
      <c r="CM38" t="s">
        <v>1291</v>
      </c>
      <c r="CN38">
        <v>5</v>
      </c>
      <c r="CO38">
        <v>5</v>
      </c>
      <c r="CP38">
        <v>78</v>
      </c>
      <c r="CR38" s="86" t="str">
        <f t="shared" si="2"/>
        <v>51123Execucao Bonus</v>
      </c>
      <c r="CS38">
        <v>51123</v>
      </c>
      <c r="CT38" t="s">
        <v>373</v>
      </c>
      <c r="CU38" t="s">
        <v>454</v>
      </c>
      <c r="CV38" t="s">
        <v>103</v>
      </c>
      <c r="CW38" t="s">
        <v>1620</v>
      </c>
      <c r="CX38" t="s">
        <v>1621</v>
      </c>
      <c r="CY38" t="s">
        <v>1291</v>
      </c>
      <c r="CZ38">
        <v>5</v>
      </c>
      <c r="DA38">
        <v>5</v>
      </c>
      <c r="DB38">
        <v>92.62</v>
      </c>
      <c r="DD38" s="86" t="str">
        <f t="shared" si="3"/>
        <v>51123Share Sub Loc Pao Quente SC Johnson</v>
      </c>
      <c r="DE38">
        <v>51123</v>
      </c>
      <c r="DF38" t="s">
        <v>373</v>
      </c>
      <c r="DG38" t="s">
        <v>1004</v>
      </c>
      <c r="DH38" t="s">
        <v>103</v>
      </c>
      <c r="DI38" t="s">
        <v>1680</v>
      </c>
      <c r="DJ38" t="s">
        <v>1681</v>
      </c>
      <c r="DK38" t="s">
        <v>458</v>
      </c>
      <c r="DL38">
        <v>0</v>
      </c>
      <c r="DM38">
        <v>12</v>
      </c>
      <c r="DN38">
        <v>58.8</v>
      </c>
      <c r="DP38" s="86" t="str">
        <f t="shared" si="4"/>
        <v>51049Share Sub Loc Pao Quente SC Johnson</v>
      </c>
      <c r="DQ38">
        <v>51049</v>
      </c>
      <c r="DR38" t="s">
        <v>371</v>
      </c>
      <c r="DS38" t="s">
        <v>1004</v>
      </c>
      <c r="DT38" t="s">
        <v>103</v>
      </c>
      <c r="DU38" t="s">
        <v>1830</v>
      </c>
      <c r="DV38" t="s">
        <v>1831</v>
      </c>
      <c r="DW38" t="s">
        <v>458</v>
      </c>
      <c r="DX38">
        <v>9</v>
      </c>
      <c r="DY38">
        <v>12</v>
      </c>
      <c r="DZ38">
        <v>67.8</v>
      </c>
      <c r="EB38" s="86" t="str">
        <f t="shared" si="5"/>
        <v>53461Share Sub Loc Pao Quente SC Johnson</v>
      </c>
      <c r="EC38">
        <v>53461</v>
      </c>
      <c r="ED38" t="s">
        <v>384</v>
      </c>
      <c r="EE38" t="s">
        <v>482</v>
      </c>
      <c r="EF38" t="s">
        <v>103</v>
      </c>
      <c r="EG38" t="s">
        <v>1884</v>
      </c>
      <c r="EH38" t="s">
        <v>1885</v>
      </c>
      <c r="EI38" t="s">
        <v>458</v>
      </c>
      <c r="EJ38">
        <v>12</v>
      </c>
      <c r="EK38">
        <v>12</v>
      </c>
      <c r="EL38">
        <v>98.6</v>
      </c>
    </row>
    <row r="39" spans="1:142" x14ac:dyDescent="0.35">
      <c r="A39" s="86" t="str">
        <f t="shared" si="6"/>
        <v>51551Share Sub Category SC Johnson</v>
      </c>
      <c r="B39">
        <v>51551</v>
      </c>
      <c r="C39" t="s">
        <v>357</v>
      </c>
      <c r="D39" t="s">
        <v>103</v>
      </c>
      <c r="E39" t="s">
        <v>478</v>
      </c>
      <c r="F39" t="s">
        <v>479</v>
      </c>
      <c r="G39" t="s">
        <v>457</v>
      </c>
      <c r="H39">
        <v>49.62</v>
      </c>
      <c r="I39">
        <v>21.42</v>
      </c>
      <c r="J39">
        <v>30</v>
      </c>
      <c r="L39" s="86" t="str">
        <f t="shared" si="7"/>
        <v>51551Share Sub Category SC Johnson</v>
      </c>
      <c r="M39">
        <v>51551</v>
      </c>
      <c r="N39" t="s">
        <v>357</v>
      </c>
      <c r="O39" t="s">
        <v>477</v>
      </c>
      <c r="P39" t="s">
        <v>103</v>
      </c>
      <c r="Q39" t="s">
        <v>634</v>
      </c>
      <c r="R39" t="s">
        <v>635</v>
      </c>
      <c r="S39" t="s">
        <v>457</v>
      </c>
      <c r="T39">
        <v>30</v>
      </c>
      <c r="U39">
        <v>30</v>
      </c>
      <c r="V39">
        <v>55.38</v>
      </c>
      <c r="X39" s="86" t="str">
        <f t="shared" si="8"/>
        <v>52169Share Sub Category SC Johnson</v>
      </c>
      <c r="Y39">
        <v>52169</v>
      </c>
      <c r="Z39" t="s">
        <v>331</v>
      </c>
      <c r="AA39" t="s">
        <v>36</v>
      </c>
      <c r="AB39" t="s">
        <v>103</v>
      </c>
      <c r="AC39" t="s">
        <v>797</v>
      </c>
      <c r="AD39" t="s">
        <v>798</v>
      </c>
      <c r="AE39" t="s">
        <v>457</v>
      </c>
      <c r="AF39">
        <v>21.42</v>
      </c>
      <c r="AG39">
        <v>30</v>
      </c>
      <c r="AH39">
        <v>80.42</v>
      </c>
      <c r="AJ39" s="86" t="str">
        <f t="shared" si="9"/>
        <v>52169Cross Merchan SC Johnson</v>
      </c>
      <c r="AK39">
        <v>52169</v>
      </c>
      <c r="AL39" t="s">
        <v>331</v>
      </c>
      <c r="AM39" t="s">
        <v>36</v>
      </c>
      <c r="AN39" t="s">
        <v>103</v>
      </c>
      <c r="AO39" t="s">
        <v>917</v>
      </c>
      <c r="AP39" t="s">
        <v>918</v>
      </c>
      <c r="AQ39" t="s">
        <v>111</v>
      </c>
      <c r="AR39">
        <v>2.5</v>
      </c>
      <c r="AS39">
        <v>5</v>
      </c>
      <c r="AT39">
        <v>66.84</v>
      </c>
      <c r="AV39" s="86" t="str">
        <f t="shared" si="10"/>
        <v>51123Cross Merchan SC Johnson</v>
      </c>
      <c r="AW39">
        <v>51123</v>
      </c>
      <c r="AX39" t="s">
        <v>373</v>
      </c>
      <c r="AY39" t="s">
        <v>1004</v>
      </c>
      <c r="AZ39" t="s">
        <v>103</v>
      </c>
      <c r="BA39" t="s">
        <v>1051</v>
      </c>
      <c r="BB39" t="s">
        <v>1052</v>
      </c>
      <c r="BC39" t="s">
        <v>111</v>
      </c>
      <c r="BD39">
        <v>1.665</v>
      </c>
      <c r="BE39">
        <v>5</v>
      </c>
      <c r="BF39">
        <v>54.77</v>
      </c>
      <c r="BH39" s="86" t="str">
        <f t="shared" si="11"/>
        <v>51123Cross Merchan SC Johnson</v>
      </c>
      <c r="BI39">
        <v>51123</v>
      </c>
      <c r="BJ39" t="s">
        <v>373</v>
      </c>
      <c r="BK39" t="s">
        <v>1004</v>
      </c>
      <c r="BL39" t="s">
        <v>103</v>
      </c>
      <c r="BM39" t="s">
        <v>1179</v>
      </c>
      <c r="BN39" t="s">
        <v>1180</v>
      </c>
      <c r="BO39" t="s">
        <v>111</v>
      </c>
      <c r="BP39">
        <v>5</v>
      </c>
      <c r="BQ39">
        <v>5</v>
      </c>
      <c r="BR39">
        <v>88.68</v>
      </c>
      <c r="BT39" s="86" t="str">
        <f t="shared" si="0"/>
        <v>51123Lancamentos</v>
      </c>
      <c r="BU39">
        <v>51123</v>
      </c>
      <c r="BV39" t="s">
        <v>373</v>
      </c>
      <c r="BW39" t="s">
        <v>1004</v>
      </c>
      <c r="BX39" t="s">
        <v>103</v>
      </c>
      <c r="BY39" t="s">
        <v>1296</v>
      </c>
      <c r="BZ39" t="s">
        <v>1297</v>
      </c>
      <c r="CA39" t="s">
        <v>953</v>
      </c>
      <c r="CB39">
        <v>9</v>
      </c>
      <c r="CC39">
        <v>18</v>
      </c>
      <c r="CD39">
        <v>81</v>
      </c>
      <c r="CF39" s="86" t="str">
        <f t="shared" si="1"/>
        <v>51123Lancamentos</v>
      </c>
      <c r="CG39">
        <v>51123</v>
      </c>
      <c r="CH39" t="s">
        <v>373</v>
      </c>
      <c r="CI39" t="s">
        <v>1004</v>
      </c>
      <c r="CJ39" t="s">
        <v>103</v>
      </c>
      <c r="CK39" t="s">
        <v>1491</v>
      </c>
      <c r="CL39" t="s">
        <v>1492</v>
      </c>
      <c r="CM39" t="s">
        <v>953</v>
      </c>
      <c r="CN39">
        <v>9</v>
      </c>
      <c r="CO39">
        <v>18</v>
      </c>
      <c r="CP39">
        <v>74.2</v>
      </c>
      <c r="CR39" s="86" t="str">
        <f t="shared" si="2"/>
        <v>52169Lancamentos</v>
      </c>
      <c r="CS39">
        <v>52169</v>
      </c>
      <c r="CT39" t="s">
        <v>331</v>
      </c>
      <c r="CU39" t="s">
        <v>1306</v>
      </c>
      <c r="CV39" t="s">
        <v>103</v>
      </c>
      <c r="CW39" t="s">
        <v>1544</v>
      </c>
      <c r="CX39" t="s">
        <v>1545</v>
      </c>
      <c r="CY39" t="s">
        <v>953</v>
      </c>
      <c r="CZ39">
        <v>18</v>
      </c>
      <c r="DA39">
        <v>18</v>
      </c>
      <c r="DB39">
        <v>98.6</v>
      </c>
      <c r="DD39" s="86" t="str">
        <f t="shared" si="3"/>
        <v>52169Mix + Intocáveis SC Johnson</v>
      </c>
      <c r="DE39">
        <v>52169</v>
      </c>
      <c r="DF39" t="s">
        <v>331</v>
      </c>
      <c r="DG39" t="s">
        <v>1306</v>
      </c>
      <c r="DH39" t="s">
        <v>103</v>
      </c>
      <c r="DI39" t="s">
        <v>1682</v>
      </c>
      <c r="DJ39" t="s">
        <v>1683</v>
      </c>
      <c r="DK39" t="s">
        <v>459</v>
      </c>
      <c r="DL39">
        <v>39.200000000000003</v>
      </c>
      <c r="DM39">
        <v>40</v>
      </c>
      <c r="DN39">
        <v>100</v>
      </c>
      <c r="DP39" s="86" t="str">
        <f t="shared" si="4"/>
        <v>51067Mix + Intocáveis SC Johnson</v>
      </c>
      <c r="DQ39">
        <v>51067</v>
      </c>
      <c r="DR39" t="s">
        <v>372</v>
      </c>
      <c r="DS39" t="s">
        <v>1004</v>
      </c>
      <c r="DT39" t="s">
        <v>103</v>
      </c>
      <c r="DU39" t="s">
        <v>1832</v>
      </c>
      <c r="DV39" t="s">
        <v>1833</v>
      </c>
      <c r="DW39" t="s">
        <v>459</v>
      </c>
      <c r="DX39">
        <v>30.4</v>
      </c>
      <c r="DY39">
        <v>40</v>
      </c>
      <c r="DZ39">
        <v>63.4</v>
      </c>
      <c r="EB39" s="86" t="str">
        <f t="shared" si="5"/>
        <v>53486Mix + Intocáveis SC Johnson</v>
      </c>
      <c r="EC39">
        <v>53486</v>
      </c>
      <c r="ED39" t="s">
        <v>332</v>
      </c>
      <c r="EE39" t="s">
        <v>477</v>
      </c>
      <c r="EF39" t="s">
        <v>103</v>
      </c>
      <c r="EG39" t="s">
        <v>1886</v>
      </c>
      <c r="EH39" t="s">
        <v>1887</v>
      </c>
      <c r="EI39" t="s">
        <v>459</v>
      </c>
      <c r="EJ39">
        <v>38.4</v>
      </c>
      <c r="EK39">
        <v>40</v>
      </c>
      <c r="EL39">
        <v>92.4</v>
      </c>
    </row>
    <row r="40" spans="1:142" x14ac:dyDescent="0.35">
      <c r="A40" s="86" t="str">
        <f t="shared" si="6"/>
        <v>51551Cross Merchan SC Johnson</v>
      </c>
      <c r="B40">
        <v>51551</v>
      </c>
      <c r="C40" t="s">
        <v>357</v>
      </c>
      <c r="D40" t="s">
        <v>103</v>
      </c>
      <c r="E40" t="s">
        <v>478</v>
      </c>
      <c r="F40" t="s">
        <v>479</v>
      </c>
      <c r="G40" t="s">
        <v>111</v>
      </c>
      <c r="H40">
        <v>49.62</v>
      </c>
      <c r="I40">
        <v>0</v>
      </c>
      <c r="J40">
        <v>8</v>
      </c>
      <c r="L40" s="86" t="str">
        <f t="shared" si="7"/>
        <v>51551Cross Merchan SC Johnson</v>
      </c>
      <c r="M40">
        <v>51551</v>
      </c>
      <c r="N40" t="s">
        <v>357</v>
      </c>
      <c r="O40" t="s">
        <v>477</v>
      </c>
      <c r="P40" t="s">
        <v>103</v>
      </c>
      <c r="Q40" t="s">
        <v>634</v>
      </c>
      <c r="R40" t="s">
        <v>635</v>
      </c>
      <c r="S40" t="s">
        <v>111</v>
      </c>
      <c r="T40">
        <v>0</v>
      </c>
      <c r="U40">
        <v>8</v>
      </c>
      <c r="V40">
        <v>55.38</v>
      </c>
      <c r="X40" s="86" t="str">
        <f t="shared" si="8"/>
        <v>52169Cross Merchan SC Johnson</v>
      </c>
      <c r="Y40">
        <v>52169</v>
      </c>
      <c r="Z40" t="s">
        <v>331</v>
      </c>
      <c r="AA40" t="s">
        <v>36</v>
      </c>
      <c r="AB40" t="s">
        <v>103</v>
      </c>
      <c r="AC40" t="s">
        <v>797</v>
      </c>
      <c r="AD40" t="s">
        <v>798</v>
      </c>
      <c r="AE40" t="s">
        <v>111</v>
      </c>
      <c r="AF40">
        <v>8</v>
      </c>
      <c r="AG40">
        <v>8</v>
      </c>
      <c r="AH40">
        <v>80.42</v>
      </c>
      <c r="AJ40" s="86" t="str">
        <f t="shared" si="9"/>
        <v>52169Share Sub Loc Pao Quente SC Johnson</v>
      </c>
      <c r="AK40">
        <v>52169</v>
      </c>
      <c r="AL40" t="s">
        <v>331</v>
      </c>
      <c r="AM40" t="s">
        <v>36</v>
      </c>
      <c r="AN40" t="s">
        <v>103</v>
      </c>
      <c r="AO40" t="s">
        <v>917</v>
      </c>
      <c r="AP40" t="s">
        <v>918</v>
      </c>
      <c r="AQ40" t="s">
        <v>458</v>
      </c>
      <c r="AR40">
        <v>9</v>
      </c>
      <c r="AS40">
        <v>12</v>
      </c>
      <c r="AT40">
        <v>66.84</v>
      </c>
      <c r="AV40" s="86" t="str">
        <f t="shared" si="10"/>
        <v>51123Share Sub Loc Pao Quente SC Johnson</v>
      </c>
      <c r="AW40">
        <v>51123</v>
      </c>
      <c r="AX40" t="s">
        <v>373</v>
      </c>
      <c r="AY40" t="s">
        <v>1004</v>
      </c>
      <c r="AZ40" t="s">
        <v>103</v>
      </c>
      <c r="BA40" t="s">
        <v>1051</v>
      </c>
      <c r="BB40" t="s">
        <v>1052</v>
      </c>
      <c r="BC40" t="s">
        <v>458</v>
      </c>
      <c r="BD40">
        <v>3</v>
      </c>
      <c r="BE40">
        <v>12</v>
      </c>
      <c r="BF40">
        <v>54.77</v>
      </c>
      <c r="BH40" s="86" t="str">
        <f t="shared" si="11"/>
        <v>51123Share Sub Loc Pao Quente SC Johnson</v>
      </c>
      <c r="BI40">
        <v>51123</v>
      </c>
      <c r="BJ40" t="s">
        <v>373</v>
      </c>
      <c r="BK40" t="s">
        <v>1004</v>
      </c>
      <c r="BL40" t="s">
        <v>103</v>
      </c>
      <c r="BM40" t="s">
        <v>1179</v>
      </c>
      <c r="BN40" t="s">
        <v>1180</v>
      </c>
      <c r="BO40" t="s">
        <v>458</v>
      </c>
      <c r="BP40">
        <v>12</v>
      </c>
      <c r="BQ40">
        <v>12</v>
      </c>
      <c r="BR40">
        <v>88.68</v>
      </c>
      <c r="BT40" s="86" t="str">
        <f t="shared" si="0"/>
        <v>51123Mix + Intocáveis SC Johnson</v>
      </c>
      <c r="BU40">
        <v>51123</v>
      </c>
      <c r="BV40" t="s">
        <v>373</v>
      </c>
      <c r="BW40" t="s">
        <v>1004</v>
      </c>
      <c r="BX40" t="s">
        <v>103</v>
      </c>
      <c r="BY40" t="s">
        <v>1296</v>
      </c>
      <c r="BZ40" t="s">
        <v>1297</v>
      </c>
      <c r="CA40" t="s">
        <v>459</v>
      </c>
      <c r="CB40">
        <v>28</v>
      </c>
      <c r="CC40">
        <v>40</v>
      </c>
      <c r="CD40">
        <v>81</v>
      </c>
      <c r="CF40" s="86" t="str">
        <f t="shared" si="1"/>
        <v>51123Mix + Intocáveis SC Johnson</v>
      </c>
      <c r="CG40">
        <v>51123</v>
      </c>
      <c r="CH40" t="s">
        <v>373</v>
      </c>
      <c r="CI40" t="s">
        <v>1004</v>
      </c>
      <c r="CJ40" t="s">
        <v>103</v>
      </c>
      <c r="CK40" t="s">
        <v>1491</v>
      </c>
      <c r="CL40" t="s">
        <v>1492</v>
      </c>
      <c r="CM40" t="s">
        <v>459</v>
      </c>
      <c r="CN40">
        <v>27.2</v>
      </c>
      <c r="CO40">
        <v>40</v>
      </c>
      <c r="CP40">
        <v>74.2</v>
      </c>
      <c r="CR40" s="86" t="str">
        <f t="shared" si="2"/>
        <v>52169Mix + Intocáveis SC Johnson</v>
      </c>
      <c r="CS40">
        <v>52169</v>
      </c>
      <c r="CT40" t="s">
        <v>331</v>
      </c>
      <c r="CU40" t="s">
        <v>1306</v>
      </c>
      <c r="CV40" t="s">
        <v>103</v>
      </c>
      <c r="CW40" t="s">
        <v>1544</v>
      </c>
      <c r="CX40" t="s">
        <v>1545</v>
      </c>
      <c r="CY40" t="s">
        <v>459</v>
      </c>
      <c r="CZ40">
        <v>33.6</v>
      </c>
      <c r="DA40">
        <v>40</v>
      </c>
      <c r="DB40">
        <v>98.6</v>
      </c>
      <c r="DD40" s="86" t="str">
        <f t="shared" si="3"/>
        <v>52169Execucao Bonus</v>
      </c>
      <c r="DE40">
        <v>52169</v>
      </c>
      <c r="DF40" t="s">
        <v>331</v>
      </c>
      <c r="DG40" t="s">
        <v>1306</v>
      </c>
      <c r="DH40" t="s">
        <v>103</v>
      </c>
      <c r="DI40" t="s">
        <v>1682</v>
      </c>
      <c r="DJ40" t="s">
        <v>1683</v>
      </c>
      <c r="DK40" t="s">
        <v>1291</v>
      </c>
      <c r="DL40">
        <v>3.8</v>
      </c>
      <c r="DM40">
        <v>5</v>
      </c>
      <c r="DN40">
        <v>100</v>
      </c>
      <c r="DP40" s="86" t="str">
        <f t="shared" si="4"/>
        <v>51067Execucao Bonus</v>
      </c>
      <c r="DQ40">
        <v>51067</v>
      </c>
      <c r="DR40" t="s">
        <v>372</v>
      </c>
      <c r="DS40" t="s">
        <v>1004</v>
      </c>
      <c r="DT40" t="s">
        <v>103</v>
      </c>
      <c r="DU40" t="s">
        <v>1832</v>
      </c>
      <c r="DV40" t="s">
        <v>1833</v>
      </c>
      <c r="DW40" t="s">
        <v>1291</v>
      </c>
      <c r="DX40">
        <v>0</v>
      </c>
      <c r="DY40">
        <v>5</v>
      </c>
      <c r="DZ40">
        <v>63.4</v>
      </c>
      <c r="EB40" s="86" t="str">
        <f t="shared" si="5"/>
        <v>53486Execucao Bonus</v>
      </c>
      <c r="EC40">
        <v>53486</v>
      </c>
      <c r="ED40" t="s">
        <v>332</v>
      </c>
      <c r="EE40" t="s">
        <v>477</v>
      </c>
      <c r="EF40" t="s">
        <v>103</v>
      </c>
      <c r="EG40" t="s">
        <v>1886</v>
      </c>
      <c r="EH40" t="s">
        <v>1887</v>
      </c>
      <c r="EI40" t="s">
        <v>1291</v>
      </c>
      <c r="EJ40">
        <v>0</v>
      </c>
      <c r="EK40">
        <v>5</v>
      </c>
      <c r="EL40">
        <v>92.4</v>
      </c>
    </row>
    <row r="41" spans="1:142" x14ac:dyDescent="0.35">
      <c r="A41" s="86" t="str">
        <f t="shared" si="6"/>
        <v>51551Share Sub Loc Pao Quente SC Johnson</v>
      </c>
      <c r="B41">
        <v>51551</v>
      </c>
      <c r="C41" t="s">
        <v>357</v>
      </c>
      <c r="D41" t="s">
        <v>103</v>
      </c>
      <c r="E41" t="s">
        <v>478</v>
      </c>
      <c r="F41" t="s">
        <v>479</v>
      </c>
      <c r="G41" t="s">
        <v>458</v>
      </c>
      <c r="H41">
        <v>49.62</v>
      </c>
      <c r="I41">
        <v>10.199999999999999</v>
      </c>
      <c r="J41">
        <v>17</v>
      </c>
      <c r="L41" s="86" t="str">
        <f t="shared" si="7"/>
        <v>51551Share Sub Loc Pao Quente SC Johnson</v>
      </c>
      <c r="M41">
        <v>51551</v>
      </c>
      <c r="N41" t="s">
        <v>357</v>
      </c>
      <c r="O41" t="s">
        <v>477</v>
      </c>
      <c r="P41" t="s">
        <v>103</v>
      </c>
      <c r="Q41" t="s">
        <v>634</v>
      </c>
      <c r="R41" t="s">
        <v>635</v>
      </c>
      <c r="S41" t="s">
        <v>458</v>
      </c>
      <c r="T41">
        <v>8.5</v>
      </c>
      <c r="U41">
        <v>17</v>
      </c>
      <c r="V41">
        <v>55.38</v>
      </c>
      <c r="X41" s="86" t="str">
        <f t="shared" si="8"/>
        <v>52169Share Sub Loc Pao Quente SC Johnson</v>
      </c>
      <c r="Y41">
        <v>52169</v>
      </c>
      <c r="Z41" t="s">
        <v>331</v>
      </c>
      <c r="AA41" t="s">
        <v>36</v>
      </c>
      <c r="AB41" t="s">
        <v>103</v>
      </c>
      <c r="AC41" t="s">
        <v>797</v>
      </c>
      <c r="AD41" t="s">
        <v>798</v>
      </c>
      <c r="AE41" t="s">
        <v>458</v>
      </c>
      <c r="AF41">
        <v>12.75</v>
      </c>
      <c r="AG41">
        <v>17</v>
      </c>
      <c r="AH41">
        <v>80.42</v>
      </c>
      <c r="AJ41" s="86" t="str">
        <f t="shared" si="9"/>
        <v>52169Mix + Intocáveis SC Johnson</v>
      </c>
      <c r="AK41">
        <v>52169</v>
      </c>
      <c r="AL41" t="s">
        <v>331</v>
      </c>
      <c r="AM41" t="s">
        <v>36</v>
      </c>
      <c r="AN41" t="s">
        <v>103</v>
      </c>
      <c r="AO41" t="s">
        <v>917</v>
      </c>
      <c r="AP41" t="s">
        <v>918</v>
      </c>
      <c r="AQ41" t="s">
        <v>459</v>
      </c>
      <c r="AR41">
        <v>33.92</v>
      </c>
      <c r="AS41">
        <v>40</v>
      </c>
      <c r="AT41">
        <v>66.84</v>
      </c>
      <c r="AV41" s="86" t="str">
        <f t="shared" si="10"/>
        <v>51123Mix + Intocáveis SC Johnson</v>
      </c>
      <c r="AW41">
        <v>51123</v>
      </c>
      <c r="AX41" t="s">
        <v>373</v>
      </c>
      <c r="AY41" t="s">
        <v>1004</v>
      </c>
      <c r="AZ41" t="s">
        <v>103</v>
      </c>
      <c r="BA41" t="s">
        <v>1051</v>
      </c>
      <c r="BB41" t="s">
        <v>1052</v>
      </c>
      <c r="BC41" t="s">
        <v>459</v>
      </c>
      <c r="BD41">
        <v>28.68</v>
      </c>
      <c r="BE41">
        <v>40</v>
      </c>
      <c r="BF41">
        <v>54.77</v>
      </c>
      <c r="BH41" s="86" t="str">
        <f t="shared" si="11"/>
        <v>51123Mix + Intocáveis SC Johnson</v>
      </c>
      <c r="BI41">
        <v>51123</v>
      </c>
      <c r="BJ41" t="s">
        <v>373</v>
      </c>
      <c r="BK41" t="s">
        <v>1004</v>
      </c>
      <c r="BL41" t="s">
        <v>103</v>
      </c>
      <c r="BM41" t="s">
        <v>1179</v>
      </c>
      <c r="BN41" t="s">
        <v>1180</v>
      </c>
      <c r="BO41" t="s">
        <v>459</v>
      </c>
      <c r="BP41">
        <v>28.68</v>
      </c>
      <c r="BQ41">
        <v>40</v>
      </c>
      <c r="BR41">
        <v>88.68</v>
      </c>
      <c r="BT41" s="86" t="str">
        <f t="shared" si="0"/>
        <v>51123Share Sub Category SC Johnson</v>
      </c>
      <c r="BU41">
        <v>51123</v>
      </c>
      <c r="BV41" t="s">
        <v>373</v>
      </c>
      <c r="BW41" t="s">
        <v>1004</v>
      </c>
      <c r="BX41" t="s">
        <v>103</v>
      </c>
      <c r="BY41" t="s">
        <v>1296</v>
      </c>
      <c r="BZ41" t="s">
        <v>1297</v>
      </c>
      <c r="CA41" t="s">
        <v>457</v>
      </c>
      <c r="CB41">
        <v>25</v>
      </c>
      <c r="CC41">
        <v>25</v>
      </c>
      <c r="CD41">
        <v>81</v>
      </c>
      <c r="CF41" s="86" t="str">
        <f t="shared" si="1"/>
        <v>51123Share Sub Category SC Johnson</v>
      </c>
      <c r="CG41">
        <v>51123</v>
      </c>
      <c r="CH41" t="s">
        <v>373</v>
      </c>
      <c r="CI41" t="s">
        <v>1004</v>
      </c>
      <c r="CJ41" t="s">
        <v>103</v>
      </c>
      <c r="CK41" t="s">
        <v>1491</v>
      </c>
      <c r="CL41" t="s">
        <v>1492</v>
      </c>
      <c r="CM41" t="s">
        <v>457</v>
      </c>
      <c r="CN41">
        <v>25</v>
      </c>
      <c r="CO41">
        <v>25</v>
      </c>
      <c r="CP41">
        <v>74.2</v>
      </c>
      <c r="CR41" s="86" t="str">
        <f t="shared" si="2"/>
        <v>52169Share Sub Category SC Johnson</v>
      </c>
      <c r="CS41">
        <v>52169</v>
      </c>
      <c r="CT41" t="s">
        <v>331</v>
      </c>
      <c r="CU41" t="s">
        <v>1306</v>
      </c>
      <c r="CV41" t="s">
        <v>103</v>
      </c>
      <c r="CW41" t="s">
        <v>1544</v>
      </c>
      <c r="CX41" t="s">
        <v>1545</v>
      </c>
      <c r="CY41" t="s">
        <v>457</v>
      </c>
      <c r="CZ41">
        <v>25</v>
      </c>
      <c r="DA41">
        <v>25</v>
      </c>
      <c r="DB41">
        <v>98.6</v>
      </c>
      <c r="DD41" s="86" t="str">
        <f t="shared" si="3"/>
        <v>52169Cross Merchan SC Johnson</v>
      </c>
      <c r="DE41">
        <v>52169</v>
      </c>
      <c r="DF41" t="s">
        <v>331</v>
      </c>
      <c r="DG41" t="s">
        <v>1306</v>
      </c>
      <c r="DH41" t="s">
        <v>103</v>
      </c>
      <c r="DI41" t="s">
        <v>1682</v>
      </c>
      <c r="DJ41" t="s">
        <v>1683</v>
      </c>
      <c r="DK41" t="s">
        <v>111</v>
      </c>
      <c r="DL41">
        <v>5</v>
      </c>
      <c r="DM41">
        <v>5</v>
      </c>
      <c r="DN41">
        <v>100</v>
      </c>
      <c r="DP41" s="86" t="str">
        <f t="shared" si="4"/>
        <v>51067Cross Merchan SC Johnson</v>
      </c>
      <c r="DQ41">
        <v>51067</v>
      </c>
      <c r="DR41" t="s">
        <v>372</v>
      </c>
      <c r="DS41" t="s">
        <v>1004</v>
      </c>
      <c r="DT41" t="s">
        <v>103</v>
      </c>
      <c r="DU41" t="s">
        <v>1832</v>
      </c>
      <c r="DV41" t="s">
        <v>1833</v>
      </c>
      <c r="DW41" t="s">
        <v>111</v>
      </c>
      <c r="DX41">
        <v>5</v>
      </c>
      <c r="DY41">
        <v>5</v>
      </c>
      <c r="DZ41">
        <v>63.4</v>
      </c>
      <c r="EB41" s="86" t="str">
        <f t="shared" si="5"/>
        <v>53486Cross Merchan SC Johnson</v>
      </c>
      <c r="EC41">
        <v>53486</v>
      </c>
      <c r="ED41" t="s">
        <v>332</v>
      </c>
      <c r="EE41" t="s">
        <v>477</v>
      </c>
      <c r="EF41" t="s">
        <v>103</v>
      </c>
      <c r="EG41" t="s">
        <v>1886</v>
      </c>
      <c r="EH41" t="s">
        <v>1887</v>
      </c>
      <c r="EI41" t="s">
        <v>111</v>
      </c>
      <c r="EJ41">
        <v>5</v>
      </c>
      <c r="EK41">
        <v>5</v>
      </c>
      <c r="EL41">
        <v>92.4</v>
      </c>
    </row>
    <row r="42" spans="1:142" x14ac:dyDescent="0.35">
      <c r="A42" s="86" t="str">
        <f t="shared" si="6"/>
        <v>51551Mix + Intocáveis SC Johnson</v>
      </c>
      <c r="B42">
        <v>51551</v>
      </c>
      <c r="C42" t="s">
        <v>357</v>
      </c>
      <c r="D42" t="s">
        <v>103</v>
      </c>
      <c r="E42" t="s">
        <v>478</v>
      </c>
      <c r="F42" t="s">
        <v>479</v>
      </c>
      <c r="G42" t="s">
        <v>459</v>
      </c>
      <c r="H42">
        <v>49.62</v>
      </c>
      <c r="I42">
        <v>18</v>
      </c>
      <c r="J42">
        <v>45</v>
      </c>
      <c r="L42" s="86" t="str">
        <f t="shared" si="7"/>
        <v>51551Mix + Intocáveis SC Johnson</v>
      </c>
      <c r="M42">
        <v>51551</v>
      </c>
      <c r="N42" t="s">
        <v>357</v>
      </c>
      <c r="O42" t="s">
        <v>477</v>
      </c>
      <c r="P42" t="s">
        <v>103</v>
      </c>
      <c r="Q42" t="s">
        <v>634</v>
      </c>
      <c r="R42" t="s">
        <v>635</v>
      </c>
      <c r="S42" t="s">
        <v>459</v>
      </c>
      <c r="T42">
        <v>16.875</v>
      </c>
      <c r="U42">
        <v>45</v>
      </c>
      <c r="V42">
        <v>55.38</v>
      </c>
      <c r="X42" s="86" t="str">
        <f t="shared" si="8"/>
        <v>52169Mix + Intocáveis SC Johnson</v>
      </c>
      <c r="Y42">
        <v>52169</v>
      </c>
      <c r="Z42" t="s">
        <v>331</v>
      </c>
      <c r="AA42" t="s">
        <v>36</v>
      </c>
      <c r="AB42" t="s">
        <v>103</v>
      </c>
      <c r="AC42" t="s">
        <v>797</v>
      </c>
      <c r="AD42" t="s">
        <v>798</v>
      </c>
      <c r="AE42" t="s">
        <v>459</v>
      </c>
      <c r="AF42">
        <v>38.25</v>
      </c>
      <c r="AG42">
        <v>45</v>
      </c>
      <c r="AH42">
        <v>80.42</v>
      </c>
      <c r="AJ42" s="86" t="str">
        <f t="shared" si="9"/>
        <v>52169Lancamentos</v>
      </c>
      <c r="AK42">
        <v>52169</v>
      </c>
      <c r="AL42" t="s">
        <v>331</v>
      </c>
      <c r="AM42" t="s">
        <v>36</v>
      </c>
      <c r="AN42" t="s">
        <v>103</v>
      </c>
      <c r="AO42" t="s">
        <v>917</v>
      </c>
      <c r="AP42" t="s">
        <v>918</v>
      </c>
      <c r="AQ42" t="s">
        <v>953</v>
      </c>
      <c r="AR42">
        <v>0</v>
      </c>
      <c r="AS42">
        <v>18</v>
      </c>
      <c r="AT42">
        <v>66.84</v>
      </c>
      <c r="AV42" s="86" t="str">
        <f t="shared" si="10"/>
        <v>51123Lancamentos</v>
      </c>
      <c r="AW42">
        <v>51123</v>
      </c>
      <c r="AX42" t="s">
        <v>373</v>
      </c>
      <c r="AY42" t="s">
        <v>1004</v>
      </c>
      <c r="AZ42" t="s">
        <v>103</v>
      </c>
      <c r="BA42" t="s">
        <v>1051</v>
      </c>
      <c r="BB42" t="s">
        <v>1052</v>
      </c>
      <c r="BC42" t="s">
        <v>953</v>
      </c>
      <c r="BD42">
        <v>0</v>
      </c>
      <c r="BE42">
        <v>18</v>
      </c>
      <c r="BF42">
        <v>54.77</v>
      </c>
      <c r="BH42" s="86" t="str">
        <f t="shared" si="11"/>
        <v>51123Lancamentos</v>
      </c>
      <c r="BI42">
        <v>51123</v>
      </c>
      <c r="BJ42" t="s">
        <v>373</v>
      </c>
      <c r="BK42" t="s">
        <v>1004</v>
      </c>
      <c r="BL42" t="s">
        <v>103</v>
      </c>
      <c r="BM42" t="s">
        <v>1179</v>
      </c>
      <c r="BN42" t="s">
        <v>1180</v>
      </c>
      <c r="BO42" t="s">
        <v>953</v>
      </c>
      <c r="BP42">
        <v>18</v>
      </c>
      <c r="BQ42">
        <v>18</v>
      </c>
      <c r="BR42">
        <v>88.68</v>
      </c>
      <c r="BT42" s="86" t="str">
        <f t="shared" si="0"/>
        <v>51123Share Sub Loc Pao Quente SC Johnson</v>
      </c>
      <c r="BU42">
        <v>51123</v>
      </c>
      <c r="BV42" t="s">
        <v>373</v>
      </c>
      <c r="BW42" t="s">
        <v>1004</v>
      </c>
      <c r="BX42" t="s">
        <v>103</v>
      </c>
      <c r="BY42" t="s">
        <v>1296</v>
      </c>
      <c r="BZ42" t="s">
        <v>1297</v>
      </c>
      <c r="CA42" t="s">
        <v>458</v>
      </c>
      <c r="CB42">
        <v>9</v>
      </c>
      <c r="CC42">
        <v>12</v>
      </c>
      <c r="CD42">
        <v>81</v>
      </c>
      <c r="CF42" s="86" t="str">
        <f t="shared" si="1"/>
        <v>51123Share Sub Loc Pao Quente SC Johnson</v>
      </c>
      <c r="CG42">
        <v>51123</v>
      </c>
      <c r="CH42" t="s">
        <v>373</v>
      </c>
      <c r="CI42" t="s">
        <v>1004</v>
      </c>
      <c r="CJ42" t="s">
        <v>103</v>
      </c>
      <c r="CK42" t="s">
        <v>1491</v>
      </c>
      <c r="CL42" t="s">
        <v>1492</v>
      </c>
      <c r="CM42" t="s">
        <v>458</v>
      </c>
      <c r="CN42">
        <v>3</v>
      </c>
      <c r="CO42">
        <v>12</v>
      </c>
      <c r="CP42">
        <v>74.2</v>
      </c>
      <c r="CR42" s="86" t="str">
        <f t="shared" si="2"/>
        <v>52169Share Sub Loc Pao Quente SC Johnson</v>
      </c>
      <c r="CS42">
        <v>52169</v>
      </c>
      <c r="CT42" t="s">
        <v>331</v>
      </c>
      <c r="CU42" t="s">
        <v>1306</v>
      </c>
      <c r="CV42" t="s">
        <v>103</v>
      </c>
      <c r="CW42" t="s">
        <v>1544</v>
      </c>
      <c r="CX42" t="s">
        <v>1545</v>
      </c>
      <c r="CY42" t="s">
        <v>458</v>
      </c>
      <c r="CZ42">
        <v>12</v>
      </c>
      <c r="DA42">
        <v>12</v>
      </c>
      <c r="DB42">
        <v>98.6</v>
      </c>
      <c r="DD42" s="86" t="str">
        <f t="shared" si="3"/>
        <v>52169Lancamentos</v>
      </c>
      <c r="DE42">
        <v>52169</v>
      </c>
      <c r="DF42" t="s">
        <v>331</v>
      </c>
      <c r="DG42" t="s">
        <v>1306</v>
      </c>
      <c r="DH42" t="s">
        <v>103</v>
      </c>
      <c r="DI42" t="s">
        <v>1682</v>
      </c>
      <c r="DJ42" t="s">
        <v>1683</v>
      </c>
      <c r="DK42" t="s">
        <v>953</v>
      </c>
      <c r="DL42">
        <v>18</v>
      </c>
      <c r="DM42">
        <v>18</v>
      </c>
      <c r="DN42">
        <v>100</v>
      </c>
      <c r="DP42" s="86" t="str">
        <f t="shared" si="4"/>
        <v>51067Lancamentos</v>
      </c>
      <c r="DQ42">
        <v>51067</v>
      </c>
      <c r="DR42" t="s">
        <v>372</v>
      </c>
      <c r="DS42" t="s">
        <v>1004</v>
      </c>
      <c r="DT42" t="s">
        <v>103</v>
      </c>
      <c r="DU42" t="s">
        <v>1832</v>
      </c>
      <c r="DV42" t="s">
        <v>1833</v>
      </c>
      <c r="DW42" t="s">
        <v>953</v>
      </c>
      <c r="DX42">
        <v>0</v>
      </c>
      <c r="DY42">
        <v>18</v>
      </c>
      <c r="DZ42">
        <v>63.4</v>
      </c>
      <c r="EB42" s="86" t="str">
        <f t="shared" si="5"/>
        <v>53486Lancamentos</v>
      </c>
      <c r="EC42">
        <v>53486</v>
      </c>
      <c r="ED42" t="s">
        <v>332</v>
      </c>
      <c r="EE42" t="s">
        <v>477</v>
      </c>
      <c r="EF42" t="s">
        <v>103</v>
      </c>
      <c r="EG42" t="s">
        <v>1886</v>
      </c>
      <c r="EH42" t="s">
        <v>1887</v>
      </c>
      <c r="EI42" t="s">
        <v>953</v>
      </c>
      <c r="EJ42">
        <v>18</v>
      </c>
      <c r="EK42">
        <v>18</v>
      </c>
      <c r="EL42">
        <v>92.4</v>
      </c>
    </row>
    <row r="43" spans="1:142" x14ac:dyDescent="0.35">
      <c r="A43" s="86" t="str">
        <f t="shared" si="6"/>
        <v>52169Share Sub Category SC Johnson</v>
      </c>
      <c r="B43">
        <v>52169</v>
      </c>
      <c r="C43" t="s">
        <v>331</v>
      </c>
      <c r="D43" t="s">
        <v>103</v>
      </c>
      <c r="E43" t="s">
        <v>480</v>
      </c>
      <c r="F43" t="s">
        <v>481</v>
      </c>
      <c r="G43" t="s">
        <v>457</v>
      </c>
      <c r="H43">
        <v>72.25</v>
      </c>
      <c r="I43">
        <v>21.42</v>
      </c>
      <c r="J43">
        <v>30</v>
      </c>
      <c r="L43" s="86" t="str">
        <f t="shared" si="7"/>
        <v>52169Share Sub Category SC Johnson</v>
      </c>
      <c r="M43">
        <v>52169</v>
      </c>
      <c r="N43" t="s">
        <v>331</v>
      </c>
      <c r="O43" t="s">
        <v>36</v>
      </c>
      <c r="P43" t="s">
        <v>103</v>
      </c>
      <c r="Q43" t="s">
        <v>636</v>
      </c>
      <c r="R43" t="s">
        <v>637</v>
      </c>
      <c r="S43" t="s">
        <v>457</v>
      </c>
      <c r="T43">
        <v>30</v>
      </c>
      <c r="U43">
        <v>30</v>
      </c>
      <c r="V43">
        <v>54.25</v>
      </c>
      <c r="X43" s="86" t="str">
        <f t="shared" si="8"/>
        <v>53405Share Sub Category SC Johnson</v>
      </c>
      <c r="Y43">
        <v>53405</v>
      </c>
      <c r="Z43" t="s">
        <v>383</v>
      </c>
      <c r="AA43" t="s">
        <v>104</v>
      </c>
      <c r="AB43" t="s">
        <v>103</v>
      </c>
      <c r="AC43" t="s">
        <v>799</v>
      </c>
      <c r="AD43" t="s">
        <v>800</v>
      </c>
      <c r="AE43" t="s">
        <v>457</v>
      </c>
      <c r="AF43">
        <v>25.71</v>
      </c>
      <c r="AG43">
        <v>30</v>
      </c>
      <c r="AH43">
        <v>72.84</v>
      </c>
      <c r="AJ43" s="86" t="str">
        <f t="shared" si="9"/>
        <v>53405Share Sub Category SC Johnson</v>
      </c>
      <c r="AK43">
        <v>53405</v>
      </c>
      <c r="AL43" t="s">
        <v>383</v>
      </c>
      <c r="AM43" t="s">
        <v>104</v>
      </c>
      <c r="AN43" t="s">
        <v>103</v>
      </c>
      <c r="AO43" t="s">
        <v>994</v>
      </c>
      <c r="AP43" t="s">
        <v>995</v>
      </c>
      <c r="AQ43" t="s">
        <v>457</v>
      </c>
      <c r="AR43">
        <v>21.425000000000001</v>
      </c>
      <c r="AS43">
        <v>25</v>
      </c>
      <c r="AT43">
        <v>64.25</v>
      </c>
      <c r="AV43" s="86" t="str">
        <f t="shared" si="10"/>
        <v>52169Share Sub Category SC Johnson</v>
      </c>
      <c r="AW43">
        <v>52169</v>
      </c>
      <c r="AX43" t="s">
        <v>331</v>
      </c>
      <c r="AY43" t="s">
        <v>36</v>
      </c>
      <c r="AZ43" t="s">
        <v>103</v>
      </c>
      <c r="BA43" t="s">
        <v>1053</v>
      </c>
      <c r="BB43" t="s">
        <v>1054</v>
      </c>
      <c r="BC43" t="s">
        <v>457</v>
      </c>
      <c r="BD43">
        <v>25</v>
      </c>
      <c r="BE43">
        <v>25</v>
      </c>
      <c r="BF43">
        <v>71.7</v>
      </c>
      <c r="BH43" s="86" t="str">
        <f t="shared" si="11"/>
        <v>52169Share Sub Category SC Johnson</v>
      </c>
      <c r="BI43">
        <v>52169</v>
      </c>
      <c r="BJ43" t="s">
        <v>331</v>
      </c>
      <c r="BK43" t="s">
        <v>36</v>
      </c>
      <c r="BL43" t="s">
        <v>103</v>
      </c>
      <c r="BM43" t="s">
        <v>1181</v>
      </c>
      <c r="BN43" t="s">
        <v>1182</v>
      </c>
      <c r="BO43" t="s">
        <v>457</v>
      </c>
      <c r="BP43">
        <v>25</v>
      </c>
      <c r="BQ43">
        <v>25</v>
      </c>
      <c r="BR43">
        <v>67.069999999999993</v>
      </c>
      <c r="BT43" s="86" t="str">
        <f t="shared" si="0"/>
        <v>51123Cross Merchan SC Johnson</v>
      </c>
      <c r="BU43">
        <v>51123</v>
      </c>
      <c r="BV43" t="s">
        <v>373</v>
      </c>
      <c r="BW43" t="s">
        <v>1004</v>
      </c>
      <c r="BX43" t="s">
        <v>103</v>
      </c>
      <c r="BY43" t="s">
        <v>1296</v>
      </c>
      <c r="BZ43" t="s">
        <v>1297</v>
      </c>
      <c r="CA43" t="s">
        <v>111</v>
      </c>
      <c r="CB43">
        <v>5</v>
      </c>
      <c r="CC43">
        <v>5</v>
      </c>
      <c r="CD43">
        <v>81</v>
      </c>
      <c r="CF43" s="86" t="str">
        <f t="shared" si="1"/>
        <v>51123Cross Merchan SC Johnson</v>
      </c>
      <c r="CG43">
        <v>51123</v>
      </c>
      <c r="CH43" t="s">
        <v>373</v>
      </c>
      <c r="CI43" t="s">
        <v>1004</v>
      </c>
      <c r="CJ43" t="s">
        <v>103</v>
      </c>
      <c r="CK43" t="s">
        <v>1491</v>
      </c>
      <c r="CL43" t="s">
        <v>1492</v>
      </c>
      <c r="CM43" t="s">
        <v>111</v>
      </c>
      <c r="CN43">
        <v>5</v>
      </c>
      <c r="CO43">
        <v>5</v>
      </c>
      <c r="CP43">
        <v>74.2</v>
      </c>
      <c r="CR43" s="86" t="str">
        <f t="shared" si="2"/>
        <v>52169Cross Merchan SC Johnson</v>
      </c>
      <c r="CS43">
        <v>52169</v>
      </c>
      <c r="CT43" t="s">
        <v>331</v>
      </c>
      <c r="CU43" t="s">
        <v>1306</v>
      </c>
      <c r="CV43" t="s">
        <v>103</v>
      </c>
      <c r="CW43" t="s">
        <v>1544</v>
      </c>
      <c r="CX43" t="s">
        <v>1545</v>
      </c>
      <c r="CY43" t="s">
        <v>111</v>
      </c>
      <c r="CZ43">
        <v>5</v>
      </c>
      <c r="DA43">
        <v>5</v>
      </c>
      <c r="DB43">
        <v>98.6</v>
      </c>
      <c r="DD43" s="86" t="str">
        <f t="shared" si="3"/>
        <v>52169Share Sub Category SC Johnson</v>
      </c>
      <c r="DE43">
        <v>52169</v>
      </c>
      <c r="DF43" t="s">
        <v>331</v>
      </c>
      <c r="DG43" t="s">
        <v>1306</v>
      </c>
      <c r="DH43" t="s">
        <v>103</v>
      </c>
      <c r="DI43" t="s">
        <v>1682</v>
      </c>
      <c r="DJ43" t="s">
        <v>1683</v>
      </c>
      <c r="DK43" t="s">
        <v>457</v>
      </c>
      <c r="DL43">
        <v>25</v>
      </c>
      <c r="DM43">
        <v>25</v>
      </c>
      <c r="DN43">
        <v>100</v>
      </c>
      <c r="DP43" s="86" t="str">
        <f t="shared" si="4"/>
        <v>51067Share Sub Category SC Johnson</v>
      </c>
      <c r="DQ43">
        <v>51067</v>
      </c>
      <c r="DR43" t="s">
        <v>372</v>
      </c>
      <c r="DS43" t="s">
        <v>1004</v>
      </c>
      <c r="DT43" t="s">
        <v>103</v>
      </c>
      <c r="DU43" t="s">
        <v>1832</v>
      </c>
      <c r="DV43" t="s">
        <v>1833</v>
      </c>
      <c r="DW43" t="s">
        <v>457</v>
      </c>
      <c r="DX43">
        <v>25</v>
      </c>
      <c r="DY43">
        <v>25</v>
      </c>
      <c r="DZ43">
        <v>63.4</v>
      </c>
      <c r="EB43" s="86" t="str">
        <f t="shared" si="5"/>
        <v>53486Share Sub Category SC Johnson</v>
      </c>
      <c r="EC43">
        <v>53486</v>
      </c>
      <c r="ED43" t="s">
        <v>332</v>
      </c>
      <c r="EE43" t="s">
        <v>477</v>
      </c>
      <c r="EF43" t="s">
        <v>103</v>
      </c>
      <c r="EG43" t="s">
        <v>1886</v>
      </c>
      <c r="EH43" t="s">
        <v>1887</v>
      </c>
      <c r="EI43" t="s">
        <v>457</v>
      </c>
      <c r="EJ43">
        <v>25</v>
      </c>
      <c r="EK43">
        <v>25</v>
      </c>
      <c r="EL43">
        <v>92.4</v>
      </c>
    </row>
    <row r="44" spans="1:142" x14ac:dyDescent="0.35">
      <c r="A44" s="86" t="str">
        <f t="shared" si="6"/>
        <v>52169Cross Merchan SC Johnson</v>
      </c>
      <c r="B44">
        <v>52169</v>
      </c>
      <c r="C44" t="s">
        <v>331</v>
      </c>
      <c r="D44" t="s">
        <v>103</v>
      </c>
      <c r="E44" t="s">
        <v>480</v>
      </c>
      <c r="F44" t="s">
        <v>481</v>
      </c>
      <c r="G44" t="s">
        <v>111</v>
      </c>
      <c r="H44">
        <v>72.25</v>
      </c>
      <c r="I44">
        <v>8</v>
      </c>
      <c r="J44">
        <v>8</v>
      </c>
      <c r="L44" s="86" t="str">
        <f t="shared" si="7"/>
        <v>52169Cross Merchan SC Johnson</v>
      </c>
      <c r="M44">
        <v>52169</v>
      </c>
      <c r="N44" t="s">
        <v>331</v>
      </c>
      <c r="O44" t="s">
        <v>36</v>
      </c>
      <c r="P44" t="s">
        <v>103</v>
      </c>
      <c r="Q44" t="s">
        <v>636</v>
      </c>
      <c r="R44" t="s">
        <v>637</v>
      </c>
      <c r="S44" t="s">
        <v>111</v>
      </c>
      <c r="T44">
        <v>0</v>
      </c>
      <c r="U44">
        <v>8</v>
      </c>
      <c r="V44">
        <v>54.25</v>
      </c>
      <c r="X44" s="86" t="str">
        <f t="shared" si="8"/>
        <v>53405Cross Merchan SC Johnson</v>
      </c>
      <c r="Y44">
        <v>53405</v>
      </c>
      <c r="Z44" t="s">
        <v>383</v>
      </c>
      <c r="AA44" t="s">
        <v>104</v>
      </c>
      <c r="AB44" t="s">
        <v>103</v>
      </c>
      <c r="AC44" t="s">
        <v>799</v>
      </c>
      <c r="AD44" t="s">
        <v>800</v>
      </c>
      <c r="AE44" t="s">
        <v>111</v>
      </c>
      <c r="AF44">
        <v>8</v>
      </c>
      <c r="AG44">
        <v>8</v>
      </c>
      <c r="AH44">
        <v>72.84</v>
      </c>
      <c r="AJ44" s="86" t="str">
        <f t="shared" si="9"/>
        <v>53405Cross Merchan SC Johnson</v>
      </c>
      <c r="AK44">
        <v>53405</v>
      </c>
      <c r="AL44" t="s">
        <v>383</v>
      </c>
      <c r="AM44" t="s">
        <v>104</v>
      </c>
      <c r="AN44" t="s">
        <v>103</v>
      </c>
      <c r="AO44" t="s">
        <v>994</v>
      </c>
      <c r="AP44" t="s">
        <v>995</v>
      </c>
      <c r="AQ44" t="s">
        <v>111</v>
      </c>
      <c r="AR44">
        <v>2.5</v>
      </c>
      <c r="AS44">
        <v>5</v>
      </c>
      <c r="AT44">
        <v>64.25</v>
      </c>
      <c r="AV44" s="86" t="str">
        <f t="shared" si="10"/>
        <v>52169Cross Merchan SC Johnson</v>
      </c>
      <c r="AW44">
        <v>52169</v>
      </c>
      <c r="AX44" t="s">
        <v>331</v>
      </c>
      <c r="AY44" t="s">
        <v>36</v>
      </c>
      <c r="AZ44" t="s">
        <v>103</v>
      </c>
      <c r="BA44" t="s">
        <v>1053</v>
      </c>
      <c r="BB44" t="s">
        <v>1054</v>
      </c>
      <c r="BC44" t="s">
        <v>111</v>
      </c>
      <c r="BD44">
        <v>1.665</v>
      </c>
      <c r="BE44">
        <v>5</v>
      </c>
      <c r="BF44">
        <v>71.7</v>
      </c>
      <c r="BH44" s="86" t="str">
        <f t="shared" si="11"/>
        <v>52169Cross Merchan SC Johnson</v>
      </c>
      <c r="BI44">
        <v>52169</v>
      </c>
      <c r="BJ44" t="s">
        <v>331</v>
      </c>
      <c r="BK44" t="s">
        <v>36</v>
      </c>
      <c r="BL44" t="s">
        <v>103</v>
      </c>
      <c r="BM44" t="s">
        <v>1181</v>
      </c>
      <c r="BN44" t="s">
        <v>1182</v>
      </c>
      <c r="BO44" t="s">
        <v>111</v>
      </c>
      <c r="BP44">
        <v>3.335</v>
      </c>
      <c r="BQ44">
        <v>5</v>
      </c>
      <c r="BR44">
        <v>67.069999999999993</v>
      </c>
      <c r="BT44" s="86" t="str">
        <f t="shared" si="0"/>
        <v>51123Execucao Bonus</v>
      </c>
      <c r="BU44">
        <v>51123</v>
      </c>
      <c r="BV44" t="s">
        <v>373</v>
      </c>
      <c r="BW44" t="s">
        <v>1004</v>
      </c>
      <c r="BX44" t="s">
        <v>103</v>
      </c>
      <c r="BY44" t="s">
        <v>1296</v>
      </c>
      <c r="BZ44" t="s">
        <v>1297</v>
      </c>
      <c r="CA44" t="s">
        <v>1291</v>
      </c>
      <c r="CB44">
        <v>5</v>
      </c>
      <c r="CC44">
        <v>5</v>
      </c>
      <c r="CD44">
        <v>81</v>
      </c>
      <c r="CF44" s="86" t="str">
        <f t="shared" si="1"/>
        <v>51123Execucao Bonus</v>
      </c>
      <c r="CG44">
        <v>51123</v>
      </c>
      <c r="CH44" t="s">
        <v>373</v>
      </c>
      <c r="CI44" t="s">
        <v>1004</v>
      </c>
      <c r="CJ44" t="s">
        <v>103</v>
      </c>
      <c r="CK44" t="s">
        <v>1491</v>
      </c>
      <c r="CL44" t="s">
        <v>1492</v>
      </c>
      <c r="CM44" t="s">
        <v>1291</v>
      </c>
      <c r="CN44">
        <v>5</v>
      </c>
      <c r="CO44">
        <v>5</v>
      </c>
      <c r="CP44">
        <v>74.2</v>
      </c>
      <c r="CR44" s="86" t="str">
        <f t="shared" si="2"/>
        <v>52169Execucao Bonus</v>
      </c>
      <c r="CS44">
        <v>52169</v>
      </c>
      <c r="CT44" t="s">
        <v>331</v>
      </c>
      <c r="CU44" t="s">
        <v>1306</v>
      </c>
      <c r="CV44" t="s">
        <v>103</v>
      </c>
      <c r="CW44" t="s">
        <v>1544</v>
      </c>
      <c r="CX44" t="s">
        <v>1545</v>
      </c>
      <c r="CY44" t="s">
        <v>1291</v>
      </c>
      <c r="CZ44">
        <v>5</v>
      </c>
      <c r="DA44">
        <v>5</v>
      </c>
      <c r="DB44">
        <v>98.6</v>
      </c>
      <c r="DD44" s="86" t="str">
        <f t="shared" si="3"/>
        <v>52169Share Sub Loc Pao Quente SC Johnson</v>
      </c>
      <c r="DE44">
        <v>52169</v>
      </c>
      <c r="DF44" t="s">
        <v>331</v>
      </c>
      <c r="DG44" t="s">
        <v>1306</v>
      </c>
      <c r="DH44" t="s">
        <v>103</v>
      </c>
      <c r="DI44" t="s">
        <v>1682</v>
      </c>
      <c r="DJ44" t="s">
        <v>1683</v>
      </c>
      <c r="DK44" t="s">
        <v>458</v>
      </c>
      <c r="DL44">
        <v>9</v>
      </c>
      <c r="DM44">
        <v>12</v>
      </c>
      <c r="DN44">
        <v>100</v>
      </c>
      <c r="DP44" s="86" t="str">
        <f t="shared" si="4"/>
        <v>51067Share Sub Loc Pao Quente SC Johnson</v>
      </c>
      <c r="DQ44">
        <v>51067</v>
      </c>
      <c r="DR44" t="s">
        <v>372</v>
      </c>
      <c r="DS44" t="s">
        <v>1004</v>
      </c>
      <c r="DT44" t="s">
        <v>103</v>
      </c>
      <c r="DU44" t="s">
        <v>1832</v>
      </c>
      <c r="DV44" t="s">
        <v>1833</v>
      </c>
      <c r="DW44" t="s">
        <v>458</v>
      </c>
      <c r="DX44">
        <v>3</v>
      </c>
      <c r="DY44">
        <v>12</v>
      </c>
      <c r="DZ44">
        <v>63.4</v>
      </c>
      <c r="EB44" s="86" t="str">
        <f t="shared" si="5"/>
        <v>53486Share Sub Loc Pao Quente SC Johnson</v>
      </c>
      <c r="EC44">
        <v>53486</v>
      </c>
      <c r="ED44" t="s">
        <v>332</v>
      </c>
      <c r="EE44" t="s">
        <v>477</v>
      </c>
      <c r="EF44" t="s">
        <v>103</v>
      </c>
      <c r="EG44" t="s">
        <v>1886</v>
      </c>
      <c r="EH44" t="s">
        <v>1887</v>
      </c>
      <c r="EI44" t="s">
        <v>458</v>
      </c>
      <c r="EJ44">
        <v>6</v>
      </c>
      <c r="EK44">
        <v>12</v>
      </c>
      <c r="EL44">
        <v>92.4</v>
      </c>
    </row>
    <row r="45" spans="1:142" x14ac:dyDescent="0.35">
      <c r="A45" s="86" t="str">
        <f t="shared" si="6"/>
        <v>52169Share Sub Loc Pao Quente SC Johnson</v>
      </c>
      <c r="B45">
        <v>52169</v>
      </c>
      <c r="C45" t="s">
        <v>331</v>
      </c>
      <c r="D45" t="s">
        <v>103</v>
      </c>
      <c r="E45" t="s">
        <v>480</v>
      </c>
      <c r="F45" t="s">
        <v>481</v>
      </c>
      <c r="G45" t="s">
        <v>458</v>
      </c>
      <c r="H45">
        <v>72.25</v>
      </c>
      <c r="I45">
        <v>10.199999999999999</v>
      </c>
      <c r="J45">
        <v>17</v>
      </c>
      <c r="L45" s="86" t="str">
        <f t="shared" si="7"/>
        <v>52169Share Sub Loc Pao Quente SC Johnson</v>
      </c>
      <c r="M45">
        <v>52169</v>
      </c>
      <c r="N45" t="s">
        <v>331</v>
      </c>
      <c r="O45" t="s">
        <v>36</v>
      </c>
      <c r="P45" t="s">
        <v>103</v>
      </c>
      <c r="Q45" t="s">
        <v>636</v>
      </c>
      <c r="R45" t="s">
        <v>637</v>
      </c>
      <c r="S45" t="s">
        <v>458</v>
      </c>
      <c r="T45">
        <v>8.5</v>
      </c>
      <c r="U45">
        <v>17</v>
      </c>
      <c r="V45">
        <v>54.25</v>
      </c>
      <c r="X45" s="86" t="str">
        <f t="shared" si="8"/>
        <v>53405Share Sub Loc Pao Quente SC Johnson</v>
      </c>
      <c r="Y45">
        <v>53405</v>
      </c>
      <c r="Z45" t="s">
        <v>383</v>
      </c>
      <c r="AA45" t="s">
        <v>104</v>
      </c>
      <c r="AB45" t="s">
        <v>103</v>
      </c>
      <c r="AC45" t="s">
        <v>799</v>
      </c>
      <c r="AD45" t="s">
        <v>800</v>
      </c>
      <c r="AE45" t="s">
        <v>458</v>
      </c>
      <c r="AF45">
        <v>4.25</v>
      </c>
      <c r="AG45">
        <v>17</v>
      </c>
      <c r="AH45">
        <v>72.84</v>
      </c>
      <c r="AJ45" s="86" t="str">
        <f t="shared" si="9"/>
        <v>53405Share Sub Loc Pao Quente SC Johnson</v>
      </c>
      <c r="AK45">
        <v>53405</v>
      </c>
      <c r="AL45" t="s">
        <v>383</v>
      </c>
      <c r="AM45" t="s">
        <v>104</v>
      </c>
      <c r="AN45" t="s">
        <v>103</v>
      </c>
      <c r="AO45" t="s">
        <v>994</v>
      </c>
      <c r="AP45" t="s">
        <v>995</v>
      </c>
      <c r="AQ45" t="s">
        <v>458</v>
      </c>
      <c r="AR45">
        <v>9</v>
      </c>
      <c r="AS45">
        <v>12</v>
      </c>
      <c r="AT45">
        <v>64.25</v>
      </c>
      <c r="AV45" s="86" t="str">
        <f t="shared" si="10"/>
        <v>52169Share Sub Loc Pao Quente SC Johnson</v>
      </c>
      <c r="AW45">
        <v>52169</v>
      </c>
      <c r="AX45" t="s">
        <v>331</v>
      </c>
      <c r="AY45" t="s">
        <v>36</v>
      </c>
      <c r="AZ45" t="s">
        <v>103</v>
      </c>
      <c r="BA45" t="s">
        <v>1053</v>
      </c>
      <c r="BB45" t="s">
        <v>1054</v>
      </c>
      <c r="BC45" t="s">
        <v>458</v>
      </c>
      <c r="BD45">
        <v>12</v>
      </c>
      <c r="BE45">
        <v>12</v>
      </c>
      <c r="BF45">
        <v>71.7</v>
      </c>
      <c r="BH45" s="86" t="str">
        <f t="shared" si="11"/>
        <v>52169Share Sub Loc Pao Quente SC Johnson</v>
      </c>
      <c r="BI45">
        <v>52169</v>
      </c>
      <c r="BJ45" t="s">
        <v>331</v>
      </c>
      <c r="BK45" t="s">
        <v>36</v>
      </c>
      <c r="BL45" t="s">
        <v>103</v>
      </c>
      <c r="BM45" t="s">
        <v>1181</v>
      </c>
      <c r="BN45" t="s">
        <v>1182</v>
      </c>
      <c r="BO45" t="s">
        <v>458</v>
      </c>
      <c r="BP45">
        <v>9</v>
      </c>
      <c r="BQ45">
        <v>12</v>
      </c>
      <c r="BR45">
        <v>67.069999999999993</v>
      </c>
      <c r="BT45" s="86" t="str">
        <f t="shared" si="0"/>
        <v>52169Lancamentos</v>
      </c>
      <c r="BU45">
        <v>52169</v>
      </c>
      <c r="BV45" t="s">
        <v>331</v>
      </c>
      <c r="BW45" t="s">
        <v>1306</v>
      </c>
      <c r="BX45" t="s">
        <v>103</v>
      </c>
      <c r="BY45" t="s">
        <v>1352</v>
      </c>
      <c r="BZ45" t="s">
        <v>1353</v>
      </c>
      <c r="CA45" t="s">
        <v>953</v>
      </c>
      <c r="CB45">
        <v>9</v>
      </c>
      <c r="CC45">
        <v>18</v>
      </c>
      <c r="CD45">
        <v>62.94</v>
      </c>
      <c r="CF45" s="86" t="str">
        <f t="shared" si="1"/>
        <v>52169Lancamentos</v>
      </c>
      <c r="CG45">
        <v>52169</v>
      </c>
      <c r="CH45" t="s">
        <v>331</v>
      </c>
      <c r="CI45" t="s">
        <v>1306</v>
      </c>
      <c r="CJ45" t="s">
        <v>103</v>
      </c>
      <c r="CK45" t="s">
        <v>1434</v>
      </c>
      <c r="CL45" t="s">
        <v>1435</v>
      </c>
      <c r="CM45" t="s">
        <v>953</v>
      </c>
      <c r="CN45">
        <v>18</v>
      </c>
      <c r="CO45">
        <v>18</v>
      </c>
      <c r="CP45">
        <v>91.4</v>
      </c>
      <c r="CR45" s="86" t="str">
        <f t="shared" si="2"/>
        <v>53405Lancamentos</v>
      </c>
      <c r="CS45">
        <v>53405</v>
      </c>
      <c r="CT45" t="s">
        <v>383</v>
      </c>
      <c r="CU45" t="s">
        <v>482</v>
      </c>
      <c r="CV45" t="s">
        <v>103</v>
      </c>
      <c r="CW45" t="s">
        <v>1576</v>
      </c>
      <c r="CX45" t="s">
        <v>1577</v>
      </c>
      <c r="CY45" t="s">
        <v>953</v>
      </c>
      <c r="CZ45">
        <v>18</v>
      </c>
      <c r="DA45">
        <v>18</v>
      </c>
      <c r="DB45">
        <v>92.62</v>
      </c>
      <c r="DD45" s="86" t="str">
        <f t="shared" si="3"/>
        <v>53405Mix + Intocáveis SC Johnson</v>
      </c>
      <c r="DE45">
        <v>53405</v>
      </c>
      <c r="DF45" t="s">
        <v>383</v>
      </c>
      <c r="DG45" t="s">
        <v>482</v>
      </c>
      <c r="DH45" t="s">
        <v>103</v>
      </c>
      <c r="DI45" t="s">
        <v>1656</v>
      </c>
      <c r="DJ45" t="s">
        <v>1657</v>
      </c>
      <c r="DK45" t="s">
        <v>459</v>
      </c>
      <c r="DL45">
        <v>32.799999999999997</v>
      </c>
      <c r="DM45">
        <v>40</v>
      </c>
      <c r="DN45">
        <v>88.22</v>
      </c>
      <c r="DP45" s="86" t="str">
        <f t="shared" si="4"/>
        <v>51123Mix + Intocáveis SC Johnson</v>
      </c>
      <c r="DQ45">
        <v>51123</v>
      </c>
      <c r="DR45" t="s">
        <v>373</v>
      </c>
      <c r="DS45" t="s">
        <v>758</v>
      </c>
      <c r="DT45" t="s">
        <v>103</v>
      </c>
      <c r="DU45" t="s">
        <v>1856</v>
      </c>
      <c r="DV45" t="s">
        <v>1857</v>
      </c>
      <c r="DW45" t="s">
        <v>459</v>
      </c>
      <c r="DX45">
        <v>31.2</v>
      </c>
      <c r="DY45">
        <v>40</v>
      </c>
      <c r="DZ45">
        <v>75.62</v>
      </c>
      <c r="EB45" s="86" t="str">
        <f t="shared" si="5"/>
        <v>53581Mix + Intocáveis SC Johnson</v>
      </c>
      <c r="EC45">
        <v>53581</v>
      </c>
      <c r="ED45" t="s">
        <v>374</v>
      </c>
      <c r="EE45" t="s">
        <v>489</v>
      </c>
      <c r="EF45" t="s">
        <v>103</v>
      </c>
      <c r="EG45" t="s">
        <v>1872</v>
      </c>
      <c r="EH45" t="s">
        <v>1873</v>
      </c>
      <c r="EI45" t="s">
        <v>459</v>
      </c>
      <c r="EJ45">
        <v>36.799999999999997</v>
      </c>
      <c r="EK45">
        <v>40</v>
      </c>
      <c r="EL45">
        <v>100</v>
      </c>
    </row>
    <row r="46" spans="1:142" x14ac:dyDescent="0.35">
      <c r="A46" s="86" t="str">
        <f t="shared" si="6"/>
        <v>52169Mix + Intocáveis SC Johnson</v>
      </c>
      <c r="B46">
        <v>52169</v>
      </c>
      <c r="C46" t="s">
        <v>331</v>
      </c>
      <c r="D46" t="s">
        <v>103</v>
      </c>
      <c r="E46" t="s">
        <v>480</v>
      </c>
      <c r="F46" t="s">
        <v>481</v>
      </c>
      <c r="G46" t="s">
        <v>459</v>
      </c>
      <c r="H46">
        <v>72.25</v>
      </c>
      <c r="I46">
        <v>32.625</v>
      </c>
      <c r="J46">
        <v>45</v>
      </c>
      <c r="L46" s="86" t="str">
        <f t="shared" si="7"/>
        <v>52169Mix + Intocáveis SC Johnson</v>
      </c>
      <c r="M46">
        <v>52169</v>
      </c>
      <c r="N46" t="s">
        <v>331</v>
      </c>
      <c r="O46" t="s">
        <v>36</v>
      </c>
      <c r="P46" t="s">
        <v>103</v>
      </c>
      <c r="Q46" t="s">
        <v>636</v>
      </c>
      <c r="R46" t="s">
        <v>637</v>
      </c>
      <c r="S46" t="s">
        <v>459</v>
      </c>
      <c r="T46">
        <v>15.75</v>
      </c>
      <c r="U46">
        <v>45</v>
      </c>
      <c r="V46">
        <v>54.25</v>
      </c>
      <c r="X46" s="86" t="str">
        <f t="shared" si="8"/>
        <v>53405Mix + Intocáveis SC Johnson</v>
      </c>
      <c r="Y46">
        <v>53405</v>
      </c>
      <c r="Z46" t="s">
        <v>383</v>
      </c>
      <c r="AA46" t="s">
        <v>104</v>
      </c>
      <c r="AB46" t="s">
        <v>103</v>
      </c>
      <c r="AC46" t="s">
        <v>799</v>
      </c>
      <c r="AD46" t="s">
        <v>800</v>
      </c>
      <c r="AE46" t="s">
        <v>459</v>
      </c>
      <c r="AF46">
        <v>34.875</v>
      </c>
      <c r="AG46">
        <v>45</v>
      </c>
      <c r="AH46">
        <v>72.84</v>
      </c>
      <c r="AJ46" s="86" t="str">
        <f t="shared" si="9"/>
        <v>53405Mix + Intocáveis SC Johnson</v>
      </c>
      <c r="AK46">
        <v>53405</v>
      </c>
      <c r="AL46" t="s">
        <v>383</v>
      </c>
      <c r="AM46" t="s">
        <v>104</v>
      </c>
      <c r="AN46" t="s">
        <v>103</v>
      </c>
      <c r="AO46" t="s">
        <v>994</v>
      </c>
      <c r="AP46" t="s">
        <v>995</v>
      </c>
      <c r="AQ46" t="s">
        <v>459</v>
      </c>
      <c r="AR46">
        <v>31.32</v>
      </c>
      <c r="AS46">
        <v>40</v>
      </c>
      <c r="AT46">
        <v>64.25</v>
      </c>
      <c r="AV46" s="86" t="str">
        <f t="shared" si="10"/>
        <v>52169Mix + Intocáveis SC Johnson</v>
      </c>
      <c r="AW46">
        <v>52169</v>
      </c>
      <c r="AX46" t="s">
        <v>331</v>
      </c>
      <c r="AY46" t="s">
        <v>36</v>
      </c>
      <c r="AZ46" t="s">
        <v>103</v>
      </c>
      <c r="BA46" t="s">
        <v>1053</v>
      </c>
      <c r="BB46" t="s">
        <v>1054</v>
      </c>
      <c r="BC46" t="s">
        <v>459</v>
      </c>
      <c r="BD46">
        <v>33.04</v>
      </c>
      <c r="BE46">
        <v>40</v>
      </c>
      <c r="BF46">
        <v>71.7</v>
      </c>
      <c r="BH46" s="86" t="str">
        <f t="shared" si="11"/>
        <v>52169Mix + Intocáveis SC Johnson</v>
      </c>
      <c r="BI46">
        <v>52169</v>
      </c>
      <c r="BJ46" t="s">
        <v>331</v>
      </c>
      <c r="BK46" t="s">
        <v>36</v>
      </c>
      <c r="BL46" t="s">
        <v>103</v>
      </c>
      <c r="BM46" t="s">
        <v>1181</v>
      </c>
      <c r="BN46" t="s">
        <v>1182</v>
      </c>
      <c r="BO46" t="s">
        <v>459</v>
      </c>
      <c r="BP46">
        <v>11.74</v>
      </c>
      <c r="BQ46">
        <v>40</v>
      </c>
      <c r="BR46">
        <v>67.069999999999993</v>
      </c>
      <c r="BT46" s="86" t="str">
        <f t="shared" si="0"/>
        <v>52169Mix + Intocáveis SC Johnson</v>
      </c>
      <c r="BU46">
        <v>52169</v>
      </c>
      <c r="BV46" t="s">
        <v>331</v>
      </c>
      <c r="BW46" t="s">
        <v>1306</v>
      </c>
      <c r="BX46" t="s">
        <v>103</v>
      </c>
      <c r="BY46" t="s">
        <v>1352</v>
      </c>
      <c r="BZ46" t="s">
        <v>1353</v>
      </c>
      <c r="CA46" t="s">
        <v>459</v>
      </c>
      <c r="CB46">
        <v>13.6</v>
      </c>
      <c r="CC46">
        <v>40</v>
      </c>
      <c r="CD46">
        <v>62.94</v>
      </c>
      <c r="CF46" s="86" t="str">
        <f t="shared" si="1"/>
        <v>52169Mix + Intocáveis SC Johnson</v>
      </c>
      <c r="CG46">
        <v>52169</v>
      </c>
      <c r="CH46" t="s">
        <v>331</v>
      </c>
      <c r="CI46" t="s">
        <v>1306</v>
      </c>
      <c r="CJ46" t="s">
        <v>103</v>
      </c>
      <c r="CK46" t="s">
        <v>1434</v>
      </c>
      <c r="CL46" t="s">
        <v>1435</v>
      </c>
      <c r="CM46" t="s">
        <v>459</v>
      </c>
      <c r="CN46">
        <v>34.4</v>
      </c>
      <c r="CO46">
        <v>40</v>
      </c>
      <c r="CP46">
        <v>91.4</v>
      </c>
      <c r="CR46" s="86" t="str">
        <f t="shared" si="2"/>
        <v>53405Mix + Intocáveis SC Johnson</v>
      </c>
      <c r="CS46">
        <v>53405</v>
      </c>
      <c r="CT46" t="s">
        <v>383</v>
      </c>
      <c r="CU46" t="s">
        <v>482</v>
      </c>
      <c r="CV46" t="s">
        <v>103</v>
      </c>
      <c r="CW46" t="s">
        <v>1576</v>
      </c>
      <c r="CX46" t="s">
        <v>1577</v>
      </c>
      <c r="CY46" t="s">
        <v>459</v>
      </c>
      <c r="CZ46">
        <v>31.2</v>
      </c>
      <c r="DA46">
        <v>40</v>
      </c>
      <c r="DB46">
        <v>92.62</v>
      </c>
      <c r="DD46" s="86" t="str">
        <f t="shared" si="3"/>
        <v>53405Execucao Bonus</v>
      </c>
      <c r="DE46">
        <v>53405</v>
      </c>
      <c r="DF46" t="s">
        <v>383</v>
      </c>
      <c r="DG46" t="s">
        <v>482</v>
      </c>
      <c r="DH46" t="s">
        <v>103</v>
      </c>
      <c r="DI46" t="s">
        <v>1656</v>
      </c>
      <c r="DJ46" t="s">
        <v>1657</v>
      </c>
      <c r="DK46" t="s">
        <v>1291</v>
      </c>
      <c r="DL46">
        <v>5</v>
      </c>
      <c r="DM46">
        <v>5</v>
      </c>
      <c r="DN46">
        <v>88.22</v>
      </c>
      <c r="DP46" s="86" t="str">
        <f t="shared" si="4"/>
        <v>51123Execucao Bonus</v>
      </c>
      <c r="DQ46">
        <v>51123</v>
      </c>
      <c r="DR46" t="s">
        <v>373</v>
      </c>
      <c r="DS46" t="s">
        <v>758</v>
      </c>
      <c r="DT46" t="s">
        <v>103</v>
      </c>
      <c r="DU46" t="s">
        <v>1856</v>
      </c>
      <c r="DV46" t="s">
        <v>1857</v>
      </c>
      <c r="DW46" t="s">
        <v>1291</v>
      </c>
      <c r="DX46">
        <v>0</v>
      </c>
      <c r="DY46">
        <v>5</v>
      </c>
      <c r="DZ46">
        <v>75.62</v>
      </c>
      <c r="EB46" s="86" t="str">
        <f t="shared" si="5"/>
        <v>53581Execucao Bonus</v>
      </c>
      <c r="EC46">
        <v>53581</v>
      </c>
      <c r="ED46" t="s">
        <v>374</v>
      </c>
      <c r="EE46" t="s">
        <v>489</v>
      </c>
      <c r="EF46" t="s">
        <v>103</v>
      </c>
      <c r="EG46" t="s">
        <v>1872</v>
      </c>
      <c r="EH46" t="s">
        <v>1873</v>
      </c>
      <c r="EI46" t="s">
        <v>1291</v>
      </c>
      <c r="EJ46">
        <v>3.2</v>
      </c>
      <c r="EK46">
        <v>5</v>
      </c>
      <c r="EL46">
        <v>100</v>
      </c>
    </row>
    <row r="47" spans="1:142" x14ac:dyDescent="0.35">
      <c r="A47" s="86" t="str">
        <f t="shared" si="6"/>
        <v>53405Share Sub Category SC Johnson</v>
      </c>
      <c r="B47">
        <v>53405</v>
      </c>
      <c r="C47" t="s">
        <v>383</v>
      </c>
      <c r="D47" t="s">
        <v>103</v>
      </c>
      <c r="E47" t="s">
        <v>483</v>
      </c>
      <c r="F47" t="s">
        <v>484</v>
      </c>
      <c r="G47" t="s">
        <v>457</v>
      </c>
      <c r="H47">
        <v>62.89</v>
      </c>
      <c r="I47">
        <v>25.71</v>
      </c>
      <c r="J47">
        <v>30</v>
      </c>
      <c r="L47" s="86" t="str">
        <f t="shared" si="7"/>
        <v>53405Share Sub Category SC Johnson</v>
      </c>
      <c r="M47">
        <v>53405</v>
      </c>
      <c r="N47" t="s">
        <v>383</v>
      </c>
      <c r="O47" t="s">
        <v>482</v>
      </c>
      <c r="P47" t="s">
        <v>103</v>
      </c>
      <c r="Q47" t="s">
        <v>638</v>
      </c>
      <c r="R47" t="s">
        <v>639</v>
      </c>
      <c r="S47" t="s">
        <v>457</v>
      </c>
      <c r="T47">
        <v>21.42</v>
      </c>
      <c r="U47">
        <v>30</v>
      </c>
      <c r="V47">
        <v>52.55</v>
      </c>
      <c r="X47" s="86" t="str">
        <f t="shared" si="8"/>
        <v>53461Share Sub Category SC Johnson</v>
      </c>
      <c r="Y47">
        <v>53461</v>
      </c>
      <c r="Z47" t="s">
        <v>384</v>
      </c>
      <c r="AA47" t="s">
        <v>104</v>
      </c>
      <c r="AB47" t="s">
        <v>103</v>
      </c>
      <c r="AC47" t="s">
        <v>801</v>
      </c>
      <c r="AD47" t="s">
        <v>802</v>
      </c>
      <c r="AE47" t="s">
        <v>457</v>
      </c>
      <c r="AF47">
        <v>21.42</v>
      </c>
      <c r="AG47">
        <v>30</v>
      </c>
      <c r="AH47">
        <v>55.92</v>
      </c>
      <c r="AJ47" s="86" t="str">
        <f t="shared" si="9"/>
        <v>53405Lancamentos</v>
      </c>
      <c r="AK47">
        <v>53405</v>
      </c>
      <c r="AL47" t="s">
        <v>383</v>
      </c>
      <c r="AM47" t="s">
        <v>104</v>
      </c>
      <c r="AN47" t="s">
        <v>103</v>
      </c>
      <c r="AO47" t="s">
        <v>994</v>
      </c>
      <c r="AP47" t="s">
        <v>995</v>
      </c>
      <c r="AQ47" t="s">
        <v>953</v>
      </c>
      <c r="AR47">
        <v>0</v>
      </c>
      <c r="AS47">
        <v>18</v>
      </c>
      <c r="AT47">
        <v>64.25</v>
      </c>
      <c r="AV47" s="86" t="str">
        <f t="shared" si="10"/>
        <v>52169Lancamentos</v>
      </c>
      <c r="AW47">
        <v>52169</v>
      </c>
      <c r="AX47" t="s">
        <v>331</v>
      </c>
      <c r="AY47" t="s">
        <v>36</v>
      </c>
      <c r="AZ47" t="s">
        <v>103</v>
      </c>
      <c r="BA47" t="s">
        <v>1053</v>
      </c>
      <c r="BB47" t="s">
        <v>1054</v>
      </c>
      <c r="BC47" t="s">
        <v>953</v>
      </c>
      <c r="BD47">
        <v>0</v>
      </c>
      <c r="BE47">
        <v>18</v>
      </c>
      <c r="BF47">
        <v>71.7</v>
      </c>
      <c r="BH47" s="86" t="str">
        <f t="shared" si="11"/>
        <v>52169Lancamentos</v>
      </c>
      <c r="BI47">
        <v>52169</v>
      </c>
      <c r="BJ47" t="s">
        <v>331</v>
      </c>
      <c r="BK47" t="s">
        <v>36</v>
      </c>
      <c r="BL47" t="s">
        <v>103</v>
      </c>
      <c r="BM47" t="s">
        <v>1181</v>
      </c>
      <c r="BN47" t="s">
        <v>1182</v>
      </c>
      <c r="BO47" t="s">
        <v>953</v>
      </c>
      <c r="BP47">
        <v>18</v>
      </c>
      <c r="BQ47">
        <v>18</v>
      </c>
      <c r="BR47">
        <v>67.069999999999993</v>
      </c>
      <c r="BT47" s="86" t="str">
        <f t="shared" si="0"/>
        <v>52169Share Sub Category SC Johnson</v>
      </c>
      <c r="BU47">
        <v>52169</v>
      </c>
      <c r="BV47" t="s">
        <v>331</v>
      </c>
      <c r="BW47" t="s">
        <v>1306</v>
      </c>
      <c r="BX47" t="s">
        <v>103</v>
      </c>
      <c r="BY47" t="s">
        <v>1352</v>
      </c>
      <c r="BZ47" t="s">
        <v>1353</v>
      </c>
      <c r="CA47" t="s">
        <v>457</v>
      </c>
      <c r="CB47">
        <v>25</v>
      </c>
      <c r="CC47">
        <v>25</v>
      </c>
      <c r="CD47">
        <v>62.94</v>
      </c>
      <c r="CF47" s="86" t="str">
        <f t="shared" si="1"/>
        <v>52169Share Sub Category SC Johnson</v>
      </c>
      <c r="CG47">
        <v>52169</v>
      </c>
      <c r="CH47" t="s">
        <v>331</v>
      </c>
      <c r="CI47" t="s">
        <v>1306</v>
      </c>
      <c r="CJ47" t="s">
        <v>103</v>
      </c>
      <c r="CK47" t="s">
        <v>1434</v>
      </c>
      <c r="CL47" t="s">
        <v>1435</v>
      </c>
      <c r="CM47" t="s">
        <v>457</v>
      </c>
      <c r="CN47">
        <v>25</v>
      </c>
      <c r="CO47">
        <v>25</v>
      </c>
      <c r="CP47">
        <v>91.4</v>
      </c>
      <c r="CR47" s="86" t="str">
        <f t="shared" si="2"/>
        <v>53405Share Sub Category SC Johnson</v>
      </c>
      <c r="CS47">
        <v>53405</v>
      </c>
      <c r="CT47" t="s">
        <v>383</v>
      </c>
      <c r="CU47" t="s">
        <v>482</v>
      </c>
      <c r="CV47" t="s">
        <v>103</v>
      </c>
      <c r="CW47" t="s">
        <v>1576</v>
      </c>
      <c r="CX47" t="s">
        <v>1577</v>
      </c>
      <c r="CY47" t="s">
        <v>457</v>
      </c>
      <c r="CZ47">
        <v>21.425000000000001</v>
      </c>
      <c r="DA47">
        <v>25</v>
      </c>
      <c r="DB47">
        <v>92.62</v>
      </c>
      <c r="DD47" s="86" t="str">
        <f t="shared" si="3"/>
        <v>53405Cross Merchan SC Johnson</v>
      </c>
      <c r="DE47">
        <v>53405</v>
      </c>
      <c r="DF47" t="s">
        <v>383</v>
      </c>
      <c r="DG47" t="s">
        <v>482</v>
      </c>
      <c r="DH47" t="s">
        <v>103</v>
      </c>
      <c r="DI47" t="s">
        <v>1656</v>
      </c>
      <c r="DJ47" t="s">
        <v>1657</v>
      </c>
      <c r="DK47" t="s">
        <v>111</v>
      </c>
      <c r="DL47">
        <v>5</v>
      </c>
      <c r="DM47">
        <v>5</v>
      </c>
      <c r="DN47">
        <v>88.22</v>
      </c>
      <c r="DP47" s="86" t="str">
        <f t="shared" si="4"/>
        <v>51123Cross Merchan SC Johnson</v>
      </c>
      <c r="DQ47">
        <v>51123</v>
      </c>
      <c r="DR47" t="s">
        <v>373</v>
      </c>
      <c r="DS47" t="s">
        <v>758</v>
      </c>
      <c r="DT47" t="s">
        <v>103</v>
      </c>
      <c r="DU47" t="s">
        <v>1856</v>
      </c>
      <c r="DV47" t="s">
        <v>1857</v>
      </c>
      <c r="DW47" t="s">
        <v>111</v>
      </c>
      <c r="DX47">
        <v>5</v>
      </c>
      <c r="DY47">
        <v>5</v>
      </c>
      <c r="DZ47">
        <v>75.62</v>
      </c>
      <c r="EB47" s="86" t="str">
        <f t="shared" si="5"/>
        <v>53581Cross Merchan SC Johnson</v>
      </c>
      <c r="EC47">
        <v>53581</v>
      </c>
      <c r="ED47" t="s">
        <v>374</v>
      </c>
      <c r="EE47" t="s">
        <v>489</v>
      </c>
      <c r="EF47" t="s">
        <v>103</v>
      </c>
      <c r="EG47" t="s">
        <v>1872</v>
      </c>
      <c r="EH47" t="s">
        <v>1873</v>
      </c>
      <c r="EI47" t="s">
        <v>111</v>
      </c>
      <c r="EJ47">
        <v>5</v>
      </c>
      <c r="EK47">
        <v>5</v>
      </c>
      <c r="EL47">
        <v>100</v>
      </c>
    </row>
    <row r="48" spans="1:142" x14ac:dyDescent="0.35">
      <c r="A48" s="86" t="str">
        <f t="shared" si="6"/>
        <v>53405Cross Merchan SC Johnson</v>
      </c>
      <c r="B48">
        <v>53405</v>
      </c>
      <c r="C48" t="s">
        <v>383</v>
      </c>
      <c r="D48" t="s">
        <v>103</v>
      </c>
      <c r="E48" t="s">
        <v>483</v>
      </c>
      <c r="F48" t="s">
        <v>484</v>
      </c>
      <c r="G48" t="s">
        <v>111</v>
      </c>
      <c r="H48">
        <v>62.89</v>
      </c>
      <c r="I48">
        <v>0</v>
      </c>
      <c r="J48">
        <v>8</v>
      </c>
      <c r="L48" s="86" t="str">
        <f t="shared" si="7"/>
        <v>53405Cross Merchan SC Johnson</v>
      </c>
      <c r="M48">
        <v>53405</v>
      </c>
      <c r="N48" t="s">
        <v>383</v>
      </c>
      <c r="O48" t="s">
        <v>482</v>
      </c>
      <c r="P48" t="s">
        <v>103</v>
      </c>
      <c r="Q48" t="s">
        <v>638</v>
      </c>
      <c r="R48" t="s">
        <v>639</v>
      </c>
      <c r="S48" t="s">
        <v>111</v>
      </c>
      <c r="T48">
        <v>8</v>
      </c>
      <c r="U48">
        <v>8</v>
      </c>
      <c r="V48">
        <v>52.55</v>
      </c>
      <c r="X48" s="86" t="str">
        <f t="shared" si="8"/>
        <v>53461Cross Merchan SC Johnson</v>
      </c>
      <c r="Y48">
        <v>53461</v>
      </c>
      <c r="Z48" t="s">
        <v>384</v>
      </c>
      <c r="AA48" t="s">
        <v>104</v>
      </c>
      <c r="AB48" t="s">
        <v>103</v>
      </c>
      <c r="AC48" t="s">
        <v>801</v>
      </c>
      <c r="AD48" t="s">
        <v>802</v>
      </c>
      <c r="AE48" t="s">
        <v>111</v>
      </c>
      <c r="AF48">
        <v>8</v>
      </c>
      <c r="AG48">
        <v>8</v>
      </c>
      <c r="AH48">
        <v>55.92</v>
      </c>
      <c r="AJ48" s="86" t="str">
        <f t="shared" si="9"/>
        <v>53461Share Sub Category SC Johnson</v>
      </c>
      <c r="AK48">
        <v>53461</v>
      </c>
      <c r="AL48" t="s">
        <v>384</v>
      </c>
      <c r="AM48" t="s">
        <v>482</v>
      </c>
      <c r="AN48" t="s">
        <v>103</v>
      </c>
      <c r="AO48" t="s">
        <v>1007</v>
      </c>
      <c r="AP48" t="s">
        <v>1008</v>
      </c>
      <c r="AQ48" t="s">
        <v>457</v>
      </c>
      <c r="AR48">
        <v>25</v>
      </c>
      <c r="AS48">
        <v>25</v>
      </c>
      <c r="AT48">
        <v>66.94</v>
      </c>
      <c r="AV48" s="86" t="str">
        <f t="shared" si="10"/>
        <v>53461Share Sub Category SC Johnson</v>
      </c>
      <c r="AW48">
        <v>53461</v>
      </c>
      <c r="AX48" t="s">
        <v>384</v>
      </c>
      <c r="AY48" t="s">
        <v>482</v>
      </c>
      <c r="AZ48" t="s">
        <v>103</v>
      </c>
      <c r="BA48" t="s">
        <v>1055</v>
      </c>
      <c r="BB48" t="s">
        <v>1056</v>
      </c>
      <c r="BC48" t="s">
        <v>457</v>
      </c>
      <c r="BD48">
        <v>25</v>
      </c>
      <c r="BE48">
        <v>25</v>
      </c>
      <c r="BF48">
        <v>59.68</v>
      </c>
      <c r="BH48" s="86" t="str">
        <f t="shared" si="11"/>
        <v>53405Share Sub Category SC Johnson</v>
      </c>
      <c r="BI48">
        <v>53405</v>
      </c>
      <c r="BJ48" t="s">
        <v>383</v>
      </c>
      <c r="BK48" t="s">
        <v>482</v>
      </c>
      <c r="BL48" t="s">
        <v>103</v>
      </c>
      <c r="BM48" t="s">
        <v>1155</v>
      </c>
      <c r="BN48" t="s">
        <v>1156</v>
      </c>
      <c r="BO48" t="s">
        <v>457</v>
      </c>
      <c r="BP48">
        <v>21.425000000000001</v>
      </c>
      <c r="BQ48">
        <v>25</v>
      </c>
      <c r="BR48">
        <v>72.34</v>
      </c>
      <c r="BT48" s="86" t="str">
        <f t="shared" si="0"/>
        <v>52169Share Sub Loc Pao Quente SC Johnson</v>
      </c>
      <c r="BU48">
        <v>52169</v>
      </c>
      <c r="BV48" t="s">
        <v>331</v>
      </c>
      <c r="BW48" t="s">
        <v>1306</v>
      </c>
      <c r="BX48" t="s">
        <v>103</v>
      </c>
      <c r="BY48" t="s">
        <v>1352</v>
      </c>
      <c r="BZ48" t="s">
        <v>1353</v>
      </c>
      <c r="CA48" t="s">
        <v>458</v>
      </c>
      <c r="CB48">
        <v>12</v>
      </c>
      <c r="CC48">
        <v>12</v>
      </c>
      <c r="CD48">
        <v>62.94</v>
      </c>
      <c r="CF48" s="86" t="str">
        <f t="shared" si="1"/>
        <v>52169Share Sub Loc Pao Quente SC Johnson</v>
      </c>
      <c r="CG48">
        <v>52169</v>
      </c>
      <c r="CH48" t="s">
        <v>331</v>
      </c>
      <c r="CI48" t="s">
        <v>1306</v>
      </c>
      <c r="CJ48" t="s">
        <v>103</v>
      </c>
      <c r="CK48" t="s">
        <v>1434</v>
      </c>
      <c r="CL48" t="s">
        <v>1435</v>
      </c>
      <c r="CM48" t="s">
        <v>458</v>
      </c>
      <c r="CN48">
        <v>9</v>
      </c>
      <c r="CO48">
        <v>12</v>
      </c>
      <c r="CP48">
        <v>91.4</v>
      </c>
      <c r="CR48" s="86" t="str">
        <f t="shared" si="2"/>
        <v>53405Share Sub Loc Pao Quente SC Johnson</v>
      </c>
      <c r="CS48">
        <v>53405</v>
      </c>
      <c r="CT48" t="s">
        <v>383</v>
      </c>
      <c r="CU48" t="s">
        <v>482</v>
      </c>
      <c r="CV48" t="s">
        <v>103</v>
      </c>
      <c r="CW48" t="s">
        <v>1576</v>
      </c>
      <c r="CX48" t="s">
        <v>1577</v>
      </c>
      <c r="CY48" t="s">
        <v>458</v>
      </c>
      <c r="CZ48">
        <v>12</v>
      </c>
      <c r="DA48">
        <v>12</v>
      </c>
      <c r="DB48">
        <v>92.62</v>
      </c>
      <c r="DD48" s="86" t="str">
        <f t="shared" si="3"/>
        <v>53405Lancamentos</v>
      </c>
      <c r="DE48">
        <v>53405</v>
      </c>
      <c r="DF48" t="s">
        <v>383</v>
      </c>
      <c r="DG48" t="s">
        <v>482</v>
      </c>
      <c r="DH48" t="s">
        <v>103</v>
      </c>
      <c r="DI48" t="s">
        <v>1656</v>
      </c>
      <c r="DJ48" t="s">
        <v>1657</v>
      </c>
      <c r="DK48" t="s">
        <v>953</v>
      </c>
      <c r="DL48">
        <v>18</v>
      </c>
      <c r="DM48">
        <v>18</v>
      </c>
      <c r="DN48">
        <v>88.22</v>
      </c>
      <c r="DP48" s="86" t="str">
        <f t="shared" si="4"/>
        <v>51123Lancamentos</v>
      </c>
      <c r="DQ48">
        <v>51123</v>
      </c>
      <c r="DR48" t="s">
        <v>373</v>
      </c>
      <c r="DS48" t="s">
        <v>758</v>
      </c>
      <c r="DT48" t="s">
        <v>103</v>
      </c>
      <c r="DU48" t="s">
        <v>1856</v>
      </c>
      <c r="DV48" t="s">
        <v>1857</v>
      </c>
      <c r="DW48" t="s">
        <v>953</v>
      </c>
      <c r="DX48">
        <v>9</v>
      </c>
      <c r="DY48">
        <v>18</v>
      </c>
      <c r="DZ48">
        <v>75.62</v>
      </c>
      <c r="EB48" s="86" t="str">
        <f t="shared" si="5"/>
        <v>53581Lancamentos</v>
      </c>
      <c r="EC48">
        <v>53581</v>
      </c>
      <c r="ED48" t="s">
        <v>374</v>
      </c>
      <c r="EE48" t="s">
        <v>489</v>
      </c>
      <c r="EF48" t="s">
        <v>103</v>
      </c>
      <c r="EG48" t="s">
        <v>1872</v>
      </c>
      <c r="EH48" t="s">
        <v>1873</v>
      </c>
      <c r="EI48" t="s">
        <v>953</v>
      </c>
      <c r="EJ48">
        <v>18</v>
      </c>
      <c r="EK48">
        <v>18</v>
      </c>
      <c r="EL48">
        <v>100</v>
      </c>
    </row>
    <row r="49" spans="1:142" x14ac:dyDescent="0.35">
      <c r="A49" s="86" t="str">
        <f t="shared" si="6"/>
        <v>53405Share Sub Loc Pao Quente SC Johnson</v>
      </c>
      <c r="B49">
        <v>53405</v>
      </c>
      <c r="C49" t="s">
        <v>383</v>
      </c>
      <c r="D49" t="s">
        <v>103</v>
      </c>
      <c r="E49" t="s">
        <v>483</v>
      </c>
      <c r="F49" t="s">
        <v>484</v>
      </c>
      <c r="G49" t="s">
        <v>458</v>
      </c>
      <c r="H49">
        <v>62.89</v>
      </c>
      <c r="I49">
        <v>6.8</v>
      </c>
      <c r="J49">
        <v>17</v>
      </c>
      <c r="L49" s="86" t="str">
        <f t="shared" si="7"/>
        <v>53405Share Sub Loc Pao Quente SC Johnson</v>
      </c>
      <c r="M49">
        <v>53405</v>
      </c>
      <c r="N49" t="s">
        <v>383</v>
      </c>
      <c r="O49" t="s">
        <v>482</v>
      </c>
      <c r="P49" t="s">
        <v>103</v>
      </c>
      <c r="Q49" t="s">
        <v>638</v>
      </c>
      <c r="R49" t="s">
        <v>639</v>
      </c>
      <c r="S49" t="s">
        <v>458</v>
      </c>
      <c r="T49">
        <v>8.5</v>
      </c>
      <c r="U49">
        <v>17</v>
      </c>
      <c r="V49">
        <v>52.55</v>
      </c>
      <c r="X49" s="86" t="str">
        <f t="shared" si="8"/>
        <v>53461Share Sub Loc Pao Quente SC Johnson</v>
      </c>
      <c r="Y49">
        <v>53461</v>
      </c>
      <c r="Z49" t="s">
        <v>384</v>
      </c>
      <c r="AA49" t="s">
        <v>104</v>
      </c>
      <c r="AB49" t="s">
        <v>103</v>
      </c>
      <c r="AC49" t="s">
        <v>801</v>
      </c>
      <c r="AD49" t="s">
        <v>802</v>
      </c>
      <c r="AE49" t="s">
        <v>458</v>
      </c>
      <c r="AF49">
        <v>8.5</v>
      </c>
      <c r="AG49">
        <v>17</v>
      </c>
      <c r="AH49">
        <v>55.92</v>
      </c>
      <c r="AJ49" s="86" t="str">
        <f t="shared" si="9"/>
        <v>53461Cross Merchan SC Johnson</v>
      </c>
      <c r="AK49">
        <v>53461</v>
      </c>
      <c r="AL49" t="s">
        <v>384</v>
      </c>
      <c r="AM49" t="s">
        <v>482</v>
      </c>
      <c r="AN49" t="s">
        <v>103</v>
      </c>
      <c r="AO49" t="s">
        <v>1007</v>
      </c>
      <c r="AP49" t="s">
        <v>1008</v>
      </c>
      <c r="AQ49" t="s">
        <v>111</v>
      </c>
      <c r="AR49">
        <v>2.5</v>
      </c>
      <c r="AS49">
        <v>5</v>
      </c>
      <c r="AT49">
        <v>66.94</v>
      </c>
      <c r="AV49" s="86" t="str">
        <f t="shared" si="10"/>
        <v>53461Cross Merchan SC Johnson</v>
      </c>
      <c r="AW49">
        <v>53461</v>
      </c>
      <c r="AX49" t="s">
        <v>384</v>
      </c>
      <c r="AY49" t="s">
        <v>482</v>
      </c>
      <c r="AZ49" t="s">
        <v>103</v>
      </c>
      <c r="BA49" t="s">
        <v>1055</v>
      </c>
      <c r="BB49" t="s">
        <v>1056</v>
      </c>
      <c r="BC49" t="s">
        <v>111</v>
      </c>
      <c r="BD49">
        <v>0</v>
      </c>
      <c r="BE49">
        <v>5</v>
      </c>
      <c r="BF49">
        <v>59.68</v>
      </c>
      <c r="BH49" s="86" t="str">
        <f t="shared" si="11"/>
        <v>53405Cross Merchan SC Johnson</v>
      </c>
      <c r="BI49">
        <v>53405</v>
      </c>
      <c r="BJ49" t="s">
        <v>383</v>
      </c>
      <c r="BK49" t="s">
        <v>482</v>
      </c>
      <c r="BL49" t="s">
        <v>103</v>
      </c>
      <c r="BM49" t="s">
        <v>1155</v>
      </c>
      <c r="BN49" t="s">
        <v>1156</v>
      </c>
      <c r="BO49" t="s">
        <v>111</v>
      </c>
      <c r="BP49">
        <v>5</v>
      </c>
      <c r="BQ49">
        <v>5</v>
      </c>
      <c r="BR49">
        <v>72.34</v>
      </c>
      <c r="BT49" s="86" t="str">
        <f t="shared" si="0"/>
        <v>52169Cross Merchan SC Johnson</v>
      </c>
      <c r="BU49">
        <v>52169</v>
      </c>
      <c r="BV49" t="s">
        <v>331</v>
      </c>
      <c r="BW49" t="s">
        <v>1306</v>
      </c>
      <c r="BX49" t="s">
        <v>103</v>
      </c>
      <c r="BY49" t="s">
        <v>1352</v>
      </c>
      <c r="BZ49" t="s">
        <v>1353</v>
      </c>
      <c r="CA49" t="s">
        <v>111</v>
      </c>
      <c r="CB49">
        <v>3.335</v>
      </c>
      <c r="CC49">
        <v>5</v>
      </c>
      <c r="CD49">
        <v>62.94</v>
      </c>
      <c r="CF49" s="86" t="str">
        <f t="shared" si="1"/>
        <v>52169Cross Merchan SC Johnson</v>
      </c>
      <c r="CG49">
        <v>52169</v>
      </c>
      <c r="CH49" t="s">
        <v>331</v>
      </c>
      <c r="CI49" t="s">
        <v>1306</v>
      </c>
      <c r="CJ49" t="s">
        <v>103</v>
      </c>
      <c r="CK49" t="s">
        <v>1434</v>
      </c>
      <c r="CL49" t="s">
        <v>1435</v>
      </c>
      <c r="CM49" t="s">
        <v>111</v>
      </c>
      <c r="CN49">
        <v>5</v>
      </c>
      <c r="CO49">
        <v>5</v>
      </c>
      <c r="CP49">
        <v>91.4</v>
      </c>
      <c r="CR49" s="86" t="str">
        <f t="shared" si="2"/>
        <v>53405Cross Merchan SC Johnson</v>
      </c>
      <c r="CS49">
        <v>53405</v>
      </c>
      <c r="CT49" t="s">
        <v>383</v>
      </c>
      <c r="CU49" t="s">
        <v>482</v>
      </c>
      <c r="CV49" t="s">
        <v>103</v>
      </c>
      <c r="CW49" t="s">
        <v>1576</v>
      </c>
      <c r="CX49" t="s">
        <v>1577</v>
      </c>
      <c r="CY49" t="s">
        <v>111</v>
      </c>
      <c r="CZ49">
        <v>5</v>
      </c>
      <c r="DA49">
        <v>5</v>
      </c>
      <c r="DB49">
        <v>92.62</v>
      </c>
      <c r="DD49" s="86" t="str">
        <f t="shared" si="3"/>
        <v>53405Share Sub Category SC Johnson</v>
      </c>
      <c r="DE49">
        <v>53405</v>
      </c>
      <c r="DF49" t="s">
        <v>383</v>
      </c>
      <c r="DG49" t="s">
        <v>482</v>
      </c>
      <c r="DH49" t="s">
        <v>103</v>
      </c>
      <c r="DI49" t="s">
        <v>1656</v>
      </c>
      <c r="DJ49" t="s">
        <v>1657</v>
      </c>
      <c r="DK49" t="s">
        <v>457</v>
      </c>
      <c r="DL49">
        <v>21.425000000000001</v>
      </c>
      <c r="DM49">
        <v>25</v>
      </c>
      <c r="DN49">
        <v>88.22</v>
      </c>
      <c r="DP49" s="86" t="str">
        <f t="shared" si="4"/>
        <v>51123Share Sub Category SC Johnson</v>
      </c>
      <c r="DQ49">
        <v>51123</v>
      </c>
      <c r="DR49" t="s">
        <v>373</v>
      </c>
      <c r="DS49" t="s">
        <v>758</v>
      </c>
      <c r="DT49" t="s">
        <v>103</v>
      </c>
      <c r="DU49" t="s">
        <v>1856</v>
      </c>
      <c r="DV49" t="s">
        <v>1857</v>
      </c>
      <c r="DW49" t="s">
        <v>457</v>
      </c>
      <c r="DX49">
        <v>21.425000000000001</v>
      </c>
      <c r="DY49">
        <v>25</v>
      </c>
      <c r="DZ49">
        <v>75.62</v>
      </c>
      <c r="EB49" s="86" t="str">
        <f t="shared" si="5"/>
        <v>53581Share Sub Category SC Johnson</v>
      </c>
      <c r="EC49">
        <v>53581</v>
      </c>
      <c r="ED49" t="s">
        <v>374</v>
      </c>
      <c r="EE49" t="s">
        <v>489</v>
      </c>
      <c r="EF49" t="s">
        <v>103</v>
      </c>
      <c r="EG49" t="s">
        <v>1872</v>
      </c>
      <c r="EH49" t="s">
        <v>1873</v>
      </c>
      <c r="EI49" t="s">
        <v>457</v>
      </c>
      <c r="EJ49">
        <v>25</v>
      </c>
      <c r="EK49">
        <v>25</v>
      </c>
      <c r="EL49">
        <v>100</v>
      </c>
    </row>
    <row r="50" spans="1:142" x14ac:dyDescent="0.35">
      <c r="A50" s="86" t="str">
        <f t="shared" si="6"/>
        <v>53405Mix + Intocáveis SC Johnson</v>
      </c>
      <c r="B50">
        <v>53405</v>
      </c>
      <c r="C50" t="s">
        <v>383</v>
      </c>
      <c r="D50" t="s">
        <v>103</v>
      </c>
      <c r="E50" t="s">
        <v>483</v>
      </c>
      <c r="F50" t="s">
        <v>484</v>
      </c>
      <c r="G50" t="s">
        <v>459</v>
      </c>
      <c r="H50">
        <v>62.89</v>
      </c>
      <c r="I50">
        <v>30.375</v>
      </c>
      <c r="J50">
        <v>45</v>
      </c>
      <c r="L50" s="86" t="str">
        <f t="shared" si="7"/>
        <v>53405Mix + Intocáveis SC Johnson</v>
      </c>
      <c r="M50">
        <v>53405</v>
      </c>
      <c r="N50" t="s">
        <v>383</v>
      </c>
      <c r="O50" t="s">
        <v>482</v>
      </c>
      <c r="P50" t="s">
        <v>103</v>
      </c>
      <c r="Q50" t="s">
        <v>638</v>
      </c>
      <c r="R50" t="s">
        <v>639</v>
      </c>
      <c r="S50" t="s">
        <v>459</v>
      </c>
      <c r="T50">
        <v>14.625</v>
      </c>
      <c r="U50">
        <v>45</v>
      </c>
      <c r="V50">
        <v>52.55</v>
      </c>
      <c r="X50" s="86" t="str">
        <f t="shared" si="8"/>
        <v>53461Mix + Intocáveis SC Johnson</v>
      </c>
      <c r="Y50">
        <v>53461</v>
      </c>
      <c r="Z50" t="s">
        <v>384</v>
      </c>
      <c r="AA50" t="s">
        <v>104</v>
      </c>
      <c r="AB50" t="s">
        <v>103</v>
      </c>
      <c r="AC50" t="s">
        <v>801</v>
      </c>
      <c r="AD50" t="s">
        <v>802</v>
      </c>
      <c r="AE50" t="s">
        <v>459</v>
      </c>
      <c r="AF50">
        <v>18</v>
      </c>
      <c r="AG50">
        <v>45</v>
      </c>
      <c r="AH50">
        <v>55.92</v>
      </c>
      <c r="AJ50" s="86" t="str">
        <f t="shared" si="9"/>
        <v>53461Share Sub Loc Pao Quente SC Johnson</v>
      </c>
      <c r="AK50">
        <v>53461</v>
      </c>
      <c r="AL50" t="s">
        <v>384</v>
      </c>
      <c r="AM50" t="s">
        <v>482</v>
      </c>
      <c r="AN50" t="s">
        <v>103</v>
      </c>
      <c r="AO50" t="s">
        <v>1007</v>
      </c>
      <c r="AP50" t="s">
        <v>1008</v>
      </c>
      <c r="AQ50" t="s">
        <v>458</v>
      </c>
      <c r="AR50">
        <v>9</v>
      </c>
      <c r="AS50">
        <v>12</v>
      </c>
      <c r="AT50">
        <v>66.94</v>
      </c>
      <c r="AV50" s="86" t="str">
        <f t="shared" si="10"/>
        <v>53461Share Sub Loc Pao Quente SC Johnson</v>
      </c>
      <c r="AW50">
        <v>53461</v>
      </c>
      <c r="AX50" t="s">
        <v>384</v>
      </c>
      <c r="AY50" t="s">
        <v>482</v>
      </c>
      <c r="AZ50" t="s">
        <v>103</v>
      </c>
      <c r="BA50" t="s">
        <v>1055</v>
      </c>
      <c r="BB50" t="s">
        <v>1056</v>
      </c>
      <c r="BC50" t="s">
        <v>458</v>
      </c>
      <c r="BD50">
        <v>6</v>
      </c>
      <c r="BE50">
        <v>12</v>
      </c>
      <c r="BF50">
        <v>59.68</v>
      </c>
      <c r="BH50" s="86" t="str">
        <f t="shared" si="11"/>
        <v>53405Share Sub Loc Pao Quente SC Johnson</v>
      </c>
      <c r="BI50">
        <v>53405</v>
      </c>
      <c r="BJ50" t="s">
        <v>383</v>
      </c>
      <c r="BK50" t="s">
        <v>482</v>
      </c>
      <c r="BL50" t="s">
        <v>103</v>
      </c>
      <c r="BM50" t="s">
        <v>1155</v>
      </c>
      <c r="BN50" t="s">
        <v>1156</v>
      </c>
      <c r="BO50" t="s">
        <v>458</v>
      </c>
      <c r="BP50">
        <v>12</v>
      </c>
      <c r="BQ50">
        <v>12</v>
      </c>
      <c r="BR50">
        <v>72.34</v>
      </c>
      <c r="BT50" s="86" t="str">
        <f t="shared" si="0"/>
        <v>52169Execucao Bonus</v>
      </c>
      <c r="BU50">
        <v>52169</v>
      </c>
      <c r="BV50" t="s">
        <v>331</v>
      </c>
      <c r="BW50" t="s">
        <v>1306</v>
      </c>
      <c r="BX50" t="s">
        <v>103</v>
      </c>
      <c r="BY50" t="s">
        <v>1352</v>
      </c>
      <c r="BZ50" t="s">
        <v>1353</v>
      </c>
      <c r="CA50" t="s">
        <v>1291</v>
      </c>
      <c r="CB50">
        <v>0</v>
      </c>
      <c r="CC50">
        <v>5</v>
      </c>
      <c r="CD50">
        <v>62.94</v>
      </c>
      <c r="CF50" s="86" t="str">
        <f t="shared" si="1"/>
        <v>52169Execucao Bonus</v>
      </c>
      <c r="CG50">
        <v>52169</v>
      </c>
      <c r="CH50" t="s">
        <v>331</v>
      </c>
      <c r="CI50" t="s">
        <v>1306</v>
      </c>
      <c r="CJ50" t="s">
        <v>103</v>
      </c>
      <c r="CK50" t="s">
        <v>1434</v>
      </c>
      <c r="CL50" t="s">
        <v>1435</v>
      </c>
      <c r="CM50" t="s">
        <v>1291</v>
      </c>
      <c r="CN50">
        <v>0</v>
      </c>
      <c r="CO50">
        <v>5</v>
      </c>
      <c r="CP50">
        <v>91.4</v>
      </c>
      <c r="CR50" s="86" t="str">
        <f t="shared" si="2"/>
        <v>53405Execucao Bonus</v>
      </c>
      <c r="CS50">
        <v>53405</v>
      </c>
      <c r="CT50" t="s">
        <v>383</v>
      </c>
      <c r="CU50" t="s">
        <v>482</v>
      </c>
      <c r="CV50" t="s">
        <v>103</v>
      </c>
      <c r="CW50" t="s">
        <v>1576</v>
      </c>
      <c r="CX50" t="s">
        <v>1577</v>
      </c>
      <c r="CY50" t="s">
        <v>1291</v>
      </c>
      <c r="CZ50">
        <v>5</v>
      </c>
      <c r="DA50">
        <v>5</v>
      </c>
      <c r="DB50">
        <v>92.62</v>
      </c>
      <c r="DD50" s="86" t="str">
        <f t="shared" si="3"/>
        <v>53405Share Sub Loc Pao Quente SC Johnson</v>
      </c>
      <c r="DE50">
        <v>53405</v>
      </c>
      <c r="DF50" t="s">
        <v>383</v>
      </c>
      <c r="DG50" t="s">
        <v>482</v>
      </c>
      <c r="DH50" t="s">
        <v>103</v>
      </c>
      <c r="DI50" t="s">
        <v>1656</v>
      </c>
      <c r="DJ50" t="s">
        <v>1657</v>
      </c>
      <c r="DK50" t="s">
        <v>458</v>
      </c>
      <c r="DL50">
        <v>6</v>
      </c>
      <c r="DM50">
        <v>12</v>
      </c>
      <c r="DN50">
        <v>88.22</v>
      </c>
      <c r="DP50" s="86" t="str">
        <f t="shared" si="4"/>
        <v>51123Share Sub Loc Pao Quente SC Johnson</v>
      </c>
      <c r="DQ50">
        <v>51123</v>
      </c>
      <c r="DR50" t="s">
        <v>373</v>
      </c>
      <c r="DS50" t="s">
        <v>758</v>
      </c>
      <c r="DT50" t="s">
        <v>103</v>
      </c>
      <c r="DU50" t="s">
        <v>1856</v>
      </c>
      <c r="DV50" t="s">
        <v>1857</v>
      </c>
      <c r="DW50" t="s">
        <v>458</v>
      </c>
      <c r="DX50">
        <v>9</v>
      </c>
      <c r="DY50">
        <v>12</v>
      </c>
      <c r="DZ50">
        <v>75.62</v>
      </c>
      <c r="EB50" s="86" t="str">
        <f t="shared" si="5"/>
        <v>53581Share Sub Loc Pao Quente SC Johnson</v>
      </c>
      <c r="EC50">
        <v>53581</v>
      </c>
      <c r="ED50" t="s">
        <v>374</v>
      </c>
      <c r="EE50" t="s">
        <v>489</v>
      </c>
      <c r="EF50" t="s">
        <v>103</v>
      </c>
      <c r="EG50" t="s">
        <v>1872</v>
      </c>
      <c r="EH50" t="s">
        <v>1873</v>
      </c>
      <c r="EI50" t="s">
        <v>458</v>
      </c>
      <c r="EJ50">
        <v>12</v>
      </c>
      <c r="EK50">
        <v>12</v>
      </c>
      <c r="EL50">
        <v>100</v>
      </c>
    </row>
    <row r="51" spans="1:142" x14ac:dyDescent="0.35">
      <c r="A51" s="86" t="str">
        <f t="shared" si="6"/>
        <v>53461Share Sub Category SC Johnson</v>
      </c>
      <c r="B51">
        <v>53461</v>
      </c>
      <c r="C51" t="s">
        <v>384</v>
      </c>
      <c r="D51" t="s">
        <v>103</v>
      </c>
      <c r="E51" t="s">
        <v>485</v>
      </c>
      <c r="F51" t="s">
        <v>486</v>
      </c>
      <c r="G51" t="s">
        <v>457</v>
      </c>
      <c r="H51">
        <v>46.25</v>
      </c>
      <c r="I51">
        <v>21.42</v>
      </c>
      <c r="J51">
        <v>30</v>
      </c>
      <c r="L51" s="86" t="str">
        <f t="shared" si="7"/>
        <v>53461Share Sub Category SC Johnson</v>
      </c>
      <c r="M51">
        <v>53461</v>
      </c>
      <c r="N51" t="s">
        <v>384</v>
      </c>
      <c r="O51" t="s">
        <v>482</v>
      </c>
      <c r="P51" t="s">
        <v>103</v>
      </c>
      <c r="Q51" t="s">
        <v>640</v>
      </c>
      <c r="R51" t="s">
        <v>641</v>
      </c>
      <c r="S51" t="s">
        <v>457</v>
      </c>
      <c r="T51">
        <v>17.13</v>
      </c>
      <c r="U51">
        <v>30</v>
      </c>
      <c r="V51">
        <v>56.01</v>
      </c>
      <c r="X51" s="86" t="str">
        <f t="shared" si="8"/>
        <v>53486Share Sub Category SC Johnson</v>
      </c>
      <c r="Y51">
        <v>53486</v>
      </c>
      <c r="Z51" t="s">
        <v>332</v>
      </c>
      <c r="AA51" t="s">
        <v>477</v>
      </c>
      <c r="AB51" t="s">
        <v>103</v>
      </c>
      <c r="AC51" t="s">
        <v>821</v>
      </c>
      <c r="AD51" t="s">
        <v>822</v>
      </c>
      <c r="AE51" t="s">
        <v>457</v>
      </c>
      <c r="AF51">
        <v>30</v>
      </c>
      <c r="AG51">
        <v>30</v>
      </c>
      <c r="AH51">
        <v>83.88</v>
      </c>
      <c r="AJ51" s="86" t="str">
        <f t="shared" si="9"/>
        <v>53461Mix + Intocáveis SC Johnson</v>
      </c>
      <c r="AK51">
        <v>53461</v>
      </c>
      <c r="AL51" t="s">
        <v>384</v>
      </c>
      <c r="AM51" t="s">
        <v>482</v>
      </c>
      <c r="AN51" t="s">
        <v>103</v>
      </c>
      <c r="AO51" t="s">
        <v>1007</v>
      </c>
      <c r="AP51" t="s">
        <v>1008</v>
      </c>
      <c r="AQ51" t="s">
        <v>459</v>
      </c>
      <c r="AR51">
        <v>30.44</v>
      </c>
      <c r="AS51">
        <v>40</v>
      </c>
      <c r="AT51">
        <v>66.94</v>
      </c>
      <c r="AV51" s="86" t="str">
        <f t="shared" si="10"/>
        <v>53461Mix + Intocáveis SC Johnson</v>
      </c>
      <c r="AW51">
        <v>53461</v>
      </c>
      <c r="AX51" t="s">
        <v>384</v>
      </c>
      <c r="AY51" t="s">
        <v>482</v>
      </c>
      <c r="AZ51" t="s">
        <v>103</v>
      </c>
      <c r="BA51" t="s">
        <v>1055</v>
      </c>
      <c r="BB51" t="s">
        <v>1056</v>
      </c>
      <c r="BC51" t="s">
        <v>459</v>
      </c>
      <c r="BD51">
        <v>28.68</v>
      </c>
      <c r="BE51">
        <v>40</v>
      </c>
      <c r="BF51">
        <v>59.68</v>
      </c>
      <c r="BH51" s="86" t="str">
        <f t="shared" si="11"/>
        <v>53405Mix + Intocáveis SC Johnson</v>
      </c>
      <c r="BI51">
        <v>53405</v>
      </c>
      <c r="BJ51" t="s">
        <v>383</v>
      </c>
      <c r="BK51" t="s">
        <v>482</v>
      </c>
      <c r="BL51" t="s">
        <v>103</v>
      </c>
      <c r="BM51" t="s">
        <v>1155</v>
      </c>
      <c r="BN51" t="s">
        <v>1156</v>
      </c>
      <c r="BO51" t="s">
        <v>459</v>
      </c>
      <c r="BP51">
        <v>33.92</v>
      </c>
      <c r="BQ51">
        <v>40</v>
      </c>
      <c r="BR51">
        <v>72.34</v>
      </c>
      <c r="BT51" s="86" t="str">
        <f t="shared" si="0"/>
        <v>53405Lancamentos</v>
      </c>
      <c r="BU51">
        <v>53405</v>
      </c>
      <c r="BV51" t="s">
        <v>383</v>
      </c>
      <c r="BW51" t="s">
        <v>482</v>
      </c>
      <c r="BX51" t="s">
        <v>103</v>
      </c>
      <c r="BY51" t="s">
        <v>1321</v>
      </c>
      <c r="BZ51" t="s">
        <v>1322</v>
      </c>
      <c r="CA51" t="s">
        <v>953</v>
      </c>
      <c r="CB51">
        <v>9</v>
      </c>
      <c r="CC51">
        <v>18</v>
      </c>
      <c r="CD51">
        <v>80.42</v>
      </c>
      <c r="CF51" s="86" t="str">
        <f t="shared" si="1"/>
        <v>53405Lancamentos</v>
      </c>
      <c r="CG51">
        <v>53405</v>
      </c>
      <c r="CH51" t="s">
        <v>383</v>
      </c>
      <c r="CI51" t="s">
        <v>482</v>
      </c>
      <c r="CJ51" t="s">
        <v>103</v>
      </c>
      <c r="CK51" t="s">
        <v>1420</v>
      </c>
      <c r="CL51" t="s">
        <v>1421</v>
      </c>
      <c r="CM51" t="s">
        <v>953</v>
      </c>
      <c r="CN51">
        <v>18</v>
      </c>
      <c r="CO51">
        <v>18</v>
      </c>
      <c r="CP51">
        <v>91.03</v>
      </c>
      <c r="CR51" s="86" t="str">
        <f t="shared" si="2"/>
        <v>53461Lancamentos</v>
      </c>
      <c r="CS51">
        <v>53461</v>
      </c>
      <c r="CT51" t="s">
        <v>384</v>
      </c>
      <c r="CU51" t="s">
        <v>482</v>
      </c>
      <c r="CV51" t="s">
        <v>103</v>
      </c>
      <c r="CW51" t="s">
        <v>1578</v>
      </c>
      <c r="CX51" t="s">
        <v>1579</v>
      </c>
      <c r="CY51" t="s">
        <v>953</v>
      </c>
      <c r="CZ51">
        <v>18</v>
      </c>
      <c r="DA51">
        <v>18</v>
      </c>
      <c r="DB51">
        <v>93.8</v>
      </c>
      <c r="DD51" s="86" t="str">
        <f t="shared" si="3"/>
        <v>53461Mix + Intocáveis SC Johnson</v>
      </c>
      <c r="DE51">
        <v>53461</v>
      </c>
      <c r="DF51" t="s">
        <v>384</v>
      </c>
      <c r="DG51" t="s">
        <v>482</v>
      </c>
      <c r="DH51" t="s">
        <v>103</v>
      </c>
      <c r="DI51" t="s">
        <v>1684</v>
      </c>
      <c r="DJ51" t="s">
        <v>1685</v>
      </c>
      <c r="DK51" t="s">
        <v>459</v>
      </c>
      <c r="DL51">
        <v>32.799999999999997</v>
      </c>
      <c r="DM51">
        <v>40</v>
      </c>
      <c r="DN51">
        <v>88.8</v>
      </c>
      <c r="DP51" s="86" t="str">
        <f t="shared" si="4"/>
        <v>52169Mix + Intocáveis SC Johnson</v>
      </c>
      <c r="DQ51">
        <v>52169</v>
      </c>
      <c r="DR51" t="s">
        <v>331</v>
      </c>
      <c r="DS51" t="s">
        <v>1306</v>
      </c>
      <c r="DT51" t="s">
        <v>103</v>
      </c>
      <c r="DU51" t="s">
        <v>1762</v>
      </c>
      <c r="DV51" t="s">
        <v>1763</v>
      </c>
      <c r="DW51" t="s">
        <v>459</v>
      </c>
      <c r="DX51">
        <v>35.200000000000003</v>
      </c>
      <c r="DY51">
        <v>40</v>
      </c>
      <c r="DZ51">
        <v>96.62</v>
      </c>
      <c r="EB51" s="86" t="str">
        <f t="shared" si="5"/>
        <v>56110Mix + Intocáveis SC Johnson</v>
      </c>
      <c r="EC51">
        <v>56110</v>
      </c>
      <c r="ED51" t="s">
        <v>385</v>
      </c>
      <c r="EE51" t="s">
        <v>482</v>
      </c>
      <c r="EF51" t="s">
        <v>103</v>
      </c>
      <c r="EG51" t="s">
        <v>1888</v>
      </c>
      <c r="EH51" t="s">
        <v>1889</v>
      </c>
      <c r="EI51" t="s">
        <v>459</v>
      </c>
      <c r="EJ51">
        <v>28.8</v>
      </c>
      <c r="EK51">
        <v>40</v>
      </c>
      <c r="EL51">
        <v>75.8</v>
      </c>
    </row>
    <row r="52" spans="1:142" x14ac:dyDescent="0.35">
      <c r="A52" s="86" t="str">
        <f t="shared" si="6"/>
        <v>53461Cross Merchan SC Johnson</v>
      </c>
      <c r="B52">
        <v>53461</v>
      </c>
      <c r="C52" t="s">
        <v>384</v>
      </c>
      <c r="D52" t="s">
        <v>103</v>
      </c>
      <c r="E52" t="s">
        <v>485</v>
      </c>
      <c r="F52" t="s">
        <v>486</v>
      </c>
      <c r="G52" t="s">
        <v>111</v>
      </c>
      <c r="H52">
        <v>46.25</v>
      </c>
      <c r="I52">
        <v>0</v>
      </c>
      <c r="J52">
        <v>8</v>
      </c>
      <c r="L52" s="86" t="str">
        <f t="shared" si="7"/>
        <v>53461Cross Merchan SC Johnson</v>
      </c>
      <c r="M52">
        <v>53461</v>
      </c>
      <c r="N52" t="s">
        <v>384</v>
      </c>
      <c r="O52" t="s">
        <v>482</v>
      </c>
      <c r="P52" t="s">
        <v>103</v>
      </c>
      <c r="Q52" t="s">
        <v>640</v>
      </c>
      <c r="R52" t="s">
        <v>641</v>
      </c>
      <c r="S52" t="s">
        <v>111</v>
      </c>
      <c r="T52">
        <v>0</v>
      </c>
      <c r="U52">
        <v>8</v>
      </c>
      <c r="V52">
        <v>56.01</v>
      </c>
      <c r="X52" s="86" t="str">
        <f t="shared" si="8"/>
        <v>53486Cross Merchan SC Johnson</v>
      </c>
      <c r="Y52">
        <v>53486</v>
      </c>
      <c r="Z52" t="s">
        <v>332</v>
      </c>
      <c r="AA52" t="s">
        <v>477</v>
      </c>
      <c r="AB52" t="s">
        <v>103</v>
      </c>
      <c r="AC52" t="s">
        <v>821</v>
      </c>
      <c r="AD52" t="s">
        <v>822</v>
      </c>
      <c r="AE52" t="s">
        <v>111</v>
      </c>
      <c r="AF52">
        <v>8</v>
      </c>
      <c r="AG52">
        <v>8</v>
      </c>
      <c r="AH52">
        <v>83.88</v>
      </c>
      <c r="AJ52" s="86" t="str">
        <f t="shared" si="9"/>
        <v>53461Lancamentos</v>
      </c>
      <c r="AK52">
        <v>53461</v>
      </c>
      <c r="AL52" t="s">
        <v>384</v>
      </c>
      <c r="AM52" t="s">
        <v>482</v>
      </c>
      <c r="AN52" t="s">
        <v>103</v>
      </c>
      <c r="AO52" t="s">
        <v>1007</v>
      </c>
      <c r="AP52" t="s">
        <v>1008</v>
      </c>
      <c r="AQ52" t="s">
        <v>953</v>
      </c>
      <c r="AR52">
        <v>0</v>
      </c>
      <c r="AS52">
        <v>18</v>
      </c>
      <c r="AT52">
        <v>66.94</v>
      </c>
      <c r="AV52" s="86" t="str">
        <f t="shared" si="10"/>
        <v>53461Lancamentos</v>
      </c>
      <c r="AW52">
        <v>53461</v>
      </c>
      <c r="AX52" t="s">
        <v>384</v>
      </c>
      <c r="AY52" t="s">
        <v>482</v>
      </c>
      <c r="AZ52" t="s">
        <v>103</v>
      </c>
      <c r="BA52" t="s">
        <v>1055</v>
      </c>
      <c r="BB52" t="s">
        <v>1056</v>
      </c>
      <c r="BC52" t="s">
        <v>953</v>
      </c>
      <c r="BD52">
        <v>0</v>
      </c>
      <c r="BE52">
        <v>18</v>
      </c>
      <c r="BF52">
        <v>59.68</v>
      </c>
      <c r="BH52" s="86" t="str">
        <f t="shared" si="11"/>
        <v>53405Lancamentos</v>
      </c>
      <c r="BI52">
        <v>53405</v>
      </c>
      <c r="BJ52" t="s">
        <v>383</v>
      </c>
      <c r="BK52" t="s">
        <v>482</v>
      </c>
      <c r="BL52" t="s">
        <v>103</v>
      </c>
      <c r="BM52" t="s">
        <v>1155</v>
      </c>
      <c r="BN52" t="s">
        <v>1156</v>
      </c>
      <c r="BO52" t="s">
        <v>953</v>
      </c>
      <c r="BP52">
        <v>0</v>
      </c>
      <c r="BQ52">
        <v>18</v>
      </c>
      <c r="BR52">
        <v>72.34</v>
      </c>
      <c r="BT52" s="86" t="str">
        <f t="shared" si="0"/>
        <v>53405Mix + Intocáveis SC Johnson</v>
      </c>
      <c r="BU52">
        <v>53405</v>
      </c>
      <c r="BV52" t="s">
        <v>383</v>
      </c>
      <c r="BW52" t="s">
        <v>482</v>
      </c>
      <c r="BX52" t="s">
        <v>103</v>
      </c>
      <c r="BY52" t="s">
        <v>1321</v>
      </c>
      <c r="BZ52" t="s">
        <v>1322</v>
      </c>
      <c r="CA52" t="s">
        <v>459</v>
      </c>
      <c r="CB52">
        <v>28</v>
      </c>
      <c r="CC52">
        <v>40</v>
      </c>
      <c r="CD52">
        <v>80.42</v>
      </c>
      <c r="CF52" s="86" t="str">
        <f t="shared" si="1"/>
        <v>53405Mix + Intocáveis SC Johnson</v>
      </c>
      <c r="CG52">
        <v>53405</v>
      </c>
      <c r="CH52" t="s">
        <v>383</v>
      </c>
      <c r="CI52" t="s">
        <v>482</v>
      </c>
      <c r="CJ52" t="s">
        <v>103</v>
      </c>
      <c r="CK52" t="s">
        <v>1420</v>
      </c>
      <c r="CL52" t="s">
        <v>1421</v>
      </c>
      <c r="CM52" t="s">
        <v>459</v>
      </c>
      <c r="CN52">
        <v>29.6</v>
      </c>
      <c r="CO52">
        <v>40</v>
      </c>
      <c r="CP52">
        <v>91.03</v>
      </c>
      <c r="CR52" s="86" t="str">
        <f t="shared" si="2"/>
        <v>53461Mix + Intocáveis SC Johnson</v>
      </c>
      <c r="CS52">
        <v>53461</v>
      </c>
      <c r="CT52" t="s">
        <v>384</v>
      </c>
      <c r="CU52" t="s">
        <v>482</v>
      </c>
      <c r="CV52" t="s">
        <v>103</v>
      </c>
      <c r="CW52" t="s">
        <v>1578</v>
      </c>
      <c r="CX52" t="s">
        <v>1579</v>
      </c>
      <c r="CY52" t="s">
        <v>459</v>
      </c>
      <c r="CZ52">
        <v>28.8</v>
      </c>
      <c r="DA52">
        <v>40</v>
      </c>
      <c r="DB52">
        <v>93.8</v>
      </c>
      <c r="DD52" s="86" t="str">
        <f t="shared" si="3"/>
        <v>53461Execucao Bonus</v>
      </c>
      <c r="DE52">
        <v>53461</v>
      </c>
      <c r="DF52" t="s">
        <v>384</v>
      </c>
      <c r="DG52" t="s">
        <v>482</v>
      </c>
      <c r="DH52" t="s">
        <v>103</v>
      </c>
      <c r="DI52" t="s">
        <v>1684</v>
      </c>
      <c r="DJ52" t="s">
        <v>1685</v>
      </c>
      <c r="DK52" t="s">
        <v>1291</v>
      </c>
      <c r="DL52">
        <v>5</v>
      </c>
      <c r="DM52">
        <v>5</v>
      </c>
      <c r="DN52">
        <v>88.8</v>
      </c>
      <c r="DP52" s="86" t="str">
        <f t="shared" si="4"/>
        <v>52169Execucao Bonus</v>
      </c>
      <c r="DQ52">
        <v>52169</v>
      </c>
      <c r="DR52" t="s">
        <v>331</v>
      </c>
      <c r="DS52" t="s">
        <v>1306</v>
      </c>
      <c r="DT52" t="s">
        <v>103</v>
      </c>
      <c r="DU52" t="s">
        <v>1762</v>
      </c>
      <c r="DV52" t="s">
        <v>1763</v>
      </c>
      <c r="DW52" t="s">
        <v>1291</v>
      </c>
      <c r="DX52">
        <v>5</v>
      </c>
      <c r="DY52">
        <v>5</v>
      </c>
      <c r="DZ52">
        <v>96.62</v>
      </c>
      <c r="EB52" s="86" t="str">
        <f t="shared" si="5"/>
        <v>56110Execucao Bonus</v>
      </c>
      <c r="EC52">
        <v>56110</v>
      </c>
      <c r="ED52" t="s">
        <v>385</v>
      </c>
      <c r="EE52" t="s">
        <v>482</v>
      </c>
      <c r="EF52" t="s">
        <v>103</v>
      </c>
      <c r="EG52" t="s">
        <v>1888</v>
      </c>
      <c r="EH52" t="s">
        <v>1889</v>
      </c>
      <c r="EI52" t="s">
        <v>1291</v>
      </c>
      <c r="EJ52">
        <v>5</v>
      </c>
      <c r="EK52">
        <v>5</v>
      </c>
      <c r="EL52">
        <v>75.8</v>
      </c>
    </row>
    <row r="53" spans="1:142" x14ac:dyDescent="0.35">
      <c r="A53" s="86" t="str">
        <f t="shared" si="6"/>
        <v>53461Share Sub Loc Pao Quente SC Johnson</v>
      </c>
      <c r="B53">
        <v>53461</v>
      </c>
      <c r="C53" t="s">
        <v>384</v>
      </c>
      <c r="D53" t="s">
        <v>103</v>
      </c>
      <c r="E53" t="s">
        <v>485</v>
      </c>
      <c r="F53" t="s">
        <v>486</v>
      </c>
      <c r="G53" t="s">
        <v>458</v>
      </c>
      <c r="H53">
        <v>46.25</v>
      </c>
      <c r="I53">
        <v>10.199999999999999</v>
      </c>
      <c r="J53">
        <v>17</v>
      </c>
      <c r="L53" s="86" t="str">
        <f t="shared" si="7"/>
        <v>53461Share Sub Loc Pao Quente SC Johnson</v>
      </c>
      <c r="M53">
        <v>53461</v>
      </c>
      <c r="N53" t="s">
        <v>384</v>
      </c>
      <c r="O53" t="s">
        <v>482</v>
      </c>
      <c r="P53" t="s">
        <v>103</v>
      </c>
      <c r="Q53" t="s">
        <v>640</v>
      </c>
      <c r="R53" t="s">
        <v>641</v>
      </c>
      <c r="S53" t="s">
        <v>458</v>
      </c>
      <c r="T53">
        <v>8.5</v>
      </c>
      <c r="U53">
        <v>17</v>
      </c>
      <c r="V53">
        <v>56.01</v>
      </c>
      <c r="X53" s="86" t="str">
        <f t="shared" si="8"/>
        <v>53486Share Sub Loc Pao Quente SC Johnson</v>
      </c>
      <c r="Y53">
        <v>53486</v>
      </c>
      <c r="Z53" t="s">
        <v>332</v>
      </c>
      <c r="AA53" t="s">
        <v>477</v>
      </c>
      <c r="AB53" t="s">
        <v>103</v>
      </c>
      <c r="AC53" t="s">
        <v>821</v>
      </c>
      <c r="AD53" t="s">
        <v>822</v>
      </c>
      <c r="AE53" t="s">
        <v>458</v>
      </c>
      <c r="AF53">
        <v>4.25</v>
      </c>
      <c r="AG53">
        <v>17</v>
      </c>
      <c r="AH53">
        <v>83.88</v>
      </c>
      <c r="AJ53" s="86" t="str">
        <f t="shared" si="9"/>
        <v>53486Share Sub Category SC Johnson</v>
      </c>
      <c r="AK53">
        <v>53486</v>
      </c>
      <c r="AL53" t="s">
        <v>332</v>
      </c>
      <c r="AM53" t="s">
        <v>104</v>
      </c>
      <c r="AN53" t="s">
        <v>103</v>
      </c>
      <c r="AO53" t="s">
        <v>954</v>
      </c>
      <c r="AP53" t="s">
        <v>955</v>
      </c>
      <c r="AQ53" t="s">
        <v>457</v>
      </c>
      <c r="AR53">
        <v>25</v>
      </c>
      <c r="AS53">
        <v>25</v>
      </c>
      <c r="AT53">
        <v>71.3</v>
      </c>
      <c r="AV53" s="86" t="str">
        <f t="shared" si="10"/>
        <v>53486Share Sub Category SC Johnson</v>
      </c>
      <c r="AW53">
        <v>53486</v>
      </c>
      <c r="AX53" t="s">
        <v>332</v>
      </c>
      <c r="AY53" t="s">
        <v>477</v>
      </c>
      <c r="AZ53" t="s">
        <v>103</v>
      </c>
      <c r="BA53" t="s">
        <v>1057</v>
      </c>
      <c r="BB53" t="s">
        <v>1058</v>
      </c>
      <c r="BC53" t="s">
        <v>457</v>
      </c>
      <c r="BD53">
        <v>25</v>
      </c>
      <c r="BE53">
        <v>25</v>
      </c>
      <c r="BF53">
        <v>68.7</v>
      </c>
      <c r="BH53" s="86" t="str">
        <f t="shared" si="11"/>
        <v>53461Share Sub Category SC Johnson</v>
      </c>
      <c r="BI53">
        <v>53461</v>
      </c>
      <c r="BJ53" t="s">
        <v>384</v>
      </c>
      <c r="BK53" t="s">
        <v>482</v>
      </c>
      <c r="BL53" t="s">
        <v>103</v>
      </c>
      <c r="BM53" t="s">
        <v>1221</v>
      </c>
      <c r="BN53" t="s">
        <v>1222</v>
      </c>
      <c r="BO53" t="s">
        <v>457</v>
      </c>
      <c r="BP53">
        <v>21.425000000000001</v>
      </c>
      <c r="BQ53">
        <v>25</v>
      </c>
      <c r="BR53">
        <v>63.77</v>
      </c>
      <c r="BT53" s="86" t="str">
        <f t="shared" si="0"/>
        <v>53405Share Sub Category SC Johnson</v>
      </c>
      <c r="BU53">
        <v>53405</v>
      </c>
      <c r="BV53" t="s">
        <v>383</v>
      </c>
      <c r="BW53" t="s">
        <v>482</v>
      </c>
      <c r="BX53" t="s">
        <v>103</v>
      </c>
      <c r="BY53" t="s">
        <v>1321</v>
      </c>
      <c r="BZ53" t="s">
        <v>1322</v>
      </c>
      <c r="CA53" t="s">
        <v>457</v>
      </c>
      <c r="CB53">
        <v>21.425000000000001</v>
      </c>
      <c r="CC53">
        <v>25</v>
      </c>
      <c r="CD53">
        <v>80.42</v>
      </c>
      <c r="CF53" s="86" t="str">
        <f t="shared" si="1"/>
        <v>53405Share Sub Category SC Johnson</v>
      </c>
      <c r="CG53">
        <v>53405</v>
      </c>
      <c r="CH53" t="s">
        <v>383</v>
      </c>
      <c r="CI53" t="s">
        <v>482</v>
      </c>
      <c r="CJ53" t="s">
        <v>103</v>
      </c>
      <c r="CK53" t="s">
        <v>1420</v>
      </c>
      <c r="CL53" t="s">
        <v>1421</v>
      </c>
      <c r="CM53" t="s">
        <v>457</v>
      </c>
      <c r="CN53">
        <v>21.425000000000001</v>
      </c>
      <c r="CO53">
        <v>25</v>
      </c>
      <c r="CP53">
        <v>91.03</v>
      </c>
      <c r="CR53" s="86" t="str">
        <f t="shared" si="2"/>
        <v>53461Share Sub Category SC Johnson</v>
      </c>
      <c r="CS53">
        <v>53461</v>
      </c>
      <c r="CT53" t="s">
        <v>384</v>
      </c>
      <c r="CU53" t="s">
        <v>482</v>
      </c>
      <c r="CV53" t="s">
        <v>103</v>
      </c>
      <c r="CW53" t="s">
        <v>1578</v>
      </c>
      <c r="CX53" t="s">
        <v>1579</v>
      </c>
      <c r="CY53" t="s">
        <v>457</v>
      </c>
      <c r="CZ53">
        <v>25</v>
      </c>
      <c r="DA53">
        <v>25</v>
      </c>
      <c r="DB53">
        <v>93.8</v>
      </c>
      <c r="DD53" s="86" t="str">
        <f t="shared" si="3"/>
        <v>53461Cross Merchan SC Johnson</v>
      </c>
      <c r="DE53">
        <v>53461</v>
      </c>
      <c r="DF53" t="s">
        <v>384</v>
      </c>
      <c r="DG53" t="s">
        <v>482</v>
      </c>
      <c r="DH53" t="s">
        <v>103</v>
      </c>
      <c r="DI53" t="s">
        <v>1684</v>
      </c>
      <c r="DJ53" t="s">
        <v>1685</v>
      </c>
      <c r="DK53" t="s">
        <v>111</v>
      </c>
      <c r="DL53">
        <v>5</v>
      </c>
      <c r="DM53">
        <v>5</v>
      </c>
      <c r="DN53">
        <v>88.8</v>
      </c>
      <c r="DP53" s="86" t="str">
        <f t="shared" si="4"/>
        <v>52169Cross Merchan SC Johnson</v>
      </c>
      <c r="DQ53">
        <v>52169</v>
      </c>
      <c r="DR53" t="s">
        <v>331</v>
      </c>
      <c r="DS53" t="s">
        <v>1306</v>
      </c>
      <c r="DT53" t="s">
        <v>103</v>
      </c>
      <c r="DU53" t="s">
        <v>1762</v>
      </c>
      <c r="DV53" t="s">
        <v>1763</v>
      </c>
      <c r="DW53" t="s">
        <v>111</v>
      </c>
      <c r="DX53">
        <v>5</v>
      </c>
      <c r="DY53">
        <v>5</v>
      </c>
      <c r="DZ53">
        <v>96.62</v>
      </c>
      <c r="EB53" s="86" t="str">
        <f t="shared" si="5"/>
        <v>56110Cross Merchan SC Johnson</v>
      </c>
      <c r="EC53">
        <v>56110</v>
      </c>
      <c r="ED53" t="s">
        <v>385</v>
      </c>
      <c r="EE53" t="s">
        <v>482</v>
      </c>
      <c r="EF53" t="s">
        <v>103</v>
      </c>
      <c r="EG53" t="s">
        <v>1888</v>
      </c>
      <c r="EH53" t="s">
        <v>1889</v>
      </c>
      <c r="EI53" t="s">
        <v>111</v>
      </c>
      <c r="EJ53">
        <v>5</v>
      </c>
      <c r="EK53">
        <v>5</v>
      </c>
      <c r="EL53">
        <v>75.8</v>
      </c>
    </row>
    <row r="54" spans="1:142" x14ac:dyDescent="0.35">
      <c r="A54" s="86" t="str">
        <f t="shared" si="6"/>
        <v>53461Mix + Intocáveis SC Johnson</v>
      </c>
      <c r="B54">
        <v>53461</v>
      </c>
      <c r="C54" t="s">
        <v>384</v>
      </c>
      <c r="D54" t="s">
        <v>103</v>
      </c>
      <c r="E54" t="s">
        <v>485</v>
      </c>
      <c r="F54" t="s">
        <v>486</v>
      </c>
      <c r="G54" t="s">
        <v>459</v>
      </c>
      <c r="H54">
        <v>46.25</v>
      </c>
      <c r="I54">
        <v>14.625</v>
      </c>
      <c r="J54">
        <v>45</v>
      </c>
      <c r="L54" s="86" t="str">
        <f t="shared" si="7"/>
        <v>53461Mix + Intocáveis SC Johnson</v>
      </c>
      <c r="M54">
        <v>53461</v>
      </c>
      <c r="N54" t="s">
        <v>384</v>
      </c>
      <c r="O54" t="s">
        <v>482</v>
      </c>
      <c r="P54" t="s">
        <v>103</v>
      </c>
      <c r="Q54" t="s">
        <v>640</v>
      </c>
      <c r="R54" t="s">
        <v>641</v>
      </c>
      <c r="S54" t="s">
        <v>459</v>
      </c>
      <c r="T54">
        <v>30.375</v>
      </c>
      <c r="U54">
        <v>45</v>
      </c>
      <c r="V54">
        <v>56.01</v>
      </c>
      <c r="X54" s="86" t="str">
        <f t="shared" si="8"/>
        <v>53486Mix + Intocáveis SC Johnson</v>
      </c>
      <c r="Y54">
        <v>53486</v>
      </c>
      <c r="Z54" t="s">
        <v>332</v>
      </c>
      <c r="AA54" t="s">
        <v>477</v>
      </c>
      <c r="AB54" t="s">
        <v>103</v>
      </c>
      <c r="AC54" t="s">
        <v>821</v>
      </c>
      <c r="AD54" t="s">
        <v>822</v>
      </c>
      <c r="AE54" t="s">
        <v>459</v>
      </c>
      <c r="AF54">
        <v>41.625</v>
      </c>
      <c r="AG54">
        <v>45</v>
      </c>
      <c r="AH54">
        <v>83.88</v>
      </c>
      <c r="AJ54" s="86" t="str">
        <f t="shared" si="9"/>
        <v>53486Cross Merchan SC Johnson</v>
      </c>
      <c r="AK54">
        <v>53486</v>
      </c>
      <c r="AL54" t="s">
        <v>332</v>
      </c>
      <c r="AM54" t="s">
        <v>104</v>
      </c>
      <c r="AN54" t="s">
        <v>103</v>
      </c>
      <c r="AO54" t="s">
        <v>954</v>
      </c>
      <c r="AP54" t="s">
        <v>955</v>
      </c>
      <c r="AQ54" t="s">
        <v>111</v>
      </c>
      <c r="AR54">
        <v>2.5</v>
      </c>
      <c r="AS54">
        <v>5</v>
      </c>
      <c r="AT54">
        <v>71.3</v>
      </c>
      <c r="AV54" s="86" t="str">
        <f t="shared" si="10"/>
        <v>53486Cross Merchan SC Johnson</v>
      </c>
      <c r="AW54">
        <v>53486</v>
      </c>
      <c r="AX54" t="s">
        <v>332</v>
      </c>
      <c r="AY54" t="s">
        <v>477</v>
      </c>
      <c r="AZ54" t="s">
        <v>103</v>
      </c>
      <c r="BA54" t="s">
        <v>1057</v>
      </c>
      <c r="BB54" t="s">
        <v>1058</v>
      </c>
      <c r="BC54" t="s">
        <v>111</v>
      </c>
      <c r="BD54">
        <v>1.665</v>
      </c>
      <c r="BE54">
        <v>5</v>
      </c>
      <c r="BF54">
        <v>68.7</v>
      </c>
      <c r="BH54" s="86" t="str">
        <f t="shared" si="11"/>
        <v>53461Cross Merchan SC Johnson</v>
      </c>
      <c r="BI54">
        <v>53461</v>
      </c>
      <c r="BJ54" t="s">
        <v>384</v>
      </c>
      <c r="BK54" t="s">
        <v>482</v>
      </c>
      <c r="BL54" t="s">
        <v>103</v>
      </c>
      <c r="BM54" t="s">
        <v>1221</v>
      </c>
      <c r="BN54" t="s">
        <v>1222</v>
      </c>
      <c r="BO54" t="s">
        <v>111</v>
      </c>
      <c r="BP54">
        <v>1.665</v>
      </c>
      <c r="BQ54">
        <v>5</v>
      </c>
      <c r="BR54">
        <v>63.77</v>
      </c>
      <c r="BT54" s="86" t="str">
        <f t="shared" si="0"/>
        <v>53405Share Sub Loc Pao Quente SC Johnson</v>
      </c>
      <c r="BU54">
        <v>53405</v>
      </c>
      <c r="BV54" t="s">
        <v>383</v>
      </c>
      <c r="BW54" t="s">
        <v>482</v>
      </c>
      <c r="BX54" t="s">
        <v>103</v>
      </c>
      <c r="BY54" t="s">
        <v>1321</v>
      </c>
      <c r="BZ54" t="s">
        <v>1322</v>
      </c>
      <c r="CA54" t="s">
        <v>458</v>
      </c>
      <c r="CB54">
        <v>12</v>
      </c>
      <c r="CC54">
        <v>12</v>
      </c>
      <c r="CD54">
        <v>80.42</v>
      </c>
      <c r="CF54" s="86" t="str">
        <f t="shared" si="1"/>
        <v>53405Share Sub Loc Pao Quente SC Johnson</v>
      </c>
      <c r="CG54">
        <v>53405</v>
      </c>
      <c r="CH54" t="s">
        <v>383</v>
      </c>
      <c r="CI54" t="s">
        <v>482</v>
      </c>
      <c r="CJ54" t="s">
        <v>103</v>
      </c>
      <c r="CK54" t="s">
        <v>1420</v>
      </c>
      <c r="CL54" t="s">
        <v>1421</v>
      </c>
      <c r="CM54" t="s">
        <v>458</v>
      </c>
      <c r="CN54">
        <v>12</v>
      </c>
      <c r="CO54">
        <v>12</v>
      </c>
      <c r="CP54">
        <v>91.03</v>
      </c>
      <c r="CR54" s="86" t="str">
        <f t="shared" si="2"/>
        <v>53461Share Sub Loc Pao Quente SC Johnson</v>
      </c>
      <c r="CS54">
        <v>53461</v>
      </c>
      <c r="CT54" t="s">
        <v>384</v>
      </c>
      <c r="CU54" t="s">
        <v>482</v>
      </c>
      <c r="CV54" t="s">
        <v>103</v>
      </c>
      <c r="CW54" t="s">
        <v>1578</v>
      </c>
      <c r="CX54" t="s">
        <v>1579</v>
      </c>
      <c r="CY54" t="s">
        <v>458</v>
      </c>
      <c r="CZ54">
        <v>12</v>
      </c>
      <c r="DA54">
        <v>12</v>
      </c>
      <c r="DB54">
        <v>93.8</v>
      </c>
      <c r="DD54" s="86" t="str">
        <f t="shared" si="3"/>
        <v>53461Lancamentos</v>
      </c>
      <c r="DE54">
        <v>53461</v>
      </c>
      <c r="DF54" t="s">
        <v>384</v>
      </c>
      <c r="DG54" t="s">
        <v>482</v>
      </c>
      <c r="DH54" t="s">
        <v>103</v>
      </c>
      <c r="DI54" t="s">
        <v>1684</v>
      </c>
      <c r="DJ54" t="s">
        <v>1685</v>
      </c>
      <c r="DK54" t="s">
        <v>953</v>
      </c>
      <c r="DL54">
        <v>9</v>
      </c>
      <c r="DM54">
        <v>18</v>
      </c>
      <c r="DN54">
        <v>88.8</v>
      </c>
      <c r="DP54" s="86" t="str">
        <f t="shared" si="4"/>
        <v>52169Lancamentos</v>
      </c>
      <c r="DQ54">
        <v>52169</v>
      </c>
      <c r="DR54" t="s">
        <v>331</v>
      </c>
      <c r="DS54" t="s">
        <v>1306</v>
      </c>
      <c r="DT54" t="s">
        <v>103</v>
      </c>
      <c r="DU54" t="s">
        <v>1762</v>
      </c>
      <c r="DV54" t="s">
        <v>1763</v>
      </c>
      <c r="DW54" t="s">
        <v>953</v>
      </c>
      <c r="DX54">
        <v>18</v>
      </c>
      <c r="DY54">
        <v>18</v>
      </c>
      <c r="DZ54">
        <v>96.62</v>
      </c>
      <c r="EB54" s="86" t="str">
        <f t="shared" si="5"/>
        <v>56110Lancamentos</v>
      </c>
      <c r="EC54">
        <v>56110</v>
      </c>
      <c r="ED54" t="s">
        <v>385</v>
      </c>
      <c r="EE54" t="s">
        <v>482</v>
      </c>
      <c r="EF54" t="s">
        <v>103</v>
      </c>
      <c r="EG54" t="s">
        <v>1888</v>
      </c>
      <c r="EH54" t="s">
        <v>1889</v>
      </c>
      <c r="EI54" t="s">
        <v>953</v>
      </c>
      <c r="EJ54">
        <v>0</v>
      </c>
      <c r="EK54">
        <v>18</v>
      </c>
      <c r="EL54">
        <v>75.8</v>
      </c>
    </row>
    <row r="55" spans="1:142" x14ac:dyDescent="0.35">
      <c r="A55" s="86" t="str">
        <f t="shared" si="6"/>
        <v>53486Share Sub Category SC Johnson</v>
      </c>
      <c r="B55">
        <v>53486</v>
      </c>
      <c r="C55" t="s">
        <v>332</v>
      </c>
      <c r="D55" t="s">
        <v>103</v>
      </c>
      <c r="E55" t="s">
        <v>487</v>
      </c>
      <c r="F55" t="s">
        <v>488</v>
      </c>
      <c r="G55" t="s">
        <v>457</v>
      </c>
      <c r="H55">
        <v>88.72</v>
      </c>
      <c r="I55">
        <v>30</v>
      </c>
      <c r="J55">
        <v>30</v>
      </c>
      <c r="L55" s="86" t="str">
        <f t="shared" si="7"/>
        <v>53486Share Sub Category SC Johnson</v>
      </c>
      <c r="M55">
        <v>53486</v>
      </c>
      <c r="N55" t="s">
        <v>332</v>
      </c>
      <c r="O55" t="s">
        <v>477</v>
      </c>
      <c r="P55" t="s">
        <v>103</v>
      </c>
      <c r="Q55" t="s">
        <v>642</v>
      </c>
      <c r="R55" t="s">
        <v>643</v>
      </c>
      <c r="S55" t="s">
        <v>457</v>
      </c>
      <c r="T55">
        <v>21.42</v>
      </c>
      <c r="U55">
        <v>30</v>
      </c>
      <c r="V55">
        <v>73.3</v>
      </c>
      <c r="X55" s="86" t="str">
        <f t="shared" si="8"/>
        <v>53581Share Sub Category SC Johnson</v>
      </c>
      <c r="Y55">
        <v>53581</v>
      </c>
      <c r="Z55" t="s">
        <v>374</v>
      </c>
      <c r="AA55" t="s">
        <v>104</v>
      </c>
      <c r="AB55" t="s">
        <v>103</v>
      </c>
      <c r="AC55" t="s">
        <v>785</v>
      </c>
      <c r="AD55" t="s">
        <v>786</v>
      </c>
      <c r="AE55" t="s">
        <v>457</v>
      </c>
      <c r="AF55">
        <v>30</v>
      </c>
      <c r="AG55">
        <v>30</v>
      </c>
      <c r="AH55">
        <v>89</v>
      </c>
      <c r="AJ55" s="86" t="str">
        <f t="shared" si="9"/>
        <v>53486Share Sub Loc Pao Quente SC Johnson</v>
      </c>
      <c r="AK55">
        <v>53486</v>
      </c>
      <c r="AL55" t="s">
        <v>332</v>
      </c>
      <c r="AM55" t="s">
        <v>104</v>
      </c>
      <c r="AN55" t="s">
        <v>103</v>
      </c>
      <c r="AO55" t="s">
        <v>954</v>
      </c>
      <c r="AP55" t="s">
        <v>955</v>
      </c>
      <c r="AQ55" t="s">
        <v>458</v>
      </c>
      <c r="AR55">
        <v>9</v>
      </c>
      <c r="AS55">
        <v>12</v>
      </c>
      <c r="AT55">
        <v>71.3</v>
      </c>
      <c r="AV55" s="86" t="str">
        <f t="shared" si="10"/>
        <v>53486Share Sub Loc Pao Quente SC Johnson</v>
      </c>
      <c r="AW55">
        <v>53486</v>
      </c>
      <c r="AX55" t="s">
        <v>332</v>
      </c>
      <c r="AY55" t="s">
        <v>477</v>
      </c>
      <c r="AZ55" t="s">
        <v>103</v>
      </c>
      <c r="BA55" t="s">
        <v>1057</v>
      </c>
      <c r="BB55" t="s">
        <v>1058</v>
      </c>
      <c r="BC55" t="s">
        <v>458</v>
      </c>
      <c r="BD55">
        <v>9</v>
      </c>
      <c r="BE55">
        <v>12</v>
      </c>
      <c r="BF55">
        <v>68.7</v>
      </c>
      <c r="BH55" s="86" t="str">
        <f t="shared" si="11"/>
        <v>53461Share Sub Loc Pao Quente SC Johnson</v>
      </c>
      <c r="BI55">
        <v>53461</v>
      </c>
      <c r="BJ55" t="s">
        <v>384</v>
      </c>
      <c r="BK55" t="s">
        <v>482</v>
      </c>
      <c r="BL55" t="s">
        <v>103</v>
      </c>
      <c r="BM55" t="s">
        <v>1221</v>
      </c>
      <c r="BN55" t="s">
        <v>1222</v>
      </c>
      <c r="BO55" t="s">
        <v>458</v>
      </c>
      <c r="BP55">
        <v>12</v>
      </c>
      <c r="BQ55">
        <v>12</v>
      </c>
      <c r="BR55">
        <v>63.77</v>
      </c>
      <c r="BT55" s="86" t="str">
        <f t="shared" si="0"/>
        <v>53405Cross Merchan SC Johnson</v>
      </c>
      <c r="BU55">
        <v>53405</v>
      </c>
      <c r="BV55" t="s">
        <v>383</v>
      </c>
      <c r="BW55" t="s">
        <v>482</v>
      </c>
      <c r="BX55" t="s">
        <v>103</v>
      </c>
      <c r="BY55" t="s">
        <v>1321</v>
      </c>
      <c r="BZ55" t="s">
        <v>1322</v>
      </c>
      <c r="CA55" t="s">
        <v>111</v>
      </c>
      <c r="CB55">
        <v>5</v>
      </c>
      <c r="CC55">
        <v>5</v>
      </c>
      <c r="CD55">
        <v>80.42</v>
      </c>
      <c r="CF55" s="86" t="str">
        <f t="shared" si="1"/>
        <v>53405Cross Merchan SC Johnson</v>
      </c>
      <c r="CG55">
        <v>53405</v>
      </c>
      <c r="CH55" t="s">
        <v>383</v>
      </c>
      <c r="CI55" t="s">
        <v>482</v>
      </c>
      <c r="CJ55" t="s">
        <v>103</v>
      </c>
      <c r="CK55" t="s">
        <v>1420</v>
      </c>
      <c r="CL55" t="s">
        <v>1421</v>
      </c>
      <c r="CM55" t="s">
        <v>111</v>
      </c>
      <c r="CN55">
        <v>5</v>
      </c>
      <c r="CO55">
        <v>5</v>
      </c>
      <c r="CP55">
        <v>91.03</v>
      </c>
      <c r="CR55" s="86" t="str">
        <f t="shared" si="2"/>
        <v>53461Cross Merchan SC Johnson</v>
      </c>
      <c r="CS55">
        <v>53461</v>
      </c>
      <c r="CT55" t="s">
        <v>384</v>
      </c>
      <c r="CU55" t="s">
        <v>482</v>
      </c>
      <c r="CV55" t="s">
        <v>103</v>
      </c>
      <c r="CW55" t="s">
        <v>1578</v>
      </c>
      <c r="CX55" t="s">
        <v>1579</v>
      </c>
      <c r="CY55" t="s">
        <v>111</v>
      </c>
      <c r="CZ55">
        <v>5</v>
      </c>
      <c r="DA55">
        <v>5</v>
      </c>
      <c r="DB55">
        <v>93.8</v>
      </c>
      <c r="DD55" s="86" t="str">
        <f t="shared" si="3"/>
        <v>53461Share Sub Category SC Johnson</v>
      </c>
      <c r="DE55">
        <v>53461</v>
      </c>
      <c r="DF55" t="s">
        <v>384</v>
      </c>
      <c r="DG55" t="s">
        <v>482</v>
      </c>
      <c r="DH55" t="s">
        <v>103</v>
      </c>
      <c r="DI55" t="s">
        <v>1684</v>
      </c>
      <c r="DJ55" t="s">
        <v>1685</v>
      </c>
      <c r="DK55" t="s">
        <v>457</v>
      </c>
      <c r="DL55">
        <v>25</v>
      </c>
      <c r="DM55">
        <v>25</v>
      </c>
      <c r="DN55">
        <v>88.8</v>
      </c>
      <c r="DP55" s="86" t="str">
        <f t="shared" si="4"/>
        <v>52169Share Sub Category SC Johnson</v>
      </c>
      <c r="DQ55">
        <v>52169</v>
      </c>
      <c r="DR55" t="s">
        <v>331</v>
      </c>
      <c r="DS55" t="s">
        <v>1306</v>
      </c>
      <c r="DT55" t="s">
        <v>103</v>
      </c>
      <c r="DU55" t="s">
        <v>1762</v>
      </c>
      <c r="DV55" t="s">
        <v>1763</v>
      </c>
      <c r="DW55" t="s">
        <v>457</v>
      </c>
      <c r="DX55">
        <v>21.425000000000001</v>
      </c>
      <c r="DY55">
        <v>25</v>
      </c>
      <c r="DZ55">
        <v>96.62</v>
      </c>
      <c r="EB55" s="86" t="str">
        <f t="shared" si="5"/>
        <v>56110Share Sub Category SC Johnson</v>
      </c>
      <c r="EC55">
        <v>56110</v>
      </c>
      <c r="ED55" t="s">
        <v>385</v>
      </c>
      <c r="EE55" t="s">
        <v>482</v>
      </c>
      <c r="EF55" t="s">
        <v>103</v>
      </c>
      <c r="EG55" t="s">
        <v>1888</v>
      </c>
      <c r="EH55" t="s">
        <v>1889</v>
      </c>
      <c r="EI55" t="s">
        <v>457</v>
      </c>
      <c r="EJ55">
        <v>25</v>
      </c>
      <c r="EK55">
        <v>25</v>
      </c>
      <c r="EL55">
        <v>75.8</v>
      </c>
    </row>
    <row r="56" spans="1:142" x14ac:dyDescent="0.35">
      <c r="A56" s="86" t="str">
        <f t="shared" si="6"/>
        <v>53486Cross Merchan SC Johnson</v>
      </c>
      <c r="B56">
        <v>53486</v>
      </c>
      <c r="C56" t="s">
        <v>332</v>
      </c>
      <c r="D56" t="s">
        <v>103</v>
      </c>
      <c r="E56" t="s">
        <v>487</v>
      </c>
      <c r="F56" t="s">
        <v>488</v>
      </c>
      <c r="G56" t="s">
        <v>111</v>
      </c>
      <c r="H56">
        <v>88.72</v>
      </c>
      <c r="I56">
        <v>8</v>
      </c>
      <c r="J56">
        <v>8</v>
      </c>
      <c r="L56" s="86" t="str">
        <f t="shared" si="7"/>
        <v>53486Cross Merchan SC Johnson</v>
      </c>
      <c r="M56">
        <v>53486</v>
      </c>
      <c r="N56" t="s">
        <v>332</v>
      </c>
      <c r="O56" t="s">
        <v>477</v>
      </c>
      <c r="P56" t="s">
        <v>103</v>
      </c>
      <c r="Q56" t="s">
        <v>642</v>
      </c>
      <c r="R56" t="s">
        <v>643</v>
      </c>
      <c r="S56" t="s">
        <v>111</v>
      </c>
      <c r="T56">
        <v>0</v>
      </c>
      <c r="U56">
        <v>8</v>
      </c>
      <c r="V56">
        <v>73.3</v>
      </c>
      <c r="X56" s="86" t="str">
        <f t="shared" si="8"/>
        <v>53581Cross Merchan SC Johnson</v>
      </c>
      <c r="Y56">
        <v>53581</v>
      </c>
      <c r="Z56" t="s">
        <v>374</v>
      </c>
      <c r="AA56" t="s">
        <v>104</v>
      </c>
      <c r="AB56" t="s">
        <v>103</v>
      </c>
      <c r="AC56" t="s">
        <v>785</v>
      </c>
      <c r="AD56" t="s">
        <v>786</v>
      </c>
      <c r="AE56" t="s">
        <v>111</v>
      </c>
      <c r="AF56">
        <v>8</v>
      </c>
      <c r="AG56">
        <v>8</v>
      </c>
      <c r="AH56">
        <v>89</v>
      </c>
      <c r="AJ56" s="86" t="str">
        <f t="shared" si="9"/>
        <v>53486Mix + Intocáveis SC Johnson</v>
      </c>
      <c r="AK56">
        <v>53486</v>
      </c>
      <c r="AL56" t="s">
        <v>332</v>
      </c>
      <c r="AM56" t="s">
        <v>104</v>
      </c>
      <c r="AN56" t="s">
        <v>103</v>
      </c>
      <c r="AO56" t="s">
        <v>954</v>
      </c>
      <c r="AP56" t="s">
        <v>955</v>
      </c>
      <c r="AQ56" t="s">
        <v>459</v>
      </c>
      <c r="AR56">
        <v>34.799999999999997</v>
      </c>
      <c r="AS56">
        <v>40</v>
      </c>
      <c r="AT56">
        <v>71.3</v>
      </c>
      <c r="AV56" s="86" t="str">
        <f t="shared" si="10"/>
        <v>53486Mix + Intocáveis SC Johnson</v>
      </c>
      <c r="AW56">
        <v>53486</v>
      </c>
      <c r="AX56" t="s">
        <v>332</v>
      </c>
      <c r="AY56" t="s">
        <v>477</v>
      </c>
      <c r="AZ56" t="s">
        <v>103</v>
      </c>
      <c r="BA56" t="s">
        <v>1057</v>
      </c>
      <c r="BB56" t="s">
        <v>1058</v>
      </c>
      <c r="BC56" t="s">
        <v>459</v>
      </c>
      <c r="BD56">
        <v>33.04</v>
      </c>
      <c r="BE56">
        <v>40</v>
      </c>
      <c r="BF56">
        <v>68.7</v>
      </c>
      <c r="BH56" s="86" t="str">
        <f t="shared" si="11"/>
        <v>53461Mix + Intocáveis SC Johnson</v>
      </c>
      <c r="BI56">
        <v>53461</v>
      </c>
      <c r="BJ56" t="s">
        <v>384</v>
      </c>
      <c r="BK56" t="s">
        <v>482</v>
      </c>
      <c r="BL56" t="s">
        <v>103</v>
      </c>
      <c r="BM56" t="s">
        <v>1221</v>
      </c>
      <c r="BN56" t="s">
        <v>1222</v>
      </c>
      <c r="BO56" t="s">
        <v>459</v>
      </c>
      <c r="BP56">
        <v>28.68</v>
      </c>
      <c r="BQ56">
        <v>40</v>
      </c>
      <c r="BR56">
        <v>63.77</v>
      </c>
      <c r="BT56" s="86" t="str">
        <f t="shared" si="0"/>
        <v>53405Execucao Bonus</v>
      </c>
      <c r="BU56">
        <v>53405</v>
      </c>
      <c r="BV56" t="s">
        <v>383</v>
      </c>
      <c r="BW56" t="s">
        <v>482</v>
      </c>
      <c r="BX56" t="s">
        <v>103</v>
      </c>
      <c r="BY56" t="s">
        <v>1321</v>
      </c>
      <c r="BZ56" t="s">
        <v>1322</v>
      </c>
      <c r="CA56" t="s">
        <v>1291</v>
      </c>
      <c r="CB56">
        <v>5</v>
      </c>
      <c r="CC56">
        <v>5</v>
      </c>
      <c r="CD56">
        <v>80.42</v>
      </c>
      <c r="CF56" s="86" t="str">
        <f t="shared" si="1"/>
        <v>53405Execucao Bonus</v>
      </c>
      <c r="CG56">
        <v>53405</v>
      </c>
      <c r="CH56" t="s">
        <v>383</v>
      </c>
      <c r="CI56" t="s">
        <v>482</v>
      </c>
      <c r="CJ56" t="s">
        <v>103</v>
      </c>
      <c r="CK56" t="s">
        <v>1420</v>
      </c>
      <c r="CL56" t="s">
        <v>1421</v>
      </c>
      <c r="CM56" t="s">
        <v>1291</v>
      </c>
      <c r="CN56">
        <v>5</v>
      </c>
      <c r="CO56">
        <v>5</v>
      </c>
      <c r="CP56">
        <v>91.03</v>
      </c>
      <c r="CR56" s="86" t="str">
        <f t="shared" si="2"/>
        <v>53461Execucao Bonus</v>
      </c>
      <c r="CS56">
        <v>53461</v>
      </c>
      <c r="CT56" t="s">
        <v>384</v>
      </c>
      <c r="CU56" t="s">
        <v>482</v>
      </c>
      <c r="CV56" t="s">
        <v>103</v>
      </c>
      <c r="CW56" t="s">
        <v>1578</v>
      </c>
      <c r="CX56" t="s">
        <v>1579</v>
      </c>
      <c r="CY56" t="s">
        <v>1291</v>
      </c>
      <c r="CZ56">
        <v>5</v>
      </c>
      <c r="DA56">
        <v>5</v>
      </c>
      <c r="DB56">
        <v>93.8</v>
      </c>
      <c r="DD56" s="86" t="str">
        <f t="shared" si="3"/>
        <v>53461Share Sub Loc Pao Quente SC Johnson</v>
      </c>
      <c r="DE56">
        <v>53461</v>
      </c>
      <c r="DF56" t="s">
        <v>384</v>
      </c>
      <c r="DG56" t="s">
        <v>482</v>
      </c>
      <c r="DH56" t="s">
        <v>103</v>
      </c>
      <c r="DI56" t="s">
        <v>1684</v>
      </c>
      <c r="DJ56" t="s">
        <v>1685</v>
      </c>
      <c r="DK56" t="s">
        <v>458</v>
      </c>
      <c r="DL56">
        <v>12</v>
      </c>
      <c r="DM56">
        <v>12</v>
      </c>
      <c r="DN56">
        <v>88.8</v>
      </c>
      <c r="DP56" s="86" t="str">
        <f t="shared" si="4"/>
        <v>52169Share Sub Loc Pao Quente SC Johnson</v>
      </c>
      <c r="DQ56">
        <v>52169</v>
      </c>
      <c r="DR56" t="s">
        <v>331</v>
      </c>
      <c r="DS56" t="s">
        <v>1306</v>
      </c>
      <c r="DT56" t="s">
        <v>103</v>
      </c>
      <c r="DU56" t="s">
        <v>1762</v>
      </c>
      <c r="DV56" t="s">
        <v>1763</v>
      </c>
      <c r="DW56" t="s">
        <v>458</v>
      </c>
      <c r="DX56">
        <v>12</v>
      </c>
      <c r="DY56">
        <v>12</v>
      </c>
      <c r="DZ56">
        <v>96.62</v>
      </c>
      <c r="EB56" s="86" t="str">
        <f t="shared" si="5"/>
        <v>56110Share Sub Loc Pao Quente SC Johnson</v>
      </c>
      <c r="EC56">
        <v>56110</v>
      </c>
      <c r="ED56" t="s">
        <v>385</v>
      </c>
      <c r="EE56" t="s">
        <v>482</v>
      </c>
      <c r="EF56" t="s">
        <v>103</v>
      </c>
      <c r="EG56" t="s">
        <v>1888</v>
      </c>
      <c r="EH56" t="s">
        <v>1889</v>
      </c>
      <c r="EI56" t="s">
        <v>458</v>
      </c>
      <c r="EJ56">
        <v>12</v>
      </c>
      <c r="EK56">
        <v>12</v>
      </c>
      <c r="EL56">
        <v>75.8</v>
      </c>
    </row>
    <row r="57" spans="1:142" x14ac:dyDescent="0.35">
      <c r="A57" s="86" t="str">
        <f t="shared" si="6"/>
        <v>53486Share Sub Loc Pao Quente SC Johnson</v>
      </c>
      <c r="B57">
        <v>53486</v>
      </c>
      <c r="C57" t="s">
        <v>332</v>
      </c>
      <c r="D57" t="s">
        <v>103</v>
      </c>
      <c r="E57" t="s">
        <v>487</v>
      </c>
      <c r="F57" t="s">
        <v>488</v>
      </c>
      <c r="G57" t="s">
        <v>458</v>
      </c>
      <c r="H57">
        <v>88.72</v>
      </c>
      <c r="I57">
        <v>13.6</v>
      </c>
      <c r="J57">
        <v>17</v>
      </c>
      <c r="L57" s="86" t="str">
        <f t="shared" si="7"/>
        <v>53486Share Sub Loc Pao Quente SC Johnson</v>
      </c>
      <c r="M57">
        <v>53486</v>
      </c>
      <c r="N57" t="s">
        <v>332</v>
      </c>
      <c r="O57" t="s">
        <v>477</v>
      </c>
      <c r="P57" t="s">
        <v>103</v>
      </c>
      <c r="Q57" t="s">
        <v>642</v>
      </c>
      <c r="R57" t="s">
        <v>643</v>
      </c>
      <c r="S57" t="s">
        <v>458</v>
      </c>
      <c r="T57">
        <v>17</v>
      </c>
      <c r="U57">
        <v>17</v>
      </c>
      <c r="V57">
        <v>73.3</v>
      </c>
      <c r="X57" s="86" t="str">
        <f t="shared" si="8"/>
        <v>53581Share Sub Loc Pao Quente SC Johnson</v>
      </c>
      <c r="Y57">
        <v>53581</v>
      </c>
      <c r="Z57" t="s">
        <v>374</v>
      </c>
      <c r="AA57" t="s">
        <v>104</v>
      </c>
      <c r="AB57" t="s">
        <v>103</v>
      </c>
      <c r="AC57" t="s">
        <v>785</v>
      </c>
      <c r="AD57" t="s">
        <v>786</v>
      </c>
      <c r="AE57" t="s">
        <v>458</v>
      </c>
      <c r="AF57">
        <v>12.75</v>
      </c>
      <c r="AG57">
        <v>17</v>
      </c>
      <c r="AH57">
        <v>89</v>
      </c>
      <c r="AJ57" s="86" t="str">
        <f t="shared" si="9"/>
        <v>53486Lancamentos</v>
      </c>
      <c r="AK57">
        <v>53486</v>
      </c>
      <c r="AL57" t="s">
        <v>332</v>
      </c>
      <c r="AM57" t="s">
        <v>104</v>
      </c>
      <c r="AN57" t="s">
        <v>103</v>
      </c>
      <c r="AO57" t="s">
        <v>954</v>
      </c>
      <c r="AP57" t="s">
        <v>955</v>
      </c>
      <c r="AQ57" t="s">
        <v>953</v>
      </c>
      <c r="AR57">
        <v>0</v>
      </c>
      <c r="AS57">
        <v>18</v>
      </c>
      <c r="AT57">
        <v>71.3</v>
      </c>
      <c r="AV57" s="86" t="str">
        <f t="shared" si="10"/>
        <v>53486Lancamentos</v>
      </c>
      <c r="AW57">
        <v>53486</v>
      </c>
      <c r="AX57" t="s">
        <v>332</v>
      </c>
      <c r="AY57" t="s">
        <v>477</v>
      </c>
      <c r="AZ57" t="s">
        <v>103</v>
      </c>
      <c r="BA57" t="s">
        <v>1057</v>
      </c>
      <c r="BB57" t="s">
        <v>1058</v>
      </c>
      <c r="BC57" t="s">
        <v>953</v>
      </c>
      <c r="BD57">
        <v>0</v>
      </c>
      <c r="BE57">
        <v>18</v>
      </c>
      <c r="BF57">
        <v>68.7</v>
      </c>
      <c r="BH57" s="86" t="str">
        <f t="shared" si="11"/>
        <v>53461Lancamentos</v>
      </c>
      <c r="BI57">
        <v>53461</v>
      </c>
      <c r="BJ57" t="s">
        <v>384</v>
      </c>
      <c r="BK57" t="s">
        <v>482</v>
      </c>
      <c r="BL57" t="s">
        <v>103</v>
      </c>
      <c r="BM57" t="s">
        <v>1221</v>
      </c>
      <c r="BN57" t="s">
        <v>1222</v>
      </c>
      <c r="BO57" t="s">
        <v>953</v>
      </c>
      <c r="BP57">
        <v>0</v>
      </c>
      <c r="BQ57">
        <v>18</v>
      </c>
      <c r="BR57">
        <v>63.77</v>
      </c>
      <c r="BT57" s="86" t="str">
        <f t="shared" si="0"/>
        <v>53461Lancamentos</v>
      </c>
      <c r="BU57">
        <v>53461</v>
      </c>
      <c r="BV57" t="s">
        <v>384</v>
      </c>
      <c r="BW57" t="s">
        <v>482</v>
      </c>
      <c r="BX57" t="s">
        <v>103</v>
      </c>
      <c r="BY57" t="s">
        <v>1354</v>
      </c>
      <c r="BZ57" t="s">
        <v>1355</v>
      </c>
      <c r="CA57" t="s">
        <v>953</v>
      </c>
      <c r="CB57">
        <v>9</v>
      </c>
      <c r="CC57">
        <v>18</v>
      </c>
      <c r="CD57">
        <v>86.4</v>
      </c>
      <c r="CF57" s="86" t="str">
        <f t="shared" si="1"/>
        <v>53461Lancamentos</v>
      </c>
      <c r="CG57">
        <v>53461</v>
      </c>
      <c r="CH57" t="s">
        <v>384</v>
      </c>
      <c r="CI57" t="s">
        <v>482</v>
      </c>
      <c r="CJ57" t="s">
        <v>103</v>
      </c>
      <c r="CK57" t="s">
        <v>1455</v>
      </c>
      <c r="CL57" t="s">
        <v>1456</v>
      </c>
      <c r="CM57" t="s">
        <v>953</v>
      </c>
      <c r="CN57">
        <v>9</v>
      </c>
      <c r="CO57">
        <v>18</v>
      </c>
      <c r="CP57">
        <v>85.6</v>
      </c>
      <c r="CR57" s="86" t="str">
        <f t="shared" si="2"/>
        <v>53486Lancamentos</v>
      </c>
      <c r="CS57">
        <v>53486</v>
      </c>
      <c r="CT57" t="s">
        <v>332</v>
      </c>
      <c r="CU57" t="s">
        <v>477</v>
      </c>
      <c r="CV57" t="s">
        <v>103</v>
      </c>
      <c r="CW57" t="s">
        <v>1630</v>
      </c>
      <c r="CX57" t="s">
        <v>1631</v>
      </c>
      <c r="CY57" t="s">
        <v>953</v>
      </c>
      <c r="CZ57">
        <v>18</v>
      </c>
      <c r="DA57">
        <v>18</v>
      </c>
      <c r="DB57">
        <v>103.4</v>
      </c>
      <c r="DD57" s="86" t="str">
        <f t="shared" si="3"/>
        <v>53486Mix + Intocáveis SC Johnson</v>
      </c>
      <c r="DE57">
        <v>53486</v>
      </c>
      <c r="DF57" t="s">
        <v>332</v>
      </c>
      <c r="DG57" t="s">
        <v>477</v>
      </c>
      <c r="DH57" t="s">
        <v>103</v>
      </c>
      <c r="DI57" t="s">
        <v>1658</v>
      </c>
      <c r="DJ57" t="s">
        <v>1659</v>
      </c>
      <c r="DK57" t="s">
        <v>459</v>
      </c>
      <c r="DL57">
        <v>38.4</v>
      </c>
      <c r="DM57">
        <v>40</v>
      </c>
      <c r="DN57">
        <v>92.4</v>
      </c>
      <c r="DP57" s="86" t="str">
        <f t="shared" si="4"/>
        <v>53405Mix + Intocáveis SC Johnson</v>
      </c>
      <c r="DQ57">
        <v>53405</v>
      </c>
      <c r="DR57" t="s">
        <v>383</v>
      </c>
      <c r="DS57" t="s">
        <v>482</v>
      </c>
      <c r="DT57" t="s">
        <v>103</v>
      </c>
      <c r="DU57" t="s">
        <v>1834</v>
      </c>
      <c r="DV57" t="s">
        <v>1835</v>
      </c>
      <c r="DW57" t="s">
        <v>459</v>
      </c>
      <c r="DX57">
        <v>32</v>
      </c>
      <c r="DY57">
        <v>40</v>
      </c>
      <c r="DZ57">
        <v>90.42</v>
      </c>
      <c r="EB57" s="86" t="str">
        <f t="shared" si="5"/>
        <v>59280Mix + Intocáveis SC Johnson</v>
      </c>
      <c r="EC57">
        <v>59280</v>
      </c>
      <c r="ED57" t="s">
        <v>386</v>
      </c>
      <c r="EE57" t="s">
        <v>1272</v>
      </c>
      <c r="EF57" t="s">
        <v>103</v>
      </c>
      <c r="EG57" t="s">
        <v>1918</v>
      </c>
      <c r="EH57" t="s">
        <v>1919</v>
      </c>
      <c r="EI57" t="s">
        <v>459</v>
      </c>
      <c r="EJ57">
        <v>40</v>
      </c>
      <c r="EK57">
        <v>40</v>
      </c>
      <c r="EL57">
        <v>100</v>
      </c>
    </row>
    <row r="58" spans="1:142" x14ac:dyDescent="0.35">
      <c r="A58" s="86" t="str">
        <f t="shared" si="6"/>
        <v>53486Mix + Intocáveis SC Johnson</v>
      </c>
      <c r="B58">
        <v>53486</v>
      </c>
      <c r="C58" t="s">
        <v>332</v>
      </c>
      <c r="D58" t="s">
        <v>103</v>
      </c>
      <c r="E58" t="s">
        <v>487</v>
      </c>
      <c r="F58" t="s">
        <v>488</v>
      </c>
      <c r="G58" t="s">
        <v>459</v>
      </c>
      <c r="H58">
        <v>88.72</v>
      </c>
      <c r="I58">
        <v>37.125</v>
      </c>
      <c r="J58">
        <v>45</v>
      </c>
      <c r="L58" s="86" t="str">
        <f t="shared" si="7"/>
        <v>53486Mix + Intocáveis SC Johnson</v>
      </c>
      <c r="M58">
        <v>53486</v>
      </c>
      <c r="N58" t="s">
        <v>332</v>
      </c>
      <c r="O58" t="s">
        <v>477</v>
      </c>
      <c r="P58" t="s">
        <v>103</v>
      </c>
      <c r="Q58" t="s">
        <v>642</v>
      </c>
      <c r="R58" t="s">
        <v>643</v>
      </c>
      <c r="S58" t="s">
        <v>459</v>
      </c>
      <c r="T58">
        <v>34.875</v>
      </c>
      <c r="U58">
        <v>45</v>
      </c>
      <c r="V58">
        <v>73.3</v>
      </c>
      <c r="X58" s="86" t="str">
        <f t="shared" si="8"/>
        <v>53581Mix + Intocáveis SC Johnson</v>
      </c>
      <c r="Y58">
        <v>53581</v>
      </c>
      <c r="Z58" t="s">
        <v>374</v>
      </c>
      <c r="AA58" t="s">
        <v>104</v>
      </c>
      <c r="AB58" t="s">
        <v>103</v>
      </c>
      <c r="AC58" t="s">
        <v>785</v>
      </c>
      <c r="AD58" t="s">
        <v>786</v>
      </c>
      <c r="AE58" t="s">
        <v>459</v>
      </c>
      <c r="AF58">
        <v>38.25</v>
      </c>
      <c r="AG58">
        <v>45</v>
      </c>
      <c r="AH58">
        <v>89</v>
      </c>
      <c r="AJ58" s="86" t="str">
        <f t="shared" si="9"/>
        <v>53581Share Sub Category SC Johnson</v>
      </c>
      <c r="AK58">
        <v>53581</v>
      </c>
      <c r="AL58" t="s">
        <v>374</v>
      </c>
      <c r="AM58" t="s">
        <v>104</v>
      </c>
      <c r="AN58" t="s">
        <v>103</v>
      </c>
      <c r="AO58" t="s">
        <v>982</v>
      </c>
      <c r="AP58" t="s">
        <v>983</v>
      </c>
      <c r="AQ58" t="s">
        <v>457</v>
      </c>
      <c r="AR58">
        <v>25</v>
      </c>
      <c r="AS58">
        <v>25</v>
      </c>
      <c r="AT58">
        <v>72.540000000000006</v>
      </c>
      <c r="AV58" s="86" t="str">
        <f t="shared" si="10"/>
        <v>53581Share Sub Category SC Johnson</v>
      </c>
      <c r="AW58">
        <v>53581</v>
      </c>
      <c r="AX58" t="s">
        <v>374</v>
      </c>
      <c r="AY58" t="s">
        <v>489</v>
      </c>
      <c r="AZ58" t="s">
        <v>103</v>
      </c>
      <c r="BA58" t="s">
        <v>1137</v>
      </c>
      <c r="BB58" t="s">
        <v>1138</v>
      </c>
      <c r="BC58" t="s">
        <v>457</v>
      </c>
      <c r="BD58">
        <v>25</v>
      </c>
      <c r="BE58">
        <v>25</v>
      </c>
      <c r="BF58">
        <v>93.97</v>
      </c>
      <c r="BH58" s="86" t="str">
        <f t="shared" si="11"/>
        <v>53486Share Sub Category SC Johnson</v>
      </c>
      <c r="BI58">
        <v>53486</v>
      </c>
      <c r="BJ58" t="s">
        <v>332</v>
      </c>
      <c r="BK58" t="s">
        <v>477</v>
      </c>
      <c r="BL58" t="s">
        <v>103</v>
      </c>
      <c r="BM58" t="s">
        <v>1268</v>
      </c>
      <c r="BN58" t="s">
        <v>1269</v>
      </c>
      <c r="BO58" t="s">
        <v>457</v>
      </c>
      <c r="BP58">
        <v>25</v>
      </c>
      <c r="BQ58">
        <v>25</v>
      </c>
      <c r="BR58">
        <v>65.23</v>
      </c>
      <c r="BT58" s="86" t="str">
        <f t="shared" si="0"/>
        <v>53461Mix + Intocáveis SC Johnson</v>
      </c>
      <c r="BU58">
        <v>53461</v>
      </c>
      <c r="BV58" t="s">
        <v>384</v>
      </c>
      <c r="BW58" t="s">
        <v>482</v>
      </c>
      <c r="BX58" t="s">
        <v>103</v>
      </c>
      <c r="BY58" t="s">
        <v>1354</v>
      </c>
      <c r="BZ58" t="s">
        <v>1355</v>
      </c>
      <c r="CA58" t="s">
        <v>459</v>
      </c>
      <c r="CB58">
        <v>30.4</v>
      </c>
      <c r="CC58">
        <v>40</v>
      </c>
      <c r="CD58">
        <v>86.4</v>
      </c>
      <c r="CF58" s="86" t="str">
        <f t="shared" si="1"/>
        <v>53461Mix + Intocáveis SC Johnson</v>
      </c>
      <c r="CG58">
        <v>53461</v>
      </c>
      <c r="CH58" t="s">
        <v>384</v>
      </c>
      <c r="CI58" t="s">
        <v>482</v>
      </c>
      <c r="CJ58" t="s">
        <v>103</v>
      </c>
      <c r="CK58" t="s">
        <v>1455</v>
      </c>
      <c r="CL58" t="s">
        <v>1456</v>
      </c>
      <c r="CM58" t="s">
        <v>459</v>
      </c>
      <c r="CN58">
        <v>29.6</v>
      </c>
      <c r="CO58">
        <v>40</v>
      </c>
      <c r="CP58">
        <v>85.6</v>
      </c>
      <c r="CR58" s="86" t="str">
        <f t="shared" si="2"/>
        <v>53486Mix + Intocáveis SC Johnson</v>
      </c>
      <c r="CS58">
        <v>53486</v>
      </c>
      <c r="CT58" t="s">
        <v>332</v>
      </c>
      <c r="CU58" t="s">
        <v>477</v>
      </c>
      <c r="CV58" t="s">
        <v>103</v>
      </c>
      <c r="CW58" t="s">
        <v>1630</v>
      </c>
      <c r="CX58" t="s">
        <v>1631</v>
      </c>
      <c r="CY58" t="s">
        <v>459</v>
      </c>
      <c r="CZ58">
        <v>38.4</v>
      </c>
      <c r="DA58">
        <v>40</v>
      </c>
      <c r="DB58">
        <v>103.4</v>
      </c>
      <c r="DD58" s="86" t="str">
        <f t="shared" si="3"/>
        <v>53486Execucao Bonus</v>
      </c>
      <c r="DE58">
        <v>53486</v>
      </c>
      <c r="DF58" t="s">
        <v>332</v>
      </c>
      <c r="DG58" t="s">
        <v>477</v>
      </c>
      <c r="DH58" t="s">
        <v>103</v>
      </c>
      <c r="DI58" t="s">
        <v>1658</v>
      </c>
      <c r="DJ58" t="s">
        <v>1659</v>
      </c>
      <c r="DK58" t="s">
        <v>1291</v>
      </c>
      <c r="DL58">
        <v>0</v>
      </c>
      <c r="DM58">
        <v>5</v>
      </c>
      <c r="DN58">
        <v>92.4</v>
      </c>
      <c r="DP58" s="86" t="str">
        <f t="shared" si="4"/>
        <v>53405Execucao Bonus</v>
      </c>
      <c r="DQ58">
        <v>53405</v>
      </c>
      <c r="DR58" t="s">
        <v>383</v>
      </c>
      <c r="DS58" t="s">
        <v>482</v>
      </c>
      <c r="DT58" t="s">
        <v>103</v>
      </c>
      <c r="DU58" t="s">
        <v>1834</v>
      </c>
      <c r="DV58" t="s">
        <v>1835</v>
      </c>
      <c r="DW58" t="s">
        <v>1291</v>
      </c>
      <c r="DX58">
        <v>5</v>
      </c>
      <c r="DY58">
        <v>5</v>
      </c>
      <c r="DZ58">
        <v>90.42</v>
      </c>
      <c r="EB58" s="86" t="str">
        <f t="shared" si="5"/>
        <v>59280Execucao Bonus</v>
      </c>
      <c r="EC58">
        <v>59280</v>
      </c>
      <c r="ED58" t="s">
        <v>386</v>
      </c>
      <c r="EE58" t="s">
        <v>1272</v>
      </c>
      <c r="EF58" t="s">
        <v>103</v>
      </c>
      <c r="EG58" t="s">
        <v>1918</v>
      </c>
      <c r="EH58" t="s">
        <v>1919</v>
      </c>
      <c r="EI58" t="s">
        <v>1291</v>
      </c>
      <c r="EJ58">
        <v>3</v>
      </c>
      <c r="EK58">
        <v>5</v>
      </c>
      <c r="EL58">
        <v>100</v>
      </c>
    </row>
    <row r="59" spans="1:142" x14ac:dyDescent="0.35">
      <c r="A59" s="86" t="str">
        <f t="shared" si="6"/>
        <v>53581Share Sub Category SC Johnson</v>
      </c>
      <c r="B59">
        <v>53581</v>
      </c>
      <c r="C59" t="s">
        <v>374</v>
      </c>
      <c r="D59" t="s">
        <v>103</v>
      </c>
      <c r="E59" t="s">
        <v>490</v>
      </c>
      <c r="F59" t="s">
        <v>491</v>
      </c>
      <c r="G59" t="s">
        <v>457</v>
      </c>
      <c r="H59">
        <v>78.42</v>
      </c>
      <c r="I59">
        <v>30</v>
      </c>
      <c r="J59">
        <v>30</v>
      </c>
      <c r="L59" s="86" t="str">
        <f t="shared" si="7"/>
        <v>53581Share Sub Category SC Johnson</v>
      </c>
      <c r="M59">
        <v>53581</v>
      </c>
      <c r="N59" t="s">
        <v>374</v>
      </c>
      <c r="O59" t="s">
        <v>104</v>
      </c>
      <c r="P59" t="s">
        <v>103</v>
      </c>
      <c r="Q59" t="s">
        <v>644</v>
      </c>
      <c r="R59" t="s">
        <v>645</v>
      </c>
      <c r="S59" t="s">
        <v>457</v>
      </c>
      <c r="T59">
        <v>30</v>
      </c>
      <c r="U59">
        <v>30</v>
      </c>
      <c r="V59">
        <v>93.5</v>
      </c>
      <c r="X59" s="86" t="str">
        <f t="shared" si="8"/>
        <v>54675Share Sub Category SC Johnson</v>
      </c>
      <c r="Y59">
        <v>54675</v>
      </c>
      <c r="Z59" t="s">
        <v>375</v>
      </c>
      <c r="AA59" t="s">
        <v>104</v>
      </c>
      <c r="AB59" t="s">
        <v>103</v>
      </c>
      <c r="AC59" t="s">
        <v>823</v>
      </c>
      <c r="AD59" t="s">
        <v>824</v>
      </c>
      <c r="AE59" t="s">
        <v>457</v>
      </c>
      <c r="AF59">
        <v>25.71</v>
      </c>
      <c r="AG59">
        <v>30</v>
      </c>
      <c r="AH59">
        <v>79.09</v>
      </c>
      <c r="AJ59" s="86" t="str">
        <f t="shared" si="9"/>
        <v>53581Cross Merchan SC Johnson</v>
      </c>
      <c r="AK59">
        <v>53581</v>
      </c>
      <c r="AL59" t="s">
        <v>374</v>
      </c>
      <c r="AM59" t="s">
        <v>104</v>
      </c>
      <c r="AN59" t="s">
        <v>103</v>
      </c>
      <c r="AO59" t="s">
        <v>982</v>
      </c>
      <c r="AP59" t="s">
        <v>983</v>
      </c>
      <c r="AQ59" t="s">
        <v>111</v>
      </c>
      <c r="AR59">
        <v>2.5</v>
      </c>
      <c r="AS59">
        <v>5</v>
      </c>
      <c r="AT59">
        <v>72.540000000000006</v>
      </c>
      <c r="AV59" s="86" t="str">
        <f t="shared" si="10"/>
        <v>53581Cross Merchan SC Johnson</v>
      </c>
      <c r="AW59">
        <v>53581</v>
      </c>
      <c r="AX59" t="s">
        <v>374</v>
      </c>
      <c r="AY59" t="s">
        <v>489</v>
      </c>
      <c r="AZ59" t="s">
        <v>103</v>
      </c>
      <c r="BA59" t="s">
        <v>1137</v>
      </c>
      <c r="BB59" t="s">
        <v>1138</v>
      </c>
      <c r="BC59" t="s">
        <v>111</v>
      </c>
      <c r="BD59">
        <v>3.335</v>
      </c>
      <c r="BE59">
        <v>5</v>
      </c>
      <c r="BF59">
        <v>93.97</v>
      </c>
      <c r="BH59" s="86" t="str">
        <f t="shared" si="11"/>
        <v>53486Cross Merchan SC Johnson</v>
      </c>
      <c r="BI59">
        <v>53486</v>
      </c>
      <c r="BJ59" t="s">
        <v>332</v>
      </c>
      <c r="BK59" t="s">
        <v>477</v>
      </c>
      <c r="BL59" t="s">
        <v>103</v>
      </c>
      <c r="BM59" t="s">
        <v>1268</v>
      </c>
      <c r="BN59" t="s">
        <v>1269</v>
      </c>
      <c r="BO59" t="s">
        <v>111</v>
      </c>
      <c r="BP59">
        <v>1.665</v>
      </c>
      <c r="BQ59">
        <v>5</v>
      </c>
      <c r="BR59">
        <v>65.23</v>
      </c>
      <c r="BT59" s="86" t="str">
        <f t="shared" si="0"/>
        <v>53461Share Sub Category SC Johnson</v>
      </c>
      <c r="BU59">
        <v>53461</v>
      </c>
      <c r="BV59" t="s">
        <v>384</v>
      </c>
      <c r="BW59" t="s">
        <v>482</v>
      </c>
      <c r="BX59" t="s">
        <v>103</v>
      </c>
      <c r="BY59" t="s">
        <v>1354</v>
      </c>
      <c r="BZ59" t="s">
        <v>1355</v>
      </c>
      <c r="CA59" t="s">
        <v>457</v>
      </c>
      <c r="CB59">
        <v>25</v>
      </c>
      <c r="CC59">
        <v>25</v>
      </c>
      <c r="CD59">
        <v>86.4</v>
      </c>
      <c r="CF59" s="86" t="str">
        <f t="shared" si="1"/>
        <v>53461Share Sub Category SC Johnson</v>
      </c>
      <c r="CG59">
        <v>53461</v>
      </c>
      <c r="CH59" t="s">
        <v>384</v>
      </c>
      <c r="CI59" t="s">
        <v>482</v>
      </c>
      <c r="CJ59" t="s">
        <v>103</v>
      </c>
      <c r="CK59" t="s">
        <v>1455</v>
      </c>
      <c r="CL59" t="s">
        <v>1456</v>
      </c>
      <c r="CM59" t="s">
        <v>457</v>
      </c>
      <c r="CN59">
        <v>25</v>
      </c>
      <c r="CO59">
        <v>25</v>
      </c>
      <c r="CP59">
        <v>85.6</v>
      </c>
      <c r="CR59" s="86" t="str">
        <f t="shared" si="2"/>
        <v>53486Share Sub Category SC Johnson</v>
      </c>
      <c r="CS59">
        <v>53486</v>
      </c>
      <c r="CT59" t="s">
        <v>332</v>
      </c>
      <c r="CU59" t="s">
        <v>477</v>
      </c>
      <c r="CV59" t="s">
        <v>103</v>
      </c>
      <c r="CW59" t="s">
        <v>1630</v>
      </c>
      <c r="CX59" t="s">
        <v>1631</v>
      </c>
      <c r="CY59" t="s">
        <v>457</v>
      </c>
      <c r="CZ59">
        <v>25</v>
      </c>
      <c r="DA59">
        <v>25</v>
      </c>
      <c r="DB59">
        <v>103.4</v>
      </c>
      <c r="DD59" s="86" t="str">
        <f t="shared" si="3"/>
        <v>53486Cross Merchan SC Johnson</v>
      </c>
      <c r="DE59">
        <v>53486</v>
      </c>
      <c r="DF59" t="s">
        <v>332</v>
      </c>
      <c r="DG59" t="s">
        <v>477</v>
      </c>
      <c r="DH59" t="s">
        <v>103</v>
      </c>
      <c r="DI59" t="s">
        <v>1658</v>
      </c>
      <c r="DJ59" t="s">
        <v>1659</v>
      </c>
      <c r="DK59" t="s">
        <v>111</v>
      </c>
      <c r="DL59">
        <v>5</v>
      </c>
      <c r="DM59">
        <v>5</v>
      </c>
      <c r="DN59">
        <v>92.4</v>
      </c>
      <c r="DP59" s="86" t="str">
        <f t="shared" si="4"/>
        <v>53405Cross Merchan SC Johnson</v>
      </c>
      <c r="DQ59">
        <v>53405</v>
      </c>
      <c r="DR59" t="s">
        <v>383</v>
      </c>
      <c r="DS59" t="s">
        <v>482</v>
      </c>
      <c r="DT59" t="s">
        <v>103</v>
      </c>
      <c r="DU59" t="s">
        <v>1834</v>
      </c>
      <c r="DV59" t="s">
        <v>1835</v>
      </c>
      <c r="DW59" t="s">
        <v>111</v>
      </c>
      <c r="DX59">
        <v>5</v>
      </c>
      <c r="DY59">
        <v>5</v>
      </c>
      <c r="DZ59">
        <v>90.42</v>
      </c>
      <c r="EB59" s="86" t="str">
        <f t="shared" si="5"/>
        <v>59280Cross Merchan SC Johnson</v>
      </c>
      <c r="EC59">
        <v>59280</v>
      </c>
      <c r="ED59" t="s">
        <v>386</v>
      </c>
      <c r="EE59" t="s">
        <v>1272</v>
      </c>
      <c r="EF59" t="s">
        <v>103</v>
      </c>
      <c r="EG59" t="s">
        <v>1918</v>
      </c>
      <c r="EH59" t="s">
        <v>1919</v>
      </c>
      <c r="EI59" t="s">
        <v>111</v>
      </c>
      <c r="EJ59">
        <v>5</v>
      </c>
      <c r="EK59">
        <v>5</v>
      </c>
      <c r="EL59">
        <v>100</v>
      </c>
    </row>
    <row r="60" spans="1:142" x14ac:dyDescent="0.35">
      <c r="A60" s="86" t="str">
        <f t="shared" si="6"/>
        <v>53581Cross Merchan SC Johnson</v>
      </c>
      <c r="B60">
        <v>53581</v>
      </c>
      <c r="C60" t="s">
        <v>374</v>
      </c>
      <c r="D60" t="s">
        <v>103</v>
      </c>
      <c r="E60" t="s">
        <v>490</v>
      </c>
      <c r="F60" t="s">
        <v>491</v>
      </c>
      <c r="G60" t="s">
        <v>111</v>
      </c>
      <c r="H60">
        <v>78.42</v>
      </c>
      <c r="I60">
        <v>0</v>
      </c>
      <c r="J60">
        <v>8</v>
      </c>
      <c r="L60" s="86" t="str">
        <f t="shared" si="7"/>
        <v>53581Cross Merchan SC Johnson</v>
      </c>
      <c r="M60">
        <v>53581</v>
      </c>
      <c r="N60" t="s">
        <v>374</v>
      </c>
      <c r="O60" t="s">
        <v>104</v>
      </c>
      <c r="P60" t="s">
        <v>103</v>
      </c>
      <c r="Q60" t="s">
        <v>644</v>
      </c>
      <c r="R60" t="s">
        <v>645</v>
      </c>
      <c r="S60" t="s">
        <v>111</v>
      </c>
      <c r="T60">
        <v>8</v>
      </c>
      <c r="U60">
        <v>8</v>
      </c>
      <c r="V60">
        <v>93.5</v>
      </c>
      <c r="X60" s="86" t="str">
        <f t="shared" si="8"/>
        <v>54675Cross Merchan SC Johnson</v>
      </c>
      <c r="Y60">
        <v>54675</v>
      </c>
      <c r="Z60" t="s">
        <v>375</v>
      </c>
      <c r="AA60" t="s">
        <v>104</v>
      </c>
      <c r="AB60" t="s">
        <v>103</v>
      </c>
      <c r="AC60" t="s">
        <v>823</v>
      </c>
      <c r="AD60" t="s">
        <v>824</v>
      </c>
      <c r="AE60" t="s">
        <v>111</v>
      </c>
      <c r="AF60">
        <v>8</v>
      </c>
      <c r="AG60">
        <v>8</v>
      </c>
      <c r="AH60">
        <v>79.09</v>
      </c>
      <c r="AJ60" s="86" t="str">
        <f t="shared" si="9"/>
        <v>53581Share Sub Loc Pao Quente SC Johnson</v>
      </c>
      <c r="AK60">
        <v>53581</v>
      </c>
      <c r="AL60" t="s">
        <v>374</v>
      </c>
      <c r="AM60" t="s">
        <v>104</v>
      </c>
      <c r="AN60" t="s">
        <v>103</v>
      </c>
      <c r="AO60" t="s">
        <v>982</v>
      </c>
      <c r="AP60" t="s">
        <v>983</v>
      </c>
      <c r="AQ60" t="s">
        <v>458</v>
      </c>
      <c r="AR60">
        <v>12</v>
      </c>
      <c r="AS60">
        <v>12</v>
      </c>
      <c r="AT60">
        <v>72.540000000000006</v>
      </c>
      <c r="AV60" s="86" t="str">
        <f t="shared" si="10"/>
        <v>53581Share Sub Loc Pao Quente SC Johnson</v>
      </c>
      <c r="AW60">
        <v>53581</v>
      </c>
      <c r="AX60" t="s">
        <v>374</v>
      </c>
      <c r="AY60" t="s">
        <v>489</v>
      </c>
      <c r="AZ60" t="s">
        <v>103</v>
      </c>
      <c r="BA60" t="s">
        <v>1137</v>
      </c>
      <c r="BB60" t="s">
        <v>1138</v>
      </c>
      <c r="BC60" t="s">
        <v>458</v>
      </c>
      <c r="BD60">
        <v>12</v>
      </c>
      <c r="BE60">
        <v>12</v>
      </c>
      <c r="BF60">
        <v>93.97</v>
      </c>
      <c r="BH60" s="86" t="str">
        <f t="shared" si="11"/>
        <v>53486Share Sub Loc Pao Quente SC Johnson</v>
      </c>
      <c r="BI60">
        <v>53486</v>
      </c>
      <c r="BJ60" t="s">
        <v>332</v>
      </c>
      <c r="BK60" t="s">
        <v>477</v>
      </c>
      <c r="BL60" t="s">
        <v>103</v>
      </c>
      <c r="BM60" t="s">
        <v>1268</v>
      </c>
      <c r="BN60" t="s">
        <v>1269</v>
      </c>
      <c r="BO60" t="s">
        <v>458</v>
      </c>
      <c r="BP60">
        <v>9</v>
      </c>
      <c r="BQ60">
        <v>12</v>
      </c>
      <c r="BR60">
        <v>65.23</v>
      </c>
      <c r="BT60" s="86" t="str">
        <f t="shared" si="0"/>
        <v>53461Share Sub Loc Pao Quente SC Johnson</v>
      </c>
      <c r="BU60">
        <v>53461</v>
      </c>
      <c r="BV60" t="s">
        <v>384</v>
      </c>
      <c r="BW60" t="s">
        <v>482</v>
      </c>
      <c r="BX60" t="s">
        <v>103</v>
      </c>
      <c r="BY60" t="s">
        <v>1354</v>
      </c>
      <c r="BZ60" t="s">
        <v>1355</v>
      </c>
      <c r="CA60" t="s">
        <v>458</v>
      </c>
      <c r="CB60">
        <v>12</v>
      </c>
      <c r="CC60">
        <v>12</v>
      </c>
      <c r="CD60">
        <v>86.4</v>
      </c>
      <c r="CF60" s="86" t="str">
        <f t="shared" si="1"/>
        <v>53461Share Sub Loc Pao Quente SC Johnson</v>
      </c>
      <c r="CG60">
        <v>53461</v>
      </c>
      <c r="CH60" t="s">
        <v>384</v>
      </c>
      <c r="CI60" t="s">
        <v>482</v>
      </c>
      <c r="CJ60" t="s">
        <v>103</v>
      </c>
      <c r="CK60" t="s">
        <v>1455</v>
      </c>
      <c r="CL60" t="s">
        <v>1456</v>
      </c>
      <c r="CM60" t="s">
        <v>458</v>
      </c>
      <c r="CN60">
        <v>12</v>
      </c>
      <c r="CO60">
        <v>12</v>
      </c>
      <c r="CP60">
        <v>85.6</v>
      </c>
      <c r="CR60" s="86" t="str">
        <f t="shared" si="2"/>
        <v>53486Share Sub Loc Pao Quente SC Johnson</v>
      </c>
      <c r="CS60">
        <v>53486</v>
      </c>
      <c r="CT60" t="s">
        <v>332</v>
      </c>
      <c r="CU60" t="s">
        <v>477</v>
      </c>
      <c r="CV60" t="s">
        <v>103</v>
      </c>
      <c r="CW60" t="s">
        <v>1630</v>
      </c>
      <c r="CX60" t="s">
        <v>1631</v>
      </c>
      <c r="CY60" t="s">
        <v>458</v>
      </c>
      <c r="CZ60">
        <v>12</v>
      </c>
      <c r="DA60">
        <v>12</v>
      </c>
      <c r="DB60">
        <v>103.4</v>
      </c>
      <c r="DD60" s="86" t="str">
        <f t="shared" si="3"/>
        <v>53486Lancamentos</v>
      </c>
      <c r="DE60">
        <v>53486</v>
      </c>
      <c r="DF60" t="s">
        <v>332</v>
      </c>
      <c r="DG60" t="s">
        <v>477</v>
      </c>
      <c r="DH60" t="s">
        <v>103</v>
      </c>
      <c r="DI60" t="s">
        <v>1658</v>
      </c>
      <c r="DJ60" t="s">
        <v>1659</v>
      </c>
      <c r="DK60" t="s">
        <v>953</v>
      </c>
      <c r="DL60">
        <v>18</v>
      </c>
      <c r="DM60">
        <v>18</v>
      </c>
      <c r="DN60">
        <v>92.4</v>
      </c>
      <c r="DP60" s="86" t="str">
        <f t="shared" si="4"/>
        <v>53405Lancamentos</v>
      </c>
      <c r="DQ60">
        <v>53405</v>
      </c>
      <c r="DR60" t="s">
        <v>383</v>
      </c>
      <c r="DS60" t="s">
        <v>482</v>
      </c>
      <c r="DT60" t="s">
        <v>103</v>
      </c>
      <c r="DU60" t="s">
        <v>1834</v>
      </c>
      <c r="DV60" t="s">
        <v>1835</v>
      </c>
      <c r="DW60" t="s">
        <v>953</v>
      </c>
      <c r="DX60">
        <v>18</v>
      </c>
      <c r="DY60">
        <v>18</v>
      </c>
      <c r="DZ60">
        <v>90.42</v>
      </c>
      <c r="EB60" s="86" t="str">
        <f t="shared" si="5"/>
        <v>59280Lancamentos</v>
      </c>
      <c r="EC60">
        <v>59280</v>
      </c>
      <c r="ED60" t="s">
        <v>386</v>
      </c>
      <c r="EE60" t="s">
        <v>1272</v>
      </c>
      <c r="EF60" t="s">
        <v>103</v>
      </c>
      <c r="EG60" t="s">
        <v>1918</v>
      </c>
      <c r="EH60" t="s">
        <v>1919</v>
      </c>
      <c r="EI60" t="s">
        <v>953</v>
      </c>
      <c r="EJ60">
        <v>18</v>
      </c>
      <c r="EK60">
        <v>18</v>
      </c>
      <c r="EL60">
        <v>100</v>
      </c>
    </row>
    <row r="61" spans="1:142" x14ac:dyDescent="0.35">
      <c r="A61" s="86" t="str">
        <f t="shared" si="6"/>
        <v>53581Share Sub Loc Pao Quente SC Johnson</v>
      </c>
      <c r="B61">
        <v>53581</v>
      </c>
      <c r="C61" t="s">
        <v>374</v>
      </c>
      <c r="D61" t="s">
        <v>103</v>
      </c>
      <c r="E61" t="s">
        <v>490</v>
      </c>
      <c r="F61" t="s">
        <v>491</v>
      </c>
      <c r="G61" t="s">
        <v>458</v>
      </c>
      <c r="H61">
        <v>78.42</v>
      </c>
      <c r="I61">
        <v>6.8</v>
      </c>
      <c r="J61">
        <v>17</v>
      </c>
      <c r="L61" s="86" t="str">
        <f t="shared" si="7"/>
        <v>53581Share Sub Loc Pao Quente SC Johnson</v>
      </c>
      <c r="M61">
        <v>53581</v>
      </c>
      <c r="N61" t="s">
        <v>374</v>
      </c>
      <c r="O61" t="s">
        <v>104</v>
      </c>
      <c r="P61" t="s">
        <v>103</v>
      </c>
      <c r="Q61" t="s">
        <v>644</v>
      </c>
      <c r="R61" t="s">
        <v>645</v>
      </c>
      <c r="S61" t="s">
        <v>458</v>
      </c>
      <c r="T61">
        <v>12.75</v>
      </c>
      <c r="U61">
        <v>17</v>
      </c>
      <c r="V61">
        <v>93.5</v>
      </c>
      <c r="X61" s="86" t="str">
        <f t="shared" si="8"/>
        <v>54675Share Sub Loc Pao Quente SC Johnson</v>
      </c>
      <c r="Y61">
        <v>54675</v>
      </c>
      <c r="Z61" t="s">
        <v>375</v>
      </c>
      <c r="AA61" t="s">
        <v>104</v>
      </c>
      <c r="AB61" t="s">
        <v>103</v>
      </c>
      <c r="AC61" t="s">
        <v>823</v>
      </c>
      <c r="AD61" t="s">
        <v>824</v>
      </c>
      <c r="AE61" t="s">
        <v>458</v>
      </c>
      <c r="AF61">
        <v>12.75</v>
      </c>
      <c r="AG61">
        <v>17</v>
      </c>
      <c r="AH61">
        <v>79.09</v>
      </c>
      <c r="AJ61" s="86" t="str">
        <f t="shared" si="9"/>
        <v>53581Mix + Intocáveis SC Johnson</v>
      </c>
      <c r="AK61">
        <v>53581</v>
      </c>
      <c r="AL61" t="s">
        <v>374</v>
      </c>
      <c r="AM61" t="s">
        <v>104</v>
      </c>
      <c r="AN61" t="s">
        <v>103</v>
      </c>
      <c r="AO61" t="s">
        <v>982</v>
      </c>
      <c r="AP61" t="s">
        <v>983</v>
      </c>
      <c r="AQ61" t="s">
        <v>459</v>
      </c>
      <c r="AR61">
        <v>33.04</v>
      </c>
      <c r="AS61">
        <v>40</v>
      </c>
      <c r="AT61">
        <v>72.540000000000006</v>
      </c>
      <c r="AV61" s="86" t="str">
        <f t="shared" si="10"/>
        <v>53581Mix + Intocáveis SC Johnson</v>
      </c>
      <c r="AW61">
        <v>53581</v>
      </c>
      <c r="AX61" t="s">
        <v>374</v>
      </c>
      <c r="AY61" t="s">
        <v>489</v>
      </c>
      <c r="AZ61" t="s">
        <v>103</v>
      </c>
      <c r="BA61" t="s">
        <v>1137</v>
      </c>
      <c r="BB61" t="s">
        <v>1138</v>
      </c>
      <c r="BC61" t="s">
        <v>459</v>
      </c>
      <c r="BD61">
        <v>35.64</v>
      </c>
      <c r="BE61">
        <v>40</v>
      </c>
      <c r="BF61">
        <v>93.97</v>
      </c>
      <c r="BH61" s="86" t="str">
        <f t="shared" si="11"/>
        <v>53486Mix + Intocáveis SC Johnson</v>
      </c>
      <c r="BI61">
        <v>53486</v>
      </c>
      <c r="BJ61" t="s">
        <v>332</v>
      </c>
      <c r="BK61" t="s">
        <v>477</v>
      </c>
      <c r="BL61" t="s">
        <v>103</v>
      </c>
      <c r="BM61" t="s">
        <v>1268</v>
      </c>
      <c r="BN61" t="s">
        <v>1269</v>
      </c>
      <c r="BO61" t="s">
        <v>459</v>
      </c>
      <c r="BP61">
        <v>29.56</v>
      </c>
      <c r="BQ61">
        <v>40</v>
      </c>
      <c r="BR61">
        <v>65.23</v>
      </c>
      <c r="BT61" s="86" t="str">
        <f t="shared" si="0"/>
        <v>53461Cross Merchan SC Johnson</v>
      </c>
      <c r="BU61">
        <v>53461</v>
      </c>
      <c r="BV61" t="s">
        <v>384</v>
      </c>
      <c r="BW61" t="s">
        <v>482</v>
      </c>
      <c r="BX61" t="s">
        <v>103</v>
      </c>
      <c r="BY61" t="s">
        <v>1354</v>
      </c>
      <c r="BZ61" t="s">
        <v>1355</v>
      </c>
      <c r="CA61" t="s">
        <v>111</v>
      </c>
      <c r="CB61">
        <v>5</v>
      </c>
      <c r="CC61">
        <v>5</v>
      </c>
      <c r="CD61">
        <v>86.4</v>
      </c>
      <c r="CF61" s="86" t="str">
        <f t="shared" si="1"/>
        <v>53461Cross Merchan SC Johnson</v>
      </c>
      <c r="CG61">
        <v>53461</v>
      </c>
      <c r="CH61" t="s">
        <v>384</v>
      </c>
      <c r="CI61" t="s">
        <v>482</v>
      </c>
      <c r="CJ61" t="s">
        <v>103</v>
      </c>
      <c r="CK61" t="s">
        <v>1455</v>
      </c>
      <c r="CL61" t="s">
        <v>1456</v>
      </c>
      <c r="CM61" t="s">
        <v>111</v>
      </c>
      <c r="CN61">
        <v>5</v>
      </c>
      <c r="CO61">
        <v>5</v>
      </c>
      <c r="CP61">
        <v>85.6</v>
      </c>
      <c r="CR61" s="86" t="str">
        <f t="shared" si="2"/>
        <v>53486Cross Merchan SC Johnson</v>
      </c>
      <c r="CS61">
        <v>53486</v>
      </c>
      <c r="CT61" t="s">
        <v>332</v>
      </c>
      <c r="CU61" t="s">
        <v>477</v>
      </c>
      <c r="CV61" t="s">
        <v>103</v>
      </c>
      <c r="CW61" t="s">
        <v>1630</v>
      </c>
      <c r="CX61" t="s">
        <v>1631</v>
      </c>
      <c r="CY61" t="s">
        <v>111</v>
      </c>
      <c r="CZ61">
        <v>5</v>
      </c>
      <c r="DA61">
        <v>5</v>
      </c>
      <c r="DB61">
        <v>103.4</v>
      </c>
      <c r="DD61" s="86" t="str">
        <f t="shared" si="3"/>
        <v>53486Share Sub Category SC Johnson</v>
      </c>
      <c r="DE61">
        <v>53486</v>
      </c>
      <c r="DF61" t="s">
        <v>332</v>
      </c>
      <c r="DG61" t="s">
        <v>477</v>
      </c>
      <c r="DH61" t="s">
        <v>103</v>
      </c>
      <c r="DI61" t="s">
        <v>1658</v>
      </c>
      <c r="DJ61" t="s">
        <v>1659</v>
      </c>
      <c r="DK61" t="s">
        <v>457</v>
      </c>
      <c r="DL61">
        <v>25</v>
      </c>
      <c r="DM61">
        <v>25</v>
      </c>
      <c r="DN61">
        <v>92.4</v>
      </c>
      <c r="DP61" s="86" t="str">
        <f t="shared" si="4"/>
        <v>53405Share Sub Category SC Johnson</v>
      </c>
      <c r="DQ61">
        <v>53405</v>
      </c>
      <c r="DR61" t="s">
        <v>383</v>
      </c>
      <c r="DS61" t="s">
        <v>482</v>
      </c>
      <c r="DT61" t="s">
        <v>103</v>
      </c>
      <c r="DU61" t="s">
        <v>1834</v>
      </c>
      <c r="DV61" t="s">
        <v>1835</v>
      </c>
      <c r="DW61" t="s">
        <v>457</v>
      </c>
      <c r="DX61">
        <v>21.425000000000001</v>
      </c>
      <c r="DY61">
        <v>25</v>
      </c>
      <c r="DZ61">
        <v>90.42</v>
      </c>
      <c r="EB61" s="86" t="str">
        <f t="shared" si="5"/>
        <v>59280Share Sub Category SC Johnson</v>
      </c>
      <c r="EC61">
        <v>59280</v>
      </c>
      <c r="ED61" t="s">
        <v>386</v>
      </c>
      <c r="EE61" t="s">
        <v>1272</v>
      </c>
      <c r="EF61" t="s">
        <v>103</v>
      </c>
      <c r="EG61" t="s">
        <v>1918</v>
      </c>
      <c r="EH61" t="s">
        <v>1919</v>
      </c>
      <c r="EI61" t="s">
        <v>457</v>
      </c>
      <c r="EJ61">
        <v>25</v>
      </c>
      <c r="EK61">
        <v>25</v>
      </c>
      <c r="EL61">
        <v>100</v>
      </c>
    </row>
    <row r="62" spans="1:142" x14ac:dyDescent="0.35">
      <c r="A62" s="86" t="str">
        <f t="shared" si="6"/>
        <v>53581Mix + Intocáveis SC Johnson</v>
      </c>
      <c r="B62">
        <v>53581</v>
      </c>
      <c r="C62" t="s">
        <v>374</v>
      </c>
      <c r="D62" t="s">
        <v>103</v>
      </c>
      <c r="E62" t="s">
        <v>490</v>
      </c>
      <c r="F62" t="s">
        <v>491</v>
      </c>
      <c r="G62" t="s">
        <v>459</v>
      </c>
      <c r="H62">
        <v>78.42</v>
      </c>
      <c r="I62">
        <v>41.625</v>
      </c>
      <c r="J62">
        <v>45</v>
      </c>
      <c r="L62" s="86" t="str">
        <f t="shared" si="7"/>
        <v>53581Mix + Intocáveis SC Johnson</v>
      </c>
      <c r="M62">
        <v>53581</v>
      </c>
      <c r="N62" t="s">
        <v>374</v>
      </c>
      <c r="O62" t="s">
        <v>104</v>
      </c>
      <c r="P62" t="s">
        <v>103</v>
      </c>
      <c r="Q62" t="s">
        <v>644</v>
      </c>
      <c r="R62" t="s">
        <v>645</v>
      </c>
      <c r="S62" t="s">
        <v>459</v>
      </c>
      <c r="T62">
        <v>42.75</v>
      </c>
      <c r="U62">
        <v>45</v>
      </c>
      <c r="V62">
        <v>93.5</v>
      </c>
      <c r="X62" s="86" t="str">
        <f t="shared" si="8"/>
        <v>54675Mix + Intocáveis SC Johnson</v>
      </c>
      <c r="Y62">
        <v>54675</v>
      </c>
      <c r="Z62" t="s">
        <v>375</v>
      </c>
      <c r="AA62" t="s">
        <v>104</v>
      </c>
      <c r="AB62" t="s">
        <v>103</v>
      </c>
      <c r="AC62" t="s">
        <v>823</v>
      </c>
      <c r="AD62" t="s">
        <v>824</v>
      </c>
      <c r="AE62" t="s">
        <v>459</v>
      </c>
      <c r="AF62">
        <v>32.625</v>
      </c>
      <c r="AG62">
        <v>45</v>
      </c>
      <c r="AH62">
        <v>79.09</v>
      </c>
      <c r="AJ62" s="86" t="str">
        <f t="shared" si="9"/>
        <v>53581Lancamentos</v>
      </c>
      <c r="AK62">
        <v>53581</v>
      </c>
      <c r="AL62" t="s">
        <v>374</v>
      </c>
      <c r="AM62" t="s">
        <v>104</v>
      </c>
      <c r="AN62" t="s">
        <v>103</v>
      </c>
      <c r="AO62" t="s">
        <v>982</v>
      </c>
      <c r="AP62" t="s">
        <v>983</v>
      </c>
      <c r="AQ62" t="s">
        <v>953</v>
      </c>
      <c r="AR62">
        <v>0</v>
      </c>
      <c r="AS62">
        <v>18</v>
      </c>
      <c r="AT62">
        <v>72.540000000000006</v>
      </c>
      <c r="AV62" s="86" t="str">
        <f t="shared" si="10"/>
        <v>53581Lancamentos</v>
      </c>
      <c r="AW62">
        <v>53581</v>
      </c>
      <c r="AX62" t="s">
        <v>374</v>
      </c>
      <c r="AY62" t="s">
        <v>489</v>
      </c>
      <c r="AZ62" t="s">
        <v>103</v>
      </c>
      <c r="BA62" t="s">
        <v>1137</v>
      </c>
      <c r="BB62" t="s">
        <v>1138</v>
      </c>
      <c r="BC62" t="s">
        <v>953</v>
      </c>
      <c r="BD62">
        <v>18</v>
      </c>
      <c r="BE62">
        <v>18</v>
      </c>
      <c r="BF62">
        <v>93.97</v>
      </c>
      <c r="BH62" s="86" t="str">
        <f t="shared" si="11"/>
        <v>53486Lancamentos</v>
      </c>
      <c r="BI62">
        <v>53486</v>
      </c>
      <c r="BJ62" t="s">
        <v>332</v>
      </c>
      <c r="BK62" t="s">
        <v>477</v>
      </c>
      <c r="BL62" t="s">
        <v>103</v>
      </c>
      <c r="BM62" t="s">
        <v>1268</v>
      </c>
      <c r="BN62" t="s">
        <v>1269</v>
      </c>
      <c r="BO62" t="s">
        <v>953</v>
      </c>
      <c r="BP62">
        <v>0</v>
      </c>
      <c r="BQ62">
        <v>18</v>
      </c>
      <c r="BR62">
        <v>65.23</v>
      </c>
      <c r="BT62" s="86" t="str">
        <f t="shared" si="0"/>
        <v>53461Execucao Bonus</v>
      </c>
      <c r="BU62">
        <v>53461</v>
      </c>
      <c r="BV62" t="s">
        <v>384</v>
      </c>
      <c r="BW62" t="s">
        <v>482</v>
      </c>
      <c r="BX62" t="s">
        <v>103</v>
      </c>
      <c r="BY62" t="s">
        <v>1354</v>
      </c>
      <c r="BZ62" t="s">
        <v>1355</v>
      </c>
      <c r="CA62" t="s">
        <v>1291</v>
      </c>
      <c r="CB62">
        <v>5</v>
      </c>
      <c r="CC62">
        <v>5</v>
      </c>
      <c r="CD62">
        <v>86.4</v>
      </c>
      <c r="CF62" s="86" t="str">
        <f t="shared" si="1"/>
        <v>53461Execucao Bonus</v>
      </c>
      <c r="CG62">
        <v>53461</v>
      </c>
      <c r="CH62" t="s">
        <v>384</v>
      </c>
      <c r="CI62" t="s">
        <v>482</v>
      </c>
      <c r="CJ62" t="s">
        <v>103</v>
      </c>
      <c r="CK62" t="s">
        <v>1455</v>
      </c>
      <c r="CL62" t="s">
        <v>1456</v>
      </c>
      <c r="CM62" t="s">
        <v>1291</v>
      </c>
      <c r="CN62">
        <v>5</v>
      </c>
      <c r="CO62">
        <v>5</v>
      </c>
      <c r="CP62">
        <v>85.6</v>
      </c>
      <c r="CR62" s="86" t="str">
        <f t="shared" si="2"/>
        <v>53486Execucao Bonus</v>
      </c>
      <c r="CS62">
        <v>53486</v>
      </c>
      <c r="CT62" t="s">
        <v>332</v>
      </c>
      <c r="CU62" t="s">
        <v>477</v>
      </c>
      <c r="CV62" t="s">
        <v>103</v>
      </c>
      <c r="CW62" t="s">
        <v>1630</v>
      </c>
      <c r="CX62" t="s">
        <v>1631</v>
      </c>
      <c r="CY62" t="s">
        <v>1291</v>
      </c>
      <c r="CZ62">
        <v>1.6</v>
      </c>
      <c r="DA62">
        <v>5</v>
      </c>
      <c r="DB62">
        <v>103.4</v>
      </c>
      <c r="DD62" s="86" t="str">
        <f t="shared" si="3"/>
        <v>53486Share Sub Loc Pao Quente SC Johnson</v>
      </c>
      <c r="DE62">
        <v>53486</v>
      </c>
      <c r="DF62" t="s">
        <v>332</v>
      </c>
      <c r="DG62" t="s">
        <v>477</v>
      </c>
      <c r="DH62" t="s">
        <v>103</v>
      </c>
      <c r="DI62" t="s">
        <v>1658</v>
      </c>
      <c r="DJ62" t="s">
        <v>1659</v>
      </c>
      <c r="DK62" t="s">
        <v>458</v>
      </c>
      <c r="DL62">
        <v>6</v>
      </c>
      <c r="DM62">
        <v>12</v>
      </c>
      <c r="DN62">
        <v>92.4</v>
      </c>
      <c r="DP62" s="86" t="str">
        <f t="shared" si="4"/>
        <v>53405Share Sub Loc Pao Quente SC Johnson</v>
      </c>
      <c r="DQ62">
        <v>53405</v>
      </c>
      <c r="DR62" t="s">
        <v>383</v>
      </c>
      <c r="DS62" t="s">
        <v>482</v>
      </c>
      <c r="DT62" t="s">
        <v>103</v>
      </c>
      <c r="DU62" t="s">
        <v>1834</v>
      </c>
      <c r="DV62" t="s">
        <v>1835</v>
      </c>
      <c r="DW62" t="s">
        <v>458</v>
      </c>
      <c r="DX62">
        <v>9</v>
      </c>
      <c r="DY62">
        <v>12</v>
      </c>
      <c r="DZ62">
        <v>90.42</v>
      </c>
      <c r="EB62" s="86" t="str">
        <f t="shared" si="5"/>
        <v>59280Share Sub Loc Pao Quente SC Johnson</v>
      </c>
      <c r="EC62">
        <v>59280</v>
      </c>
      <c r="ED62" t="s">
        <v>386</v>
      </c>
      <c r="EE62" t="s">
        <v>1272</v>
      </c>
      <c r="EF62" t="s">
        <v>103</v>
      </c>
      <c r="EG62" t="s">
        <v>1918</v>
      </c>
      <c r="EH62" t="s">
        <v>1919</v>
      </c>
      <c r="EI62" t="s">
        <v>458</v>
      </c>
      <c r="EJ62">
        <v>9</v>
      </c>
      <c r="EK62">
        <v>12</v>
      </c>
      <c r="EL62">
        <v>100</v>
      </c>
    </row>
    <row r="63" spans="1:142" x14ac:dyDescent="0.35">
      <c r="A63" s="86" t="str">
        <f t="shared" si="6"/>
        <v>54675Share Sub Category SC Johnson</v>
      </c>
      <c r="B63">
        <v>54675</v>
      </c>
      <c r="C63" t="s">
        <v>375</v>
      </c>
      <c r="D63" t="s">
        <v>103</v>
      </c>
      <c r="E63" t="s">
        <v>492</v>
      </c>
      <c r="F63" t="s">
        <v>493</v>
      </c>
      <c r="G63" t="s">
        <v>457</v>
      </c>
      <c r="H63">
        <v>63.12</v>
      </c>
      <c r="I63">
        <v>21.42</v>
      </c>
      <c r="J63">
        <v>30</v>
      </c>
      <c r="L63" s="86" t="str">
        <f t="shared" si="7"/>
        <v>54675Share Sub Category SC Johnson</v>
      </c>
      <c r="M63">
        <v>54675</v>
      </c>
      <c r="N63" t="s">
        <v>375</v>
      </c>
      <c r="O63" t="s">
        <v>482</v>
      </c>
      <c r="P63" t="s">
        <v>103</v>
      </c>
      <c r="Q63" t="s">
        <v>646</v>
      </c>
      <c r="R63" t="s">
        <v>647</v>
      </c>
      <c r="S63" t="s">
        <v>457</v>
      </c>
      <c r="T63">
        <v>17.13</v>
      </c>
      <c r="U63">
        <v>30</v>
      </c>
      <c r="V63">
        <v>42.82</v>
      </c>
      <c r="X63" s="86" t="str">
        <f t="shared" si="8"/>
        <v>54734Share Sub Category SC Johnson</v>
      </c>
      <c r="Y63">
        <v>54734</v>
      </c>
      <c r="Z63" t="s">
        <v>333</v>
      </c>
      <c r="AA63" t="s">
        <v>477</v>
      </c>
      <c r="AB63" t="s">
        <v>103</v>
      </c>
      <c r="AC63" t="s">
        <v>849</v>
      </c>
      <c r="AD63" t="s">
        <v>850</v>
      </c>
      <c r="AE63" t="s">
        <v>457</v>
      </c>
      <c r="AF63">
        <v>30</v>
      </c>
      <c r="AG63">
        <v>30</v>
      </c>
      <c r="AH63">
        <v>65.5</v>
      </c>
      <c r="AJ63" s="86" t="str">
        <f t="shared" si="9"/>
        <v>54675Share Sub Category SC Johnson</v>
      </c>
      <c r="AK63">
        <v>54675</v>
      </c>
      <c r="AL63" t="s">
        <v>375</v>
      </c>
      <c r="AM63" t="s">
        <v>104</v>
      </c>
      <c r="AN63" t="s">
        <v>103</v>
      </c>
      <c r="AO63" t="s">
        <v>1009</v>
      </c>
      <c r="AP63" t="s">
        <v>1010</v>
      </c>
      <c r="AQ63" t="s">
        <v>457</v>
      </c>
      <c r="AR63">
        <v>21.425000000000001</v>
      </c>
      <c r="AS63">
        <v>25</v>
      </c>
      <c r="AT63">
        <v>62.48</v>
      </c>
      <c r="AV63" s="86" t="str">
        <f t="shared" si="10"/>
        <v>54734Share Sub Category SC Johnson</v>
      </c>
      <c r="AW63">
        <v>54734</v>
      </c>
      <c r="AX63" t="s">
        <v>333</v>
      </c>
      <c r="AY63" t="s">
        <v>477</v>
      </c>
      <c r="AZ63" t="s">
        <v>103</v>
      </c>
      <c r="BA63" t="s">
        <v>1059</v>
      </c>
      <c r="BB63" t="s">
        <v>1060</v>
      </c>
      <c r="BC63" t="s">
        <v>457</v>
      </c>
      <c r="BD63">
        <v>25</v>
      </c>
      <c r="BE63">
        <v>25</v>
      </c>
      <c r="BF63">
        <v>57.56</v>
      </c>
      <c r="BH63" s="86" t="str">
        <f t="shared" si="11"/>
        <v>53581Share Sub Category SC Johnson</v>
      </c>
      <c r="BI63">
        <v>53581</v>
      </c>
      <c r="BJ63" t="s">
        <v>374</v>
      </c>
      <c r="BK63" t="s">
        <v>489</v>
      </c>
      <c r="BL63" t="s">
        <v>103</v>
      </c>
      <c r="BM63" t="s">
        <v>1145</v>
      </c>
      <c r="BN63" t="s">
        <v>1146</v>
      </c>
      <c r="BO63" t="s">
        <v>457</v>
      </c>
      <c r="BP63">
        <v>25</v>
      </c>
      <c r="BQ63">
        <v>25</v>
      </c>
      <c r="BR63">
        <v>89.25</v>
      </c>
      <c r="BT63" s="86" t="str">
        <f t="shared" si="0"/>
        <v>53486Lancamentos</v>
      </c>
      <c r="BU63">
        <v>53486</v>
      </c>
      <c r="BV63" t="s">
        <v>332</v>
      </c>
      <c r="BW63" t="s">
        <v>477</v>
      </c>
      <c r="BX63" t="s">
        <v>103</v>
      </c>
      <c r="BY63" t="s">
        <v>1392</v>
      </c>
      <c r="BZ63" t="s">
        <v>1393</v>
      </c>
      <c r="CA63" t="s">
        <v>953</v>
      </c>
      <c r="CB63">
        <v>9</v>
      </c>
      <c r="CC63">
        <v>18</v>
      </c>
      <c r="CD63">
        <v>79.069999999999993</v>
      </c>
      <c r="CF63" s="86" t="str">
        <f t="shared" si="1"/>
        <v>53486Lancamentos</v>
      </c>
      <c r="CG63">
        <v>53486</v>
      </c>
      <c r="CH63" t="s">
        <v>332</v>
      </c>
      <c r="CI63" t="s">
        <v>477</v>
      </c>
      <c r="CJ63" t="s">
        <v>103</v>
      </c>
      <c r="CK63" t="s">
        <v>1436</v>
      </c>
      <c r="CL63" t="s">
        <v>1437</v>
      </c>
      <c r="CM63" t="s">
        <v>953</v>
      </c>
      <c r="CN63">
        <v>18</v>
      </c>
      <c r="CO63">
        <v>18</v>
      </c>
      <c r="CP63">
        <v>99.6</v>
      </c>
      <c r="CR63" s="86" t="str">
        <f t="shared" si="2"/>
        <v>53581Lancamentos</v>
      </c>
      <c r="CS63">
        <v>53581</v>
      </c>
      <c r="CT63" t="s">
        <v>374</v>
      </c>
      <c r="CU63" t="s">
        <v>489</v>
      </c>
      <c r="CV63" t="s">
        <v>103</v>
      </c>
      <c r="CW63" t="s">
        <v>1517</v>
      </c>
      <c r="CX63" t="s">
        <v>1518</v>
      </c>
      <c r="CY63" t="s">
        <v>953</v>
      </c>
      <c r="CZ63">
        <v>9</v>
      </c>
      <c r="DA63">
        <v>18</v>
      </c>
      <c r="DB63">
        <v>88.8</v>
      </c>
      <c r="DD63" s="86" t="str">
        <f t="shared" si="3"/>
        <v>53581Mix + Intocáveis SC Johnson</v>
      </c>
      <c r="DE63">
        <v>53581</v>
      </c>
      <c r="DF63" t="s">
        <v>374</v>
      </c>
      <c r="DG63" t="s">
        <v>489</v>
      </c>
      <c r="DH63" t="s">
        <v>103</v>
      </c>
      <c r="DI63" t="s">
        <v>1646</v>
      </c>
      <c r="DJ63" t="s">
        <v>1647</v>
      </c>
      <c r="DK63" t="s">
        <v>459</v>
      </c>
      <c r="DL63">
        <v>32.799999999999997</v>
      </c>
      <c r="DM63">
        <v>40</v>
      </c>
      <c r="DN63">
        <v>88.8</v>
      </c>
      <c r="DP63" s="86" t="str">
        <f t="shared" si="4"/>
        <v>53461Mix + Intocáveis SC Johnson</v>
      </c>
      <c r="DQ63">
        <v>53461</v>
      </c>
      <c r="DR63" t="s">
        <v>384</v>
      </c>
      <c r="DS63" t="s">
        <v>482</v>
      </c>
      <c r="DT63" t="s">
        <v>103</v>
      </c>
      <c r="DU63" t="s">
        <v>1836</v>
      </c>
      <c r="DV63" t="s">
        <v>1837</v>
      </c>
      <c r="DW63" t="s">
        <v>459</v>
      </c>
      <c r="DX63">
        <v>31.2</v>
      </c>
      <c r="DY63">
        <v>40</v>
      </c>
      <c r="DZ63">
        <v>96.2</v>
      </c>
      <c r="EB63" s="86" t="str">
        <f t="shared" si="5"/>
        <v>64883Mix + Intocáveis SC Johnson</v>
      </c>
      <c r="EC63">
        <v>64883</v>
      </c>
      <c r="ED63" t="s">
        <v>334</v>
      </c>
      <c r="EE63" t="s">
        <v>1345</v>
      </c>
      <c r="EF63" t="s">
        <v>103</v>
      </c>
      <c r="EG63" t="s">
        <v>1874</v>
      </c>
      <c r="EH63" t="s">
        <v>1875</v>
      </c>
      <c r="EI63" t="s">
        <v>459</v>
      </c>
      <c r="EJ63">
        <v>27.2</v>
      </c>
      <c r="EK63">
        <v>40</v>
      </c>
      <c r="EL63">
        <v>88.62</v>
      </c>
    </row>
    <row r="64" spans="1:142" x14ac:dyDescent="0.35">
      <c r="A64" s="86" t="str">
        <f t="shared" si="6"/>
        <v>54675Cross Merchan SC Johnson</v>
      </c>
      <c r="B64">
        <v>54675</v>
      </c>
      <c r="C64" t="s">
        <v>375</v>
      </c>
      <c r="D64" t="s">
        <v>103</v>
      </c>
      <c r="E64" t="s">
        <v>492</v>
      </c>
      <c r="F64" t="s">
        <v>493</v>
      </c>
      <c r="G64" t="s">
        <v>111</v>
      </c>
      <c r="H64">
        <v>63.12</v>
      </c>
      <c r="I64">
        <v>0</v>
      </c>
      <c r="J64">
        <v>8</v>
      </c>
      <c r="L64" s="86" t="str">
        <f t="shared" si="7"/>
        <v>54675Cross Merchan SC Johnson</v>
      </c>
      <c r="M64">
        <v>54675</v>
      </c>
      <c r="N64" t="s">
        <v>375</v>
      </c>
      <c r="O64" t="s">
        <v>482</v>
      </c>
      <c r="P64" t="s">
        <v>103</v>
      </c>
      <c r="Q64" t="s">
        <v>646</v>
      </c>
      <c r="R64" t="s">
        <v>647</v>
      </c>
      <c r="S64" t="s">
        <v>111</v>
      </c>
      <c r="T64">
        <v>0</v>
      </c>
      <c r="U64">
        <v>8</v>
      </c>
      <c r="V64">
        <v>42.82</v>
      </c>
      <c r="X64" s="86" t="str">
        <f t="shared" si="8"/>
        <v>54734Cross Merchan SC Johnson</v>
      </c>
      <c r="Y64">
        <v>54734</v>
      </c>
      <c r="Z64" t="s">
        <v>333</v>
      </c>
      <c r="AA64" t="s">
        <v>477</v>
      </c>
      <c r="AB64" t="s">
        <v>103</v>
      </c>
      <c r="AC64" t="s">
        <v>849</v>
      </c>
      <c r="AD64" t="s">
        <v>850</v>
      </c>
      <c r="AE64" t="s">
        <v>111</v>
      </c>
      <c r="AF64">
        <v>0</v>
      </c>
      <c r="AG64">
        <v>8</v>
      </c>
      <c r="AH64">
        <v>65.5</v>
      </c>
      <c r="AJ64" s="86" t="str">
        <f t="shared" si="9"/>
        <v>54675Cross Merchan SC Johnson</v>
      </c>
      <c r="AK64">
        <v>54675</v>
      </c>
      <c r="AL64" t="s">
        <v>375</v>
      </c>
      <c r="AM64" t="s">
        <v>104</v>
      </c>
      <c r="AN64" t="s">
        <v>103</v>
      </c>
      <c r="AO64" t="s">
        <v>1009</v>
      </c>
      <c r="AP64" t="s">
        <v>1010</v>
      </c>
      <c r="AQ64" t="s">
        <v>111</v>
      </c>
      <c r="AR64">
        <v>2.5</v>
      </c>
      <c r="AS64">
        <v>5</v>
      </c>
      <c r="AT64">
        <v>62.48</v>
      </c>
      <c r="AV64" s="86" t="str">
        <f t="shared" si="10"/>
        <v>54734Cross Merchan SC Johnson</v>
      </c>
      <c r="AW64">
        <v>54734</v>
      </c>
      <c r="AX64" t="s">
        <v>333</v>
      </c>
      <c r="AY64" t="s">
        <v>477</v>
      </c>
      <c r="AZ64" t="s">
        <v>103</v>
      </c>
      <c r="BA64" t="s">
        <v>1059</v>
      </c>
      <c r="BB64" t="s">
        <v>1060</v>
      </c>
      <c r="BC64" t="s">
        <v>111</v>
      </c>
      <c r="BD64">
        <v>0</v>
      </c>
      <c r="BE64">
        <v>5</v>
      </c>
      <c r="BF64">
        <v>57.56</v>
      </c>
      <c r="BH64" s="86" t="str">
        <f t="shared" si="11"/>
        <v>53581Cross Merchan SC Johnson</v>
      </c>
      <c r="BI64">
        <v>53581</v>
      </c>
      <c r="BJ64" t="s">
        <v>374</v>
      </c>
      <c r="BK64" t="s">
        <v>489</v>
      </c>
      <c r="BL64" t="s">
        <v>103</v>
      </c>
      <c r="BM64" t="s">
        <v>1145</v>
      </c>
      <c r="BN64" t="s">
        <v>1146</v>
      </c>
      <c r="BO64" t="s">
        <v>111</v>
      </c>
      <c r="BP64">
        <v>3.335</v>
      </c>
      <c r="BQ64">
        <v>5</v>
      </c>
      <c r="BR64">
        <v>89.25</v>
      </c>
      <c r="BT64" s="86" t="str">
        <f t="shared" si="0"/>
        <v>53486Mix + Intocáveis SC Johnson</v>
      </c>
      <c r="BU64">
        <v>53486</v>
      </c>
      <c r="BV64" t="s">
        <v>332</v>
      </c>
      <c r="BW64" t="s">
        <v>477</v>
      </c>
      <c r="BX64" t="s">
        <v>103</v>
      </c>
      <c r="BY64" t="s">
        <v>1392</v>
      </c>
      <c r="BZ64" t="s">
        <v>1393</v>
      </c>
      <c r="CA64" t="s">
        <v>459</v>
      </c>
      <c r="CB64">
        <v>34.4</v>
      </c>
      <c r="CC64">
        <v>40</v>
      </c>
      <c r="CD64">
        <v>79.069999999999993</v>
      </c>
      <c r="CF64" s="86" t="str">
        <f t="shared" si="1"/>
        <v>53486Mix + Intocáveis SC Johnson</v>
      </c>
      <c r="CG64">
        <v>53486</v>
      </c>
      <c r="CH64" t="s">
        <v>332</v>
      </c>
      <c r="CI64" t="s">
        <v>477</v>
      </c>
      <c r="CJ64" t="s">
        <v>103</v>
      </c>
      <c r="CK64" t="s">
        <v>1436</v>
      </c>
      <c r="CL64" t="s">
        <v>1437</v>
      </c>
      <c r="CM64" t="s">
        <v>459</v>
      </c>
      <c r="CN64">
        <v>37.6</v>
      </c>
      <c r="CO64">
        <v>40</v>
      </c>
      <c r="CP64">
        <v>99.6</v>
      </c>
      <c r="CR64" s="86" t="str">
        <f t="shared" si="2"/>
        <v>53581Mix + Intocáveis SC Johnson</v>
      </c>
      <c r="CS64">
        <v>53581</v>
      </c>
      <c r="CT64" t="s">
        <v>374</v>
      </c>
      <c r="CU64" t="s">
        <v>489</v>
      </c>
      <c r="CV64" t="s">
        <v>103</v>
      </c>
      <c r="CW64" t="s">
        <v>1517</v>
      </c>
      <c r="CX64" t="s">
        <v>1518</v>
      </c>
      <c r="CY64" t="s">
        <v>459</v>
      </c>
      <c r="CZ64">
        <v>32.799999999999997</v>
      </c>
      <c r="DA64">
        <v>40</v>
      </c>
      <c r="DB64">
        <v>88.8</v>
      </c>
      <c r="DD64" s="86" t="str">
        <f t="shared" si="3"/>
        <v>53581Execucao Bonus</v>
      </c>
      <c r="DE64">
        <v>53581</v>
      </c>
      <c r="DF64" t="s">
        <v>374</v>
      </c>
      <c r="DG64" t="s">
        <v>489</v>
      </c>
      <c r="DH64" t="s">
        <v>103</v>
      </c>
      <c r="DI64" t="s">
        <v>1646</v>
      </c>
      <c r="DJ64" t="s">
        <v>1647</v>
      </c>
      <c r="DK64" t="s">
        <v>1291</v>
      </c>
      <c r="DL64">
        <v>5</v>
      </c>
      <c r="DM64">
        <v>5</v>
      </c>
      <c r="DN64">
        <v>88.8</v>
      </c>
      <c r="DP64" s="86" t="str">
        <f t="shared" si="4"/>
        <v>53461Execucao Bonus</v>
      </c>
      <c r="DQ64">
        <v>53461</v>
      </c>
      <c r="DR64" t="s">
        <v>384</v>
      </c>
      <c r="DS64" t="s">
        <v>482</v>
      </c>
      <c r="DT64" t="s">
        <v>103</v>
      </c>
      <c r="DU64" t="s">
        <v>1836</v>
      </c>
      <c r="DV64" t="s">
        <v>1837</v>
      </c>
      <c r="DW64" t="s">
        <v>1291</v>
      </c>
      <c r="DX64">
        <v>5</v>
      </c>
      <c r="DY64">
        <v>5</v>
      </c>
      <c r="DZ64">
        <v>96.2</v>
      </c>
      <c r="EB64" s="86" t="str">
        <f t="shared" si="5"/>
        <v>64883Execucao Bonus</v>
      </c>
      <c r="EC64">
        <v>64883</v>
      </c>
      <c r="ED64" t="s">
        <v>334</v>
      </c>
      <c r="EE64" t="s">
        <v>1345</v>
      </c>
      <c r="EF64" t="s">
        <v>103</v>
      </c>
      <c r="EG64" t="s">
        <v>1874</v>
      </c>
      <c r="EH64" t="s">
        <v>1875</v>
      </c>
      <c r="EI64" t="s">
        <v>1291</v>
      </c>
      <c r="EJ64">
        <v>5</v>
      </c>
      <c r="EK64">
        <v>5</v>
      </c>
      <c r="EL64">
        <v>88.62</v>
      </c>
    </row>
    <row r="65" spans="1:142" x14ac:dyDescent="0.35">
      <c r="A65" s="86" t="str">
        <f t="shared" si="6"/>
        <v>54675Share Sub Loc Pao Quente SC Johnson</v>
      </c>
      <c r="B65">
        <v>54675</v>
      </c>
      <c r="C65" t="s">
        <v>375</v>
      </c>
      <c r="D65" t="s">
        <v>103</v>
      </c>
      <c r="E65" t="s">
        <v>492</v>
      </c>
      <c r="F65" t="s">
        <v>493</v>
      </c>
      <c r="G65" t="s">
        <v>458</v>
      </c>
      <c r="H65">
        <v>63.12</v>
      </c>
      <c r="I65">
        <v>10.199999999999999</v>
      </c>
      <c r="J65">
        <v>17</v>
      </c>
      <c r="L65" s="86" t="str">
        <f t="shared" si="7"/>
        <v>54675Share Sub Loc Pao Quente SC Johnson</v>
      </c>
      <c r="M65">
        <v>54675</v>
      </c>
      <c r="N65" t="s">
        <v>375</v>
      </c>
      <c r="O65" t="s">
        <v>482</v>
      </c>
      <c r="P65" t="s">
        <v>103</v>
      </c>
      <c r="Q65" t="s">
        <v>646</v>
      </c>
      <c r="R65" t="s">
        <v>647</v>
      </c>
      <c r="S65" t="s">
        <v>458</v>
      </c>
      <c r="T65">
        <v>12.75</v>
      </c>
      <c r="U65">
        <v>17</v>
      </c>
      <c r="V65">
        <v>42.82</v>
      </c>
      <c r="X65" s="86" t="str">
        <f t="shared" si="8"/>
        <v>54734Share Sub Loc Pao Quente SC Johnson</v>
      </c>
      <c r="Y65">
        <v>54734</v>
      </c>
      <c r="Z65" t="s">
        <v>333</v>
      </c>
      <c r="AA65" t="s">
        <v>477</v>
      </c>
      <c r="AB65" t="s">
        <v>103</v>
      </c>
      <c r="AC65" t="s">
        <v>849</v>
      </c>
      <c r="AD65" t="s">
        <v>850</v>
      </c>
      <c r="AE65" t="s">
        <v>458</v>
      </c>
      <c r="AF65">
        <v>8.5</v>
      </c>
      <c r="AG65">
        <v>17</v>
      </c>
      <c r="AH65">
        <v>65.5</v>
      </c>
      <c r="AJ65" s="86" t="str">
        <f t="shared" si="9"/>
        <v>54675Share Sub Loc Pao Quente SC Johnson</v>
      </c>
      <c r="AK65">
        <v>54675</v>
      </c>
      <c r="AL65" t="s">
        <v>375</v>
      </c>
      <c r="AM65" t="s">
        <v>104</v>
      </c>
      <c r="AN65" t="s">
        <v>103</v>
      </c>
      <c r="AO65" t="s">
        <v>1009</v>
      </c>
      <c r="AP65" t="s">
        <v>1010</v>
      </c>
      <c r="AQ65" t="s">
        <v>458</v>
      </c>
      <c r="AR65">
        <v>9</v>
      </c>
      <c r="AS65">
        <v>12</v>
      </c>
      <c r="AT65">
        <v>62.48</v>
      </c>
      <c r="AV65" s="86" t="str">
        <f t="shared" si="10"/>
        <v>54734Share Sub Loc Pao Quente SC Johnson</v>
      </c>
      <c r="AW65">
        <v>54734</v>
      </c>
      <c r="AX65" t="s">
        <v>333</v>
      </c>
      <c r="AY65" t="s">
        <v>477</v>
      </c>
      <c r="AZ65" t="s">
        <v>103</v>
      </c>
      <c r="BA65" t="s">
        <v>1059</v>
      </c>
      <c r="BB65" t="s">
        <v>1060</v>
      </c>
      <c r="BC65" t="s">
        <v>458</v>
      </c>
      <c r="BD65">
        <v>3</v>
      </c>
      <c r="BE65">
        <v>12</v>
      </c>
      <c r="BF65">
        <v>57.56</v>
      </c>
      <c r="BH65" s="86" t="str">
        <f t="shared" si="11"/>
        <v>53581Share Sub Loc Pao Quente SC Johnson</v>
      </c>
      <c r="BI65">
        <v>53581</v>
      </c>
      <c r="BJ65" t="s">
        <v>374</v>
      </c>
      <c r="BK65" t="s">
        <v>489</v>
      </c>
      <c r="BL65" t="s">
        <v>103</v>
      </c>
      <c r="BM65" t="s">
        <v>1145</v>
      </c>
      <c r="BN65" t="s">
        <v>1146</v>
      </c>
      <c r="BO65" t="s">
        <v>458</v>
      </c>
      <c r="BP65">
        <v>9</v>
      </c>
      <c r="BQ65">
        <v>12</v>
      </c>
      <c r="BR65">
        <v>89.25</v>
      </c>
      <c r="BT65" s="86" t="str">
        <f t="shared" si="0"/>
        <v>53486Share Sub Category SC Johnson</v>
      </c>
      <c r="BU65">
        <v>53486</v>
      </c>
      <c r="BV65" t="s">
        <v>332</v>
      </c>
      <c r="BW65" t="s">
        <v>477</v>
      </c>
      <c r="BX65" t="s">
        <v>103</v>
      </c>
      <c r="BY65" t="s">
        <v>1392</v>
      </c>
      <c r="BZ65" t="s">
        <v>1393</v>
      </c>
      <c r="CA65" t="s">
        <v>457</v>
      </c>
      <c r="CB65">
        <v>25</v>
      </c>
      <c r="CC65">
        <v>25</v>
      </c>
      <c r="CD65">
        <v>79.069999999999993</v>
      </c>
      <c r="CF65" s="86" t="str">
        <f t="shared" si="1"/>
        <v>53486Share Sub Category SC Johnson</v>
      </c>
      <c r="CG65">
        <v>53486</v>
      </c>
      <c r="CH65" t="s">
        <v>332</v>
      </c>
      <c r="CI65" t="s">
        <v>477</v>
      </c>
      <c r="CJ65" t="s">
        <v>103</v>
      </c>
      <c r="CK65" t="s">
        <v>1436</v>
      </c>
      <c r="CL65" t="s">
        <v>1437</v>
      </c>
      <c r="CM65" t="s">
        <v>457</v>
      </c>
      <c r="CN65">
        <v>25</v>
      </c>
      <c r="CO65">
        <v>25</v>
      </c>
      <c r="CP65">
        <v>99.6</v>
      </c>
      <c r="CR65" s="86" t="str">
        <f t="shared" si="2"/>
        <v>53581Share Sub Category SC Johnson</v>
      </c>
      <c r="CS65">
        <v>53581</v>
      </c>
      <c r="CT65" t="s">
        <v>374</v>
      </c>
      <c r="CU65" t="s">
        <v>489</v>
      </c>
      <c r="CV65" t="s">
        <v>103</v>
      </c>
      <c r="CW65" t="s">
        <v>1517</v>
      </c>
      <c r="CX65" t="s">
        <v>1518</v>
      </c>
      <c r="CY65" t="s">
        <v>457</v>
      </c>
      <c r="CZ65">
        <v>25</v>
      </c>
      <c r="DA65">
        <v>25</v>
      </c>
      <c r="DB65">
        <v>88.8</v>
      </c>
      <c r="DD65" s="86" t="str">
        <f t="shared" si="3"/>
        <v>53581Cross Merchan SC Johnson</v>
      </c>
      <c r="DE65">
        <v>53581</v>
      </c>
      <c r="DF65" t="s">
        <v>374</v>
      </c>
      <c r="DG65" t="s">
        <v>489</v>
      </c>
      <c r="DH65" t="s">
        <v>103</v>
      </c>
      <c r="DI65" t="s">
        <v>1646</v>
      </c>
      <c r="DJ65" t="s">
        <v>1647</v>
      </c>
      <c r="DK65" t="s">
        <v>111</v>
      </c>
      <c r="DL65">
        <v>5</v>
      </c>
      <c r="DM65">
        <v>5</v>
      </c>
      <c r="DN65">
        <v>88.8</v>
      </c>
      <c r="DP65" s="86" t="str">
        <f t="shared" si="4"/>
        <v>53461Cross Merchan SC Johnson</v>
      </c>
      <c r="DQ65">
        <v>53461</v>
      </c>
      <c r="DR65" t="s">
        <v>384</v>
      </c>
      <c r="DS65" t="s">
        <v>482</v>
      </c>
      <c r="DT65" t="s">
        <v>103</v>
      </c>
      <c r="DU65" t="s">
        <v>1836</v>
      </c>
      <c r="DV65" t="s">
        <v>1837</v>
      </c>
      <c r="DW65" t="s">
        <v>111</v>
      </c>
      <c r="DX65">
        <v>5</v>
      </c>
      <c r="DY65">
        <v>5</v>
      </c>
      <c r="DZ65">
        <v>96.2</v>
      </c>
      <c r="EB65" s="86" t="str">
        <f t="shared" si="5"/>
        <v>64883Cross Merchan SC Johnson</v>
      </c>
      <c r="EC65">
        <v>64883</v>
      </c>
      <c r="ED65" t="s">
        <v>334</v>
      </c>
      <c r="EE65" t="s">
        <v>1345</v>
      </c>
      <c r="EF65" t="s">
        <v>103</v>
      </c>
      <c r="EG65" t="s">
        <v>1874</v>
      </c>
      <c r="EH65" t="s">
        <v>1875</v>
      </c>
      <c r="EI65" t="s">
        <v>111</v>
      </c>
      <c r="EJ65">
        <v>5</v>
      </c>
      <c r="EK65">
        <v>5</v>
      </c>
      <c r="EL65">
        <v>88.62</v>
      </c>
    </row>
    <row r="66" spans="1:142" x14ac:dyDescent="0.35">
      <c r="A66" s="86" t="str">
        <f t="shared" si="6"/>
        <v>54675Mix + Intocáveis SC Johnson</v>
      </c>
      <c r="B66">
        <v>54675</v>
      </c>
      <c r="C66" t="s">
        <v>375</v>
      </c>
      <c r="D66" t="s">
        <v>103</v>
      </c>
      <c r="E66" t="s">
        <v>492</v>
      </c>
      <c r="F66" t="s">
        <v>493</v>
      </c>
      <c r="G66" t="s">
        <v>459</v>
      </c>
      <c r="H66">
        <v>63.12</v>
      </c>
      <c r="I66">
        <v>31.5</v>
      </c>
      <c r="J66">
        <v>45</v>
      </c>
      <c r="L66" s="86" t="str">
        <f t="shared" si="7"/>
        <v>54675Mix + Intocáveis SC Johnson</v>
      </c>
      <c r="M66">
        <v>54675</v>
      </c>
      <c r="N66" t="s">
        <v>375</v>
      </c>
      <c r="O66" t="s">
        <v>482</v>
      </c>
      <c r="P66" t="s">
        <v>103</v>
      </c>
      <c r="Q66" t="s">
        <v>646</v>
      </c>
      <c r="R66" t="s">
        <v>647</v>
      </c>
      <c r="S66" t="s">
        <v>459</v>
      </c>
      <c r="T66">
        <v>12.9375</v>
      </c>
      <c r="U66">
        <v>45</v>
      </c>
      <c r="V66">
        <v>42.82</v>
      </c>
      <c r="X66" s="86" t="str">
        <f t="shared" si="8"/>
        <v>54734Mix + Intocáveis SC Johnson</v>
      </c>
      <c r="Y66">
        <v>54734</v>
      </c>
      <c r="Z66" t="s">
        <v>333</v>
      </c>
      <c r="AA66" t="s">
        <v>477</v>
      </c>
      <c r="AB66" t="s">
        <v>103</v>
      </c>
      <c r="AC66" t="s">
        <v>849</v>
      </c>
      <c r="AD66" t="s">
        <v>850</v>
      </c>
      <c r="AE66" t="s">
        <v>459</v>
      </c>
      <c r="AF66">
        <v>27</v>
      </c>
      <c r="AG66">
        <v>45</v>
      </c>
      <c r="AH66">
        <v>65.5</v>
      </c>
      <c r="AJ66" s="86" t="str">
        <f t="shared" si="9"/>
        <v>54675Mix + Intocáveis SC Johnson</v>
      </c>
      <c r="AK66">
        <v>54675</v>
      </c>
      <c r="AL66" t="s">
        <v>375</v>
      </c>
      <c r="AM66" t="s">
        <v>104</v>
      </c>
      <c r="AN66" t="s">
        <v>103</v>
      </c>
      <c r="AO66" t="s">
        <v>1009</v>
      </c>
      <c r="AP66" t="s">
        <v>1010</v>
      </c>
      <c r="AQ66" t="s">
        <v>459</v>
      </c>
      <c r="AR66">
        <v>29.56</v>
      </c>
      <c r="AS66">
        <v>40</v>
      </c>
      <c r="AT66">
        <v>62.48</v>
      </c>
      <c r="AV66" s="86" t="str">
        <f t="shared" si="10"/>
        <v>54734Mix + Intocáveis SC Johnson</v>
      </c>
      <c r="AW66">
        <v>54734</v>
      </c>
      <c r="AX66" t="s">
        <v>333</v>
      </c>
      <c r="AY66" t="s">
        <v>477</v>
      </c>
      <c r="AZ66" t="s">
        <v>103</v>
      </c>
      <c r="BA66" t="s">
        <v>1059</v>
      </c>
      <c r="BB66" t="s">
        <v>1060</v>
      </c>
      <c r="BC66" t="s">
        <v>459</v>
      </c>
      <c r="BD66">
        <v>29.56</v>
      </c>
      <c r="BE66">
        <v>40</v>
      </c>
      <c r="BF66">
        <v>57.56</v>
      </c>
      <c r="BH66" s="86" t="str">
        <f t="shared" si="11"/>
        <v>53581Mix + Intocáveis SC Johnson</v>
      </c>
      <c r="BI66">
        <v>53581</v>
      </c>
      <c r="BJ66" t="s">
        <v>374</v>
      </c>
      <c r="BK66" t="s">
        <v>489</v>
      </c>
      <c r="BL66" t="s">
        <v>103</v>
      </c>
      <c r="BM66" t="s">
        <v>1145</v>
      </c>
      <c r="BN66" t="s">
        <v>1146</v>
      </c>
      <c r="BO66" t="s">
        <v>459</v>
      </c>
      <c r="BP66">
        <v>33.92</v>
      </c>
      <c r="BQ66">
        <v>40</v>
      </c>
      <c r="BR66">
        <v>89.25</v>
      </c>
      <c r="BT66" s="86" t="str">
        <f t="shared" si="0"/>
        <v>53486Share Sub Loc Pao Quente SC Johnson</v>
      </c>
      <c r="BU66">
        <v>53486</v>
      </c>
      <c r="BV66" t="s">
        <v>332</v>
      </c>
      <c r="BW66" t="s">
        <v>477</v>
      </c>
      <c r="BX66" t="s">
        <v>103</v>
      </c>
      <c r="BY66" t="s">
        <v>1392</v>
      </c>
      <c r="BZ66" t="s">
        <v>1393</v>
      </c>
      <c r="CA66" t="s">
        <v>458</v>
      </c>
      <c r="CB66">
        <v>9</v>
      </c>
      <c r="CC66">
        <v>12</v>
      </c>
      <c r="CD66">
        <v>79.069999999999993</v>
      </c>
      <c r="CF66" s="86" t="str">
        <f t="shared" si="1"/>
        <v>53486Share Sub Loc Pao Quente SC Johnson</v>
      </c>
      <c r="CG66">
        <v>53486</v>
      </c>
      <c r="CH66" t="s">
        <v>332</v>
      </c>
      <c r="CI66" t="s">
        <v>477</v>
      </c>
      <c r="CJ66" t="s">
        <v>103</v>
      </c>
      <c r="CK66" t="s">
        <v>1436</v>
      </c>
      <c r="CL66" t="s">
        <v>1437</v>
      </c>
      <c r="CM66" t="s">
        <v>458</v>
      </c>
      <c r="CN66">
        <v>9</v>
      </c>
      <c r="CO66">
        <v>12</v>
      </c>
      <c r="CP66">
        <v>99.6</v>
      </c>
      <c r="CR66" s="86" t="str">
        <f t="shared" si="2"/>
        <v>53581Share Sub Loc Pao Quente SC Johnson</v>
      </c>
      <c r="CS66">
        <v>53581</v>
      </c>
      <c r="CT66" t="s">
        <v>374</v>
      </c>
      <c r="CU66" t="s">
        <v>489</v>
      </c>
      <c r="CV66" t="s">
        <v>103</v>
      </c>
      <c r="CW66" t="s">
        <v>1517</v>
      </c>
      <c r="CX66" t="s">
        <v>1518</v>
      </c>
      <c r="CY66" t="s">
        <v>458</v>
      </c>
      <c r="CZ66">
        <v>12</v>
      </c>
      <c r="DA66">
        <v>12</v>
      </c>
      <c r="DB66">
        <v>88.8</v>
      </c>
      <c r="DD66" s="86" t="str">
        <f t="shared" si="3"/>
        <v>53581Lancamentos</v>
      </c>
      <c r="DE66">
        <v>53581</v>
      </c>
      <c r="DF66" t="s">
        <v>374</v>
      </c>
      <c r="DG66" t="s">
        <v>489</v>
      </c>
      <c r="DH66" t="s">
        <v>103</v>
      </c>
      <c r="DI66" t="s">
        <v>1646</v>
      </c>
      <c r="DJ66" t="s">
        <v>1647</v>
      </c>
      <c r="DK66" t="s">
        <v>953</v>
      </c>
      <c r="DL66">
        <v>9</v>
      </c>
      <c r="DM66">
        <v>18</v>
      </c>
      <c r="DN66">
        <v>88.8</v>
      </c>
      <c r="DP66" s="86" t="str">
        <f t="shared" si="4"/>
        <v>53461Lancamentos</v>
      </c>
      <c r="DQ66">
        <v>53461</v>
      </c>
      <c r="DR66" t="s">
        <v>384</v>
      </c>
      <c r="DS66" t="s">
        <v>482</v>
      </c>
      <c r="DT66" t="s">
        <v>103</v>
      </c>
      <c r="DU66" t="s">
        <v>1836</v>
      </c>
      <c r="DV66" t="s">
        <v>1837</v>
      </c>
      <c r="DW66" t="s">
        <v>953</v>
      </c>
      <c r="DX66">
        <v>18</v>
      </c>
      <c r="DY66">
        <v>18</v>
      </c>
      <c r="DZ66">
        <v>96.2</v>
      </c>
      <c r="EB66" s="86" t="str">
        <f t="shared" si="5"/>
        <v>64883Lancamentos</v>
      </c>
      <c r="EC66">
        <v>64883</v>
      </c>
      <c r="ED66" t="s">
        <v>334</v>
      </c>
      <c r="EE66" t="s">
        <v>1345</v>
      </c>
      <c r="EF66" t="s">
        <v>103</v>
      </c>
      <c r="EG66" t="s">
        <v>1874</v>
      </c>
      <c r="EH66" t="s">
        <v>1875</v>
      </c>
      <c r="EI66" t="s">
        <v>953</v>
      </c>
      <c r="EJ66">
        <v>18</v>
      </c>
      <c r="EK66">
        <v>18</v>
      </c>
      <c r="EL66">
        <v>88.62</v>
      </c>
    </row>
    <row r="67" spans="1:142" x14ac:dyDescent="0.35">
      <c r="A67" s="86" t="str">
        <f t="shared" si="6"/>
        <v>54734</v>
      </c>
      <c r="B67">
        <v>54734</v>
      </c>
      <c r="C67" t="s">
        <v>333</v>
      </c>
      <c r="D67" t="s">
        <v>103</v>
      </c>
      <c r="E67" t="s">
        <v>494</v>
      </c>
      <c r="F67" t="s">
        <v>495</v>
      </c>
      <c r="H67">
        <v>65.16</v>
      </c>
      <c r="I67"/>
      <c r="J67"/>
      <c r="L67" s="86" t="str">
        <f t="shared" si="7"/>
        <v>54734Share Sub Category SC Johnson</v>
      </c>
      <c r="M67">
        <v>54734</v>
      </c>
      <c r="N67" t="s">
        <v>333</v>
      </c>
      <c r="O67" t="s">
        <v>477</v>
      </c>
      <c r="P67" t="s">
        <v>103</v>
      </c>
      <c r="Q67" t="s">
        <v>648</v>
      </c>
      <c r="R67" t="s">
        <v>649</v>
      </c>
      <c r="S67" t="s">
        <v>457</v>
      </c>
      <c r="T67">
        <v>25.71</v>
      </c>
      <c r="U67">
        <v>30</v>
      </c>
      <c r="V67">
        <v>67.09</v>
      </c>
      <c r="X67" s="86" t="str">
        <f t="shared" si="8"/>
        <v>56110Share Sub Category SC Johnson</v>
      </c>
      <c r="Y67">
        <v>56110</v>
      </c>
      <c r="Z67" t="s">
        <v>385</v>
      </c>
      <c r="AA67" t="s">
        <v>482</v>
      </c>
      <c r="AB67" t="s">
        <v>103</v>
      </c>
      <c r="AC67" t="s">
        <v>825</v>
      </c>
      <c r="AD67" t="s">
        <v>826</v>
      </c>
      <c r="AE67" t="s">
        <v>457</v>
      </c>
      <c r="AF67">
        <v>30</v>
      </c>
      <c r="AG67">
        <v>30</v>
      </c>
      <c r="AH67">
        <v>79.13</v>
      </c>
      <c r="AJ67" s="86" t="str">
        <f t="shared" si="9"/>
        <v>54675Lancamentos</v>
      </c>
      <c r="AK67">
        <v>54675</v>
      </c>
      <c r="AL67" t="s">
        <v>375</v>
      </c>
      <c r="AM67" t="s">
        <v>104</v>
      </c>
      <c r="AN67" t="s">
        <v>103</v>
      </c>
      <c r="AO67" t="s">
        <v>1009</v>
      </c>
      <c r="AP67" t="s">
        <v>1010</v>
      </c>
      <c r="AQ67" t="s">
        <v>953</v>
      </c>
      <c r="AR67">
        <v>0</v>
      </c>
      <c r="AS67">
        <v>18</v>
      </c>
      <c r="AT67">
        <v>62.48</v>
      </c>
      <c r="AV67" s="86" t="str">
        <f t="shared" si="10"/>
        <v>54734Lancamentos</v>
      </c>
      <c r="AW67">
        <v>54734</v>
      </c>
      <c r="AX67" t="s">
        <v>333</v>
      </c>
      <c r="AY67" t="s">
        <v>477</v>
      </c>
      <c r="AZ67" t="s">
        <v>103</v>
      </c>
      <c r="BA67" t="s">
        <v>1059</v>
      </c>
      <c r="BB67" t="s">
        <v>1060</v>
      </c>
      <c r="BC67" t="s">
        <v>953</v>
      </c>
      <c r="BD67">
        <v>0</v>
      </c>
      <c r="BE67">
        <v>18</v>
      </c>
      <c r="BF67">
        <v>57.56</v>
      </c>
      <c r="BH67" s="86" t="str">
        <f t="shared" si="11"/>
        <v>53581Lancamentos</v>
      </c>
      <c r="BI67">
        <v>53581</v>
      </c>
      <c r="BJ67" t="s">
        <v>374</v>
      </c>
      <c r="BK67" t="s">
        <v>489</v>
      </c>
      <c r="BL67" t="s">
        <v>103</v>
      </c>
      <c r="BM67" t="s">
        <v>1145</v>
      </c>
      <c r="BN67" t="s">
        <v>1146</v>
      </c>
      <c r="BO67" t="s">
        <v>953</v>
      </c>
      <c r="BP67">
        <v>18</v>
      </c>
      <c r="BQ67">
        <v>18</v>
      </c>
      <c r="BR67">
        <v>89.25</v>
      </c>
      <c r="BT67" s="86" t="str">
        <f t="shared" ref="BT67:BT130" si="12">BU67&amp;CA67</f>
        <v>53486Cross Merchan SC Johnson</v>
      </c>
      <c r="BU67">
        <v>53486</v>
      </c>
      <c r="BV67" t="s">
        <v>332</v>
      </c>
      <c r="BW67" t="s">
        <v>477</v>
      </c>
      <c r="BX67" t="s">
        <v>103</v>
      </c>
      <c r="BY67" t="s">
        <v>1392</v>
      </c>
      <c r="BZ67" t="s">
        <v>1393</v>
      </c>
      <c r="CA67" t="s">
        <v>111</v>
      </c>
      <c r="CB67">
        <v>1.665</v>
      </c>
      <c r="CC67">
        <v>5</v>
      </c>
      <c r="CD67">
        <v>79.069999999999993</v>
      </c>
      <c r="CF67" s="86" t="str">
        <f t="shared" ref="CF67:CF130" si="13">CG67&amp;CM67</f>
        <v>53486Cross Merchan SC Johnson</v>
      </c>
      <c r="CG67">
        <v>53486</v>
      </c>
      <c r="CH67" t="s">
        <v>332</v>
      </c>
      <c r="CI67" t="s">
        <v>477</v>
      </c>
      <c r="CJ67" t="s">
        <v>103</v>
      </c>
      <c r="CK67" t="s">
        <v>1436</v>
      </c>
      <c r="CL67" t="s">
        <v>1437</v>
      </c>
      <c r="CM67" t="s">
        <v>111</v>
      </c>
      <c r="CN67">
        <v>5</v>
      </c>
      <c r="CO67">
        <v>5</v>
      </c>
      <c r="CP67">
        <v>99.6</v>
      </c>
      <c r="CR67" s="86" t="str">
        <f t="shared" ref="CR67:CR130" si="14">CS67&amp;CY67</f>
        <v>53581Cross Merchan SC Johnson</v>
      </c>
      <c r="CS67">
        <v>53581</v>
      </c>
      <c r="CT67" t="s">
        <v>374</v>
      </c>
      <c r="CU67" t="s">
        <v>489</v>
      </c>
      <c r="CV67" t="s">
        <v>103</v>
      </c>
      <c r="CW67" t="s">
        <v>1517</v>
      </c>
      <c r="CX67" t="s">
        <v>1518</v>
      </c>
      <c r="CY67" t="s">
        <v>111</v>
      </c>
      <c r="CZ67">
        <v>5</v>
      </c>
      <c r="DA67">
        <v>5</v>
      </c>
      <c r="DB67">
        <v>88.8</v>
      </c>
      <c r="DD67" s="86" t="str">
        <f t="shared" ref="DD67:DD130" si="15">DE67&amp;DK67</f>
        <v>53581Share Sub Category SC Johnson</v>
      </c>
      <c r="DE67">
        <v>53581</v>
      </c>
      <c r="DF67" t="s">
        <v>374</v>
      </c>
      <c r="DG67" t="s">
        <v>489</v>
      </c>
      <c r="DH67" t="s">
        <v>103</v>
      </c>
      <c r="DI67" t="s">
        <v>1646</v>
      </c>
      <c r="DJ67" t="s">
        <v>1647</v>
      </c>
      <c r="DK67" t="s">
        <v>457</v>
      </c>
      <c r="DL67">
        <v>25</v>
      </c>
      <c r="DM67">
        <v>25</v>
      </c>
      <c r="DN67">
        <v>88.8</v>
      </c>
      <c r="DP67" s="86" t="str">
        <f t="shared" ref="DP67:DP130" si="16">DQ67&amp;DW67</f>
        <v>53461Share Sub Category SC Johnson</v>
      </c>
      <c r="DQ67">
        <v>53461</v>
      </c>
      <c r="DR67" t="s">
        <v>384</v>
      </c>
      <c r="DS67" t="s">
        <v>482</v>
      </c>
      <c r="DT67" t="s">
        <v>103</v>
      </c>
      <c r="DU67" t="s">
        <v>1836</v>
      </c>
      <c r="DV67" t="s">
        <v>1837</v>
      </c>
      <c r="DW67" t="s">
        <v>457</v>
      </c>
      <c r="DX67">
        <v>25</v>
      </c>
      <c r="DY67">
        <v>25</v>
      </c>
      <c r="DZ67">
        <v>96.2</v>
      </c>
      <c r="EB67" s="86" t="str">
        <f t="shared" ref="EB67:EB130" si="17">EC67&amp;EI67</f>
        <v>64883Share Sub Category SC Johnson</v>
      </c>
      <c r="EC67">
        <v>64883</v>
      </c>
      <c r="ED67" t="s">
        <v>334</v>
      </c>
      <c r="EE67" t="s">
        <v>1345</v>
      </c>
      <c r="EF67" t="s">
        <v>103</v>
      </c>
      <c r="EG67" t="s">
        <v>1874</v>
      </c>
      <c r="EH67" t="s">
        <v>1875</v>
      </c>
      <c r="EI67" t="s">
        <v>457</v>
      </c>
      <c r="EJ67">
        <v>21.425000000000001</v>
      </c>
      <c r="EK67">
        <v>25</v>
      </c>
      <c r="EL67">
        <v>88.62</v>
      </c>
    </row>
    <row r="68" spans="1:142" x14ac:dyDescent="0.35">
      <c r="A68" s="86" t="str">
        <f t="shared" ref="A68:A131" si="18">B68&amp;G68</f>
        <v>56110Share Sub Category SC Johnson</v>
      </c>
      <c r="B68">
        <v>56110</v>
      </c>
      <c r="C68" t="s">
        <v>385</v>
      </c>
      <c r="D68" t="s">
        <v>103</v>
      </c>
      <c r="E68" t="s">
        <v>496</v>
      </c>
      <c r="F68" t="s">
        <v>497</v>
      </c>
      <c r="G68" t="s">
        <v>457</v>
      </c>
      <c r="H68">
        <v>72.83</v>
      </c>
      <c r="I68">
        <v>30</v>
      </c>
      <c r="J68">
        <v>30</v>
      </c>
      <c r="L68" s="86" t="str">
        <f t="shared" ref="L68:L131" si="19">M68&amp;S68</f>
        <v>54734Cross Merchan SC Johnson</v>
      </c>
      <c r="M68">
        <v>54734</v>
      </c>
      <c r="N68" t="s">
        <v>333</v>
      </c>
      <c r="O68" t="s">
        <v>477</v>
      </c>
      <c r="P68" t="s">
        <v>103</v>
      </c>
      <c r="Q68" t="s">
        <v>648</v>
      </c>
      <c r="R68" t="s">
        <v>649</v>
      </c>
      <c r="S68" t="s">
        <v>111</v>
      </c>
      <c r="T68">
        <v>0</v>
      </c>
      <c r="U68">
        <v>8</v>
      </c>
      <c r="V68">
        <v>67.09</v>
      </c>
      <c r="X68" s="86" t="str">
        <f t="shared" ref="X68:X131" si="20">Y68&amp;AE68</f>
        <v>56110Cross Merchan SC Johnson</v>
      </c>
      <c r="Y68">
        <v>56110</v>
      </c>
      <c r="Z68" t="s">
        <v>385</v>
      </c>
      <c r="AA68" t="s">
        <v>482</v>
      </c>
      <c r="AB68" t="s">
        <v>103</v>
      </c>
      <c r="AC68" t="s">
        <v>825</v>
      </c>
      <c r="AD68" t="s">
        <v>826</v>
      </c>
      <c r="AE68" t="s">
        <v>111</v>
      </c>
      <c r="AF68">
        <v>8</v>
      </c>
      <c r="AG68">
        <v>8</v>
      </c>
      <c r="AH68">
        <v>79.13</v>
      </c>
      <c r="AJ68" s="86" t="str">
        <f t="shared" ref="AJ68:AJ131" si="21">AK68&amp;AQ68</f>
        <v>54734Share Sub Category SC Johnson</v>
      </c>
      <c r="AK68">
        <v>54734</v>
      </c>
      <c r="AL68" t="s">
        <v>333</v>
      </c>
      <c r="AM68" t="s">
        <v>477</v>
      </c>
      <c r="AN68" t="s">
        <v>103</v>
      </c>
      <c r="AO68" t="s">
        <v>1011</v>
      </c>
      <c r="AP68" t="s">
        <v>1012</v>
      </c>
      <c r="AQ68" t="s">
        <v>457</v>
      </c>
      <c r="AR68">
        <v>17.850000000000001</v>
      </c>
      <c r="AS68">
        <v>25</v>
      </c>
      <c r="AT68">
        <v>51.69</v>
      </c>
      <c r="AV68" s="86" t="str">
        <f t="shared" ref="AV68:AV131" si="22">AW68&amp;BC68</f>
        <v>57802Share Sub Category SC Johnson</v>
      </c>
      <c r="AW68">
        <v>57802</v>
      </c>
      <c r="AX68" t="s">
        <v>376</v>
      </c>
      <c r="AY68" t="s">
        <v>1004</v>
      </c>
      <c r="AZ68" t="s">
        <v>103</v>
      </c>
      <c r="BA68" t="s">
        <v>1061</v>
      </c>
      <c r="BB68" t="s">
        <v>1062</v>
      </c>
      <c r="BC68" t="s">
        <v>457</v>
      </c>
      <c r="BD68">
        <v>17.850000000000001</v>
      </c>
      <c r="BE68">
        <v>25</v>
      </c>
      <c r="BF68">
        <v>57.59</v>
      </c>
      <c r="BH68" s="86" t="str">
        <f t="shared" ref="BH68:BH131" si="23">BI68&amp;BO68</f>
        <v>54675Share Sub Category SC Johnson</v>
      </c>
      <c r="BI68">
        <v>54675</v>
      </c>
      <c r="BJ68" t="s">
        <v>375</v>
      </c>
      <c r="BK68" t="s">
        <v>482</v>
      </c>
      <c r="BL68" t="s">
        <v>103</v>
      </c>
      <c r="BM68" t="s">
        <v>1157</v>
      </c>
      <c r="BN68" t="s">
        <v>1158</v>
      </c>
      <c r="BO68" t="s">
        <v>457</v>
      </c>
      <c r="BP68">
        <v>21.425000000000001</v>
      </c>
      <c r="BQ68">
        <v>25</v>
      </c>
      <c r="BR68">
        <v>67.2</v>
      </c>
      <c r="BT68" s="86" t="str">
        <f t="shared" si="12"/>
        <v>53486Execucao Bonus</v>
      </c>
      <c r="BU68">
        <v>53486</v>
      </c>
      <c r="BV68" t="s">
        <v>332</v>
      </c>
      <c r="BW68" t="s">
        <v>477</v>
      </c>
      <c r="BX68" t="s">
        <v>103</v>
      </c>
      <c r="BY68" t="s">
        <v>1392</v>
      </c>
      <c r="BZ68" t="s">
        <v>1393</v>
      </c>
      <c r="CA68" t="s">
        <v>1291</v>
      </c>
      <c r="CB68">
        <v>0</v>
      </c>
      <c r="CC68">
        <v>5</v>
      </c>
      <c r="CD68">
        <v>79.069999999999993</v>
      </c>
      <c r="CF68" s="86" t="str">
        <f t="shared" si="13"/>
        <v>53486Execucao Bonus</v>
      </c>
      <c r="CG68">
        <v>53486</v>
      </c>
      <c r="CH68" t="s">
        <v>332</v>
      </c>
      <c r="CI68" t="s">
        <v>477</v>
      </c>
      <c r="CJ68" t="s">
        <v>103</v>
      </c>
      <c r="CK68" t="s">
        <v>1436</v>
      </c>
      <c r="CL68" t="s">
        <v>1437</v>
      </c>
      <c r="CM68" t="s">
        <v>1291</v>
      </c>
      <c r="CN68">
        <v>5</v>
      </c>
      <c r="CO68">
        <v>5</v>
      </c>
      <c r="CP68">
        <v>99.6</v>
      </c>
      <c r="CR68" s="86" t="str">
        <f t="shared" si="14"/>
        <v>53581Execucao Bonus</v>
      </c>
      <c r="CS68">
        <v>53581</v>
      </c>
      <c r="CT68" t="s">
        <v>374</v>
      </c>
      <c r="CU68" t="s">
        <v>489</v>
      </c>
      <c r="CV68" t="s">
        <v>103</v>
      </c>
      <c r="CW68" t="s">
        <v>1517</v>
      </c>
      <c r="CX68" t="s">
        <v>1518</v>
      </c>
      <c r="CY68" t="s">
        <v>1291</v>
      </c>
      <c r="CZ68">
        <v>5</v>
      </c>
      <c r="DA68">
        <v>5</v>
      </c>
      <c r="DB68">
        <v>88.8</v>
      </c>
      <c r="DD68" s="86" t="str">
        <f t="shared" si="15"/>
        <v>53581Share Sub Loc Pao Quente SC Johnson</v>
      </c>
      <c r="DE68">
        <v>53581</v>
      </c>
      <c r="DF68" t="s">
        <v>374</v>
      </c>
      <c r="DG68" t="s">
        <v>489</v>
      </c>
      <c r="DH68" t="s">
        <v>103</v>
      </c>
      <c r="DI68" t="s">
        <v>1646</v>
      </c>
      <c r="DJ68" t="s">
        <v>1647</v>
      </c>
      <c r="DK68" t="s">
        <v>458</v>
      </c>
      <c r="DL68">
        <v>12</v>
      </c>
      <c r="DM68">
        <v>12</v>
      </c>
      <c r="DN68">
        <v>88.8</v>
      </c>
      <c r="DP68" s="86" t="str">
        <f t="shared" si="16"/>
        <v>53461Share Sub Loc Pao Quente SC Johnson</v>
      </c>
      <c r="DQ68">
        <v>53461</v>
      </c>
      <c r="DR68" t="s">
        <v>384</v>
      </c>
      <c r="DS68" t="s">
        <v>482</v>
      </c>
      <c r="DT68" t="s">
        <v>103</v>
      </c>
      <c r="DU68" t="s">
        <v>1836</v>
      </c>
      <c r="DV68" t="s">
        <v>1837</v>
      </c>
      <c r="DW68" t="s">
        <v>458</v>
      </c>
      <c r="DX68">
        <v>12</v>
      </c>
      <c r="DY68">
        <v>12</v>
      </c>
      <c r="DZ68">
        <v>96.2</v>
      </c>
      <c r="EB68" s="86" t="str">
        <f t="shared" si="17"/>
        <v>64883Share Sub Loc Pao Quente SC Johnson</v>
      </c>
      <c r="EC68">
        <v>64883</v>
      </c>
      <c r="ED68" t="s">
        <v>334</v>
      </c>
      <c r="EE68" t="s">
        <v>1345</v>
      </c>
      <c r="EF68" t="s">
        <v>103</v>
      </c>
      <c r="EG68" t="s">
        <v>1874</v>
      </c>
      <c r="EH68" t="s">
        <v>1875</v>
      </c>
      <c r="EI68" t="s">
        <v>458</v>
      </c>
      <c r="EJ68">
        <v>12</v>
      </c>
      <c r="EK68">
        <v>12</v>
      </c>
      <c r="EL68">
        <v>88.62</v>
      </c>
    </row>
    <row r="69" spans="1:142" x14ac:dyDescent="0.35">
      <c r="A69" s="86" t="str">
        <f t="shared" si="18"/>
        <v>56110Cross Merchan SC Johnson</v>
      </c>
      <c r="B69">
        <v>56110</v>
      </c>
      <c r="C69" t="s">
        <v>385</v>
      </c>
      <c r="D69" t="s">
        <v>103</v>
      </c>
      <c r="E69" t="s">
        <v>496</v>
      </c>
      <c r="F69" t="s">
        <v>497</v>
      </c>
      <c r="G69" t="s">
        <v>111</v>
      </c>
      <c r="H69">
        <v>72.83</v>
      </c>
      <c r="I69">
        <v>0</v>
      </c>
      <c r="J69">
        <v>8</v>
      </c>
      <c r="L69" s="86" t="str">
        <f t="shared" si="19"/>
        <v>54734Share Sub Loc Pao Quente SC Johnson</v>
      </c>
      <c r="M69">
        <v>54734</v>
      </c>
      <c r="N69" t="s">
        <v>333</v>
      </c>
      <c r="O69" t="s">
        <v>477</v>
      </c>
      <c r="P69" t="s">
        <v>103</v>
      </c>
      <c r="Q69" t="s">
        <v>648</v>
      </c>
      <c r="R69" t="s">
        <v>649</v>
      </c>
      <c r="S69" t="s">
        <v>458</v>
      </c>
      <c r="T69">
        <v>4.25</v>
      </c>
      <c r="U69">
        <v>17</v>
      </c>
      <c r="V69">
        <v>67.09</v>
      </c>
      <c r="X69" s="86" t="str">
        <f t="shared" si="20"/>
        <v>56110Share Sub Loc Pao Quente SC Johnson</v>
      </c>
      <c r="Y69">
        <v>56110</v>
      </c>
      <c r="Z69" t="s">
        <v>385</v>
      </c>
      <c r="AA69" t="s">
        <v>482</v>
      </c>
      <c r="AB69" t="s">
        <v>103</v>
      </c>
      <c r="AC69" t="s">
        <v>825</v>
      </c>
      <c r="AD69" t="s">
        <v>826</v>
      </c>
      <c r="AE69" t="s">
        <v>458</v>
      </c>
      <c r="AF69">
        <v>8.5</v>
      </c>
      <c r="AG69">
        <v>17</v>
      </c>
      <c r="AH69">
        <v>79.13</v>
      </c>
      <c r="AJ69" s="86" t="str">
        <f t="shared" si="21"/>
        <v>54734Cross Merchan SC Johnson</v>
      </c>
      <c r="AK69">
        <v>54734</v>
      </c>
      <c r="AL69" t="s">
        <v>333</v>
      </c>
      <c r="AM69" t="s">
        <v>477</v>
      </c>
      <c r="AN69" t="s">
        <v>103</v>
      </c>
      <c r="AO69" t="s">
        <v>1011</v>
      </c>
      <c r="AP69" t="s">
        <v>1012</v>
      </c>
      <c r="AQ69" t="s">
        <v>111</v>
      </c>
      <c r="AR69">
        <v>0</v>
      </c>
      <c r="AS69">
        <v>5</v>
      </c>
      <c r="AT69">
        <v>51.69</v>
      </c>
      <c r="AV69" s="86" t="str">
        <f t="shared" si="22"/>
        <v>57802Cross Merchan SC Johnson</v>
      </c>
      <c r="AW69">
        <v>57802</v>
      </c>
      <c r="AX69" t="s">
        <v>376</v>
      </c>
      <c r="AY69" t="s">
        <v>1004</v>
      </c>
      <c r="AZ69" t="s">
        <v>103</v>
      </c>
      <c r="BA69" t="s">
        <v>1061</v>
      </c>
      <c r="BB69" t="s">
        <v>1062</v>
      </c>
      <c r="BC69" t="s">
        <v>111</v>
      </c>
      <c r="BD69">
        <v>1.665</v>
      </c>
      <c r="BE69">
        <v>5</v>
      </c>
      <c r="BF69">
        <v>57.59</v>
      </c>
      <c r="BH69" s="86" t="str">
        <f t="shared" si="23"/>
        <v>54675Cross Merchan SC Johnson</v>
      </c>
      <c r="BI69">
        <v>54675</v>
      </c>
      <c r="BJ69" t="s">
        <v>375</v>
      </c>
      <c r="BK69" t="s">
        <v>482</v>
      </c>
      <c r="BL69" t="s">
        <v>103</v>
      </c>
      <c r="BM69" t="s">
        <v>1157</v>
      </c>
      <c r="BN69" t="s">
        <v>1158</v>
      </c>
      <c r="BO69" t="s">
        <v>111</v>
      </c>
      <c r="BP69">
        <v>3.335</v>
      </c>
      <c r="BQ69">
        <v>5</v>
      </c>
      <c r="BR69">
        <v>67.2</v>
      </c>
      <c r="BT69" s="86" t="str">
        <f t="shared" si="12"/>
        <v>53581Lancamentos</v>
      </c>
      <c r="BU69">
        <v>53581</v>
      </c>
      <c r="BV69" t="s">
        <v>374</v>
      </c>
      <c r="BW69" t="s">
        <v>489</v>
      </c>
      <c r="BX69" t="s">
        <v>103</v>
      </c>
      <c r="BY69" t="s">
        <v>1298</v>
      </c>
      <c r="BZ69" t="s">
        <v>1299</v>
      </c>
      <c r="CA69" t="s">
        <v>953</v>
      </c>
      <c r="CB69">
        <v>9</v>
      </c>
      <c r="CC69">
        <v>18</v>
      </c>
      <c r="CD69">
        <v>83.6</v>
      </c>
      <c r="CF69" s="86" t="str">
        <f t="shared" si="13"/>
        <v>53581Lancamentos</v>
      </c>
      <c r="CG69">
        <v>53581</v>
      </c>
      <c r="CH69" t="s">
        <v>374</v>
      </c>
      <c r="CI69" t="s">
        <v>489</v>
      </c>
      <c r="CJ69" t="s">
        <v>103</v>
      </c>
      <c r="CK69" t="s">
        <v>1406</v>
      </c>
      <c r="CL69" t="s">
        <v>1407</v>
      </c>
      <c r="CM69" t="s">
        <v>953</v>
      </c>
      <c r="CN69">
        <v>18</v>
      </c>
      <c r="CO69">
        <v>18</v>
      </c>
      <c r="CP69">
        <v>97.2</v>
      </c>
      <c r="CR69" s="86" t="str">
        <f t="shared" si="14"/>
        <v>54675Lancamentos</v>
      </c>
      <c r="CS69">
        <v>54675</v>
      </c>
      <c r="CT69" t="s">
        <v>375</v>
      </c>
      <c r="CU69" t="s">
        <v>482</v>
      </c>
      <c r="CV69" t="s">
        <v>103</v>
      </c>
      <c r="CW69" t="s">
        <v>1622</v>
      </c>
      <c r="CX69" t="s">
        <v>1623</v>
      </c>
      <c r="CY69" t="s">
        <v>953</v>
      </c>
      <c r="CZ69">
        <v>18</v>
      </c>
      <c r="DA69">
        <v>18</v>
      </c>
      <c r="DB69">
        <v>93</v>
      </c>
      <c r="DD69" s="86" t="str">
        <f t="shared" si="15"/>
        <v>54675Mix + Intocáveis SC Johnson</v>
      </c>
      <c r="DE69">
        <v>54675</v>
      </c>
      <c r="DF69" t="s">
        <v>375</v>
      </c>
      <c r="DG69" t="s">
        <v>482</v>
      </c>
      <c r="DH69" t="s">
        <v>103</v>
      </c>
      <c r="DI69" t="s">
        <v>1636</v>
      </c>
      <c r="DJ69" t="s">
        <v>1637</v>
      </c>
      <c r="DK69" t="s">
        <v>459</v>
      </c>
      <c r="DL69">
        <v>27.2</v>
      </c>
      <c r="DM69">
        <v>40</v>
      </c>
      <c r="DN69">
        <v>79.62</v>
      </c>
      <c r="DP69" s="86" t="str">
        <f t="shared" si="16"/>
        <v>53486Mix + Intocáveis SC Johnson</v>
      </c>
      <c r="DQ69">
        <v>53486</v>
      </c>
      <c r="DR69" t="s">
        <v>332</v>
      </c>
      <c r="DS69" t="s">
        <v>477</v>
      </c>
      <c r="DT69" t="s">
        <v>103</v>
      </c>
      <c r="DU69" t="s">
        <v>1858</v>
      </c>
      <c r="DV69" t="s">
        <v>1859</v>
      </c>
      <c r="DW69" t="s">
        <v>459</v>
      </c>
      <c r="DX69">
        <v>38.4</v>
      </c>
      <c r="DY69">
        <v>40</v>
      </c>
      <c r="DZ69">
        <v>92.4</v>
      </c>
      <c r="EB69" s="86" t="str">
        <f t="shared" si="17"/>
        <v>74369Mix + Intocáveis SC Johnson</v>
      </c>
      <c r="EC69">
        <v>74369</v>
      </c>
      <c r="ED69" t="s">
        <v>377</v>
      </c>
      <c r="EE69" t="s">
        <v>489</v>
      </c>
      <c r="EF69" t="s">
        <v>103</v>
      </c>
      <c r="EG69" t="s">
        <v>1876</v>
      </c>
      <c r="EH69" t="s">
        <v>1877</v>
      </c>
      <c r="EI69" t="s">
        <v>459</v>
      </c>
      <c r="EJ69">
        <v>33.6</v>
      </c>
      <c r="EK69">
        <v>40</v>
      </c>
      <c r="EL69">
        <v>95.6</v>
      </c>
    </row>
    <row r="70" spans="1:142" x14ac:dyDescent="0.35">
      <c r="A70" s="86" t="str">
        <f t="shared" si="18"/>
        <v>56110Share Sub Loc Pao Quente SC Johnson</v>
      </c>
      <c r="B70">
        <v>56110</v>
      </c>
      <c r="C70" t="s">
        <v>385</v>
      </c>
      <c r="D70" t="s">
        <v>103</v>
      </c>
      <c r="E70" t="s">
        <v>496</v>
      </c>
      <c r="F70" t="s">
        <v>497</v>
      </c>
      <c r="G70" t="s">
        <v>458</v>
      </c>
      <c r="H70">
        <v>72.83</v>
      </c>
      <c r="I70">
        <v>10.199999999999999</v>
      </c>
      <c r="J70">
        <v>17</v>
      </c>
      <c r="L70" s="86" t="str">
        <f t="shared" si="19"/>
        <v>54734Mix + Intocáveis SC Johnson</v>
      </c>
      <c r="M70">
        <v>54734</v>
      </c>
      <c r="N70" t="s">
        <v>333</v>
      </c>
      <c r="O70" t="s">
        <v>477</v>
      </c>
      <c r="P70" t="s">
        <v>103</v>
      </c>
      <c r="Q70" t="s">
        <v>648</v>
      </c>
      <c r="R70" t="s">
        <v>649</v>
      </c>
      <c r="S70" t="s">
        <v>459</v>
      </c>
      <c r="T70">
        <v>37.125</v>
      </c>
      <c r="U70">
        <v>45</v>
      </c>
      <c r="V70">
        <v>67.09</v>
      </c>
      <c r="X70" s="86" t="str">
        <f t="shared" si="20"/>
        <v>56110Mix + Intocáveis SC Johnson</v>
      </c>
      <c r="Y70">
        <v>56110</v>
      </c>
      <c r="Z70" t="s">
        <v>385</v>
      </c>
      <c r="AA70" t="s">
        <v>482</v>
      </c>
      <c r="AB70" t="s">
        <v>103</v>
      </c>
      <c r="AC70" t="s">
        <v>825</v>
      </c>
      <c r="AD70" t="s">
        <v>826</v>
      </c>
      <c r="AE70" t="s">
        <v>459</v>
      </c>
      <c r="AF70">
        <v>32.625</v>
      </c>
      <c r="AG70">
        <v>45</v>
      </c>
      <c r="AH70">
        <v>79.13</v>
      </c>
      <c r="AJ70" s="86" t="str">
        <f t="shared" si="21"/>
        <v>54734Share Sub Loc Pao Quente SC Johnson</v>
      </c>
      <c r="AK70">
        <v>54734</v>
      </c>
      <c r="AL70" t="s">
        <v>333</v>
      </c>
      <c r="AM70" t="s">
        <v>477</v>
      </c>
      <c r="AN70" t="s">
        <v>103</v>
      </c>
      <c r="AO70" t="s">
        <v>1011</v>
      </c>
      <c r="AP70" t="s">
        <v>1012</v>
      </c>
      <c r="AQ70" t="s">
        <v>458</v>
      </c>
      <c r="AR70">
        <v>6</v>
      </c>
      <c r="AS70">
        <v>12</v>
      </c>
      <c r="AT70">
        <v>51.69</v>
      </c>
      <c r="AV70" s="86" t="str">
        <f t="shared" si="22"/>
        <v>57802Share Sub Loc Pao Quente SC Johnson</v>
      </c>
      <c r="AW70">
        <v>57802</v>
      </c>
      <c r="AX70" t="s">
        <v>376</v>
      </c>
      <c r="AY70" t="s">
        <v>1004</v>
      </c>
      <c r="AZ70" t="s">
        <v>103</v>
      </c>
      <c r="BA70" t="s">
        <v>1061</v>
      </c>
      <c r="BB70" t="s">
        <v>1062</v>
      </c>
      <c r="BC70" t="s">
        <v>458</v>
      </c>
      <c r="BD70">
        <v>12</v>
      </c>
      <c r="BE70">
        <v>12</v>
      </c>
      <c r="BF70">
        <v>57.59</v>
      </c>
      <c r="BH70" s="86" t="str">
        <f t="shared" si="23"/>
        <v>54675Share Sub Loc Pao Quente SC Johnson</v>
      </c>
      <c r="BI70">
        <v>54675</v>
      </c>
      <c r="BJ70" t="s">
        <v>375</v>
      </c>
      <c r="BK70" t="s">
        <v>482</v>
      </c>
      <c r="BL70" t="s">
        <v>103</v>
      </c>
      <c r="BM70" t="s">
        <v>1157</v>
      </c>
      <c r="BN70" t="s">
        <v>1158</v>
      </c>
      <c r="BO70" t="s">
        <v>458</v>
      </c>
      <c r="BP70">
        <v>12</v>
      </c>
      <c r="BQ70">
        <v>12</v>
      </c>
      <c r="BR70">
        <v>67.2</v>
      </c>
      <c r="BT70" s="86" t="str">
        <f t="shared" si="12"/>
        <v>53581Mix + Intocáveis SC Johnson</v>
      </c>
      <c r="BU70">
        <v>53581</v>
      </c>
      <c r="BV70" t="s">
        <v>374</v>
      </c>
      <c r="BW70" t="s">
        <v>489</v>
      </c>
      <c r="BX70" t="s">
        <v>103</v>
      </c>
      <c r="BY70" t="s">
        <v>1298</v>
      </c>
      <c r="BZ70" t="s">
        <v>1299</v>
      </c>
      <c r="CA70" t="s">
        <v>459</v>
      </c>
      <c r="CB70">
        <v>33.6</v>
      </c>
      <c r="CC70">
        <v>40</v>
      </c>
      <c r="CD70">
        <v>83.6</v>
      </c>
      <c r="CF70" s="86" t="str">
        <f t="shared" si="13"/>
        <v>53581Mix + Intocáveis SC Johnson</v>
      </c>
      <c r="CG70">
        <v>53581</v>
      </c>
      <c r="CH70" t="s">
        <v>374</v>
      </c>
      <c r="CI70" t="s">
        <v>489</v>
      </c>
      <c r="CJ70" t="s">
        <v>103</v>
      </c>
      <c r="CK70" t="s">
        <v>1406</v>
      </c>
      <c r="CL70" t="s">
        <v>1407</v>
      </c>
      <c r="CM70" t="s">
        <v>459</v>
      </c>
      <c r="CN70">
        <v>35.200000000000003</v>
      </c>
      <c r="CO70">
        <v>40</v>
      </c>
      <c r="CP70">
        <v>97.2</v>
      </c>
      <c r="CR70" s="86" t="str">
        <f t="shared" si="14"/>
        <v>54675Mix + Intocáveis SC Johnson</v>
      </c>
      <c r="CS70">
        <v>54675</v>
      </c>
      <c r="CT70" t="s">
        <v>375</v>
      </c>
      <c r="CU70" t="s">
        <v>482</v>
      </c>
      <c r="CV70" t="s">
        <v>103</v>
      </c>
      <c r="CW70" t="s">
        <v>1622</v>
      </c>
      <c r="CX70" t="s">
        <v>1623</v>
      </c>
      <c r="CY70" t="s">
        <v>459</v>
      </c>
      <c r="CZ70">
        <v>28</v>
      </c>
      <c r="DA70">
        <v>40</v>
      </c>
      <c r="DB70">
        <v>93</v>
      </c>
      <c r="DD70" s="86" t="str">
        <f t="shared" si="15"/>
        <v>54675Execucao Bonus</v>
      </c>
      <c r="DE70">
        <v>54675</v>
      </c>
      <c r="DF70" t="s">
        <v>375</v>
      </c>
      <c r="DG70" t="s">
        <v>482</v>
      </c>
      <c r="DH70" t="s">
        <v>103</v>
      </c>
      <c r="DI70" t="s">
        <v>1636</v>
      </c>
      <c r="DJ70" t="s">
        <v>1637</v>
      </c>
      <c r="DK70" t="s">
        <v>1291</v>
      </c>
      <c r="DL70">
        <v>5</v>
      </c>
      <c r="DM70">
        <v>5</v>
      </c>
      <c r="DN70">
        <v>79.62</v>
      </c>
      <c r="DP70" s="86" t="str">
        <f t="shared" si="16"/>
        <v>53486Execucao Bonus</v>
      </c>
      <c r="DQ70">
        <v>53486</v>
      </c>
      <c r="DR70" t="s">
        <v>332</v>
      </c>
      <c r="DS70" t="s">
        <v>477</v>
      </c>
      <c r="DT70" t="s">
        <v>103</v>
      </c>
      <c r="DU70" t="s">
        <v>1858</v>
      </c>
      <c r="DV70" t="s">
        <v>1859</v>
      </c>
      <c r="DW70" t="s">
        <v>1291</v>
      </c>
      <c r="DX70">
        <v>0</v>
      </c>
      <c r="DY70">
        <v>5</v>
      </c>
      <c r="DZ70">
        <v>92.4</v>
      </c>
      <c r="EB70" s="86" t="str">
        <f t="shared" si="17"/>
        <v>74369Execucao Bonus</v>
      </c>
      <c r="EC70">
        <v>74369</v>
      </c>
      <c r="ED70" t="s">
        <v>377</v>
      </c>
      <c r="EE70" t="s">
        <v>489</v>
      </c>
      <c r="EF70" t="s">
        <v>103</v>
      </c>
      <c r="EG70" t="s">
        <v>1876</v>
      </c>
      <c r="EH70" t="s">
        <v>1877</v>
      </c>
      <c r="EI70" t="s">
        <v>1291</v>
      </c>
      <c r="EJ70">
        <v>5</v>
      </c>
      <c r="EK70">
        <v>5</v>
      </c>
      <c r="EL70">
        <v>95.6</v>
      </c>
    </row>
    <row r="71" spans="1:142" x14ac:dyDescent="0.35">
      <c r="A71" s="86" t="str">
        <f t="shared" si="18"/>
        <v>56110Mix + Intocáveis SC Johnson</v>
      </c>
      <c r="B71">
        <v>56110</v>
      </c>
      <c r="C71" t="s">
        <v>385</v>
      </c>
      <c r="D71" t="s">
        <v>103</v>
      </c>
      <c r="E71" t="s">
        <v>496</v>
      </c>
      <c r="F71" t="s">
        <v>497</v>
      </c>
      <c r="G71" t="s">
        <v>459</v>
      </c>
      <c r="H71">
        <v>72.83</v>
      </c>
      <c r="I71">
        <v>32.625</v>
      </c>
      <c r="J71">
        <v>45</v>
      </c>
      <c r="L71" s="86" t="str">
        <f t="shared" si="19"/>
        <v>56110Share Sub Category SC Johnson</v>
      </c>
      <c r="M71">
        <v>56110</v>
      </c>
      <c r="N71" t="s">
        <v>385</v>
      </c>
      <c r="O71" t="s">
        <v>482</v>
      </c>
      <c r="P71" t="s">
        <v>103</v>
      </c>
      <c r="Q71" t="s">
        <v>650</v>
      </c>
      <c r="R71" t="s">
        <v>651</v>
      </c>
      <c r="S71" t="s">
        <v>457</v>
      </c>
      <c r="T71">
        <v>30</v>
      </c>
      <c r="U71">
        <v>30</v>
      </c>
      <c r="V71">
        <v>75.38</v>
      </c>
      <c r="X71" s="86" t="str">
        <f t="shared" si="20"/>
        <v>57802Share Sub Category SC Johnson</v>
      </c>
      <c r="Y71">
        <v>57802</v>
      </c>
      <c r="Z71" t="s">
        <v>376</v>
      </c>
      <c r="AA71" t="s">
        <v>104</v>
      </c>
      <c r="AB71" t="s">
        <v>103</v>
      </c>
      <c r="AC71" t="s">
        <v>891</v>
      </c>
      <c r="AD71" t="s">
        <v>892</v>
      </c>
      <c r="AE71" t="s">
        <v>457</v>
      </c>
      <c r="AF71">
        <v>30</v>
      </c>
      <c r="AG71">
        <v>30</v>
      </c>
      <c r="AH71">
        <v>83.38</v>
      </c>
      <c r="AJ71" s="86" t="str">
        <f t="shared" si="21"/>
        <v>54734Mix + Intocáveis SC Johnson</v>
      </c>
      <c r="AK71">
        <v>54734</v>
      </c>
      <c r="AL71" t="s">
        <v>333</v>
      </c>
      <c r="AM71" t="s">
        <v>477</v>
      </c>
      <c r="AN71" t="s">
        <v>103</v>
      </c>
      <c r="AO71" t="s">
        <v>1011</v>
      </c>
      <c r="AP71" t="s">
        <v>1012</v>
      </c>
      <c r="AQ71" t="s">
        <v>459</v>
      </c>
      <c r="AR71">
        <v>27.84</v>
      </c>
      <c r="AS71">
        <v>40</v>
      </c>
      <c r="AT71">
        <v>51.69</v>
      </c>
      <c r="AV71" s="86" t="str">
        <f t="shared" si="22"/>
        <v>57802Mix + Intocáveis SC Johnson</v>
      </c>
      <c r="AW71">
        <v>57802</v>
      </c>
      <c r="AX71" t="s">
        <v>376</v>
      </c>
      <c r="AY71" t="s">
        <v>1004</v>
      </c>
      <c r="AZ71" t="s">
        <v>103</v>
      </c>
      <c r="BA71" t="s">
        <v>1061</v>
      </c>
      <c r="BB71" t="s">
        <v>1062</v>
      </c>
      <c r="BC71" t="s">
        <v>459</v>
      </c>
      <c r="BD71">
        <v>26.08</v>
      </c>
      <c r="BE71">
        <v>40</v>
      </c>
      <c r="BF71">
        <v>57.59</v>
      </c>
      <c r="BH71" s="86" t="str">
        <f t="shared" si="23"/>
        <v>54675Mix + Intocáveis SC Johnson</v>
      </c>
      <c r="BI71">
        <v>54675</v>
      </c>
      <c r="BJ71" t="s">
        <v>375</v>
      </c>
      <c r="BK71" t="s">
        <v>482</v>
      </c>
      <c r="BL71" t="s">
        <v>103</v>
      </c>
      <c r="BM71" t="s">
        <v>1157</v>
      </c>
      <c r="BN71" t="s">
        <v>1158</v>
      </c>
      <c r="BO71" t="s">
        <v>459</v>
      </c>
      <c r="BP71">
        <v>30.44</v>
      </c>
      <c r="BQ71">
        <v>40</v>
      </c>
      <c r="BR71">
        <v>67.2</v>
      </c>
      <c r="BT71" s="86" t="str">
        <f t="shared" si="12"/>
        <v>53581Share Sub Category SC Johnson</v>
      </c>
      <c r="BU71">
        <v>53581</v>
      </c>
      <c r="BV71" t="s">
        <v>374</v>
      </c>
      <c r="BW71" t="s">
        <v>489</v>
      </c>
      <c r="BX71" t="s">
        <v>103</v>
      </c>
      <c r="BY71" t="s">
        <v>1298</v>
      </c>
      <c r="BZ71" t="s">
        <v>1299</v>
      </c>
      <c r="CA71" t="s">
        <v>457</v>
      </c>
      <c r="CB71">
        <v>25</v>
      </c>
      <c r="CC71">
        <v>25</v>
      </c>
      <c r="CD71">
        <v>83.6</v>
      </c>
      <c r="CF71" s="86" t="str">
        <f t="shared" si="13"/>
        <v>53581Share Sub Category SC Johnson</v>
      </c>
      <c r="CG71">
        <v>53581</v>
      </c>
      <c r="CH71" t="s">
        <v>374</v>
      </c>
      <c r="CI71" t="s">
        <v>489</v>
      </c>
      <c r="CJ71" t="s">
        <v>103</v>
      </c>
      <c r="CK71" t="s">
        <v>1406</v>
      </c>
      <c r="CL71" t="s">
        <v>1407</v>
      </c>
      <c r="CM71" t="s">
        <v>457</v>
      </c>
      <c r="CN71">
        <v>25</v>
      </c>
      <c r="CO71">
        <v>25</v>
      </c>
      <c r="CP71">
        <v>97.2</v>
      </c>
      <c r="CR71" s="86" t="str">
        <f t="shared" si="14"/>
        <v>54675Share Sub Category SC Johnson</v>
      </c>
      <c r="CS71">
        <v>54675</v>
      </c>
      <c r="CT71" t="s">
        <v>375</v>
      </c>
      <c r="CU71" t="s">
        <v>482</v>
      </c>
      <c r="CV71" t="s">
        <v>103</v>
      </c>
      <c r="CW71" t="s">
        <v>1622</v>
      </c>
      <c r="CX71" t="s">
        <v>1623</v>
      </c>
      <c r="CY71" t="s">
        <v>457</v>
      </c>
      <c r="CZ71">
        <v>25</v>
      </c>
      <c r="DA71">
        <v>25</v>
      </c>
      <c r="DB71">
        <v>93</v>
      </c>
      <c r="DD71" s="86" t="str">
        <f t="shared" si="15"/>
        <v>54675Cross Merchan SC Johnson</v>
      </c>
      <c r="DE71">
        <v>54675</v>
      </c>
      <c r="DF71" t="s">
        <v>375</v>
      </c>
      <c r="DG71" t="s">
        <v>482</v>
      </c>
      <c r="DH71" t="s">
        <v>103</v>
      </c>
      <c r="DI71" t="s">
        <v>1636</v>
      </c>
      <c r="DJ71" t="s">
        <v>1637</v>
      </c>
      <c r="DK71" t="s">
        <v>111</v>
      </c>
      <c r="DL71">
        <v>5</v>
      </c>
      <c r="DM71">
        <v>5</v>
      </c>
      <c r="DN71">
        <v>79.62</v>
      </c>
      <c r="DP71" s="86" t="str">
        <f t="shared" si="16"/>
        <v>53486Cross Merchan SC Johnson</v>
      </c>
      <c r="DQ71">
        <v>53486</v>
      </c>
      <c r="DR71" t="s">
        <v>332</v>
      </c>
      <c r="DS71" t="s">
        <v>477</v>
      </c>
      <c r="DT71" t="s">
        <v>103</v>
      </c>
      <c r="DU71" t="s">
        <v>1858</v>
      </c>
      <c r="DV71" t="s">
        <v>1859</v>
      </c>
      <c r="DW71" t="s">
        <v>111</v>
      </c>
      <c r="DX71">
        <v>5</v>
      </c>
      <c r="DY71">
        <v>5</v>
      </c>
      <c r="DZ71">
        <v>92.4</v>
      </c>
      <c r="EB71" s="86" t="str">
        <f t="shared" si="17"/>
        <v>74369Cross Merchan SC Johnson</v>
      </c>
      <c r="EC71">
        <v>74369</v>
      </c>
      <c r="ED71" t="s">
        <v>377</v>
      </c>
      <c r="EE71" t="s">
        <v>489</v>
      </c>
      <c r="EF71" t="s">
        <v>103</v>
      </c>
      <c r="EG71" t="s">
        <v>1876</v>
      </c>
      <c r="EH71" t="s">
        <v>1877</v>
      </c>
      <c r="EI71" t="s">
        <v>111</v>
      </c>
      <c r="EJ71">
        <v>5</v>
      </c>
      <c r="EK71">
        <v>5</v>
      </c>
      <c r="EL71">
        <v>95.6</v>
      </c>
    </row>
    <row r="72" spans="1:142" x14ac:dyDescent="0.35">
      <c r="A72" s="86" t="str">
        <f t="shared" si="18"/>
        <v>57802Share Sub Category SC Johnson</v>
      </c>
      <c r="B72">
        <v>57802</v>
      </c>
      <c r="C72" t="s">
        <v>376</v>
      </c>
      <c r="D72" t="s">
        <v>103</v>
      </c>
      <c r="E72" t="s">
        <v>498</v>
      </c>
      <c r="F72" t="s">
        <v>499</v>
      </c>
      <c r="G72" t="s">
        <v>457</v>
      </c>
      <c r="H72">
        <v>58.36</v>
      </c>
      <c r="I72">
        <v>25.71</v>
      </c>
      <c r="J72">
        <v>30</v>
      </c>
      <c r="L72" s="86" t="str">
        <f t="shared" si="19"/>
        <v>56110Cross Merchan SC Johnson</v>
      </c>
      <c r="M72">
        <v>56110</v>
      </c>
      <c r="N72" t="s">
        <v>385</v>
      </c>
      <c r="O72" t="s">
        <v>482</v>
      </c>
      <c r="P72" t="s">
        <v>103</v>
      </c>
      <c r="Q72" t="s">
        <v>650</v>
      </c>
      <c r="R72" t="s">
        <v>651</v>
      </c>
      <c r="S72" t="s">
        <v>111</v>
      </c>
      <c r="T72">
        <v>0</v>
      </c>
      <c r="U72">
        <v>8</v>
      </c>
      <c r="V72">
        <v>75.38</v>
      </c>
      <c r="X72" s="86" t="str">
        <f t="shared" si="20"/>
        <v>57802Cross Merchan SC Johnson</v>
      </c>
      <c r="Y72">
        <v>57802</v>
      </c>
      <c r="Z72" t="s">
        <v>376</v>
      </c>
      <c r="AA72" t="s">
        <v>104</v>
      </c>
      <c r="AB72" t="s">
        <v>103</v>
      </c>
      <c r="AC72" t="s">
        <v>891</v>
      </c>
      <c r="AD72" t="s">
        <v>892</v>
      </c>
      <c r="AE72" t="s">
        <v>111</v>
      </c>
      <c r="AF72">
        <v>8</v>
      </c>
      <c r="AG72">
        <v>8</v>
      </c>
      <c r="AH72">
        <v>83.38</v>
      </c>
      <c r="AJ72" s="86" t="str">
        <f t="shared" si="21"/>
        <v>54734Lancamentos</v>
      </c>
      <c r="AK72">
        <v>54734</v>
      </c>
      <c r="AL72" t="s">
        <v>333</v>
      </c>
      <c r="AM72" t="s">
        <v>477</v>
      </c>
      <c r="AN72" t="s">
        <v>103</v>
      </c>
      <c r="AO72" t="s">
        <v>1011</v>
      </c>
      <c r="AP72" t="s">
        <v>1012</v>
      </c>
      <c r="AQ72" t="s">
        <v>953</v>
      </c>
      <c r="AR72">
        <v>0</v>
      </c>
      <c r="AS72">
        <v>18</v>
      </c>
      <c r="AT72">
        <v>51.69</v>
      </c>
      <c r="AV72" s="86" t="str">
        <f t="shared" si="22"/>
        <v>57802Lancamentos</v>
      </c>
      <c r="AW72">
        <v>57802</v>
      </c>
      <c r="AX72" t="s">
        <v>376</v>
      </c>
      <c r="AY72" t="s">
        <v>1004</v>
      </c>
      <c r="AZ72" t="s">
        <v>103</v>
      </c>
      <c r="BA72" t="s">
        <v>1061</v>
      </c>
      <c r="BB72" t="s">
        <v>1062</v>
      </c>
      <c r="BC72" t="s">
        <v>953</v>
      </c>
      <c r="BD72">
        <v>0</v>
      </c>
      <c r="BE72">
        <v>18</v>
      </c>
      <c r="BF72">
        <v>57.59</v>
      </c>
      <c r="BH72" s="86" t="str">
        <f t="shared" si="23"/>
        <v>54675Lancamentos</v>
      </c>
      <c r="BI72">
        <v>54675</v>
      </c>
      <c r="BJ72" t="s">
        <v>375</v>
      </c>
      <c r="BK72" t="s">
        <v>482</v>
      </c>
      <c r="BL72" t="s">
        <v>103</v>
      </c>
      <c r="BM72" t="s">
        <v>1157</v>
      </c>
      <c r="BN72" t="s">
        <v>1158</v>
      </c>
      <c r="BO72" t="s">
        <v>953</v>
      </c>
      <c r="BP72">
        <v>0</v>
      </c>
      <c r="BQ72">
        <v>18</v>
      </c>
      <c r="BR72">
        <v>67.2</v>
      </c>
      <c r="BT72" s="86" t="str">
        <f t="shared" si="12"/>
        <v>53581Share Sub Loc Pao Quente SC Johnson</v>
      </c>
      <c r="BU72">
        <v>53581</v>
      </c>
      <c r="BV72" t="s">
        <v>374</v>
      </c>
      <c r="BW72" t="s">
        <v>489</v>
      </c>
      <c r="BX72" t="s">
        <v>103</v>
      </c>
      <c r="BY72" t="s">
        <v>1298</v>
      </c>
      <c r="BZ72" t="s">
        <v>1299</v>
      </c>
      <c r="CA72" t="s">
        <v>458</v>
      </c>
      <c r="CB72">
        <v>6</v>
      </c>
      <c r="CC72">
        <v>12</v>
      </c>
      <c r="CD72">
        <v>83.6</v>
      </c>
      <c r="CF72" s="86" t="str">
        <f t="shared" si="13"/>
        <v>53581Share Sub Loc Pao Quente SC Johnson</v>
      </c>
      <c r="CG72">
        <v>53581</v>
      </c>
      <c r="CH72" t="s">
        <v>374</v>
      </c>
      <c r="CI72" t="s">
        <v>489</v>
      </c>
      <c r="CJ72" t="s">
        <v>103</v>
      </c>
      <c r="CK72" t="s">
        <v>1406</v>
      </c>
      <c r="CL72" t="s">
        <v>1407</v>
      </c>
      <c r="CM72" t="s">
        <v>458</v>
      </c>
      <c r="CN72">
        <v>9</v>
      </c>
      <c r="CO72">
        <v>12</v>
      </c>
      <c r="CP72">
        <v>97.2</v>
      </c>
      <c r="CR72" s="86" t="str">
        <f t="shared" si="14"/>
        <v>54675Share Sub Loc Pao Quente SC Johnson</v>
      </c>
      <c r="CS72">
        <v>54675</v>
      </c>
      <c r="CT72" t="s">
        <v>375</v>
      </c>
      <c r="CU72" t="s">
        <v>482</v>
      </c>
      <c r="CV72" t="s">
        <v>103</v>
      </c>
      <c r="CW72" t="s">
        <v>1622</v>
      </c>
      <c r="CX72" t="s">
        <v>1623</v>
      </c>
      <c r="CY72" t="s">
        <v>458</v>
      </c>
      <c r="CZ72">
        <v>12</v>
      </c>
      <c r="DA72">
        <v>12</v>
      </c>
      <c r="DB72">
        <v>93</v>
      </c>
      <c r="DD72" s="86" t="str">
        <f t="shared" si="15"/>
        <v>54675Lancamentos</v>
      </c>
      <c r="DE72">
        <v>54675</v>
      </c>
      <c r="DF72" t="s">
        <v>375</v>
      </c>
      <c r="DG72" t="s">
        <v>482</v>
      </c>
      <c r="DH72" t="s">
        <v>103</v>
      </c>
      <c r="DI72" t="s">
        <v>1636</v>
      </c>
      <c r="DJ72" t="s">
        <v>1637</v>
      </c>
      <c r="DK72" t="s">
        <v>953</v>
      </c>
      <c r="DL72">
        <v>9</v>
      </c>
      <c r="DM72">
        <v>18</v>
      </c>
      <c r="DN72">
        <v>79.62</v>
      </c>
      <c r="DP72" s="86" t="str">
        <f t="shared" si="16"/>
        <v>53486Lancamentos</v>
      </c>
      <c r="DQ72">
        <v>53486</v>
      </c>
      <c r="DR72" t="s">
        <v>332</v>
      </c>
      <c r="DS72" t="s">
        <v>477</v>
      </c>
      <c r="DT72" t="s">
        <v>103</v>
      </c>
      <c r="DU72" t="s">
        <v>1858</v>
      </c>
      <c r="DV72" t="s">
        <v>1859</v>
      </c>
      <c r="DW72" t="s">
        <v>953</v>
      </c>
      <c r="DX72">
        <v>18</v>
      </c>
      <c r="DY72">
        <v>18</v>
      </c>
      <c r="DZ72">
        <v>92.4</v>
      </c>
      <c r="EB72" s="86" t="str">
        <f t="shared" si="17"/>
        <v>74369Lancamentos</v>
      </c>
      <c r="EC72">
        <v>74369</v>
      </c>
      <c r="ED72" t="s">
        <v>377</v>
      </c>
      <c r="EE72" t="s">
        <v>489</v>
      </c>
      <c r="EF72" t="s">
        <v>103</v>
      </c>
      <c r="EG72" t="s">
        <v>1876</v>
      </c>
      <c r="EH72" t="s">
        <v>1877</v>
      </c>
      <c r="EI72" t="s">
        <v>953</v>
      </c>
      <c r="EJ72">
        <v>18</v>
      </c>
      <c r="EK72">
        <v>18</v>
      </c>
      <c r="EL72">
        <v>95.6</v>
      </c>
    </row>
    <row r="73" spans="1:142" x14ac:dyDescent="0.35">
      <c r="A73" s="86" t="str">
        <f t="shared" si="18"/>
        <v>57802Cross Merchan SC Johnson</v>
      </c>
      <c r="B73">
        <v>57802</v>
      </c>
      <c r="C73" t="s">
        <v>376</v>
      </c>
      <c r="D73" t="s">
        <v>103</v>
      </c>
      <c r="E73" t="s">
        <v>498</v>
      </c>
      <c r="F73" t="s">
        <v>499</v>
      </c>
      <c r="G73" t="s">
        <v>111</v>
      </c>
      <c r="H73">
        <v>58.36</v>
      </c>
      <c r="I73">
        <v>0</v>
      </c>
      <c r="J73">
        <v>8</v>
      </c>
      <c r="L73" s="86" t="str">
        <f t="shared" si="19"/>
        <v>56110Share Sub Loc Pao Quente SC Johnson</v>
      </c>
      <c r="M73">
        <v>56110</v>
      </c>
      <c r="N73" t="s">
        <v>385</v>
      </c>
      <c r="O73" t="s">
        <v>482</v>
      </c>
      <c r="P73" t="s">
        <v>103</v>
      </c>
      <c r="Q73" t="s">
        <v>650</v>
      </c>
      <c r="R73" t="s">
        <v>651</v>
      </c>
      <c r="S73" t="s">
        <v>458</v>
      </c>
      <c r="T73">
        <v>12.75</v>
      </c>
      <c r="U73">
        <v>17</v>
      </c>
      <c r="V73">
        <v>75.38</v>
      </c>
      <c r="X73" s="86" t="str">
        <f t="shared" si="20"/>
        <v>57802Share Sub Loc Pao Quente SC Johnson</v>
      </c>
      <c r="Y73">
        <v>57802</v>
      </c>
      <c r="Z73" t="s">
        <v>376</v>
      </c>
      <c r="AA73" t="s">
        <v>104</v>
      </c>
      <c r="AB73" t="s">
        <v>103</v>
      </c>
      <c r="AC73" t="s">
        <v>891</v>
      </c>
      <c r="AD73" t="s">
        <v>892</v>
      </c>
      <c r="AE73" t="s">
        <v>458</v>
      </c>
      <c r="AF73">
        <v>12.75</v>
      </c>
      <c r="AG73">
        <v>17</v>
      </c>
      <c r="AH73">
        <v>83.38</v>
      </c>
      <c r="AJ73" s="86" t="str">
        <f t="shared" si="21"/>
        <v>56110Share Sub Category SC Johnson</v>
      </c>
      <c r="AK73">
        <v>56110</v>
      </c>
      <c r="AL73" t="s">
        <v>385</v>
      </c>
      <c r="AM73" t="s">
        <v>482</v>
      </c>
      <c r="AN73" t="s">
        <v>103</v>
      </c>
      <c r="AO73" t="s">
        <v>1013</v>
      </c>
      <c r="AP73" t="s">
        <v>1014</v>
      </c>
      <c r="AQ73" t="s">
        <v>457</v>
      </c>
      <c r="AR73">
        <v>21.425000000000001</v>
      </c>
      <c r="AS73">
        <v>25</v>
      </c>
      <c r="AT73">
        <v>60.37</v>
      </c>
      <c r="AV73" s="86" t="str">
        <f t="shared" si="22"/>
        <v>59280Share Sub Category SC Johnson</v>
      </c>
      <c r="AW73">
        <v>59280</v>
      </c>
      <c r="AX73" t="s">
        <v>386</v>
      </c>
      <c r="AY73" t="s">
        <v>500</v>
      </c>
      <c r="AZ73" t="s">
        <v>103</v>
      </c>
      <c r="BA73" t="s">
        <v>1033</v>
      </c>
      <c r="BB73" t="s">
        <v>1034</v>
      </c>
      <c r="BC73" t="s">
        <v>457</v>
      </c>
      <c r="BD73">
        <v>25</v>
      </c>
      <c r="BE73">
        <v>25</v>
      </c>
      <c r="BF73">
        <v>69.11</v>
      </c>
      <c r="BH73" s="86" t="str">
        <f t="shared" si="23"/>
        <v>56110Share Sub Category SC Johnson</v>
      </c>
      <c r="BI73">
        <v>56110</v>
      </c>
      <c r="BJ73" t="s">
        <v>385</v>
      </c>
      <c r="BK73" t="s">
        <v>482</v>
      </c>
      <c r="BL73" t="s">
        <v>103</v>
      </c>
      <c r="BM73" t="s">
        <v>1223</v>
      </c>
      <c r="BN73" t="s">
        <v>1224</v>
      </c>
      <c r="BO73" t="s">
        <v>457</v>
      </c>
      <c r="BP73">
        <v>25</v>
      </c>
      <c r="BQ73">
        <v>25</v>
      </c>
      <c r="BR73">
        <v>68.959999999999994</v>
      </c>
      <c r="BT73" s="86" t="str">
        <f t="shared" si="12"/>
        <v>53581Cross Merchan SC Johnson</v>
      </c>
      <c r="BU73">
        <v>53581</v>
      </c>
      <c r="BV73" t="s">
        <v>374</v>
      </c>
      <c r="BW73" t="s">
        <v>489</v>
      </c>
      <c r="BX73" t="s">
        <v>103</v>
      </c>
      <c r="BY73" t="s">
        <v>1298</v>
      </c>
      <c r="BZ73" t="s">
        <v>1299</v>
      </c>
      <c r="CA73" t="s">
        <v>111</v>
      </c>
      <c r="CB73">
        <v>5</v>
      </c>
      <c r="CC73">
        <v>5</v>
      </c>
      <c r="CD73">
        <v>83.6</v>
      </c>
      <c r="CF73" s="86" t="str">
        <f t="shared" si="13"/>
        <v>53581Cross Merchan SC Johnson</v>
      </c>
      <c r="CG73">
        <v>53581</v>
      </c>
      <c r="CH73" t="s">
        <v>374</v>
      </c>
      <c r="CI73" t="s">
        <v>489</v>
      </c>
      <c r="CJ73" t="s">
        <v>103</v>
      </c>
      <c r="CK73" t="s">
        <v>1406</v>
      </c>
      <c r="CL73" t="s">
        <v>1407</v>
      </c>
      <c r="CM73" t="s">
        <v>111</v>
      </c>
      <c r="CN73">
        <v>5</v>
      </c>
      <c r="CO73">
        <v>5</v>
      </c>
      <c r="CP73">
        <v>97.2</v>
      </c>
      <c r="CR73" s="86" t="str">
        <f t="shared" si="14"/>
        <v>54675Cross Merchan SC Johnson</v>
      </c>
      <c r="CS73">
        <v>54675</v>
      </c>
      <c r="CT73" t="s">
        <v>375</v>
      </c>
      <c r="CU73" t="s">
        <v>482</v>
      </c>
      <c r="CV73" t="s">
        <v>103</v>
      </c>
      <c r="CW73" t="s">
        <v>1622</v>
      </c>
      <c r="CX73" t="s">
        <v>1623</v>
      </c>
      <c r="CY73" t="s">
        <v>111</v>
      </c>
      <c r="CZ73">
        <v>5</v>
      </c>
      <c r="DA73">
        <v>5</v>
      </c>
      <c r="DB73">
        <v>93</v>
      </c>
      <c r="DD73" s="86" t="str">
        <f t="shared" si="15"/>
        <v>54675Share Sub Category SC Johnson</v>
      </c>
      <c r="DE73">
        <v>54675</v>
      </c>
      <c r="DF73" t="s">
        <v>375</v>
      </c>
      <c r="DG73" t="s">
        <v>482</v>
      </c>
      <c r="DH73" t="s">
        <v>103</v>
      </c>
      <c r="DI73" t="s">
        <v>1636</v>
      </c>
      <c r="DJ73" t="s">
        <v>1637</v>
      </c>
      <c r="DK73" t="s">
        <v>457</v>
      </c>
      <c r="DL73">
        <v>21.425000000000001</v>
      </c>
      <c r="DM73">
        <v>25</v>
      </c>
      <c r="DN73">
        <v>79.62</v>
      </c>
      <c r="DP73" s="86" t="str">
        <f t="shared" si="16"/>
        <v>53486Share Sub Category SC Johnson</v>
      </c>
      <c r="DQ73">
        <v>53486</v>
      </c>
      <c r="DR73" t="s">
        <v>332</v>
      </c>
      <c r="DS73" t="s">
        <v>477</v>
      </c>
      <c r="DT73" t="s">
        <v>103</v>
      </c>
      <c r="DU73" t="s">
        <v>1858</v>
      </c>
      <c r="DV73" t="s">
        <v>1859</v>
      </c>
      <c r="DW73" t="s">
        <v>457</v>
      </c>
      <c r="DX73">
        <v>25</v>
      </c>
      <c r="DY73">
        <v>25</v>
      </c>
      <c r="DZ73">
        <v>92.4</v>
      </c>
      <c r="EB73" s="86" t="str">
        <f t="shared" si="17"/>
        <v>74369Share Sub Category SC Johnson</v>
      </c>
      <c r="EC73">
        <v>74369</v>
      </c>
      <c r="ED73" t="s">
        <v>377</v>
      </c>
      <c r="EE73" t="s">
        <v>489</v>
      </c>
      <c r="EF73" t="s">
        <v>103</v>
      </c>
      <c r="EG73" t="s">
        <v>1876</v>
      </c>
      <c r="EH73" t="s">
        <v>1877</v>
      </c>
      <c r="EI73" t="s">
        <v>457</v>
      </c>
      <c r="EJ73">
        <v>25</v>
      </c>
      <c r="EK73">
        <v>25</v>
      </c>
      <c r="EL73">
        <v>95.6</v>
      </c>
    </row>
    <row r="74" spans="1:142" x14ac:dyDescent="0.35">
      <c r="A74" s="86" t="str">
        <f t="shared" si="18"/>
        <v>57802Share Sub Loc Pao Quente SC Johnson</v>
      </c>
      <c r="B74">
        <v>57802</v>
      </c>
      <c r="C74" t="s">
        <v>376</v>
      </c>
      <c r="D74" t="s">
        <v>103</v>
      </c>
      <c r="E74" t="s">
        <v>498</v>
      </c>
      <c r="F74" t="s">
        <v>499</v>
      </c>
      <c r="G74" t="s">
        <v>458</v>
      </c>
      <c r="H74">
        <v>58.36</v>
      </c>
      <c r="I74">
        <v>3.4</v>
      </c>
      <c r="J74">
        <v>17</v>
      </c>
      <c r="L74" s="86" t="str">
        <f t="shared" si="19"/>
        <v>56110Mix + Intocáveis SC Johnson</v>
      </c>
      <c r="M74">
        <v>56110</v>
      </c>
      <c r="N74" t="s">
        <v>385</v>
      </c>
      <c r="O74" t="s">
        <v>482</v>
      </c>
      <c r="P74" t="s">
        <v>103</v>
      </c>
      <c r="Q74" t="s">
        <v>650</v>
      </c>
      <c r="R74" t="s">
        <v>651</v>
      </c>
      <c r="S74" t="s">
        <v>459</v>
      </c>
      <c r="T74">
        <v>32.625</v>
      </c>
      <c r="U74">
        <v>45</v>
      </c>
      <c r="V74">
        <v>75.38</v>
      </c>
      <c r="X74" s="86" t="str">
        <f t="shared" si="20"/>
        <v>57802Mix + Intocáveis SC Johnson</v>
      </c>
      <c r="Y74">
        <v>57802</v>
      </c>
      <c r="Z74" t="s">
        <v>376</v>
      </c>
      <c r="AA74" t="s">
        <v>104</v>
      </c>
      <c r="AB74" t="s">
        <v>103</v>
      </c>
      <c r="AC74" t="s">
        <v>891</v>
      </c>
      <c r="AD74" t="s">
        <v>892</v>
      </c>
      <c r="AE74" t="s">
        <v>459</v>
      </c>
      <c r="AF74">
        <v>32.625</v>
      </c>
      <c r="AG74">
        <v>45</v>
      </c>
      <c r="AH74">
        <v>83.38</v>
      </c>
      <c r="AJ74" s="86" t="str">
        <f t="shared" si="21"/>
        <v>56110Cross Merchan SC Johnson</v>
      </c>
      <c r="AK74">
        <v>56110</v>
      </c>
      <c r="AL74" t="s">
        <v>385</v>
      </c>
      <c r="AM74" t="s">
        <v>482</v>
      </c>
      <c r="AN74" t="s">
        <v>103</v>
      </c>
      <c r="AO74" t="s">
        <v>1013</v>
      </c>
      <c r="AP74" t="s">
        <v>1014</v>
      </c>
      <c r="AQ74" t="s">
        <v>111</v>
      </c>
      <c r="AR74">
        <v>2.5</v>
      </c>
      <c r="AS74">
        <v>5</v>
      </c>
      <c r="AT74">
        <v>60.37</v>
      </c>
      <c r="AV74" s="86" t="str">
        <f t="shared" si="22"/>
        <v>59280Cross Merchan SC Johnson</v>
      </c>
      <c r="AW74">
        <v>59280</v>
      </c>
      <c r="AX74" t="s">
        <v>386</v>
      </c>
      <c r="AY74" t="s">
        <v>500</v>
      </c>
      <c r="AZ74" t="s">
        <v>103</v>
      </c>
      <c r="BA74" t="s">
        <v>1033</v>
      </c>
      <c r="BB74" t="s">
        <v>1034</v>
      </c>
      <c r="BC74" t="s">
        <v>111</v>
      </c>
      <c r="BD74">
        <v>1.665</v>
      </c>
      <c r="BE74">
        <v>5</v>
      </c>
      <c r="BF74">
        <v>69.11</v>
      </c>
      <c r="BH74" s="86" t="str">
        <f t="shared" si="23"/>
        <v>56110Cross Merchan SC Johnson</v>
      </c>
      <c r="BI74">
        <v>56110</v>
      </c>
      <c r="BJ74" t="s">
        <v>385</v>
      </c>
      <c r="BK74" t="s">
        <v>482</v>
      </c>
      <c r="BL74" t="s">
        <v>103</v>
      </c>
      <c r="BM74" t="s">
        <v>1223</v>
      </c>
      <c r="BN74" t="s">
        <v>1224</v>
      </c>
      <c r="BO74" t="s">
        <v>111</v>
      </c>
      <c r="BP74">
        <v>5</v>
      </c>
      <c r="BQ74">
        <v>5</v>
      </c>
      <c r="BR74">
        <v>68.959999999999994</v>
      </c>
      <c r="BT74" s="86" t="str">
        <f t="shared" si="12"/>
        <v>53581Execucao Bonus</v>
      </c>
      <c r="BU74">
        <v>53581</v>
      </c>
      <c r="BV74" t="s">
        <v>374</v>
      </c>
      <c r="BW74" t="s">
        <v>489</v>
      </c>
      <c r="BX74" t="s">
        <v>103</v>
      </c>
      <c r="BY74" t="s">
        <v>1298</v>
      </c>
      <c r="BZ74" t="s">
        <v>1299</v>
      </c>
      <c r="CA74" t="s">
        <v>1291</v>
      </c>
      <c r="CB74">
        <v>5</v>
      </c>
      <c r="CC74">
        <v>5</v>
      </c>
      <c r="CD74">
        <v>83.6</v>
      </c>
      <c r="CF74" s="86" t="str">
        <f t="shared" si="13"/>
        <v>53581Execucao Bonus</v>
      </c>
      <c r="CG74">
        <v>53581</v>
      </c>
      <c r="CH74" t="s">
        <v>374</v>
      </c>
      <c r="CI74" t="s">
        <v>489</v>
      </c>
      <c r="CJ74" t="s">
        <v>103</v>
      </c>
      <c r="CK74" t="s">
        <v>1406</v>
      </c>
      <c r="CL74" t="s">
        <v>1407</v>
      </c>
      <c r="CM74" t="s">
        <v>1291</v>
      </c>
      <c r="CN74">
        <v>5</v>
      </c>
      <c r="CO74">
        <v>5</v>
      </c>
      <c r="CP74">
        <v>97.2</v>
      </c>
      <c r="CR74" s="86" t="str">
        <f t="shared" si="14"/>
        <v>54675Execucao Bonus</v>
      </c>
      <c r="CS74">
        <v>54675</v>
      </c>
      <c r="CT74" t="s">
        <v>375</v>
      </c>
      <c r="CU74" t="s">
        <v>482</v>
      </c>
      <c r="CV74" t="s">
        <v>103</v>
      </c>
      <c r="CW74" t="s">
        <v>1622</v>
      </c>
      <c r="CX74" t="s">
        <v>1623</v>
      </c>
      <c r="CY74" t="s">
        <v>1291</v>
      </c>
      <c r="CZ74">
        <v>5</v>
      </c>
      <c r="DA74">
        <v>5</v>
      </c>
      <c r="DB74">
        <v>93</v>
      </c>
      <c r="DD74" s="86" t="str">
        <f t="shared" si="15"/>
        <v>54675Share Sub Loc Pao Quente SC Johnson</v>
      </c>
      <c r="DE74">
        <v>54675</v>
      </c>
      <c r="DF74" t="s">
        <v>375</v>
      </c>
      <c r="DG74" t="s">
        <v>482</v>
      </c>
      <c r="DH74" t="s">
        <v>103</v>
      </c>
      <c r="DI74" t="s">
        <v>1636</v>
      </c>
      <c r="DJ74" t="s">
        <v>1637</v>
      </c>
      <c r="DK74" t="s">
        <v>458</v>
      </c>
      <c r="DL74">
        <v>12</v>
      </c>
      <c r="DM74">
        <v>12</v>
      </c>
      <c r="DN74">
        <v>79.62</v>
      </c>
      <c r="DP74" s="86" t="str">
        <f t="shared" si="16"/>
        <v>53486Share Sub Loc Pao Quente SC Johnson</v>
      </c>
      <c r="DQ74">
        <v>53486</v>
      </c>
      <c r="DR74" t="s">
        <v>332</v>
      </c>
      <c r="DS74" t="s">
        <v>477</v>
      </c>
      <c r="DT74" t="s">
        <v>103</v>
      </c>
      <c r="DU74" t="s">
        <v>1858</v>
      </c>
      <c r="DV74" t="s">
        <v>1859</v>
      </c>
      <c r="DW74" t="s">
        <v>458</v>
      </c>
      <c r="DX74">
        <v>6</v>
      </c>
      <c r="DY74">
        <v>12</v>
      </c>
      <c r="DZ74">
        <v>92.4</v>
      </c>
      <c r="EB74" s="86" t="str">
        <f t="shared" si="17"/>
        <v>74369Share Sub Loc Pao Quente SC Johnson</v>
      </c>
      <c r="EC74">
        <v>74369</v>
      </c>
      <c r="ED74" t="s">
        <v>377</v>
      </c>
      <c r="EE74" t="s">
        <v>489</v>
      </c>
      <c r="EF74" t="s">
        <v>103</v>
      </c>
      <c r="EG74" t="s">
        <v>1876</v>
      </c>
      <c r="EH74" t="s">
        <v>1877</v>
      </c>
      <c r="EI74" t="s">
        <v>458</v>
      </c>
      <c r="EJ74">
        <v>9</v>
      </c>
      <c r="EK74">
        <v>12</v>
      </c>
      <c r="EL74">
        <v>95.6</v>
      </c>
    </row>
    <row r="75" spans="1:142" x14ac:dyDescent="0.35">
      <c r="A75" s="86" t="str">
        <f t="shared" si="18"/>
        <v>57802Mix + Intocáveis SC Johnson</v>
      </c>
      <c r="B75">
        <v>57802</v>
      </c>
      <c r="C75" t="s">
        <v>376</v>
      </c>
      <c r="D75" t="s">
        <v>103</v>
      </c>
      <c r="E75" t="s">
        <v>498</v>
      </c>
      <c r="F75" t="s">
        <v>499</v>
      </c>
      <c r="G75" t="s">
        <v>459</v>
      </c>
      <c r="H75">
        <v>58.36</v>
      </c>
      <c r="I75">
        <v>29.25</v>
      </c>
      <c r="J75">
        <v>45</v>
      </c>
      <c r="L75" s="86" t="str">
        <f t="shared" si="19"/>
        <v>57802Share Sub Category SC Johnson</v>
      </c>
      <c r="M75">
        <v>57802</v>
      </c>
      <c r="N75" t="s">
        <v>376</v>
      </c>
      <c r="O75" t="s">
        <v>104</v>
      </c>
      <c r="P75" t="s">
        <v>103</v>
      </c>
      <c r="Q75" t="s">
        <v>652</v>
      </c>
      <c r="R75" t="s">
        <v>653</v>
      </c>
      <c r="S75" t="s">
        <v>457</v>
      </c>
      <c r="T75">
        <v>25.71</v>
      </c>
      <c r="U75">
        <v>30</v>
      </c>
      <c r="V75">
        <v>81.34</v>
      </c>
      <c r="X75" s="86" t="str">
        <f t="shared" si="20"/>
        <v>59280Share Sub Category SC Johnson</v>
      </c>
      <c r="Y75">
        <v>59280</v>
      </c>
      <c r="Z75" t="s">
        <v>386</v>
      </c>
      <c r="AA75" t="s">
        <v>500</v>
      </c>
      <c r="AB75" t="s">
        <v>103</v>
      </c>
      <c r="AC75" t="s">
        <v>779</v>
      </c>
      <c r="AD75" t="s">
        <v>780</v>
      </c>
      <c r="AE75" t="s">
        <v>457</v>
      </c>
      <c r="AF75">
        <v>30</v>
      </c>
      <c r="AG75">
        <v>30</v>
      </c>
      <c r="AH75">
        <v>92.38</v>
      </c>
      <c r="AJ75" s="86" t="str">
        <f t="shared" si="21"/>
        <v>56110Share Sub Loc Pao Quente SC Johnson</v>
      </c>
      <c r="AK75">
        <v>56110</v>
      </c>
      <c r="AL75" t="s">
        <v>385</v>
      </c>
      <c r="AM75" t="s">
        <v>482</v>
      </c>
      <c r="AN75" t="s">
        <v>103</v>
      </c>
      <c r="AO75" t="s">
        <v>1013</v>
      </c>
      <c r="AP75" t="s">
        <v>1014</v>
      </c>
      <c r="AQ75" t="s">
        <v>458</v>
      </c>
      <c r="AR75">
        <v>6</v>
      </c>
      <c r="AS75">
        <v>12</v>
      </c>
      <c r="AT75">
        <v>60.37</v>
      </c>
      <c r="AV75" s="86" t="str">
        <f t="shared" si="22"/>
        <v>59280Share Sub Loc Pao Quente SC Johnson</v>
      </c>
      <c r="AW75">
        <v>59280</v>
      </c>
      <c r="AX75" t="s">
        <v>386</v>
      </c>
      <c r="AY75" t="s">
        <v>500</v>
      </c>
      <c r="AZ75" t="s">
        <v>103</v>
      </c>
      <c r="BA75" t="s">
        <v>1033</v>
      </c>
      <c r="BB75" t="s">
        <v>1034</v>
      </c>
      <c r="BC75" t="s">
        <v>458</v>
      </c>
      <c r="BD75">
        <v>12</v>
      </c>
      <c r="BE75">
        <v>12</v>
      </c>
      <c r="BF75">
        <v>69.11</v>
      </c>
      <c r="BH75" s="86" t="str">
        <f t="shared" si="23"/>
        <v>56110Share Sub Loc Pao Quente SC Johnson</v>
      </c>
      <c r="BI75">
        <v>56110</v>
      </c>
      <c r="BJ75" t="s">
        <v>385</v>
      </c>
      <c r="BK75" t="s">
        <v>482</v>
      </c>
      <c r="BL75" t="s">
        <v>103</v>
      </c>
      <c r="BM75" t="s">
        <v>1223</v>
      </c>
      <c r="BN75" t="s">
        <v>1224</v>
      </c>
      <c r="BO75" t="s">
        <v>458</v>
      </c>
      <c r="BP75">
        <v>12</v>
      </c>
      <c r="BQ75">
        <v>12</v>
      </c>
      <c r="BR75">
        <v>68.959999999999994</v>
      </c>
      <c r="BT75" s="86" t="str">
        <f t="shared" si="12"/>
        <v>54675Lancamentos</v>
      </c>
      <c r="BU75">
        <v>54675</v>
      </c>
      <c r="BV75" t="s">
        <v>375</v>
      </c>
      <c r="BW75" t="s">
        <v>482</v>
      </c>
      <c r="BX75" t="s">
        <v>103</v>
      </c>
      <c r="BY75" t="s">
        <v>1372</v>
      </c>
      <c r="BZ75" t="s">
        <v>1373</v>
      </c>
      <c r="CA75" t="s">
        <v>953</v>
      </c>
      <c r="CB75">
        <v>9</v>
      </c>
      <c r="CC75">
        <v>18</v>
      </c>
      <c r="CD75">
        <v>82.4</v>
      </c>
      <c r="CF75" s="86" t="str">
        <f t="shared" si="13"/>
        <v>54675Lancamentos</v>
      </c>
      <c r="CG75">
        <v>54675</v>
      </c>
      <c r="CH75" t="s">
        <v>375</v>
      </c>
      <c r="CI75" t="s">
        <v>482</v>
      </c>
      <c r="CJ75" t="s">
        <v>103</v>
      </c>
      <c r="CK75" t="s">
        <v>1422</v>
      </c>
      <c r="CL75" t="s">
        <v>1423</v>
      </c>
      <c r="CM75" t="s">
        <v>953</v>
      </c>
      <c r="CN75">
        <v>18</v>
      </c>
      <c r="CO75">
        <v>18</v>
      </c>
      <c r="CP75">
        <v>90.6</v>
      </c>
      <c r="CR75" s="86" t="str">
        <f t="shared" si="14"/>
        <v>54734Lancamentos</v>
      </c>
      <c r="CS75">
        <v>54734</v>
      </c>
      <c r="CT75" t="s">
        <v>333</v>
      </c>
      <c r="CU75" t="s">
        <v>477</v>
      </c>
      <c r="CV75" t="s">
        <v>103</v>
      </c>
      <c r="CW75" t="s">
        <v>1580</v>
      </c>
      <c r="CX75" t="s">
        <v>1581</v>
      </c>
      <c r="CY75" t="s">
        <v>953</v>
      </c>
      <c r="CZ75">
        <v>18</v>
      </c>
      <c r="DA75">
        <v>18</v>
      </c>
      <c r="DB75">
        <v>91.62</v>
      </c>
      <c r="DD75" s="86" t="str">
        <f t="shared" si="15"/>
        <v>56110Mix + Intocáveis SC Johnson</v>
      </c>
      <c r="DE75">
        <v>56110</v>
      </c>
      <c r="DF75" t="s">
        <v>385</v>
      </c>
      <c r="DG75" t="s">
        <v>482</v>
      </c>
      <c r="DH75" t="s">
        <v>103</v>
      </c>
      <c r="DI75" t="s">
        <v>1660</v>
      </c>
      <c r="DJ75" t="s">
        <v>1661</v>
      </c>
      <c r="DK75" t="s">
        <v>459</v>
      </c>
      <c r="DL75">
        <v>32</v>
      </c>
      <c r="DM75">
        <v>40</v>
      </c>
      <c r="DN75">
        <v>83</v>
      </c>
      <c r="DP75" s="86" t="str">
        <f t="shared" si="16"/>
        <v>53581Mix + Intocáveis SC Johnson</v>
      </c>
      <c r="DQ75">
        <v>53581</v>
      </c>
      <c r="DR75" t="s">
        <v>374</v>
      </c>
      <c r="DS75" t="s">
        <v>489</v>
      </c>
      <c r="DT75" t="s">
        <v>103</v>
      </c>
      <c r="DU75" t="s">
        <v>1768</v>
      </c>
      <c r="DV75" t="s">
        <v>1769</v>
      </c>
      <c r="DW75" t="s">
        <v>459</v>
      </c>
      <c r="DX75">
        <v>36</v>
      </c>
      <c r="DY75">
        <v>40</v>
      </c>
      <c r="DZ75">
        <v>100</v>
      </c>
      <c r="EB75" s="86" t="str">
        <f t="shared" si="17"/>
        <v>102953Mix + Intocáveis SC Johnson</v>
      </c>
      <c r="EC75">
        <v>102953</v>
      </c>
      <c r="ED75" t="s">
        <v>388</v>
      </c>
      <c r="EE75" t="s">
        <v>482</v>
      </c>
      <c r="EF75" t="s">
        <v>103</v>
      </c>
      <c r="EG75" t="s">
        <v>1890</v>
      </c>
      <c r="EH75" t="s">
        <v>1891</v>
      </c>
      <c r="EI75" t="s">
        <v>459</v>
      </c>
      <c r="EJ75">
        <v>28.8</v>
      </c>
      <c r="EK75">
        <v>40</v>
      </c>
      <c r="EL75">
        <v>93.8</v>
      </c>
    </row>
    <row r="76" spans="1:142" x14ac:dyDescent="0.35">
      <c r="A76" s="86" t="str">
        <f t="shared" si="18"/>
        <v>59280Share Sub Category SC Johnson</v>
      </c>
      <c r="B76">
        <v>59280</v>
      </c>
      <c r="C76" t="s">
        <v>386</v>
      </c>
      <c r="D76" t="s">
        <v>103</v>
      </c>
      <c r="E76" t="s">
        <v>501</v>
      </c>
      <c r="F76" t="s">
        <v>502</v>
      </c>
      <c r="G76" t="s">
        <v>457</v>
      </c>
      <c r="H76">
        <v>82.97</v>
      </c>
      <c r="I76">
        <v>30</v>
      </c>
      <c r="J76">
        <v>30</v>
      </c>
      <c r="L76" s="86" t="str">
        <f t="shared" si="19"/>
        <v>57802Cross Merchan SC Johnson</v>
      </c>
      <c r="M76">
        <v>57802</v>
      </c>
      <c r="N76" t="s">
        <v>376</v>
      </c>
      <c r="O76" t="s">
        <v>104</v>
      </c>
      <c r="P76" t="s">
        <v>103</v>
      </c>
      <c r="Q76" t="s">
        <v>652</v>
      </c>
      <c r="R76" t="s">
        <v>653</v>
      </c>
      <c r="S76" t="s">
        <v>111</v>
      </c>
      <c r="T76">
        <v>8</v>
      </c>
      <c r="U76">
        <v>8</v>
      </c>
      <c r="V76">
        <v>81.34</v>
      </c>
      <c r="X76" s="86" t="str">
        <f t="shared" si="20"/>
        <v>59280Cross Merchan SC Johnson</v>
      </c>
      <c r="Y76">
        <v>59280</v>
      </c>
      <c r="Z76" t="s">
        <v>386</v>
      </c>
      <c r="AA76" t="s">
        <v>500</v>
      </c>
      <c r="AB76" t="s">
        <v>103</v>
      </c>
      <c r="AC76" t="s">
        <v>779</v>
      </c>
      <c r="AD76" t="s">
        <v>780</v>
      </c>
      <c r="AE76" t="s">
        <v>111</v>
      </c>
      <c r="AF76">
        <v>8</v>
      </c>
      <c r="AG76">
        <v>8</v>
      </c>
      <c r="AH76">
        <v>92.38</v>
      </c>
      <c r="AJ76" s="86" t="str">
        <f t="shared" si="21"/>
        <v>56110Mix + Intocáveis SC Johnson</v>
      </c>
      <c r="AK76">
        <v>56110</v>
      </c>
      <c r="AL76" t="s">
        <v>385</v>
      </c>
      <c r="AM76" t="s">
        <v>482</v>
      </c>
      <c r="AN76" t="s">
        <v>103</v>
      </c>
      <c r="AO76" t="s">
        <v>1013</v>
      </c>
      <c r="AP76" t="s">
        <v>1014</v>
      </c>
      <c r="AQ76" t="s">
        <v>459</v>
      </c>
      <c r="AR76">
        <v>30.44</v>
      </c>
      <c r="AS76">
        <v>40</v>
      </c>
      <c r="AT76">
        <v>60.37</v>
      </c>
      <c r="AV76" s="86" t="str">
        <f t="shared" si="22"/>
        <v>59280Mix + Intocáveis SC Johnson</v>
      </c>
      <c r="AW76">
        <v>59280</v>
      </c>
      <c r="AX76" t="s">
        <v>386</v>
      </c>
      <c r="AY76" t="s">
        <v>500</v>
      </c>
      <c r="AZ76" t="s">
        <v>103</v>
      </c>
      <c r="BA76" t="s">
        <v>1033</v>
      </c>
      <c r="BB76" t="s">
        <v>1034</v>
      </c>
      <c r="BC76" t="s">
        <v>459</v>
      </c>
      <c r="BD76">
        <v>30.44</v>
      </c>
      <c r="BE76">
        <v>40</v>
      </c>
      <c r="BF76">
        <v>69.11</v>
      </c>
      <c r="BH76" s="86" t="str">
        <f t="shared" si="23"/>
        <v>56110Mix + Intocáveis SC Johnson</v>
      </c>
      <c r="BI76">
        <v>56110</v>
      </c>
      <c r="BJ76" t="s">
        <v>385</v>
      </c>
      <c r="BK76" t="s">
        <v>482</v>
      </c>
      <c r="BL76" t="s">
        <v>103</v>
      </c>
      <c r="BM76" t="s">
        <v>1223</v>
      </c>
      <c r="BN76" t="s">
        <v>1224</v>
      </c>
      <c r="BO76" t="s">
        <v>459</v>
      </c>
      <c r="BP76">
        <v>26.96</v>
      </c>
      <c r="BQ76">
        <v>40</v>
      </c>
      <c r="BR76">
        <v>68.959999999999994</v>
      </c>
      <c r="BT76" s="86" t="str">
        <f t="shared" si="12"/>
        <v>54675Mix + Intocáveis SC Johnson</v>
      </c>
      <c r="BU76">
        <v>54675</v>
      </c>
      <c r="BV76" t="s">
        <v>375</v>
      </c>
      <c r="BW76" t="s">
        <v>482</v>
      </c>
      <c r="BX76" t="s">
        <v>103</v>
      </c>
      <c r="BY76" t="s">
        <v>1372</v>
      </c>
      <c r="BZ76" t="s">
        <v>1373</v>
      </c>
      <c r="CA76" t="s">
        <v>459</v>
      </c>
      <c r="CB76">
        <v>26.4</v>
      </c>
      <c r="CC76">
        <v>40</v>
      </c>
      <c r="CD76">
        <v>82.4</v>
      </c>
      <c r="CF76" s="86" t="str">
        <f t="shared" si="13"/>
        <v>54675Mix + Intocáveis SC Johnson</v>
      </c>
      <c r="CG76">
        <v>54675</v>
      </c>
      <c r="CH76" t="s">
        <v>375</v>
      </c>
      <c r="CI76" t="s">
        <v>482</v>
      </c>
      <c r="CJ76" t="s">
        <v>103</v>
      </c>
      <c r="CK76" t="s">
        <v>1422</v>
      </c>
      <c r="CL76" t="s">
        <v>1423</v>
      </c>
      <c r="CM76" t="s">
        <v>459</v>
      </c>
      <c r="CN76">
        <v>25.6</v>
      </c>
      <c r="CO76">
        <v>40</v>
      </c>
      <c r="CP76">
        <v>90.6</v>
      </c>
      <c r="CR76" s="86" t="str">
        <f t="shared" si="14"/>
        <v>54734Mix + Intocáveis SC Johnson</v>
      </c>
      <c r="CS76">
        <v>54734</v>
      </c>
      <c r="CT76" t="s">
        <v>333</v>
      </c>
      <c r="CU76" t="s">
        <v>477</v>
      </c>
      <c r="CV76" t="s">
        <v>103</v>
      </c>
      <c r="CW76" t="s">
        <v>1580</v>
      </c>
      <c r="CX76" t="s">
        <v>1581</v>
      </c>
      <c r="CY76" t="s">
        <v>459</v>
      </c>
      <c r="CZ76">
        <v>35.200000000000003</v>
      </c>
      <c r="DA76">
        <v>40</v>
      </c>
      <c r="DB76">
        <v>91.62</v>
      </c>
      <c r="DD76" s="86" t="str">
        <f t="shared" si="15"/>
        <v>56110Execucao Bonus</v>
      </c>
      <c r="DE76">
        <v>56110</v>
      </c>
      <c r="DF76" t="s">
        <v>385</v>
      </c>
      <c r="DG76" t="s">
        <v>482</v>
      </c>
      <c r="DH76" t="s">
        <v>103</v>
      </c>
      <c r="DI76" t="s">
        <v>1660</v>
      </c>
      <c r="DJ76" t="s">
        <v>1661</v>
      </c>
      <c r="DK76" t="s">
        <v>1291</v>
      </c>
      <c r="DL76">
        <v>0</v>
      </c>
      <c r="DM76">
        <v>5</v>
      </c>
      <c r="DN76">
        <v>83</v>
      </c>
      <c r="DP76" s="86" t="str">
        <f t="shared" si="16"/>
        <v>53581Execucao Bonus</v>
      </c>
      <c r="DQ76">
        <v>53581</v>
      </c>
      <c r="DR76" t="s">
        <v>374</v>
      </c>
      <c r="DS76" t="s">
        <v>489</v>
      </c>
      <c r="DT76" t="s">
        <v>103</v>
      </c>
      <c r="DU76" t="s">
        <v>1768</v>
      </c>
      <c r="DV76" t="s">
        <v>1769</v>
      </c>
      <c r="DW76" t="s">
        <v>1291</v>
      </c>
      <c r="DX76">
        <v>4</v>
      </c>
      <c r="DY76">
        <v>5</v>
      </c>
      <c r="DZ76">
        <v>100</v>
      </c>
      <c r="EB76" s="86" t="str">
        <f t="shared" si="17"/>
        <v>102953Execucao Bonus</v>
      </c>
      <c r="EC76">
        <v>102953</v>
      </c>
      <c r="ED76" t="s">
        <v>388</v>
      </c>
      <c r="EE76" t="s">
        <v>482</v>
      </c>
      <c r="EF76" t="s">
        <v>103</v>
      </c>
      <c r="EG76" t="s">
        <v>1890</v>
      </c>
      <c r="EH76" t="s">
        <v>1891</v>
      </c>
      <c r="EI76" t="s">
        <v>1291</v>
      </c>
      <c r="EJ76">
        <v>5</v>
      </c>
      <c r="EK76">
        <v>5</v>
      </c>
      <c r="EL76">
        <v>93.8</v>
      </c>
    </row>
    <row r="77" spans="1:142" x14ac:dyDescent="0.35">
      <c r="A77" s="86" t="str">
        <f t="shared" si="18"/>
        <v>59280Cross Merchan SC Johnson</v>
      </c>
      <c r="B77">
        <v>59280</v>
      </c>
      <c r="C77" t="s">
        <v>386</v>
      </c>
      <c r="D77" t="s">
        <v>103</v>
      </c>
      <c r="E77" t="s">
        <v>501</v>
      </c>
      <c r="F77" t="s">
        <v>502</v>
      </c>
      <c r="G77" t="s">
        <v>111</v>
      </c>
      <c r="H77">
        <v>82.97</v>
      </c>
      <c r="I77">
        <v>0</v>
      </c>
      <c r="J77">
        <v>8</v>
      </c>
      <c r="L77" s="86" t="str">
        <f t="shared" si="19"/>
        <v>57802Share Sub Loc Pao Quente SC Johnson</v>
      </c>
      <c r="M77">
        <v>57802</v>
      </c>
      <c r="N77" t="s">
        <v>376</v>
      </c>
      <c r="O77" t="s">
        <v>104</v>
      </c>
      <c r="P77" t="s">
        <v>103</v>
      </c>
      <c r="Q77" t="s">
        <v>652</v>
      </c>
      <c r="R77" t="s">
        <v>653</v>
      </c>
      <c r="S77" t="s">
        <v>458</v>
      </c>
      <c r="T77">
        <v>12.75</v>
      </c>
      <c r="U77">
        <v>17</v>
      </c>
      <c r="V77">
        <v>81.34</v>
      </c>
      <c r="X77" s="86" t="str">
        <f t="shared" si="20"/>
        <v>59280Share Sub Loc Pao Quente SC Johnson</v>
      </c>
      <c r="Y77">
        <v>59280</v>
      </c>
      <c r="Z77" t="s">
        <v>386</v>
      </c>
      <c r="AA77" t="s">
        <v>500</v>
      </c>
      <c r="AB77" t="s">
        <v>103</v>
      </c>
      <c r="AC77" t="s">
        <v>779</v>
      </c>
      <c r="AD77" t="s">
        <v>780</v>
      </c>
      <c r="AE77" t="s">
        <v>458</v>
      </c>
      <c r="AF77">
        <v>12.75</v>
      </c>
      <c r="AG77">
        <v>17</v>
      </c>
      <c r="AH77">
        <v>92.38</v>
      </c>
      <c r="AJ77" s="86" t="str">
        <f t="shared" si="21"/>
        <v>56110Lancamentos</v>
      </c>
      <c r="AK77">
        <v>56110</v>
      </c>
      <c r="AL77" t="s">
        <v>385</v>
      </c>
      <c r="AM77" t="s">
        <v>482</v>
      </c>
      <c r="AN77" t="s">
        <v>103</v>
      </c>
      <c r="AO77" t="s">
        <v>1013</v>
      </c>
      <c r="AP77" t="s">
        <v>1014</v>
      </c>
      <c r="AQ77" t="s">
        <v>953</v>
      </c>
      <c r="AR77">
        <v>0</v>
      </c>
      <c r="AS77">
        <v>18</v>
      </c>
      <c r="AT77">
        <v>60.37</v>
      </c>
      <c r="AV77" s="86" t="str">
        <f t="shared" si="22"/>
        <v>59280Lancamentos</v>
      </c>
      <c r="AW77">
        <v>59280</v>
      </c>
      <c r="AX77" t="s">
        <v>386</v>
      </c>
      <c r="AY77" t="s">
        <v>500</v>
      </c>
      <c r="AZ77" t="s">
        <v>103</v>
      </c>
      <c r="BA77" t="s">
        <v>1033</v>
      </c>
      <c r="BB77" t="s">
        <v>1034</v>
      </c>
      <c r="BC77" t="s">
        <v>953</v>
      </c>
      <c r="BD77">
        <v>0</v>
      </c>
      <c r="BE77">
        <v>18</v>
      </c>
      <c r="BF77">
        <v>69.11</v>
      </c>
      <c r="BH77" s="86" t="str">
        <f t="shared" si="23"/>
        <v>56110Lancamentos</v>
      </c>
      <c r="BI77">
        <v>56110</v>
      </c>
      <c r="BJ77" t="s">
        <v>385</v>
      </c>
      <c r="BK77" t="s">
        <v>482</v>
      </c>
      <c r="BL77" t="s">
        <v>103</v>
      </c>
      <c r="BM77" t="s">
        <v>1223</v>
      </c>
      <c r="BN77" t="s">
        <v>1224</v>
      </c>
      <c r="BO77" t="s">
        <v>953</v>
      </c>
      <c r="BP77">
        <v>0</v>
      </c>
      <c r="BQ77">
        <v>18</v>
      </c>
      <c r="BR77">
        <v>68.959999999999994</v>
      </c>
      <c r="BT77" s="86" t="str">
        <f t="shared" si="12"/>
        <v>54675Share Sub Category SC Johnson</v>
      </c>
      <c r="BU77">
        <v>54675</v>
      </c>
      <c r="BV77" t="s">
        <v>375</v>
      </c>
      <c r="BW77" t="s">
        <v>482</v>
      </c>
      <c r="BX77" t="s">
        <v>103</v>
      </c>
      <c r="BY77" t="s">
        <v>1372</v>
      </c>
      <c r="BZ77" t="s">
        <v>1373</v>
      </c>
      <c r="CA77" t="s">
        <v>457</v>
      </c>
      <c r="CB77">
        <v>25</v>
      </c>
      <c r="CC77">
        <v>25</v>
      </c>
      <c r="CD77">
        <v>82.4</v>
      </c>
      <c r="CF77" s="86" t="str">
        <f t="shared" si="13"/>
        <v>54675Share Sub Category SC Johnson</v>
      </c>
      <c r="CG77">
        <v>54675</v>
      </c>
      <c r="CH77" t="s">
        <v>375</v>
      </c>
      <c r="CI77" t="s">
        <v>482</v>
      </c>
      <c r="CJ77" t="s">
        <v>103</v>
      </c>
      <c r="CK77" t="s">
        <v>1422</v>
      </c>
      <c r="CL77" t="s">
        <v>1423</v>
      </c>
      <c r="CM77" t="s">
        <v>457</v>
      </c>
      <c r="CN77">
        <v>25</v>
      </c>
      <c r="CO77">
        <v>25</v>
      </c>
      <c r="CP77">
        <v>90.6</v>
      </c>
      <c r="CR77" s="86" t="str">
        <f t="shared" si="14"/>
        <v>54734Share Sub Category SC Johnson</v>
      </c>
      <c r="CS77">
        <v>54734</v>
      </c>
      <c r="CT77" t="s">
        <v>333</v>
      </c>
      <c r="CU77" t="s">
        <v>477</v>
      </c>
      <c r="CV77" t="s">
        <v>103</v>
      </c>
      <c r="CW77" t="s">
        <v>1580</v>
      </c>
      <c r="CX77" t="s">
        <v>1581</v>
      </c>
      <c r="CY77" t="s">
        <v>457</v>
      </c>
      <c r="CZ77">
        <v>21.425000000000001</v>
      </c>
      <c r="DA77">
        <v>25</v>
      </c>
      <c r="DB77">
        <v>91.62</v>
      </c>
      <c r="DD77" s="86" t="str">
        <f t="shared" si="15"/>
        <v>56110Cross Merchan SC Johnson</v>
      </c>
      <c r="DE77">
        <v>56110</v>
      </c>
      <c r="DF77" t="s">
        <v>385</v>
      </c>
      <c r="DG77" t="s">
        <v>482</v>
      </c>
      <c r="DH77" t="s">
        <v>103</v>
      </c>
      <c r="DI77" t="s">
        <v>1660</v>
      </c>
      <c r="DJ77" t="s">
        <v>1661</v>
      </c>
      <c r="DK77" t="s">
        <v>111</v>
      </c>
      <c r="DL77">
        <v>5</v>
      </c>
      <c r="DM77">
        <v>5</v>
      </c>
      <c r="DN77">
        <v>83</v>
      </c>
      <c r="DP77" s="86" t="str">
        <f t="shared" si="16"/>
        <v>53581Cross Merchan SC Johnson</v>
      </c>
      <c r="DQ77">
        <v>53581</v>
      </c>
      <c r="DR77" t="s">
        <v>374</v>
      </c>
      <c r="DS77" t="s">
        <v>489</v>
      </c>
      <c r="DT77" t="s">
        <v>103</v>
      </c>
      <c r="DU77" t="s">
        <v>1768</v>
      </c>
      <c r="DV77" t="s">
        <v>1769</v>
      </c>
      <c r="DW77" t="s">
        <v>111</v>
      </c>
      <c r="DX77">
        <v>5</v>
      </c>
      <c r="DY77">
        <v>5</v>
      </c>
      <c r="DZ77">
        <v>100</v>
      </c>
      <c r="EB77" s="86" t="str">
        <f t="shared" si="17"/>
        <v>102953Cross Merchan SC Johnson</v>
      </c>
      <c r="EC77">
        <v>102953</v>
      </c>
      <c r="ED77" t="s">
        <v>388</v>
      </c>
      <c r="EE77" t="s">
        <v>482</v>
      </c>
      <c r="EF77" t="s">
        <v>103</v>
      </c>
      <c r="EG77" t="s">
        <v>1890</v>
      </c>
      <c r="EH77" t="s">
        <v>1891</v>
      </c>
      <c r="EI77" t="s">
        <v>111</v>
      </c>
      <c r="EJ77">
        <v>5</v>
      </c>
      <c r="EK77">
        <v>5</v>
      </c>
      <c r="EL77">
        <v>93.8</v>
      </c>
    </row>
    <row r="78" spans="1:142" x14ac:dyDescent="0.35">
      <c r="A78" s="86" t="str">
        <f t="shared" si="18"/>
        <v>59280Share Sub Loc Pao Quente SC Johnson</v>
      </c>
      <c r="B78">
        <v>59280</v>
      </c>
      <c r="C78" t="s">
        <v>386</v>
      </c>
      <c r="D78" t="s">
        <v>103</v>
      </c>
      <c r="E78" t="s">
        <v>501</v>
      </c>
      <c r="F78" t="s">
        <v>502</v>
      </c>
      <c r="G78" t="s">
        <v>458</v>
      </c>
      <c r="H78">
        <v>82.97</v>
      </c>
      <c r="I78">
        <v>13.6</v>
      </c>
      <c r="J78">
        <v>17</v>
      </c>
      <c r="L78" s="86" t="str">
        <f t="shared" si="19"/>
        <v>57802Mix + Intocáveis SC Johnson</v>
      </c>
      <c r="M78">
        <v>57802</v>
      </c>
      <c r="N78" t="s">
        <v>376</v>
      </c>
      <c r="O78" t="s">
        <v>104</v>
      </c>
      <c r="P78" t="s">
        <v>103</v>
      </c>
      <c r="Q78" t="s">
        <v>652</v>
      </c>
      <c r="R78" t="s">
        <v>653</v>
      </c>
      <c r="S78" t="s">
        <v>459</v>
      </c>
      <c r="T78">
        <v>34.875</v>
      </c>
      <c r="U78">
        <v>45</v>
      </c>
      <c r="V78">
        <v>81.34</v>
      </c>
      <c r="X78" s="86" t="str">
        <f t="shared" si="20"/>
        <v>59280Mix + Intocáveis SC Johnson</v>
      </c>
      <c r="Y78">
        <v>59280</v>
      </c>
      <c r="Z78" t="s">
        <v>386</v>
      </c>
      <c r="AA78" t="s">
        <v>500</v>
      </c>
      <c r="AB78" t="s">
        <v>103</v>
      </c>
      <c r="AC78" t="s">
        <v>779</v>
      </c>
      <c r="AD78" t="s">
        <v>780</v>
      </c>
      <c r="AE78" t="s">
        <v>459</v>
      </c>
      <c r="AF78">
        <v>41.625</v>
      </c>
      <c r="AG78">
        <v>45</v>
      </c>
      <c r="AH78">
        <v>92.38</v>
      </c>
      <c r="AJ78" s="86" t="str">
        <f t="shared" si="21"/>
        <v>59280Share Sub Category SC Johnson</v>
      </c>
      <c r="AK78">
        <v>59280</v>
      </c>
      <c r="AL78" t="s">
        <v>386</v>
      </c>
      <c r="AM78" t="s">
        <v>500</v>
      </c>
      <c r="AN78" t="s">
        <v>103</v>
      </c>
      <c r="AO78" t="s">
        <v>984</v>
      </c>
      <c r="AP78" t="s">
        <v>985</v>
      </c>
      <c r="AQ78" t="s">
        <v>457</v>
      </c>
      <c r="AR78">
        <v>25</v>
      </c>
      <c r="AS78">
        <v>25</v>
      </c>
      <c r="AT78">
        <v>62.58</v>
      </c>
      <c r="AV78" s="86" t="str">
        <f t="shared" si="22"/>
        <v>64883Share Sub Category SC Johnson</v>
      </c>
      <c r="AW78">
        <v>64883</v>
      </c>
      <c r="AX78" t="s">
        <v>334</v>
      </c>
      <c r="AY78" t="s">
        <v>460</v>
      </c>
      <c r="AZ78" t="s">
        <v>103</v>
      </c>
      <c r="BA78" t="s">
        <v>1063</v>
      </c>
      <c r="BB78" t="s">
        <v>1064</v>
      </c>
      <c r="BC78" t="s">
        <v>457</v>
      </c>
      <c r="BD78">
        <v>25</v>
      </c>
      <c r="BE78">
        <v>25</v>
      </c>
      <c r="BF78">
        <v>59.14</v>
      </c>
      <c r="BH78" s="86" t="str">
        <f t="shared" si="23"/>
        <v>57802Share Sub Category SC Johnson</v>
      </c>
      <c r="BI78">
        <v>57802</v>
      </c>
      <c r="BJ78" t="s">
        <v>376</v>
      </c>
      <c r="BK78" t="s">
        <v>1004</v>
      </c>
      <c r="BL78" t="s">
        <v>103</v>
      </c>
      <c r="BM78" t="s">
        <v>1183</v>
      </c>
      <c r="BN78" t="s">
        <v>1184</v>
      </c>
      <c r="BO78" t="s">
        <v>457</v>
      </c>
      <c r="BP78">
        <v>25</v>
      </c>
      <c r="BQ78">
        <v>25</v>
      </c>
      <c r="BR78">
        <v>83.56</v>
      </c>
      <c r="BT78" s="86" t="str">
        <f t="shared" si="12"/>
        <v>54675Share Sub Loc Pao Quente SC Johnson</v>
      </c>
      <c r="BU78">
        <v>54675</v>
      </c>
      <c r="BV78" t="s">
        <v>375</v>
      </c>
      <c r="BW78" t="s">
        <v>482</v>
      </c>
      <c r="BX78" t="s">
        <v>103</v>
      </c>
      <c r="BY78" t="s">
        <v>1372</v>
      </c>
      <c r="BZ78" t="s">
        <v>1373</v>
      </c>
      <c r="CA78" t="s">
        <v>458</v>
      </c>
      <c r="CB78">
        <v>12</v>
      </c>
      <c r="CC78">
        <v>12</v>
      </c>
      <c r="CD78">
        <v>82.4</v>
      </c>
      <c r="CF78" s="86" t="str">
        <f t="shared" si="13"/>
        <v>54675Share Sub Loc Pao Quente SC Johnson</v>
      </c>
      <c r="CG78">
        <v>54675</v>
      </c>
      <c r="CH78" t="s">
        <v>375</v>
      </c>
      <c r="CI78" t="s">
        <v>482</v>
      </c>
      <c r="CJ78" t="s">
        <v>103</v>
      </c>
      <c r="CK78" t="s">
        <v>1422</v>
      </c>
      <c r="CL78" t="s">
        <v>1423</v>
      </c>
      <c r="CM78" t="s">
        <v>458</v>
      </c>
      <c r="CN78">
        <v>12</v>
      </c>
      <c r="CO78">
        <v>12</v>
      </c>
      <c r="CP78">
        <v>90.6</v>
      </c>
      <c r="CR78" s="86" t="str">
        <f t="shared" si="14"/>
        <v>54734Share Sub Loc Pao Quente SC Johnson</v>
      </c>
      <c r="CS78">
        <v>54734</v>
      </c>
      <c r="CT78" t="s">
        <v>333</v>
      </c>
      <c r="CU78" t="s">
        <v>477</v>
      </c>
      <c r="CV78" t="s">
        <v>103</v>
      </c>
      <c r="CW78" t="s">
        <v>1580</v>
      </c>
      <c r="CX78" t="s">
        <v>1581</v>
      </c>
      <c r="CY78" t="s">
        <v>458</v>
      </c>
      <c r="CZ78">
        <v>12</v>
      </c>
      <c r="DA78">
        <v>12</v>
      </c>
      <c r="DB78">
        <v>91.62</v>
      </c>
      <c r="DD78" s="86" t="str">
        <f t="shared" si="15"/>
        <v>56110Lancamentos</v>
      </c>
      <c r="DE78">
        <v>56110</v>
      </c>
      <c r="DF78" t="s">
        <v>385</v>
      </c>
      <c r="DG78" t="s">
        <v>482</v>
      </c>
      <c r="DH78" t="s">
        <v>103</v>
      </c>
      <c r="DI78" t="s">
        <v>1660</v>
      </c>
      <c r="DJ78" t="s">
        <v>1661</v>
      </c>
      <c r="DK78" t="s">
        <v>953</v>
      </c>
      <c r="DL78">
        <v>9</v>
      </c>
      <c r="DM78">
        <v>18</v>
      </c>
      <c r="DN78">
        <v>83</v>
      </c>
      <c r="DP78" s="86" t="str">
        <f t="shared" si="16"/>
        <v>53581Lancamentos</v>
      </c>
      <c r="DQ78">
        <v>53581</v>
      </c>
      <c r="DR78" t="s">
        <v>374</v>
      </c>
      <c r="DS78" t="s">
        <v>489</v>
      </c>
      <c r="DT78" t="s">
        <v>103</v>
      </c>
      <c r="DU78" t="s">
        <v>1768</v>
      </c>
      <c r="DV78" t="s">
        <v>1769</v>
      </c>
      <c r="DW78" t="s">
        <v>953</v>
      </c>
      <c r="DX78">
        <v>18</v>
      </c>
      <c r="DY78">
        <v>18</v>
      </c>
      <c r="DZ78">
        <v>100</v>
      </c>
      <c r="EB78" s="86" t="str">
        <f t="shared" si="17"/>
        <v>102953Lancamentos</v>
      </c>
      <c r="EC78">
        <v>102953</v>
      </c>
      <c r="ED78" t="s">
        <v>388</v>
      </c>
      <c r="EE78" t="s">
        <v>482</v>
      </c>
      <c r="EF78" t="s">
        <v>103</v>
      </c>
      <c r="EG78" t="s">
        <v>1890</v>
      </c>
      <c r="EH78" t="s">
        <v>1891</v>
      </c>
      <c r="EI78" t="s">
        <v>953</v>
      </c>
      <c r="EJ78">
        <v>18</v>
      </c>
      <c r="EK78">
        <v>18</v>
      </c>
      <c r="EL78">
        <v>93.8</v>
      </c>
    </row>
    <row r="79" spans="1:142" x14ac:dyDescent="0.35">
      <c r="A79" s="86" t="str">
        <f t="shared" si="18"/>
        <v>59280Mix + Intocáveis SC Johnson</v>
      </c>
      <c r="B79">
        <v>59280</v>
      </c>
      <c r="C79" t="s">
        <v>386</v>
      </c>
      <c r="D79" t="s">
        <v>103</v>
      </c>
      <c r="E79" t="s">
        <v>501</v>
      </c>
      <c r="F79" t="s">
        <v>502</v>
      </c>
      <c r="G79" t="s">
        <v>459</v>
      </c>
      <c r="H79">
        <v>82.97</v>
      </c>
      <c r="I79">
        <v>39.375</v>
      </c>
      <c r="J79">
        <v>45</v>
      </c>
      <c r="L79" s="86" t="str">
        <f t="shared" si="19"/>
        <v>59280Share Sub Category SC Johnson</v>
      </c>
      <c r="M79">
        <v>59280</v>
      </c>
      <c r="N79" t="s">
        <v>386</v>
      </c>
      <c r="O79" t="s">
        <v>500</v>
      </c>
      <c r="P79" t="s">
        <v>103</v>
      </c>
      <c r="Q79" t="s">
        <v>654</v>
      </c>
      <c r="R79" t="s">
        <v>655</v>
      </c>
      <c r="S79" t="s">
        <v>457</v>
      </c>
      <c r="T79">
        <v>30</v>
      </c>
      <c r="U79">
        <v>30</v>
      </c>
      <c r="V79">
        <v>84.38</v>
      </c>
      <c r="X79" s="86" t="str">
        <f t="shared" si="20"/>
        <v>64883Share Sub Category SC Johnson</v>
      </c>
      <c r="Y79">
        <v>64883</v>
      </c>
      <c r="Z79" t="s">
        <v>334</v>
      </c>
      <c r="AA79" t="s">
        <v>460</v>
      </c>
      <c r="AB79" t="s">
        <v>103</v>
      </c>
      <c r="AC79" t="s">
        <v>787</v>
      </c>
      <c r="AD79" t="s">
        <v>788</v>
      </c>
      <c r="AE79" t="s">
        <v>457</v>
      </c>
      <c r="AF79">
        <v>25.71</v>
      </c>
      <c r="AG79">
        <v>30</v>
      </c>
      <c r="AH79">
        <v>82.46</v>
      </c>
      <c r="AJ79" s="86" t="str">
        <f t="shared" si="21"/>
        <v>59280Cross Merchan SC Johnson</v>
      </c>
      <c r="AK79">
        <v>59280</v>
      </c>
      <c r="AL79" t="s">
        <v>386</v>
      </c>
      <c r="AM79" t="s">
        <v>500</v>
      </c>
      <c r="AN79" t="s">
        <v>103</v>
      </c>
      <c r="AO79" t="s">
        <v>984</v>
      </c>
      <c r="AP79" t="s">
        <v>985</v>
      </c>
      <c r="AQ79" t="s">
        <v>111</v>
      </c>
      <c r="AR79">
        <v>2.5</v>
      </c>
      <c r="AS79">
        <v>5</v>
      </c>
      <c r="AT79">
        <v>62.58</v>
      </c>
      <c r="AV79" s="86" t="str">
        <f t="shared" si="22"/>
        <v>64883Cross Merchan SC Johnson</v>
      </c>
      <c r="AW79">
        <v>64883</v>
      </c>
      <c r="AX79" t="s">
        <v>334</v>
      </c>
      <c r="AY79" t="s">
        <v>460</v>
      </c>
      <c r="AZ79" t="s">
        <v>103</v>
      </c>
      <c r="BA79" t="s">
        <v>1063</v>
      </c>
      <c r="BB79" t="s">
        <v>1064</v>
      </c>
      <c r="BC79" t="s">
        <v>111</v>
      </c>
      <c r="BD79">
        <v>1.665</v>
      </c>
      <c r="BE79">
        <v>5</v>
      </c>
      <c r="BF79">
        <v>59.14</v>
      </c>
      <c r="BH79" s="86" t="str">
        <f t="shared" si="23"/>
        <v>57802Cross Merchan SC Johnson</v>
      </c>
      <c r="BI79">
        <v>57802</v>
      </c>
      <c r="BJ79" t="s">
        <v>376</v>
      </c>
      <c r="BK79" t="s">
        <v>1004</v>
      </c>
      <c r="BL79" t="s">
        <v>103</v>
      </c>
      <c r="BM79" t="s">
        <v>1183</v>
      </c>
      <c r="BN79" t="s">
        <v>1184</v>
      </c>
      <c r="BO79" t="s">
        <v>111</v>
      </c>
      <c r="BP79">
        <v>5</v>
      </c>
      <c r="BQ79">
        <v>5</v>
      </c>
      <c r="BR79">
        <v>83.56</v>
      </c>
      <c r="BT79" s="86" t="str">
        <f t="shared" si="12"/>
        <v>54675Cross Merchan SC Johnson</v>
      </c>
      <c r="BU79">
        <v>54675</v>
      </c>
      <c r="BV79" t="s">
        <v>375</v>
      </c>
      <c r="BW79" t="s">
        <v>482</v>
      </c>
      <c r="BX79" t="s">
        <v>103</v>
      </c>
      <c r="BY79" t="s">
        <v>1372</v>
      </c>
      <c r="BZ79" t="s">
        <v>1373</v>
      </c>
      <c r="CA79" t="s">
        <v>111</v>
      </c>
      <c r="CB79">
        <v>5</v>
      </c>
      <c r="CC79">
        <v>5</v>
      </c>
      <c r="CD79">
        <v>82.4</v>
      </c>
      <c r="CF79" s="86" t="str">
        <f t="shared" si="13"/>
        <v>54675Cross Merchan SC Johnson</v>
      </c>
      <c r="CG79">
        <v>54675</v>
      </c>
      <c r="CH79" t="s">
        <v>375</v>
      </c>
      <c r="CI79" t="s">
        <v>482</v>
      </c>
      <c r="CJ79" t="s">
        <v>103</v>
      </c>
      <c r="CK79" t="s">
        <v>1422</v>
      </c>
      <c r="CL79" t="s">
        <v>1423</v>
      </c>
      <c r="CM79" t="s">
        <v>111</v>
      </c>
      <c r="CN79">
        <v>5</v>
      </c>
      <c r="CO79">
        <v>5</v>
      </c>
      <c r="CP79">
        <v>90.6</v>
      </c>
      <c r="CR79" s="86" t="str">
        <f t="shared" si="14"/>
        <v>54734Cross Merchan SC Johnson</v>
      </c>
      <c r="CS79">
        <v>54734</v>
      </c>
      <c r="CT79" t="s">
        <v>333</v>
      </c>
      <c r="CU79" t="s">
        <v>477</v>
      </c>
      <c r="CV79" t="s">
        <v>103</v>
      </c>
      <c r="CW79" t="s">
        <v>1580</v>
      </c>
      <c r="CX79" t="s">
        <v>1581</v>
      </c>
      <c r="CY79" t="s">
        <v>111</v>
      </c>
      <c r="CZ79">
        <v>5</v>
      </c>
      <c r="DA79">
        <v>5</v>
      </c>
      <c r="DB79">
        <v>91.62</v>
      </c>
      <c r="DD79" s="86" t="str">
        <f t="shared" si="15"/>
        <v>56110Share Sub Category SC Johnson</v>
      </c>
      <c r="DE79">
        <v>56110</v>
      </c>
      <c r="DF79" t="s">
        <v>385</v>
      </c>
      <c r="DG79" t="s">
        <v>482</v>
      </c>
      <c r="DH79" t="s">
        <v>103</v>
      </c>
      <c r="DI79" t="s">
        <v>1660</v>
      </c>
      <c r="DJ79" t="s">
        <v>1661</v>
      </c>
      <c r="DK79" t="s">
        <v>457</v>
      </c>
      <c r="DL79">
        <v>25</v>
      </c>
      <c r="DM79">
        <v>25</v>
      </c>
      <c r="DN79">
        <v>83</v>
      </c>
      <c r="DP79" s="86" t="str">
        <f t="shared" si="16"/>
        <v>53581Share Sub Category SC Johnson</v>
      </c>
      <c r="DQ79">
        <v>53581</v>
      </c>
      <c r="DR79" t="s">
        <v>374</v>
      </c>
      <c r="DS79" t="s">
        <v>489</v>
      </c>
      <c r="DT79" t="s">
        <v>103</v>
      </c>
      <c r="DU79" t="s">
        <v>1768</v>
      </c>
      <c r="DV79" t="s">
        <v>1769</v>
      </c>
      <c r="DW79" t="s">
        <v>457</v>
      </c>
      <c r="DX79">
        <v>25</v>
      </c>
      <c r="DY79">
        <v>25</v>
      </c>
      <c r="DZ79">
        <v>100</v>
      </c>
      <c r="EB79" s="86" t="str">
        <f t="shared" si="17"/>
        <v>102953Share Sub Category SC Johnson</v>
      </c>
      <c r="EC79">
        <v>102953</v>
      </c>
      <c r="ED79" t="s">
        <v>388</v>
      </c>
      <c r="EE79" t="s">
        <v>482</v>
      </c>
      <c r="EF79" t="s">
        <v>103</v>
      </c>
      <c r="EG79" t="s">
        <v>1890</v>
      </c>
      <c r="EH79" t="s">
        <v>1891</v>
      </c>
      <c r="EI79" t="s">
        <v>457</v>
      </c>
      <c r="EJ79">
        <v>25</v>
      </c>
      <c r="EK79">
        <v>25</v>
      </c>
      <c r="EL79">
        <v>93.8</v>
      </c>
    </row>
    <row r="80" spans="1:142" x14ac:dyDescent="0.35">
      <c r="A80" s="86" t="str">
        <f t="shared" si="18"/>
        <v>64883Share Sub Category SC Johnson</v>
      </c>
      <c r="B80">
        <v>64883</v>
      </c>
      <c r="C80" t="s">
        <v>334</v>
      </c>
      <c r="D80" t="s">
        <v>103</v>
      </c>
      <c r="E80" t="s">
        <v>503</v>
      </c>
      <c r="F80" t="s">
        <v>504</v>
      </c>
      <c r="G80" t="s">
        <v>457</v>
      </c>
      <c r="H80">
        <v>76.53</v>
      </c>
      <c r="I80">
        <v>25.71</v>
      </c>
      <c r="J80">
        <v>30</v>
      </c>
      <c r="L80" s="86" t="str">
        <f t="shared" si="19"/>
        <v>59280Cross Merchan SC Johnson</v>
      </c>
      <c r="M80">
        <v>59280</v>
      </c>
      <c r="N80" t="s">
        <v>386</v>
      </c>
      <c r="O80" t="s">
        <v>500</v>
      </c>
      <c r="P80" t="s">
        <v>103</v>
      </c>
      <c r="Q80" t="s">
        <v>654</v>
      </c>
      <c r="R80" t="s">
        <v>655</v>
      </c>
      <c r="S80" t="s">
        <v>111</v>
      </c>
      <c r="T80">
        <v>0</v>
      </c>
      <c r="U80">
        <v>8</v>
      </c>
      <c r="V80">
        <v>84.38</v>
      </c>
      <c r="X80" s="86" t="str">
        <f t="shared" si="20"/>
        <v>64883Cross Merchan SC Johnson</v>
      </c>
      <c r="Y80">
        <v>64883</v>
      </c>
      <c r="Z80" t="s">
        <v>334</v>
      </c>
      <c r="AA80" t="s">
        <v>460</v>
      </c>
      <c r="AB80" t="s">
        <v>103</v>
      </c>
      <c r="AC80" t="s">
        <v>787</v>
      </c>
      <c r="AD80" t="s">
        <v>788</v>
      </c>
      <c r="AE80" t="s">
        <v>111</v>
      </c>
      <c r="AF80">
        <v>8</v>
      </c>
      <c r="AG80">
        <v>8</v>
      </c>
      <c r="AH80">
        <v>82.46</v>
      </c>
      <c r="AJ80" s="86" t="str">
        <f t="shared" si="21"/>
        <v>59280Share Sub Loc Pao Quente SC Johnson</v>
      </c>
      <c r="AK80">
        <v>59280</v>
      </c>
      <c r="AL80" t="s">
        <v>386</v>
      </c>
      <c r="AM80" t="s">
        <v>500</v>
      </c>
      <c r="AN80" t="s">
        <v>103</v>
      </c>
      <c r="AO80" t="s">
        <v>984</v>
      </c>
      <c r="AP80" t="s">
        <v>985</v>
      </c>
      <c r="AQ80" t="s">
        <v>458</v>
      </c>
      <c r="AR80">
        <v>9</v>
      </c>
      <c r="AS80">
        <v>12</v>
      </c>
      <c r="AT80">
        <v>62.58</v>
      </c>
      <c r="AV80" s="86" t="str">
        <f t="shared" si="22"/>
        <v>64883Share Sub Loc Pao Quente SC Johnson</v>
      </c>
      <c r="AW80">
        <v>64883</v>
      </c>
      <c r="AX80" t="s">
        <v>334</v>
      </c>
      <c r="AY80" t="s">
        <v>460</v>
      </c>
      <c r="AZ80" t="s">
        <v>103</v>
      </c>
      <c r="BA80" t="s">
        <v>1063</v>
      </c>
      <c r="BB80" t="s">
        <v>1064</v>
      </c>
      <c r="BC80" t="s">
        <v>458</v>
      </c>
      <c r="BD80">
        <v>9</v>
      </c>
      <c r="BE80">
        <v>12</v>
      </c>
      <c r="BF80">
        <v>59.14</v>
      </c>
      <c r="BH80" s="86" t="str">
        <f t="shared" si="23"/>
        <v>57802Share Sub Loc Pao Quente SC Johnson</v>
      </c>
      <c r="BI80">
        <v>57802</v>
      </c>
      <c r="BJ80" t="s">
        <v>376</v>
      </c>
      <c r="BK80" t="s">
        <v>1004</v>
      </c>
      <c r="BL80" t="s">
        <v>103</v>
      </c>
      <c r="BM80" t="s">
        <v>1183</v>
      </c>
      <c r="BN80" t="s">
        <v>1184</v>
      </c>
      <c r="BO80" t="s">
        <v>458</v>
      </c>
      <c r="BP80">
        <v>6</v>
      </c>
      <c r="BQ80">
        <v>12</v>
      </c>
      <c r="BR80">
        <v>83.56</v>
      </c>
      <c r="BT80" s="86" t="str">
        <f t="shared" si="12"/>
        <v>54675Execucao Bonus</v>
      </c>
      <c r="BU80">
        <v>54675</v>
      </c>
      <c r="BV80" t="s">
        <v>375</v>
      </c>
      <c r="BW80" t="s">
        <v>482</v>
      </c>
      <c r="BX80" t="s">
        <v>103</v>
      </c>
      <c r="BY80" t="s">
        <v>1372</v>
      </c>
      <c r="BZ80" t="s">
        <v>1373</v>
      </c>
      <c r="CA80" t="s">
        <v>1291</v>
      </c>
      <c r="CB80">
        <v>5</v>
      </c>
      <c r="CC80">
        <v>5</v>
      </c>
      <c r="CD80">
        <v>82.4</v>
      </c>
      <c r="CF80" s="86" t="str">
        <f t="shared" si="13"/>
        <v>54675Execucao Bonus</v>
      </c>
      <c r="CG80">
        <v>54675</v>
      </c>
      <c r="CH80" t="s">
        <v>375</v>
      </c>
      <c r="CI80" t="s">
        <v>482</v>
      </c>
      <c r="CJ80" t="s">
        <v>103</v>
      </c>
      <c r="CK80" t="s">
        <v>1422</v>
      </c>
      <c r="CL80" t="s">
        <v>1423</v>
      </c>
      <c r="CM80" t="s">
        <v>1291</v>
      </c>
      <c r="CN80">
        <v>5</v>
      </c>
      <c r="CO80">
        <v>5</v>
      </c>
      <c r="CP80">
        <v>90.6</v>
      </c>
      <c r="CR80" s="86" t="str">
        <f t="shared" si="14"/>
        <v>54734Execucao Bonus</v>
      </c>
      <c r="CS80">
        <v>54734</v>
      </c>
      <c r="CT80" t="s">
        <v>333</v>
      </c>
      <c r="CU80" t="s">
        <v>477</v>
      </c>
      <c r="CV80" t="s">
        <v>103</v>
      </c>
      <c r="CW80" t="s">
        <v>1580</v>
      </c>
      <c r="CX80" t="s">
        <v>1581</v>
      </c>
      <c r="CY80" t="s">
        <v>1291</v>
      </c>
      <c r="CZ80">
        <v>0</v>
      </c>
      <c r="DA80">
        <v>5</v>
      </c>
      <c r="DB80">
        <v>91.62</v>
      </c>
      <c r="DD80" s="86" t="str">
        <f t="shared" si="15"/>
        <v>56110Share Sub Loc Pao Quente SC Johnson</v>
      </c>
      <c r="DE80">
        <v>56110</v>
      </c>
      <c r="DF80" t="s">
        <v>385</v>
      </c>
      <c r="DG80" t="s">
        <v>482</v>
      </c>
      <c r="DH80" t="s">
        <v>103</v>
      </c>
      <c r="DI80" t="s">
        <v>1660</v>
      </c>
      <c r="DJ80" t="s">
        <v>1661</v>
      </c>
      <c r="DK80" t="s">
        <v>458</v>
      </c>
      <c r="DL80">
        <v>12</v>
      </c>
      <c r="DM80">
        <v>12</v>
      </c>
      <c r="DN80">
        <v>83</v>
      </c>
      <c r="DP80" s="86" t="str">
        <f t="shared" si="16"/>
        <v>53581Share Sub Loc Pao Quente SC Johnson</v>
      </c>
      <c r="DQ80">
        <v>53581</v>
      </c>
      <c r="DR80" t="s">
        <v>374</v>
      </c>
      <c r="DS80" t="s">
        <v>489</v>
      </c>
      <c r="DT80" t="s">
        <v>103</v>
      </c>
      <c r="DU80" t="s">
        <v>1768</v>
      </c>
      <c r="DV80" t="s">
        <v>1769</v>
      </c>
      <c r="DW80" t="s">
        <v>458</v>
      </c>
      <c r="DX80">
        <v>12</v>
      </c>
      <c r="DY80">
        <v>12</v>
      </c>
      <c r="DZ80">
        <v>100</v>
      </c>
      <c r="EB80" s="86" t="str">
        <f t="shared" si="17"/>
        <v>102953Share Sub Loc Pao Quente SC Johnson</v>
      </c>
      <c r="EC80">
        <v>102953</v>
      </c>
      <c r="ED80" t="s">
        <v>388</v>
      </c>
      <c r="EE80" t="s">
        <v>482</v>
      </c>
      <c r="EF80" t="s">
        <v>103</v>
      </c>
      <c r="EG80" t="s">
        <v>1890</v>
      </c>
      <c r="EH80" t="s">
        <v>1891</v>
      </c>
      <c r="EI80" t="s">
        <v>458</v>
      </c>
      <c r="EJ80">
        <v>12</v>
      </c>
      <c r="EK80">
        <v>12</v>
      </c>
      <c r="EL80">
        <v>93.8</v>
      </c>
    </row>
    <row r="81" spans="1:142" x14ac:dyDescent="0.35">
      <c r="A81" s="86" t="str">
        <f t="shared" si="18"/>
        <v>64883Cross Merchan SC Johnson</v>
      </c>
      <c r="B81">
        <v>64883</v>
      </c>
      <c r="C81" t="s">
        <v>334</v>
      </c>
      <c r="D81" t="s">
        <v>103</v>
      </c>
      <c r="E81" t="s">
        <v>503</v>
      </c>
      <c r="F81" t="s">
        <v>504</v>
      </c>
      <c r="G81" t="s">
        <v>111</v>
      </c>
      <c r="H81">
        <v>76.53</v>
      </c>
      <c r="I81">
        <v>8</v>
      </c>
      <c r="J81">
        <v>8</v>
      </c>
      <c r="L81" s="86" t="str">
        <f t="shared" si="19"/>
        <v>59280Share Sub Loc Pao Quente SC Johnson</v>
      </c>
      <c r="M81">
        <v>59280</v>
      </c>
      <c r="N81" t="s">
        <v>386</v>
      </c>
      <c r="O81" t="s">
        <v>500</v>
      </c>
      <c r="P81" t="s">
        <v>103</v>
      </c>
      <c r="Q81" t="s">
        <v>654</v>
      </c>
      <c r="R81" t="s">
        <v>655</v>
      </c>
      <c r="S81" t="s">
        <v>458</v>
      </c>
      <c r="T81">
        <v>12.75</v>
      </c>
      <c r="U81">
        <v>17</v>
      </c>
      <c r="V81">
        <v>84.38</v>
      </c>
      <c r="X81" s="86" t="str">
        <f t="shared" si="20"/>
        <v>64883Share Sub Loc Pao Quente SC Johnson</v>
      </c>
      <c r="Y81">
        <v>64883</v>
      </c>
      <c r="Z81" t="s">
        <v>334</v>
      </c>
      <c r="AA81" t="s">
        <v>460</v>
      </c>
      <c r="AB81" t="s">
        <v>103</v>
      </c>
      <c r="AC81" t="s">
        <v>787</v>
      </c>
      <c r="AD81" t="s">
        <v>788</v>
      </c>
      <c r="AE81" t="s">
        <v>458</v>
      </c>
      <c r="AF81">
        <v>12.75</v>
      </c>
      <c r="AG81">
        <v>17</v>
      </c>
      <c r="AH81">
        <v>82.46</v>
      </c>
      <c r="AJ81" s="86" t="str">
        <f t="shared" si="21"/>
        <v>59280Mix + Intocáveis SC Johnson</v>
      </c>
      <c r="AK81">
        <v>59280</v>
      </c>
      <c r="AL81" t="s">
        <v>386</v>
      </c>
      <c r="AM81" t="s">
        <v>500</v>
      </c>
      <c r="AN81" t="s">
        <v>103</v>
      </c>
      <c r="AO81" t="s">
        <v>984</v>
      </c>
      <c r="AP81" t="s">
        <v>985</v>
      </c>
      <c r="AQ81" t="s">
        <v>459</v>
      </c>
      <c r="AR81">
        <v>26.08</v>
      </c>
      <c r="AS81">
        <v>40</v>
      </c>
      <c r="AT81">
        <v>62.58</v>
      </c>
      <c r="AV81" s="86" t="str">
        <f t="shared" si="22"/>
        <v>64883Mix + Intocáveis SC Johnson</v>
      </c>
      <c r="AW81">
        <v>64883</v>
      </c>
      <c r="AX81" t="s">
        <v>334</v>
      </c>
      <c r="AY81" t="s">
        <v>460</v>
      </c>
      <c r="AZ81" t="s">
        <v>103</v>
      </c>
      <c r="BA81" t="s">
        <v>1063</v>
      </c>
      <c r="BB81" t="s">
        <v>1064</v>
      </c>
      <c r="BC81" t="s">
        <v>459</v>
      </c>
      <c r="BD81">
        <v>23.48</v>
      </c>
      <c r="BE81">
        <v>40</v>
      </c>
      <c r="BF81">
        <v>59.14</v>
      </c>
      <c r="BH81" s="86" t="str">
        <f t="shared" si="23"/>
        <v>57802Mix + Intocáveis SC Johnson</v>
      </c>
      <c r="BI81">
        <v>57802</v>
      </c>
      <c r="BJ81" t="s">
        <v>376</v>
      </c>
      <c r="BK81" t="s">
        <v>1004</v>
      </c>
      <c r="BL81" t="s">
        <v>103</v>
      </c>
      <c r="BM81" t="s">
        <v>1183</v>
      </c>
      <c r="BN81" t="s">
        <v>1184</v>
      </c>
      <c r="BO81" t="s">
        <v>459</v>
      </c>
      <c r="BP81">
        <v>29.56</v>
      </c>
      <c r="BQ81">
        <v>40</v>
      </c>
      <c r="BR81">
        <v>83.56</v>
      </c>
      <c r="BT81" s="86" t="str">
        <f t="shared" si="12"/>
        <v>54734Lancamentos</v>
      </c>
      <c r="BU81">
        <v>54734</v>
      </c>
      <c r="BV81" t="s">
        <v>333</v>
      </c>
      <c r="BW81" t="s">
        <v>477</v>
      </c>
      <c r="BX81" t="s">
        <v>103</v>
      </c>
      <c r="BY81" t="s">
        <v>1300</v>
      </c>
      <c r="BZ81" t="s">
        <v>1301</v>
      </c>
      <c r="CA81" t="s">
        <v>953</v>
      </c>
      <c r="CB81">
        <v>9</v>
      </c>
      <c r="CC81">
        <v>18</v>
      </c>
      <c r="CD81">
        <v>62.6</v>
      </c>
      <c r="CF81" s="86" t="str">
        <f t="shared" si="13"/>
        <v>54734Lancamentos</v>
      </c>
      <c r="CG81">
        <v>54734</v>
      </c>
      <c r="CH81" t="s">
        <v>333</v>
      </c>
      <c r="CI81" t="s">
        <v>477</v>
      </c>
      <c r="CJ81" t="s">
        <v>103</v>
      </c>
      <c r="CK81" t="s">
        <v>1438</v>
      </c>
      <c r="CL81" t="s">
        <v>1439</v>
      </c>
      <c r="CM81" t="s">
        <v>953</v>
      </c>
      <c r="CN81">
        <v>18</v>
      </c>
      <c r="CO81">
        <v>18</v>
      </c>
      <c r="CP81">
        <v>98.6</v>
      </c>
      <c r="CR81" s="86" t="str">
        <f t="shared" si="14"/>
        <v>56110Lancamentos</v>
      </c>
      <c r="CS81">
        <v>56110</v>
      </c>
      <c r="CT81" t="s">
        <v>385</v>
      </c>
      <c r="CU81" t="s">
        <v>482</v>
      </c>
      <c r="CV81" t="s">
        <v>103</v>
      </c>
      <c r="CW81" t="s">
        <v>1582</v>
      </c>
      <c r="CX81" t="s">
        <v>1583</v>
      </c>
      <c r="CY81" t="s">
        <v>953</v>
      </c>
      <c r="CZ81">
        <v>9</v>
      </c>
      <c r="DA81">
        <v>18</v>
      </c>
      <c r="DB81">
        <v>86.4</v>
      </c>
      <c r="DD81" s="86" t="str">
        <f t="shared" si="15"/>
        <v>57802Mix + Intocáveis SC Johnson</v>
      </c>
      <c r="DE81">
        <v>57802</v>
      </c>
      <c r="DF81" t="s">
        <v>376</v>
      </c>
      <c r="DG81" t="s">
        <v>1004</v>
      </c>
      <c r="DH81" t="s">
        <v>103</v>
      </c>
      <c r="DI81" t="s">
        <v>1686</v>
      </c>
      <c r="DJ81" t="s">
        <v>1687</v>
      </c>
      <c r="DK81" t="s">
        <v>459</v>
      </c>
      <c r="DL81">
        <v>28</v>
      </c>
      <c r="DM81">
        <v>40</v>
      </c>
      <c r="DN81">
        <v>70</v>
      </c>
      <c r="DP81" s="86" t="str">
        <f t="shared" si="16"/>
        <v>54675Mix + Intocáveis SC Johnson</v>
      </c>
      <c r="DQ81">
        <v>54675</v>
      </c>
      <c r="DR81" t="s">
        <v>375</v>
      </c>
      <c r="DS81" t="s">
        <v>482</v>
      </c>
      <c r="DT81" t="s">
        <v>103</v>
      </c>
      <c r="DU81" t="s">
        <v>1802</v>
      </c>
      <c r="DV81" t="s">
        <v>1803</v>
      </c>
      <c r="DW81" t="s">
        <v>459</v>
      </c>
      <c r="DX81">
        <v>28</v>
      </c>
      <c r="DY81">
        <v>40</v>
      </c>
      <c r="DZ81">
        <v>86.42</v>
      </c>
      <c r="EB81" s="86" t="str">
        <f t="shared" si="17"/>
        <v>119456Mix + Intocáveis SC Johnson</v>
      </c>
      <c r="EC81">
        <v>119456</v>
      </c>
      <c r="ED81" t="s">
        <v>389</v>
      </c>
      <c r="EE81" t="s">
        <v>482</v>
      </c>
      <c r="EF81" t="s">
        <v>103</v>
      </c>
      <c r="EG81" t="s">
        <v>1892</v>
      </c>
      <c r="EH81" t="s">
        <v>1893</v>
      </c>
      <c r="EI81" t="s">
        <v>459</v>
      </c>
      <c r="EJ81">
        <v>32.799999999999997</v>
      </c>
      <c r="EK81">
        <v>40</v>
      </c>
      <c r="EL81">
        <v>88.8</v>
      </c>
    </row>
    <row r="82" spans="1:142" x14ac:dyDescent="0.35">
      <c r="A82" s="86" t="str">
        <f t="shared" si="18"/>
        <v>64883Share Sub Loc Pao Quente SC Johnson</v>
      </c>
      <c r="B82">
        <v>64883</v>
      </c>
      <c r="C82" t="s">
        <v>334</v>
      </c>
      <c r="D82" t="s">
        <v>103</v>
      </c>
      <c r="E82" t="s">
        <v>503</v>
      </c>
      <c r="F82" t="s">
        <v>504</v>
      </c>
      <c r="G82" t="s">
        <v>458</v>
      </c>
      <c r="H82">
        <v>76.53</v>
      </c>
      <c r="I82">
        <v>10.199999999999999</v>
      </c>
      <c r="J82">
        <v>17</v>
      </c>
      <c r="L82" s="86" t="str">
        <f t="shared" si="19"/>
        <v>59280Mix + Intocáveis SC Johnson</v>
      </c>
      <c r="M82">
        <v>59280</v>
      </c>
      <c r="N82" t="s">
        <v>386</v>
      </c>
      <c r="O82" t="s">
        <v>500</v>
      </c>
      <c r="P82" t="s">
        <v>103</v>
      </c>
      <c r="Q82" t="s">
        <v>654</v>
      </c>
      <c r="R82" t="s">
        <v>655</v>
      </c>
      <c r="S82" t="s">
        <v>459</v>
      </c>
      <c r="T82">
        <v>41.625</v>
      </c>
      <c r="U82">
        <v>45</v>
      </c>
      <c r="V82">
        <v>84.38</v>
      </c>
      <c r="X82" s="86" t="str">
        <f t="shared" si="20"/>
        <v>64883Mix + Intocáveis SC Johnson</v>
      </c>
      <c r="Y82">
        <v>64883</v>
      </c>
      <c r="Z82" t="s">
        <v>334</v>
      </c>
      <c r="AA82" t="s">
        <v>460</v>
      </c>
      <c r="AB82" t="s">
        <v>103</v>
      </c>
      <c r="AC82" t="s">
        <v>787</v>
      </c>
      <c r="AD82" t="s">
        <v>788</v>
      </c>
      <c r="AE82" t="s">
        <v>459</v>
      </c>
      <c r="AF82">
        <v>36</v>
      </c>
      <c r="AG82">
        <v>45</v>
      </c>
      <c r="AH82">
        <v>82.46</v>
      </c>
      <c r="AJ82" s="86" t="str">
        <f t="shared" si="21"/>
        <v>59280Lancamentos</v>
      </c>
      <c r="AK82">
        <v>59280</v>
      </c>
      <c r="AL82" t="s">
        <v>386</v>
      </c>
      <c r="AM82" t="s">
        <v>500</v>
      </c>
      <c r="AN82" t="s">
        <v>103</v>
      </c>
      <c r="AO82" t="s">
        <v>984</v>
      </c>
      <c r="AP82" t="s">
        <v>985</v>
      </c>
      <c r="AQ82" t="s">
        <v>953</v>
      </c>
      <c r="AR82">
        <v>0</v>
      </c>
      <c r="AS82">
        <v>18</v>
      </c>
      <c r="AT82">
        <v>62.58</v>
      </c>
      <c r="AV82" s="86" t="str">
        <f t="shared" si="22"/>
        <v>64883Lancamentos</v>
      </c>
      <c r="AW82">
        <v>64883</v>
      </c>
      <c r="AX82" t="s">
        <v>334</v>
      </c>
      <c r="AY82" t="s">
        <v>460</v>
      </c>
      <c r="AZ82" t="s">
        <v>103</v>
      </c>
      <c r="BA82" t="s">
        <v>1063</v>
      </c>
      <c r="BB82" t="s">
        <v>1064</v>
      </c>
      <c r="BC82" t="s">
        <v>953</v>
      </c>
      <c r="BD82">
        <v>0</v>
      </c>
      <c r="BE82">
        <v>18</v>
      </c>
      <c r="BF82">
        <v>59.14</v>
      </c>
      <c r="BH82" s="86" t="str">
        <f t="shared" si="23"/>
        <v>57802Lancamentos</v>
      </c>
      <c r="BI82">
        <v>57802</v>
      </c>
      <c r="BJ82" t="s">
        <v>376</v>
      </c>
      <c r="BK82" t="s">
        <v>1004</v>
      </c>
      <c r="BL82" t="s">
        <v>103</v>
      </c>
      <c r="BM82" t="s">
        <v>1183</v>
      </c>
      <c r="BN82" t="s">
        <v>1184</v>
      </c>
      <c r="BO82" t="s">
        <v>953</v>
      </c>
      <c r="BP82">
        <v>18</v>
      </c>
      <c r="BQ82">
        <v>18</v>
      </c>
      <c r="BR82">
        <v>83.56</v>
      </c>
      <c r="BT82" s="86" t="str">
        <f t="shared" si="12"/>
        <v>54734Mix + Intocáveis SC Johnson</v>
      </c>
      <c r="BU82">
        <v>54734</v>
      </c>
      <c r="BV82" t="s">
        <v>333</v>
      </c>
      <c r="BW82" t="s">
        <v>477</v>
      </c>
      <c r="BX82" t="s">
        <v>103</v>
      </c>
      <c r="BY82" t="s">
        <v>1300</v>
      </c>
      <c r="BZ82" t="s">
        <v>1301</v>
      </c>
      <c r="CA82" t="s">
        <v>459</v>
      </c>
      <c r="CB82">
        <v>25.6</v>
      </c>
      <c r="CC82">
        <v>40</v>
      </c>
      <c r="CD82">
        <v>62.6</v>
      </c>
      <c r="CF82" s="86" t="str">
        <f t="shared" si="13"/>
        <v>54734Mix + Intocáveis SC Johnson</v>
      </c>
      <c r="CG82">
        <v>54734</v>
      </c>
      <c r="CH82" t="s">
        <v>333</v>
      </c>
      <c r="CI82" t="s">
        <v>477</v>
      </c>
      <c r="CJ82" t="s">
        <v>103</v>
      </c>
      <c r="CK82" t="s">
        <v>1438</v>
      </c>
      <c r="CL82" t="s">
        <v>1439</v>
      </c>
      <c r="CM82" t="s">
        <v>459</v>
      </c>
      <c r="CN82">
        <v>33.6</v>
      </c>
      <c r="CO82">
        <v>40</v>
      </c>
      <c r="CP82">
        <v>98.6</v>
      </c>
      <c r="CR82" s="86" t="str">
        <f t="shared" si="14"/>
        <v>56110Mix + Intocáveis SC Johnson</v>
      </c>
      <c r="CS82">
        <v>56110</v>
      </c>
      <c r="CT82" t="s">
        <v>385</v>
      </c>
      <c r="CU82" t="s">
        <v>482</v>
      </c>
      <c r="CV82" t="s">
        <v>103</v>
      </c>
      <c r="CW82" t="s">
        <v>1582</v>
      </c>
      <c r="CX82" t="s">
        <v>1583</v>
      </c>
      <c r="CY82" t="s">
        <v>459</v>
      </c>
      <c r="CZ82">
        <v>30.4</v>
      </c>
      <c r="DA82">
        <v>40</v>
      </c>
      <c r="DB82">
        <v>86.4</v>
      </c>
      <c r="DD82" s="86" t="str">
        <f t="shared" si="15"/>
        <v>57802Execucao Bonus</v>
      </c>
      <c r="DE82">
        <v>57802</v>
      </c>
      <c r="DF82" t="s">
        <v>376</v>
      </c>
      <c r="DG82" t="s">
        <v>1004</v>
      </c>
      <c r="DH82" t="s">
        <v>103</v>
      </c>
      <c r="DI82" t="s">
        <v>1686</v>
      </c>
      <c r="DJ82" t="s">
        <v>1687</v>
      </c>
      <c r="DK82" t="s">
        <v>1291</v>
      </c>
      <c r="DL82">
        <v>0</v>
      </c>
      <c r="DM82">
        <v>5</v>
      </c>
      <c r="DN82">
        <v>70</v>
      </c>
      <c r="DP82" s="86" t="str">
        <f t="shared" si="16"/>
        <v>54675Execucao Bonus</v>
      </c>
      <c r="DQ82">
        <v>54675</v>
      </c>
      <c r="DR82" t="s">
        <v>375</v>
      </c>
      <c r="DS82" t="s">
        <v>482</v>
      </c>
      <c r="DT82" t="s">
        <v>103</v>
      </c>
      <c r="DU82" t="s">
        <v>1802</v>
      </c>
      <c r="DV82" t="s">
        <v>1803</v>
      </c>
      <c r="DW82" t="s">
        <v>1291</v>
      </c>
      <c r="DX82">
        <v>5</v>
      </c>
      <c r="DY82">
        <v>5</v>
      </c>
      <c r="DZ82">
        <v>86.42</v>
      </c>
      <c r="EB82" s="86" t="str">
        <f t="shared" si="17"/>
        <v>119456Execucao Bonus</v>
      </c>
      <c r="EC82">
        <v>119456</v>
      </c>
      <c r="ED82" t="s">
        <v>389</v>
      </c>
      <c r="EE82" t="s">
        <v>482</v>
      </c>
      <c r="EF82" t="s">
        <v>103</v>
      </c>
      <c r="EG82" t="s">
        <v>1892</v>
      </c>
      <c r="EH82" t="s">
        <v>1893</v>
      </c>
      <c r="EI82" t="s">
        <v>1291</v>
      </c>
      <c r="EJ82">
        <v>5</v>
      </c>
      <c r="EK82">
        <v>5</v>
      </c>
      <c r="EL82">
        <v>88.8</v>
      </c>
    </row>
    <row r="83" spans="1:142" x14ac:dyDescent="0.35">
      <c r="A83" s="86" t="str">
        <f t="shared" si="18"/>
        <v>64883Mix + Intocáveis SC Johnson</v>
      </c>
      <c r="B83">
        <v>64883</v>
      </c>
      <c r="C83" t="s">
        <v>334</v>
      </c>
      <c r="D83" t="s">
        <v>103</v>
      </c>
      <c r="E83" t="s">
        <v>503</v>
      </c>
      <c r="F83" t="s">
        <v>504</v>
      </c>
      <c r="G83" t="s">
        <v>459</v>
      </c>
      <c r="H83">
        <v>76.53</v>
      </c>
      <c r="I83">
        <v>32.625</v>
      </c>
      <c r="J83">
        <v>45</v>
      </c>
      <c r="L83" s="86" t="str">
        <f t="shared" si="19"/>
        <v>64883Share Sub Category SC Johnson</v>
      </c>
      <c r="M83">
        <v>64883</v>
      </c>
      <c r="N83" t="s">
        <v>334</v>
      </c>
      <c r="O83" t="s">
        <v>104</v>
      </c>
      <c r="P83" t="s">
        <v>103</v>
      </c>
      <c r="Q83" t="s">
        <v>656</v>
      </c>
      <c r="R83" t="s">
        <v>657</v>
      </c>
      <c r="S83" t="s">
        <v>457</v>
      </c>
      <c r="T83">
        <v>25.71</v>
      </c>
      <c r="U83">
        <v>30</v>
      </c>
      <c r="V83">
        <v>77.09</v>
      </c>
      <c r="X83" s="86" t="str">
        <f t="shared" si="20"/>
        <v>65621Share Sub Category SC Johnson</v>
      </c>
      <c r="Y83">
        <v>65621</v>
      </c>
      <c r="Z83" t="s">
        <v>362</v>
      </c>
      <c r="AA83" t="s">
        <v>454</v>
      </c>
      <c r="AB83" t="s">
        <v>103</v>
      </c>
      <c r="AC83" t="s">
        <v>827</v>
      </c>
      <c r="AD83" t="s">
        <v>828</v>
      </c>
      <c r="AE83" t="s">
        <v>457</v>
      </c>
      <c r="AF83">
        <v>21.42</v>
      </c>
      <c r="AG83">
        <v>30</v>
      </c>
      <c r="AH83">
        <v>65.8</v>
      </c>
      <c r="AJ83" s="86" t="str">
        <f t="shared" si="21"/>
        <v>73922Share Sub Category SC Johnson</v>
      </c>
      <c r="AK83">
        <v>73922</v>
      </c>
      <c r="AL83" t="s">
        <v>358</v>
      </c>
      <c r="AM83" t="s">
        <v>482</v>
      </c>
      <c r="AN83" t="s">
        <v>103</v>
      </c>
      <c r="AO83" t="s">
        <v>986</v>
      </c>
      <c r="AP83" t="s">
        <v>987</v>
      </c>
      <c r="AQ83" t="s">
        <v>457</v>
      </c>
      <c r="AR83">
        <v>25</v>
      </c>
      <c r="AS83">
        <v>25</v>
      </c>
      <c r="AT83">
        <v>67.819999999999993</v>
      </c>
      <c r="AV83" s="86" t="str">
        <f t="shared" si="22"/>
        <v>73922Share Sub Category SC Johnson</v>
      </c>
      <c r="AW83">
        <v>73922</v>
      </c>
      <c r="AX83" t="s">
        <v>358</v>
      </c>
      <c r="AY83" t="s">
        <v>482</v>
      </c>
      <c r="AZ83" t="s">
        <v>103</v>
      </c>
      <c r="BA83" t="s">
        <v>1065</v>
      </c>
      <c r="BB83" t="s">
        <v>1066</v>
      </c>
      <c r="BC83" t="s">
        <v>457</v>
      </c>
      <c r="BD83">
        <v>25</v>
      </c>
      <c r="BE83">
        <v>25</v>
      </c>
      <c r="BF83">
        <v>66.98</v>
      </c>
      <c r="BH83" s="86" t="str">
        <f t="shared" si="23"/>
        <v>59280Share Sub Category SC Johnson</v>
      </c>
      <c r="BI83">
        <v>59280</v>
      </c>
      <c r="BJ83" t="s">
        <v>386</v>
      </c>
      <c r="BK83" t="s">
        <v>500</v>
      </c>
      <c r="BL83" t="s">
        <v>103</v>
      </c>
      <c r="BM83" t="s">
        <v>1185</v>
      </c>
      <c r="BN83" t="s">
        <v>1186</v>
      </c>
      <c r="BO83" t="s">
        <v>457</v>
      </c>
      <c r="BP83">
        <v>25</v>
      </c>
      <c r="BQ83">
        <v>25</v>
      </c>
      <c r="BR83">
        <v>75.040000000000006</v>
      </c>
      <c r="BT83" s="86" t="str">
        <f t="shared" si="12"/>
        <v>54734Share Sub Category SC Johnson</v>
      </c>
      <c r="BU83">
        <v>54734</v>
      </c>
      <c r="BV83" t="s">
        <v>333</v>
      </c>
      <c r="BW83" t="s">
        <v>477</v>
      </c>
      <c r="BX83" t="s">
        <v>103</v>
      </c>
      <c r="BY83" t="s">
        <v>1300</v>
      </c>
      <c r="BZ83" t="s">
        <v>1301</v>
      </c>
      <c r="CA83" t="s">
        <v>457</v>
      </c>
      <c r="CB83">
        <v>25</v>
      </c>
      <c r="CC83">
        <v>25</v>
      </c>
      <c r="CD83">
        <v>62.6</v>
      </c>
      <c r="CF83" s="86" t="str">
        <f t="shared" si="13"/>
        <v>54734Share Sub Category SC Johnson</v>
      </c>
      <c r="CG83">
        <v>54734</v>
      </c>
      <c r="CH83" t="s">
        <v>333</v>
      </c>
      <c r="CI83" t="s">
        <v>477</v>
      </c>
      <c r="CJ83" t="s">
        <v>103</v>
      </c>
      <c r="CK83" t="s">
        <v>1438</v>
      </c>
      <c r="CL83" t="s">
        <v>1439</v>
      </c>
      <c r="CM83" t="s">
        <v>457</v>
      </c>
      <c r="CN83">
        <v>25</v>
      </c>
      <c r="CO83">
        <v>25</v>
      </c>
      <c r="CP83">
        <v>98.6</v>
      </c>
      <c r="CR83" s="86" t="str">
        <f t="shared" si="14"/>
        <v>56110Share Sub Category SC Johnson</v>
      </c>
      <c r="CS83">
        <v>56110</v>
      </c>
      <c r="CT83" t="s">
        <v>385</v>
      </c>
      <c r="CU83" t="s">
        <v>482</v>
      </c>
      <c r="CV83" t="s">
        <v>103</v>
      </c>
      <c r="CW83" t="s">
        <v>1582</v>
      </c>
      <c r="CX83" t="s">
        <v>1583</v>
      </c>
      <c r="CY83" t="s">
        <v>457</v>
      </c>
      <c r="CZ83">
        <v>25</v>
      </c>
      <c r="DA83">
        <v>25</v>
      </c>
      <c r="DB83">
        <v>86.4</v>
      </c>
      <c r="DD83" s="86" t="str">
        <f t="shared" si="15"/>
        <v>57802Cross Merchan SC Johnson</v>
      </c>
      <c r="DE83">
        <v>57802</v>
      </c>
      <c r="DF83" t="s">
        <v>376</v>
      </c>
      <c r="DG83" t="s">
        <v>1004</v>
      </c>
      <c r="DH83" t="s">
        <v>103</v>
      </c>
      <c r="DI83" t="s">
        <v>1686</v>
      </c>
      <c r="DJ83" t="s">
        <v>1687</v>
      </c>
      <c r="DK83" t="s">
        <v>111</v>
      </c>
      <c r="DL83">
        <v>5</v>
      </c>
      <c r="DM83">
        <v>5</v>
      </c>
      <c r="DN83">
        <v>70</v>
      </c>
      <c r="DP83" s="86" t="str">
        <f t="shared" si="16"/>
        <v>54675Cross Merchan SC Johnson</v>
      </c>
      <c r="DQ83">
        <v>54675</v>
      </c>
      <c r="DR83" t="s">
        <v>375</v>
      </c>
      <c r="DS83" t="s">
        <v>482</v>
      </c>
      <c r="DT83" t="s">
        <v>103</v>
      </c>
      <c r="DU83" t="s">
        <v>1802</v>
      </c>
      <c r="DV83" t="s">
        <v>1803</v>
      </c>
      <c r="DW83" t="s">
        <v>111</v>
      </c>
      <c r="DX83">
        <v>5</v>
      </c>
      <c r="DY83">
        <v>5</v>
      </c>
      <c r="DZ83">
        <v>86.42</v>
      </c>
      <c r="EB83" s="86" t="str">
        <f t="shared" si="17"/>
        <v>119456Cross Merchan SC Johnson</v>
      </c>
      <c r="EC83">
        <v>119456</v>
      </c>
      <c r="ED83" t="s">
        <v>389</v>
      </c>
      <c r="EE83" t="s">
        <v>482</v>
      </c>
      <c r="EF83" t="s">
        <v>103</v>
      </c>
      <c r="EG83" t="s">
        <v>1892</v>
      </c>
      <c r="EH83" t="s">
        <v>1893</v>
      </c>
      <c r="EI83" t="s">
        <v>111</v>
      </c>
      <c r="EJ83">
        <v>5</v>
      </c>
      <c r="EK83">
        <v>5</v>
      </c>
      <c r="EL83">
        <v>88.8</v>
      </c>
    </row>
    <row r="84" spans="1:142" x14ac:dyDescent="0.35">
      <c r="A84" s="86" t="str">
        <f t="shared" si="18"/>
        <v>65621Share Sub Category SC Johnson</v>
      </c>
      <c r="B84">
        <v>65621</v>
      </c>
      <c r="C84" t="s">
        <v>362</v>
      </c>
      <c r="D84" t="s">
        <v>103</v>
      </c>
      <c r="E84" t="s">
        <v>505</v>
      </c>
      <c r="F84" t="s">
        <v>506</v>
      </c>
      <c r="G84" t="s">
        <v>457</v>
      </c>
      <c r="H84">
        <v>41.72</v>
      </c>
      <c r="I84">
        <v>21.42</v>
      </c>
      <c r="J84">
        <v>30</v>
      </c>
      <c r="L84" s="86" t="str">
        <f t="shared" si="19"/>
        <v>64883Cross Merchan SC Johnson</v>
      </c>
      <c r="M84">
        <v>64883</v>
      </c>
      <c r="N84" t="s">
        <v>334</v>
      </c>
      <c r="O84" t="s">
        <v>104</v>
      </c>
      <c r="P84" t="s">
        <v>103</v>
      </c>
      <c r="Q84" t="s">
        <v>656</v>
      </c>
      <c r="R84" t="s">
        <v>657</v>
      </c>
      <c r="S84" t="s">
        <v>111</v>
      </c>
      <c r="T84">
        <v>8</v>
      </c>
      <c r="U84">
        <v>8</v>
      </c>
      <c r="V84">
        <v>77.09</v>
      </c>
      <c r="X84" s="86" t="str">
        <f t="shared" si="20"/>
        <v>65621Cross Merchan SC Johnson</v>
      </c>
      <c r="Y84">
        <v>65621</v>
      </c>
      <c r="Z84" t="s">
        <v>362</v>
      </c>
      <c r="AA84" t="s">
        <v>454</v>
      </c>
      <c r="AB84" t="s">
        <v>103</v>
      </c>
      <c r="AC84" t="s">
        <v>827</v>
      </c>
      <c r="AD84" t="s">
        <v>828</v>
      </c>
      <c r="AE84" t="s">
        <v>111</v>
      </c>
      <c r="AF84">
        <v>8</v>
      </c>
      <c r="AG84">
        <v>8</v>
      </c>
      <c r="AH84">
        <v>65.8</v>
      </c>
      <c r="AJ84" s="86" t="str">
        <f t="shared" si="21"/>
        <v>73922Cross Merchan SC Johnson</v>
      </c>
      <c r="AK84">
        <v>73922</v>
      </c>
      <c r="AL84" t="s">
        <v>358</v>
      </c>
      <c r="AM84" t="s">
        <v>482</v>
      </c>
      <c r="AN84" t="s">
        <v>103</v>
      </c>
      <c r="AO84" t="s">
        <v>986</v>
      </c>
      <c r="AP84" t="s">
        <v>987</v>
      </c>
      <c r="AQ84" t="s">
        <v>111</v>
      </c>
      <c r="AR84">
        <v>2.5</v>
      </c>
      <c r="AS84">
        <v>5</v>
      </c>
      <c r="AT84">
        <v>67.819999999999993</v>
      </c>
      <c r="AV84" s="86" t="str">
        <f t="shared" si="22"/>
        <v>73922Cross Merchan SC Johnson</v>
      </c>
      <c r="AW84">
        <v>73922</v>
      </c>
      <c r="AX84" t="s">
        <v>358</v>
      </c>
      <c r="AY84" t="s">
        <v>482</v>
      </c>
      <c r="AZ84" t="s">
        <v>103</v>
      </c>
      <c r="BA84" t="s">
        <v>1065</v>
      </c>
      <c r="BB84" t="s">
        <v>1066</v>
      </c>
      <c r="BC84" t="s">
        <v>111</v>
      </c>
      <c r="BD84">
        <v>1.665</v>
      </c>
      <c r="BE84">
        <v>5</v>
      </c>
      <c r="BF84">
        <v>66.98</v>
      </c>
      <c r="BH84" s="86" t="str">
        <f t="shared" si="23"/>
        <v>59280Cross Merchan SC Johnson</v>
      </c>
      <c r="BI84">
        <v>59280</v>
      </c>
      <c r="BJ84" t="s">
        <v>386</v>
      </c>
      <c r="BK84" t="s">
        <v>500</v>
      </c>
      <c r="BL84" t="s">
        <v>103</v>
      </c>
      <c r="BM84" t="s">
        <v>1185</v>
      </c>
      <c r="BN84" t="s">
        <v>1186</v>
      </c>
      <c r="BO84" t="s">
        <v>111</v>
      </c>
      <c r="BP84">
        <v>5</v>
      </c>
      <c r="BQ84">
        <v>5</v>
      </c>
      <c r="BR84">
        <v>75.040000000000006</v>
      </c>
      <c r="BT84" s="86" t="str">
        <f t="shared" si="12"/>
        <v>54734Share Sub Loc Pao Quente SC Johnson</v>
      </c>
      <c r="BU84">
        <v>54734</v>
      </c>
      <c r="BV84" t="s">
        <v>333</v>
      </c>
      <c r="BW84" t="s">
        <v>477</v>
      </c>
      <c r="BX84" t="s">
        <v>103</v>
      </c>
      <c r="BY84" t="s">
        <v>1300</v>
      </c>
      <c r="BZ84" t="s">
        <v>1301</v>
      </c>
      <c r="CA84" t="s">
        <v>458</v>
      </c>
      <c r="CB84">
        <v>3</v>
      </c>
      <c r="CC84">
        <v>12</v>
      </c>
      <c r="CD84">
        <v>62.6</v>
      </c>
      <c r="CF84" s="86" t="str">
        <f t="shared" si="13"/>
        <v>54734Share Sub Loc Pao Quente SC Johnson</v>
      </c>
      <c r="CG84">
        <v>54734</v>
      </c>
      <c r="CH84" t="s">
        <v>333</v>
      </c>
      <c r="CI84" t="s">
        <v>477</v>
      </c>
      <c r="CJ84" t="s">
        <v>103</v>
      </c>
      <c r="CK84" t="s">
        <v>1438</v>
      </c>
      <c r="CL84" t="s">
        <v>1439</v>
      </c>
      <c r="CM84" t="s">
        <v>458</v>
      </c>
      <c r="CN84">
        <v>12</v>
      </c>
      <c r="CO84">
        <v>12</v>
      </c>
      <c r="CP84">
        <v>98.6</v>
      </c>
      <c r="CR84" s="86" t="str">
        <f t="shared" si="14"/>
        <v>56110Share Sub Loc Pao Quente SC Johnson</v>
      </c>
      <c r="CS84">
        <v>56110</v>
      </c>
      <c r="CT84" t="s">
        <v>385</v>
      </c>
      <c r="CU84" t="s">
        <v>482</v>
      </c>
      <c r="CV84" t="s">
        <v>103</v>
      </c>
      <c r="CW84" t="s">
        <v>1582</v>
      </c>
      <c r="CX84" t="s">
        <v>1583</v>
      </c>
      <c r="CY84" t="s">
        <v>458</v>
      </c>
      <c r="CZ84">
        <v>12</v>
      </c>
      <c r="DA84">
        <v>12</v>
      </c>
      <c r="DB84">
        <v>86.4</v>
      </c>
      <c r="DD84" s="86" t="str">
        <f t="shared" si="15"/>
        <v>57802Lancamentos</v>
      </c>
      <c r="DE84">
        <v>57802</v>
      </c>
      <c r="DF84" t="s">
        <v>376</v>
      </c>
      <c r="DG84" t="s">
        <v>1004</v>
      </c>
      <c r="DH84" t="s">
        <v>103</v>
      </c>
      <c r="DI84" t="s">
        <v>1686</v>
      </c>
      <c r="DJ84" t="s">
        <v>1687</v>
      </c>
      <c r="DK84" t="s">
        <v>953</v>
      </c>
      <c r="DL84">
        <v>9</v>
      </c>
      <c r="DM84">
        <v>18</v>
      </c>
      <c r="DN84">
        <v>70</v>
      </c>
      <c r="DP84" s="86" t="str">
        <f t="shared" si="16"/>
        <v>54675Lancamentos</v>
      </c>
      <c r="DQ84">
        <v>54675</v>
      </c>
      <c r="DR84" t="s">
        <v>375</v>
      </c>
      <c r="DS84" t="s">
        <v>482</v>
      </c>
      <c r="DT84" t="s">
        <v>103</v>
      </c>
      <c r="DU84" t="s">
        <v>1802</v>
      </c>
      <c r="DV84" t="s">
        <v>1803</v>
      </c>
      <c r="DW84" t="s">
        <v>953</v>
      </c>
      <c r="DX84">
        <v>18</v>
      </c>
      <c r="DY84">
        <v>18</v>
      </c>
      <c r="DZ84">
        <v>86.42</v>
      </c>
      <c r="EB84" s="86" t="str">
        <f t="shared" si="17"/>
        <v>119456Lancamentos</v>
      </c>
      <c r="EC84">
        <v>119456</v>
      </c>
      <c r="ED84" t="s">
        <v>389</v>
      </c>
      <c r="EE84" t="s">
        <v>482</v>
      </c>
      <c r="EF84" t="s">
        <v>103</v>
      </c>
      <c r="EG84" t="s">
        <v>1892</v>
      </c>
      <c r="EH84" t="s">
        <v>1893</v>
      </c>
      <c r="EI84" t="s">
        <v>953</v>
      </c>
      <c r="EJ84">
        <v>9</v>
      </c>
      <c r="EK84">
        <v>18</v>
      </c>
      <c r="EL84">
        <v>88.8</v>
      </c>
    </row>
    <row r="85" spans="1:142" x14ac:dyDescent="0.35">
      <c r="A85" s="86" t="str">
        <f t="shared" si="18"/>
        <v>65621Cross Merchan SC Johnson</v>
      </c>
      <c r="B85">
        <v>65621</v>
      </c>
      <c r="C85" t="s">
        <v>362</v>
      </c>
      <c r="D85" t="s">
        <v>103</v>
      </c>
      <c r="E85" t="s">
        <v>505</v>
      </c>
      <c r="F85" t="s">
        <v>506</v>
      </c>
      <c r="G85" t="s">
        <v>111</v>
      </c>
      <c r="H85">
        <v>41.72</v>
      </c>
      <c r="I85">
        <v>0</v>
      </c>
      <c r="J85">
        <v>8</v>
      </c>
      <c r="L85" s="86" t="str">
        <f t="shared" si="19"/>
        <v>64883Share Sub Loc Pao Quente SC Johnson</v>
      </c>
      <c r="M85">
        <v>64883</v>
      </c>
      <c r="N85" t="s">
        <v>334</v>
      </c>
      <c r="O85" t="s">
        <v>104</v>
      </c>
      <c r="P85" t="s">
        <v>103</v>
      </c>
      <c r="Q85" t="s">
        <v>656</v>
      </c>
      <c r="R85" t="s">
        <v>657</v>
      </c>
      <c r="S85" t="s">
        <v>458</v>
      </c>
      <c r="T85">
        <v>8.5</v>
      </c>
      <c r="U85">
        <v>17</v>
      </c>
      <c r="V85">
        <v>77.09</v>
      </c>
      <c r="X85" s="86" t="str">
        <f t="shared" si="20"/>
        <v>65621Share Sub Loc Pao Quente SC Johnson</v>
      </c>
      <c r="Y85">
        <v>65621</v>
      </c>
      <c r="Z85" t="s">
        <v>362</v>
      </c>
      <c r="AA85" t="s">
        <v>454</v>
      </c>
      <c r="AB85" t="s">
        <v>103</v>
      </c>
      <c r="AC85" t="s">
        <v>827</v>
      </c>
      <c r="AD85" t="s">
        <v>828</v>
      </c>
      <c r="AE85" t="s">
        <v>458</v>
      </c>
      <c r="AF85">
        <v>12.75</v>
      </c>
      <c r="AG85">
        <v>17</v>
      </c>
      <c r="AH85">
        <v>65.8</v>
      </c>
      <c r="AJ85" s="86" t="str">
        <f t="shared" si="21"/>
        <v>73922Share Sub Loc Pao Quente SC Johnson</v>
      </c>
      <c r="AK85">
        <v>73922</v>
      </c>
      <c r="AL85" t="s">
        <v>358</v>
      </c>
      <c r="AM85" t="s">
        <v>482</v>
      </c>
      <c r="AN85" t="s">
        <v>103</v>
      </c>
      <c r="AO85" t="s">
        <v>986</v>
      </c>
      <c r="AP85" t="s">
        <v>987</v>
      </c>
      <c r="AQ85" t="s">
        <v>458</v>
      </c>
      <c r="AR85">
        <v>9</v>
      </c>
      <c r="AS85">
        <v>12</v>
      </c>
      <c r="AT85">
        <v>67.819999999999993</v>
      </c>
      <c r="AV85" s="86" t="str">
        <f t="shared" si="22"/>
        <v>73922Share Sub Loc Pao Quente SC Johnson</v>
      </c>
      <c r="AW85">
        <v>73922</v>
      </c>
      <c r="AX85" t="s">
        <v>358</v>
      </c>
      <c r="AY85" t="s">
        <v>482</v>
      </c>
      <c r="AZ85" t="s">
        <v>103</v>
      </c>
      <c r="BA85" t="s">
        <v>1065</v>
      </c>
      <c r="BB85" t="s">
        <v>1066</v>
      </c>
      <c r="BC85" t="s">
        <v>458</v>
      </c>
      <c r="BD85">
        <v>9</v>
      </c>
      <c r="BE85">
        <v>12</v>
      </c>
      <c r="BF85">
        <v>66.98</v>
      </c>
      <c r="BH85" s="86" t="str">
        <f t="shared" si="23"/>
        <v>59280Share Sub Loc Pao Quente SC Johnson</v>
      </c>
      <c r="BI85">
        <v>59280</v>
      </c>
      <c r="BJ85" t="s">
        <v>386</v>
      </c>
      <c r="BK85" t="s">
        <v>500</v>
      </c>
      <c r="BL85" t="s">
        <v>103</v>
      </c>
      <c r="BM85" t="s">
        <v>1185</v>
      </c>
      <c r="BN85" t="s">
        <v>1186</v>
      </c>
      <c r="BO85" t="s">
        <v>458</v>
      </c>
      <c r="BP85">
        <v>12</v>
      </c>
      <c r="BQ85">
        <v>12</v>
      </c>
      <c r="BR85">
        <v>75.040000000000006</v>
      </c>
      <c r="BT85" s="86" t="str">
        <f t="shared" si="12"/>
        <v>54734Cross Merchan SC Johnson</v>
      </c>
      <c r="BU85">
        <v>54734</v>
      </c>
      <c r="BV85" t="s">
        <v>333</v>
      </c>
      <c r="BW85" t="s">
        <v>477</v>
      </c>
      <c r="BX85" t="s">
        <v>103</v>
      </c>
      <c r="BY85" t="s">
        <v>1300</v>
      </c>
      <c r="BZ85" t="s">
        <v>1301</v>
      </c>
      <c r="CA85" t="s">
        <v>111</v>
      </c>
      <c r="CB85">
        <v>0</v>
      </c>
      <c r="CC85">
        <v>5</v>
      </c>
      <c r="CD85">
        <v>62.6</v>
      </c>
      <c r="CF85" s="86" t="str">
        <f t="shared" si="13"/>
        <v>54734Cross Merchan SC Johnson</v>
      </c>
      <c r="CG85">
        <v>54734</v>
      </c>
      <c r="CH85" t="s">
        <v>333</v>
      </c>
      <c r="CI85" t="s">
        <v>477</v>
      </c>
      <c r="CJ85" t="s">
        <v>103</v>
      </c>
      <c r="CK85" t="s">
        <v>1438</v>
      </c>
      <c r="CL85" t="s">
        <v>1439</v>
      </c>
      <c r="CM85" t="s">
        <v>111</v>
      </c>
      <c r="CN85">
        <v>5</v>
      </c>
      <c r="CO85">
        <v>5</v>
      </c>
      <c r="CP85">
        <v>98.6</v>
      </c>
      <c r="CR85" s="86" t="str">
        <f t="shared" si="14"/>
        <v>56110Cross Merchan SC Johnson</v>
      </c>
      <c r="CS85">
        <v>56110</v>
      </c>
      <c r="CT85" t="s">
        <v>385</v>
      </c>
      <c r="CU85" t="s">
        <v>482</v>
      </c>
      <c r="CV85" t="s">
        <v>103</v>
      </c>
      <c r="CW85" t="s">
        <v>1582</v>
      </c>
      <c r="CX85" t="s">
        <v>1583</v>
      </c>
      <c r="CY85" t="s">
        <v>111</v>
      </c>
      <c r="CZ85">
        <v>5</v>
      </c>
      <c r="DA85">
        <v>5</v>
      </c>
      <c r="DB85">
        <v>86.4</v>
      </c>
      <c r="DD85" s="86" t="str">
        <f t="shared" si="15"/>
        <v>57802Share Sub Category SC Johnson</v>
      </c>
      <c r="DE85">
        <v>57802</v>
      </c>
      <c r="DF85" t="s">
        <v>376</v>
      </c>
      <c r="DG85" t="s">
        <v>1004</v>
      </c>
      <c r="DH85" t="s">
        <v>103</v>
      </c>
      <c r="DI85" t="s">
        <v>1686</v>
      </c>
      <c r="DJ85" t="s">
        <v>1687</v>
      </c>
      <c r="DK85" t="s">
        <v>457</v>
      </c>
      <c r="DL85">
        <v>25</v>
      </c>
      <c r="DM85">
        <v>25</v>
      </c>
      <c r="DN85">
        <v>70</v>
      </c>
      <c r="DP85" s="86" t="str">
        <f t="shared" si="16"/>
        <v>54675Share Sub Category SC Johnson</v>
      </c>
      <c r="DQ85">
        <v>54675</v>
      </c>
      <c r="DR85" t="s">
        <v>375</v>
      </c>
      <c r="DS85" t="s">
        <v>482</v>
      </c>
      <c r="DT85" t="s">
        <v>103</v>
      </c>
      <c r="DU85" t="s">
        <v>1802</v>
      </c>
      <c r="DV85" t="s">
        <v>1803</v>
      </c>
      <c r="DW85" t="s">
        <v>457</v>
      </c>
      <c r="DX85">
        <v>21.425000000000001</v>
      </c>
      <c r="DY85">
        <v>25</v>
      </c>
      <c r="DZ85">
        <v>86.42</v>
      </c>
      <c r="EB85" s="86" t="str">
        <f t="shared" si="17"/>
        <v>119456Share Sub Category SC Johnson</v>
      </c>
      <c r="EC85">
        <v>119456</v>
      </c>
      <c r="ED85" t="s">
        <v>389</v>
      </c>
      <c r="EE85" t="s">
        <v>482</v>
      </c>
      <c r="EF85" t="s">
        <v>103</v>
      </c>
      <c r="EG85" t="s">
        <v>1892</v>
      </c>
      <c r="EH85" t="s">
        <v>1893</v>
      </c>
      <c r="EI85" t="s">
        <v>457</v>
      </c>
      <c r="EJ85">
        <v>25</v>
      </c>
      <c r="EK85">
        <v>25</v>
      </c>
      <c r="EL85">
        <v>88.8</v>
      </c>
    </row>
    <row r="86" spans="1:142" x14ac:dyDescent="0.35">
      <c r="A86" s="86" t="str">
        <f t="shared" si="18"/>
        <v>65621Share Sub Loc Pao Quente SC Johnson</v>
      </c>
      <c r="B86">
        <v>65621</v>
      </c>
      <c r="C86" t="s">
        <v>362</v>
      </c>
      <c r="D86" t="s">
        <v>103</v>
      </c>
      <c r="E86" t="s">
        <v>505</v>
      </c>
      <c r="F86" t="s">
        <v>506</v>
      </c>
      <c r="G86" t="s">
        <v>458</v>
      </c>
      <c r="H86">
        <v>41.72</v>
      </c>
      <c r="I86">
        <v>6.8</v>
      </c>
      <c r="J86">
        <v>17</v>
      </c>
      <c r="L86" s="86" t="str">
        <f t="shared" si="19"/>
        <v>64883Mix + Intocáveis SC Johnson</v>
      </c>
      <c r="M86">
        <v>64883</v>
      </c>
      <c r="N86" t="s">
        <v>334</v>
      </c>
      <c r="O86" t="s">
        <v>104</v>
      </c>
      <c r="P86" t="s">
        <v>103</v>
      </c>
      <c r="Q86" t="s">
        <v>656</v>
      </c>
      <c r="R86" t="s">
        <v>657</v>
      </c>
      <c r="S86" t="s">
        <v>459</v>
      </c>
      <c r="T86">
        <v>34.875</v>
      </c>
      <c r="U86">
        <v>45</v>
      </c>
      <c r="V86">
        <v>77.09</v>
      </c>
      <c r="X86" s="86" t="str">
        <f t="shared" si="20"/>
        <v>65621Mix + Intocáveis SC Johnson</v>
      </c>
      <c r="Y86">
        <v>65621</v>
      </c>
      <c r="Z86" t="s">
        <v>362</v>
      </c>
      <c r="AA86" t="s">
        <v>454</v>
      </c>
      <c r="AB86" t="s">
        <v>103</v>
      </c>
      <c r="AC86" t="s">
        <v>827</v>
      </c>
      <c r="AD86" t="s">
        <v>828</v>
      </c>
      <c r="AE86" t="s">
        <v>459</v>
      </c>
      <c r="AF86">
        <v>23.625</v>
      </c>
      <c r="AG86">
        <v>45</v>
      </c>
      <c r="AH86">
        <v>65.8</v>
      </c>
      <c r="AJ86" s="86" t="str">
        <f t="shared" si="21"/>
        <v>73922Mix + Intocáveis SC Johnson</v>
      </c>
      <c r="AK86">
        <v>73922</v>
      </c>
      <c r="AL86" t="s">
        <v>358</v>
      </c>
      <c r="AM86" t="s">
        <v>482</v>
      </c>
      <c r="AN86" t="s">
        <v>103</v>
      </c>
      <c r="AO86" t="s">
        <v>986</v>
      </c>
      <c r="AP86" t="s">
        <v>987</v>
      </c>
      <c r="AQ86" t="s">
        <v>459</v>
      </c>
      <c r="AR86">
        <v>31.32</v>
      </c>
      <c r="AS86">
        <v>40</v>
      </c>
      <c r="AT86">
        <v>67.819999999999993</v>
      </c>
      <c r="AV86" s="86" t="str">
        <f t="shared" si="22"/>
        <v>73922Mix + Intocáveis SC Johnson</v>
      </c>
      <c r="AW86">
        <v>73922</v>
      </c>
      <c r="AX86" t="s">
        <v>358</v>
      </c>
      <c r="AY86" t="s">
        <v>482</v>
      </c>
      <c r="AZ86" t="s">
        <v>103</v>
      </c>
      <c r="BA86" t="s">
        <v>1065</v>
      </c>
      <c r="BB86" t="s">
        <v>1066</v>
      </c>
      <c r="BC86" t="s">
        <v>459</v>
      </c>
      <c r="BD86">
        <v>31.32</v>
      </c>
      <c r="BE86">
        <v>40</v>
      </c>
      <c r="BF86">
        <v>66.98</v>
      </c>
      <c r="BH86" s="86" t="str">
        <f t="shared" si="23"/>
        <v>59280Mix + Intocáveis SC Johnson</v>
      </c>
      <c r="BI86">
        <v>59280</v>
      </c>
      <c r="BJ86" t="s">
        <v>386</v>
      </c>
      <c r="BK86" t="s">
        <v>500</v>
      </c>
      <c r="BL86" t="s">
        <v>103</v>
      </c>
      <c r="BM86" t="s">
        <v>1185</v>
      </c>
      <c r="BN86" t="s">
        <v>1186</v>
      </c>
      <c r="BO86" t="s">
        <v>459</v>
      </c>
      <c r="BP86">
        <v>33.04</v>
      </c>
      <c r="BQ86">
        <v>40</v>
      </c>
      <c r="BR86">
        <v>75.040000000000006</v>
      </c>
      <c r="BT86" s="86" t="str">
        <f t="shared" si="12"/>
        <v>54734Execucao Bonus</v>
      </c>
      <c r="BU86">
        <v>54734</v>
      </c>
      <c r="BV86" t="s">
        <v>333</v>
      </c>
      <c r="BW86" t="s">
        <v>477</v>
      </c>
      <c r="BX86" t="s">
        <v>103</v>
      </c>
      <c r="BY86" t="s">
        <v>1300</v>
      </c>
      <c r="BZ86" t="s">
        <v>1301</v>
      </c>
      <c r="CA86" t="s">
        <v>1291</v>
      </c>
      <c r="CB86">
        <v>0</v>
      </c>
      <c r="CC86">
        <v>5</v>
      </c>
      <c r="CD86">
        <v>62.6</v>
      </c>
      <c r="CF86" s="86" t="str">
        <f t="shared" si="13"/>
        <v>54734Execucao Bonus</v>
      </c>
      <c r="CG86">
        <v>54734</v>
      </c>
      <c r="CH86" t="s">
        <v>333</v>
      </c>
      <c r="CI86" t="s">
        <v>477</v>
      </c>
      <c r="CJ86" t="s">
        <v>103</v>
      </c>
      <c r="CK86" t="s">
        <v>1438</v>
      </c>
      <c r="CL86" t="s">
        <v>1439</v>
      </c>
      <c r="CM86" t="s">
        <v>1291</v>
      </c>
      <c r="CN86">
        <v>5</v>
      </c>
      <c r="CO86">
        <v>5</v>
      </c>
      <c r="CP86">
        <v>98.6</v>
      </c>
      <c r="CR86" s="86" t="str">
        <f t="shared" si="14"/>
        <v>56110Execucao Bonus</v>
      </c>
      <c r="CS86">
        <v>56110</v>
      </c>
      <c r="CT86" t="s">
        <v>385</v>
      </c>
      <c r="CU86" t="s">
        <v>482</v>
      </c>
      <c r="CV86" t="s">
        <v>103</v>
      </c>
      <c r="CW86" t="s">
        <v>1582</v>
      </c>
      <c r="CX86" t="s">
        <v>1583</v>
      </c>
      <c r="CY86" t="s">
        <v>1291</v>
      </c>
      <c r="CZ86">
        <v>5</v>
      </c>
      <c r="DA86">
        <v>5</v>
      </c>
      <c r="DB86">
        <v>86.4</v>
      </c>
      <c r="DD86" s="86" t="str">
        <f t="shared" si="15"/>
        <v>57802Share Sub Loc Pao Quente SC Johnson</v>
      </c>
      <c r="DE86">
        <v>57802</v>
      </c>
      <c r="DF86" t="s">
        <v>376</v>
      </c>
      <c r="DG86" t="s">
        <v>1004</v>
      </c>
      <c r="DH86" t="s">
        <v>103</v>
      </c>
      <c r="DI86" t="s">
        <v>1686</v>
      </c>
      <c r="DJ86" t="s">
        <v>1687</v>
      </c>
      <c r="DK86" t="s">
        <v>458</v>
      </c>
      <c r="DL86">
        <v>3</v>
      </c>
      <c r="DM86">
        <v>12</v>
      </c>
      <c r="DN86">
        <v>70</v>
      </c>
      <c r="DP86" s="86" t="str">
        <f t="shared" si="16"/>
        <v>54675Share Sub Loc Pao Quente SC Johnson</v>
      </c>
      <c r="DQ86">
        <v>54675</v>
      </c>
      <c r="DR86" t="s">
        <v>375</v>
      </c>
      <c r="DS86" t="s">
        <v>482</v>
      </c>
      <c r="DT86" t="s">
        <v>103</v>
      </c>
      <c r="DU86" t="s">
        <v>1802</v>
      </c>
      <c r="DV86" t="s">
        <v>1803</v>
      </c>
      <c r="DW86" t="s">
        <v>458</v>
      </c>
      <c r="DX86">
        <v>9</v>
      </c>
      <c r="DY86">
        <v>12</v>
      </c>
      <c r="DZ86">
        <v>86.42</v>
      </c>
      <c r="EB86" s="86" t="str">
        <f t="shared" si="17"/>
        <v>119456Share Sub Loc Pao Quente SC Johnson</v>
      </c>
      <c r="EC86">
        <v>119456</v>
      </c>
      <c r="ED86" t="s">
        <v>389</v>
      </c>
      <c r="EE86" t="s">
        <v>482</v>
      </c>
      <c r="EF86" t="s">
        <v>103</v>
      </c>
      <c r="EG86" t="s">
        <v>1892</v>
      </c>
      <c r="EH86" t="s">
        <v>1893</v>
      </c>
      <c r="EI86" t="s">
        <v>458</v>
      </c>
      <c r="EJ86">
        <v>12</v>
      </c>
      <c r="EK86">
        <v>12</v>
      </c>
      <c r="EL86">
        <v>88.8</v>
      </c>
    </row>
    <row r="87" spans="1:142" x14ac:dyDescent="0.35">
      <c r="A87" s="86" t="str">
        <f t="shared" si="18"/>
        <v>65621Mix + Intocáveis SC Johnson</v>
      </c>
      <c r="B87">
        <v>65621</v>
      </c>
      <c r="C87" t="s">
        <v>362</v>
      </c>
      <c r="D87" t="s">
        <v>103</v>
      </c>
      <c r="E87" t="s">
        <v>505</v>
      </c>
      <c r="F87" t="s">
        <v>506</v>
      </c>
      <c r="G87" t="s">
        <v>459</v>
      </c>
      <c r="H87">
        <v>41.72</v>
      </c>
      <c r="I87">
        <v>13.5</v>
      </c>
      <c r="J87">
        <v>45</v>
      </c>
      <c r="L87" s="86" t="str">
        <f t="shared" si="19"/>
        <v>65621Share Sub Category SC Johnson</v>
      </c>
      <c r="M87">
        <v>65621</v>
      </c>
      <c r="N87" t="s">
        <v>362</v>
      </c>
      <c r="O87" t="s">
        <v>454</v>
      </c>
      <c r="P87" t="s">
        <v>103</v>
      </c>
      <c r="Q87" t="s">
        <v>658</v>
      </c>
      <c r="R87" t="s">
        <v>659</v>
      </c>
      <c r="S87" t="s">
        <v>457</v>
      </c>
      <c r="T87">
        <v>17.13</v>
      </c>
      <c r="U87">
        <v>30</v>
      </c>
      <c r="V87">
        <v>56.01</v>
      </c>
      <c r="X87" s="86" t="str">
        <f t="shared" si="20"/>
        <v>73922Share Sub Category SC Johnson</v>
      </c>
      <c r="Y87">
        <v>73922</v>
      </c>
      <c r="Z87" t="s">
        <v>358</v>
      </c>
      <c r="AA87" t="s">
        <v>482</v>
      </c>
      <c r="AB87" t="s">
        <v>103</v>
      </c>
      <c r="AC87" t="s">
        <v>829</v>
      </c>
      <c r="AD87" t="s">
        <v>830</v>
      </c>
      <c r="AE87" t="s">
        <v>457</v>
      </c>
      <c r="AF87">
        <v>21.42</v>
      </c>
      <c r="AG87">
        <v>30</v>
      </c>
      <c r="AH87">
        <v>76.17</v>
      </c>
      <c r="AJ87" s="86" t="str">
        <f t="shared" si="21"/>
        <v>73922Lancamentos</v>
      </c>
      <c r="AK87">
        <v>73922</v>
      </c>
      <c r="AL87" t="s">
        <v>358</v>
      </c>
      <c r="AM87" t="s">
        <v>482</v>
      </c>
      <c r="AN87" t="s">
        <v>103</v>
      </c>
      <c r="AO87" t="s">
        <v>986</v>
      </c>
      <c r="AP87" t="s">
        <v>987</v>
      </c>
      <c r="AQ87" t="s">
        <v>953</v>
      </c>
      <c r="AR87">
        <v>0</v>
      </c>
      <c r="AS87">
        <v>18</v>
      </c>
      <c r="AT87">
        <v>67.819999999999993</v>
      </c>
      <c r="AV87" s="86" t="str">
        <f t="shared" si="22"/>
        <v>73922Lancamentos</v>
      </c>
      <c r="AW87">
        <v>73922</v>
      </c>
      <c r="AX87" t="s">
        <v>358</v>
      </c>
      <c r="AY87" t="s">
        <v>482</v>
      </c>
      <c r="AZ87" t="s">
        <v>103</v>
      </c>
      <c r="BA87" t="s">
        <v>1065</v>
      </c>
      <c r="BB87" t="s">
        <v>1066</v>
      </c>
      <c r="BC87" t="s">
        <v>953</v>
      </c>
      <c r="BD87">
        <v>0</v>
      </c>
      <c r="BE87">
        <v>18</v>
      </c>
      <c r="BF87">
        <v>66.98</v>
      </c>
      <c r="BH87" s="86" t="str">
        <f t="shared" si="23"/>
        <v>59280Lancamentos</v>
      </c>
      <c r="BI87">
        <v>59280</v>
      </c>
      <c r="BJ87" t="s">
        <v>386</v>
      </c>
      <c r="BK87" t="s">
        <v>500</v>
      </c>
      <c r="BL87" t="s">
        <v>103</v>
      </c>
      <c r="BM87" t="s">
        <v>1185</v>
      </c>
      <c r="BN87" t="s">
        <v>1186</v>
      </c>
      <c r="BO87" t="s">
        <v>953</v>
      </c>
      <c r="BP87">
        <v>0</v>
      </c>
      <c r="BQ87">
        <v>18</v>
      </c>
      <c r="BR87">
        <v>75.040000000000006</v>
      </c>
      <c r="BT87" s="86" t="str">
        <f t="shared" si="12"/>
        <v>56110Lancamentos</v>
      </c>
      <c r="BU87">
        <v>56110</v>
      </c>
      <c r="BV87" t="s">
        <v>385</v>
      </c>
      <c r="BW87" t="s">
        <v>482</v>
      </c>
      <c r="BX87" t="s">
        <v>103</v>
      </c>
      <c r="BY87" t="s">
        <v>1323</v>
      </c>
      <c r="BZ87" t="s">
        <v>1324</v>
      </c>
      <c r="CA87" t="s">
        <v>953</v>
      </c>
      <c r="CB87">
        <v>0</v>
      </c>
      <c r="CC87">
        <v>18</v>
      </c>
      <c r="CD87">
        <v>78.2</v>
      </c>
      <c r="CF87" s="86" t="str">
        <f t="shared" si="13"/>
        <v>56110Lancamentos</v>
      </c>
      <c r="CG87">
        <v>56110</v>
      </c>
      <c r="CH87" t="s">
        <v>385</v>
      </c>
      <c r="CI87" t="s">
        <v>482</v>
      </c>
      <c r="CJ87" t="s">
        <v>103</v>
      </c>
      <c r="CK87" t="s">
        <v>1457</v>
      </c>
      <c r="CL87" t="s">
        <v>1458</v>
      </c>
      <c r="CM87" t="s">
        <v>953</v>
      </c>
      <c r="CN87">
        <v>0</v>
      </c>
      <c r="CO87">
        <v>18</v>
      </c>
      <c r="CP87">
        <v>75.8</v>
      </c>
      <c r="CR87" s="86" t="str">
        <f t="shared" si="14"/>
        <v>57802Lancamentos</v>
      </c>
      <c r="CS87">
        <v>57802</v>
      </c>
      <c r="CT87" t="s">
        <v>376</v>
      </c>
      <c r="CU87" t="s">
        <v>1004</v>
      </c>
      <c r="CV87" t="s">
        <v>103</v>
      </c>
      <c r="CW87" t="s">
        <v>1584</v>
      </c>
      <c r="CX87" t="s">
        <v>1585</v>
      </c>
      <c r="CY87" t="s">
        <v>953</v>
      </c>
      <c r="CZ87">
        <v>9</v>
      </c>
      <c r="DA87">
        <v>18</v>
      </c>
      <c r="DB87">
        <v>75.2</v>
      </c>
      <c r="DD87" s="86" t="str">
        <f t="shared" si="15"/>
        <v>59280Mix + Intocáveis SC Johnson</v>
      </c>
      <c r="DE87">
        <v>59280</v>
      </c>
      <c r="DF87" t="s">
        <v>386</v>
      </c>
      <c r="DG87" t="s">
        <v>1272</v>
      </c>
      <c r="DH87" t="s">
        <v>103</v>
      </c>
      <c r="DI87" t="s">
        <v>1638</v>
      </c>
      <c r="DJ87" t="s">
        <v>1639</v>
      </c>
      <c r="DK87" t="s">
        <v>459</v>
      </c>
      <c r="DL87">
        <v>39.200000000000003</v>
      </c>
      <c r="DM87">
        <v>40</v>
      </c>
      <c r="DN87">
        <v>95.2</v>
      </c>
      <c r="DP87" s="86" t="str">
        <f t="shared" si="16"/>
        <v>56110Mix + Intocáveis SC Johnson</v>
      </c>
      <c r="DQ87">
        <v>56110</v>
      </c>
      <c r="DR87" t="s">
        <v>385</v>
      </c>
      <c r="DS87" t="s">
        <v>482</v>
      </c>
      <c r="DT87" t="s">
        <v>103</v>
      </c>
      <c r="DU87" t="s">
        <v>1838</v>
      </c>
      <c r="DV87" t="s">
        <v>1839</v>
      </c>
      <c r="DW87" t="s">
        <v>459</v>
      </c>
      <c r="DX87">
        <v>32.799999999999997</v>
      </c>
      <c r="DY87">
        <v>40</v>
      </c>
      <c r="DZ87">
        <v>97.8</v>
      </c>
      <c r="EB87" s="86" t="str">
        <f t="shared" si="17"/>
        <v>132039Mix + Intocáveis SC Johnson</v>
      </c>
      <c r="EC87">
        <v>132039</v>
      </c>
      <c r="ED87" t="s">
        <v>337</v>
      </c>
      <c r="EE87" t="s">
        <v>1345</v>
      </c>
      <c r="EF87" t="s">
        <v>103</v>
      </c>
      <c r="EG87" t="s">
        <v>1866</v>
      </c>
      <c r="EH87" t="s">
        <v>1867</v>
      </c>
      <c r="EI87" t="s">
        <v>459</v>
      </c>
      <c r="EJ87">
        <v>36.799999999999997</v>
      </c>
      <c r="EK87">
        <v>40</v>
      </c>
      <c r="EL87">
        <v>100</v>
      </c>
    </row>
    <row r="88" spans="1:142" x14ac:dyDescent="0.35">
      <c r="A88" s="86" t="str">
        <f t="shared" si="18"/>
        <v>69667Share Sub Category SC Johnson</v>
      </c>
      <c r="B88">
        <v>69667</v>
      </c>
      <c r="C88" t="s">
        <v>387</v>
      </c>
      <c r="D88" t="s">
        <v>103</v>
      </c>
      <c r="E88" t="s">
        <v>507</v>
      </c>
      <c r="F88" t="s">
        <v>508</v>
      </c>
      <c r="G88" t="s">
        <v>457</v>
      </c>
      <c r="H88">
        <v>23.93</v>
      </c>
      <c r="I88">
        <v>17.13</v>
      </c>
      <c r="J88">
        <v>30</v>
      </c>
      <c r="L88" s="86" t="str">
        <f t="shared" si="19"/>
        <v>65621Cross Merchan SC Johnson</v>
      </c>
      <c r="M88">
        <v>65621</v>
      </c>
      <c r="N88" t="s">
        <v>362</v>
      </c>
      <c r="O88" t="s">
        <v>454</v>
      </c>
      <c r="P88" t="s">
        <v>103</v>
      </c>
      <c r="Q88" t="s">
        <v>658</v>
      </c>
      <c r="R88" t="s">
        <v>659</v>
      </c>
      <c r="S88" t="s">
        <v>111</v>
      </c>
      <c r="T88">
        <v>0</v>
      </c>
      <c r="U88">
        <v>8</v>
      </c>
      <c r="V88">
        <v>56.01</v>
      </c>
      <c r="X88" s="86" t="str">
        <f t="shared" si="20"/>
        <v>73922Cross Merchan SC Johnson</v>
      </c>
      <c r="Y88">
        <v>73922</v>
      </c>
      <c r="Z88" t="s">
        <v>358</v>
      </c>
      <c r="AA88" t="s">
        <v>482</v>
      </c>
      <c r="AB88" t="s">
        <v>103</v>
      </c>
      <c r="AC88" t="s">
        <v>829</v>
      </c>
      <c r="AD88" t="s">
        <v>830</v>
      </c>
      <c r="AE88" t="s">
        <v>111</v>
      </c>
      <c r="AF88">
        <v>8</v>
      </c>
      <c r="AG88">
        <v>8</v>
      </c>
      <c r="AH88">
        <v>76.17</v>
      </c>
      <c r="AJ88" s="86" t="str">
        <f t="shared" si="21"/>
        <v>74369Share Sub Category SC Johnson</v>
      </c>
      <c r="AK88">
        <v>74369</v>
      </c>
      <c r="AL88" t="s">
        <v>377</v>
      </c>
      <c r="AM88" t="s">
        <v>104</v>
      </c>
      <c r="AN88" t="s">
        <v>103</v>
      </c>
      <c r="AO88" t="s">
        <v>996</v>
      </c>
      <c r="AP88" t="s">
        <v>997</v>
      </c>
      <c r="AQ88" t="s">
        <v>457</v>
      </c>
      <c r="AR88">
        <v>25</v>
      </c>
      <c r="AS88">
        <v>25</v>
      </c>
      <c r="AT88">
        <v>70.42</v>
      </c>
      <c r="AV88" s="86" t="str">
        <f t="shared" si="22"/>
        <v>73977Share Sub Category SC Johnson</v>
      </c>
      <c r="AW88">
        <v>73977</v>
      </c>
      <c r="AX88" t="s">
        <v>335</v>
      </c>
      <c r="AY88" t="s">
        <v>460</v>
      </c>
      <c r="AZ88" t="s">
        <v>103</v>
      </c>
      <c r="BA88" t="s">
        <v>1067</v>
      </c>
      <c r="BB88" t="s">
        <v>1068</v>
      </c>
      <c r="BC88" t="s">
        <v>457</v>
      </c>
      <c r="BD88">
        <v>25</v>
      </c>
      <c r="BE88">
        <v>25</v>
      </c>
      <c r="BF88">
        <v>57.02</v>
      </c>
      <c r="BH88" s="86" t="str">
        <f t="shared" si="23"/>
        <v>64883Share Sub Category SC Johnson</v>
      </c>
      <c r="BI88">
        <v>64883</v>
      </c>
      <c r="BJ88" t="s">
        <v>334</v>
      </c>
      <c r="BK88" t="s">
        <v>460</v>
      </c>
      <c r="BL88" t="s">
        <v>103</v>
      </c>
      <c r="BM88" t="s">
        <v>1225</v>
      </c>
      <c r="BN88" t="s">
        <v>1226</v>
      </c>
      <c r="BO88" t="s">
        <v>457</v>
      </c>
      <c r="BP88">
        <v>21.425000000000001</v>
      </c>
      <c r="BQ88">
        <v>25</v>
      </c>
      <c r="BR88">
        <v>76.03</v>
      </c>
      <c r="BT88" s="86" t="str">
        <f t="shared" si="12"/>
        <v>56110Mix + Intocáveis SC Johnson</v>
      </c>
      <c r="BU88">
        <v>56110</v>
      </c>
      <c r="BV88" t="s">
        <v>385</v>
      </c>
      <c r="BW88" t="s">
        <v>482</v>
      </c>
      <c r="BX88" t="s">
        <v>103</v>
      </c>
      <c r="BY88" t="s">
        <v>1323</v>
      </c>
      <c r="BZ88" t="s">
        <v>1324</v>
      </c>
      <c r="CA88" t="s">
        <v>459</v>
      </c>
      <c r="CB88">
        <v>31.2</v>
      </c>
      <c r="CC88">
        <v>40</v>
      </c>
      <c r="CD88">
        <v>78.2</v>
      </c>
      <c r="CF88" s="86" t="str">
        <f t="shared" si="13"/>
        <v>56110Mix + Intocáveis SC Johnson</v>
      </c>
      <c r="CG88">
        <v>56110</v>
      </c>
      <c r="CH88" t="s">
        <v>385</v>
      </c>
      <c r="CI88" t="s">
        <v>482</v>
      </c>
      <c r="CJ88" t="s">
        <v>103</v>
      </c>
      <c r="CK88" t="s">
        <v>1457</v>
      </c>
      <c r="CL88" t="s">
        <v>1458</v>
      </c>
      <c r="CM88" t="s">
        <v>459</v>
      </c>
      <c r="CN88">
        <v>28.8</v>
      </c>
      <c r="CO88">
        <v>40</v>
      </c>
      <c r="CP88">
        <v>75.8</v>
      </c>
      <c r="CR88" s="86" t="str">
        <f t="shared" si="14"/>
        <v>57802Mix + Intocáveis SC Johnson</v>
      </c>
      <c r="CS88">
        <v>57802</v>
      </c>
      <c r="CT88" t="s">
        <v>376</v>
      </c>
      <c r="CU88" t="s">
        <v>1004</v>
      </c>
      <c r="CV88" t="s">
        <v>103</v>
      </c>
      <c r="CW88" t="s">
        <v>1584</v>
      </c>
      <c r="CX88" t="s">
        <v>1585</v>
      </c>
      <c r="CY88" t="s">
        <v>459</v>
      </c>
      <c r="CZ88">
        <v>27.2</v>
      </c>
      <c r="DA88">
        <v>40</v>
      </c>
      <c r="DB88">
        <v>75.2</v>
      </c>
      <c r="DD88" s="86" t="str">
        <f t="shared" si="15"/>
        <v>59280Execucao Bonus</v>
      </c>
      <c r="DE88">
        <v>59280</v>
      </c>
      <c r="DF88" t="s">
        <v>386</v>
      </c>
      <c r="DG88" t="s">
        <v>1272</v>
      </c>
      <c r="DH88" t="s">
        <v>103</v>
      </c>
      <c r="DI88" t="s">
        <v>1638</v>
      </c>
      <c r="DJ88" t="s">
        <v>1639</v>
      </c>
      <c r="DK88" t="s">
        <v>1291</v>
      </c>
      <c r="DL88">
        <v>5</v>
      </c>
      <c r="DM88">
        <v>5</v>
      </c>
      <c r="DN88">
        <v>95.2</v>
      </c>
      <c r="DP88" s="86" t="str">
        <f t="shared" si="16"/>
        <v>56110Execucao Bonus</v>
      </c>
      <c r="DQ88">
        <v>56110</v>
      </c>
      <c r="DR88" t="s">
        <v>385</v>
      </c>
      <c r="DS88" t="s">
        <v>482</v>
      </c>
      <c r="DT88" t="s">
        <v>103</v>
      </c>
      <c r="DU88" t="s">
        <v>1838</v>
      </c>
      <c r="DV88" t="s">
        <v>1839</v>
      </c>
      <c r="DW88" t="s">
        <v>1291</v>
      </c>
      <c r="DX88">
        <v>5</v>
      </c>
      <c r="DY88">
        <v>5</v>
      </c>
      <c r="DZ88">
        <v>97.8</v>
      </c>
      <c r="EB88" s="86" t="str">
        <f t="shared" si="17"/>
        <v>132039Execucao Bonus</v>
      </c>
      <c r="EC88">
        <v>132039</v>
      </c>
      <c r="ED88" t="s">
        <v>337</v>
      </c>
      <c r="EE88" t="s">
        <v>1345</v>
      </c>
      <c r="EF88" t="s">
        <v>103</v>
      </c>
      <c r="EG88" t="s">
        <v>1866</v>
      </c>
      <c r="EH88" t="s">
        <v>1867</v>
      </c>
      <c r="EI88" t="s">
        <v>1291</v>
      </c>
      <c r="EJ88">
        <v>3.2</v>
      </c>
      <c r="EK88">
        <v>5</v>
      </c>
      <c r="EL88">
        <v>100</v>
      </c>
    </row>
    <row r="89" spans="1:142" x14ac:dyDescent="0.35">
      <c r="A89" s="86" t="str">
        <f t="shared" si="18"/>
        <v>69667Cross Merchan SC Johnson</v>
      </c>
      <c r="B89">
        <v>69667</v>
      </c>
      <c r="C89" t="s">
        <v>387</v>
      </c>
      <c r="D89" t="s">
        <v>103</v>
      </c>
      <c r="E89" t="s">
        <v>507</v>
      </c>
      <c r="F89" t="s">
        <v>508</v>
      </c>
      <c r="G89" t="s">
        <v>111</v>
      </c>
      <c r="H89">
        <v>23.93</v>
      </c>
      <c r="I89">
        <v>0</v>
      </c>
      <c r="J89">
        <v>8</v>
      </c>
      <c r="L89" s="86" t="str">
        <f t="shared" si="19"/>
        <v>65621Share Sub Loc Pao Quente SC Johnson</v>
      </c>
      <c r="M89">
        <v>65621</v>
      </c>
      <c r="N89" t="s">
        <v>362</v>
      </c>
      <c r="O89" t="s">
        <v>454</v>
      </c>
      <c r="P89" t="s">
        <v>103</v>
      </c>
      <c r="Q89" t="s">
        <v>658</v>
      </c>
      <c r="R89" t="s">
        <v>659</v>
      </c>
      <c r="S89" t="s">
        <v>458</v>
      </c>
      <c r="T89">
        <v>8.5</v>
      </c>
      <c r="U89">
        <v>17</v>
      </c>
      <c r="V89">
        <v>56.01</v>
      </c>
      <c r="X89" s="86" t="str">
        <f t="shared" si="20"/>
        <v>73922Share Sub Loc Pao Quente SC Johnson</v>
      </c>
      <c r="Y89">
        <v>73922</v>
      </c>
      <c r="Z89" t="s">
        <v>358</v>
      </c>
      <c r="AA89" t="s">
        <v>482</v>
      </c>
      <c r="AB89" t="s">
        <v>103</v>
      </c>
      <c r="AC89" t="s">
        <v>829</v>
      </c>
      <c r="AD89" t="s">
        <v>830</v>
      </c>
      <c r="AE89" t="s">
        <v>458</v>
      </c>
      <c r="AF89">
        <v>8.5</v>
      </c>
      <c r="AG89">
        <v>17</v>
      </c>
      <c r="AH89">
        <v>76.17</v>
      </c>
      <c r="AJ89" s="86" t="str">
        <f t="shared" si="21"/>
        <v>74369Cross Merchan SC Johnson</v>
      </c>
      <c r="AK89">
        <v>74369</v>
      </c>
      <c r="AL89" t="s">
        <v>377</v>
      </c>
      <c r="AM89" t="s">
        <v>104</v>
      </c>
      <c r="AN89" t="s">
        <v>103</v>
      </c>
      <c r="AO89" t="s">
        <v>996</v>
      </c>
      <c r="AP89" t="s">
        <v>997</v>
      </c>
      <c r="AQ89" t="s">
        <v>111</v>
      </c>
      <c r="AR89">
        <v>2.5</v>
      </c>
      <c r="AS89">
        <v>5</v>
      </c>
      <c r="AT89">
        <v>70.42</v>
      </c>
      <c r="AV89" s="86" t="str">
        <f t="shared" si="22"/>
        <v>73977Cross Merchan SC Johnson</v>
      </c>
      <c r="AW89">
        <v>73977</v>
      </c>
      <c r="AX89" t="s">
        <v>335</v>
      </c>
      <c r="AY89" t="s">
        <v>460</v>
      </c>
      <c r="AZ89" t="s">
        <v>103</v>
      </c>
      <c r="BA89" t="s">
        <v>1067</v>
      </c>
      <c r="BB89" t="s">
        <v>1068</v>
      </c>
      <c r="BC89" t="s">
        <v>111</v>
      </c>
      <c r="BD89">
        <v>1.665</v>
      </c>
      <c r="BE89">
        <v>5</v>
      </c>
      <c r="BF89">
        <v>57.02</v>
      </c>
      <c r="BH89" s="86" t="str">
        <f t="shared" si="23"/>
        <v>64883Cross Merchan SC Johnson</v>
      </c>
      <c r="BI89">
        <v>64883</v>
      </c>
      <c r="BJ89" t="s">
        <v>334</v>
      </c>
      <c r="BK89" t="s">
        <v>460</v>
      </c>
      <c r="BL89" t="s">
        <v>103</v>
      </c>
      <c r="BM89" t="s">
        <v>1225</v>
      </c>
      <c r="BN89" t="s">
        <v>1226</v>
      </c>
      <c r="BO89" t="s">
        <v>111</v>
      </c>
      <c r="BP89">
        <v>5</v>
      </c>
      <c r="BQ89">
        <v>5</v>
      </c>
      <c r="BR89">
        <v>76.03</v>
      </c>
      <c r="BT89" s="86" t="str">
        <f t="shared" si="12"/>
        <v>56110Share Sub Category SC Johnson</v>
      </c>
      <c r="BU89">
        <v>56110</v>
      </c>
      <c r="BV89" t="s">
        <v>385</v>
      </c>
      <c r="BW89" t="s">
        <v>482</v>
      </c>
      <c r="BX89" t="s">
        <v>103</v>
      </c>
      <c r="BY89" t="s">
        <v>1323</v>
      </c>
      <c r="BZ89" t="s">
        <v>1324</v>
      </c>
      <c r="CA89" t="s">
        <v>457</v>
      </c>
      <c r="CB89">
        <v>25</v>
      </c>
      <c r="CC89">
        <v>25</v>
      </c>
      <c r="CD89">
        <v>78.2</v>
      </c>
      <c r="CF89" s="86" t="str">
        <f t="shared" si="13"/>
        <v>56110Share Sub Category SC Johnson</v>
      </c>
      <c r="CG89">
        <v>56110</v>
      </c>
      <c r="CH89" t="s">
        <v>385</v>
      </c>
      <c r="CI89" t="s">
        <v>482</v>
      </c>
      <c r="CJ89" t="s">
        <v>103</v>
      </c>
      <c r="CK89" t="s">
        <v>1457</v>
      </c>
      <c r="CL89" t="s">
        <v>1458</v>
      </c>
      <c r="CM89" t="s">
        <v>457</v>
      </c>
      <c r="CN89">
        <v>25</v>
      </c>
      <c r="CO89">
        <v>25</v>
      </c>
      <c r="CP89">
        <v>75.8</v>
      </c>
      <c r="CR89" s="86" t="str">
        <f t="shared" si="14"/>
        <v>57802Share Sub Category SC Johnson</v>
      </c>
      <c r="CS89">
        <v>57802</v>
      </c>
      <c r="CT89" t="s">
        <v>376</v>
      </c>
      <c r="CU89" t="s">
        <v>1004</v>
      </c>
      <c r="CV89" t="s">
        <v>103</v>
      </c>
      <c r="CW89" t="s">
        <v>1584</v>
      </c>
      <c r="CX89" t="s">
        <v>1585</v>
      </c>
      <c r="CY89" t="s">
        <v>457</v>
      </c>
      <c r="CZ89">
        <v>25</v>
      </c>
      <c r="DA89">
        <v>25</v>
      </c>
      <c r="DB89">
        <v>75.2</v>
      </c>
      <c r="DD89" s="86" t="str">
        <f t="shared" si="15"/>
        <v>59280Cross Merchan SC Johnson</v>
      </c>
      <c r="DE89">
        <v>59280</v>
      </c>
      <c r="DF89" t="s">
        <v>386</v>
      </c>
      <c r="DG89" t="s">
        <v>1272</v>
      </c>
      <c r="DH89" t="s">
        <v>103</v>
      </c>
      <c r="DI89" t="s">
        <v>1638</v>
      </c>
      <c r="DJ89" t="s">
        <v>1639</v>
      </c>
      <c r="DK89" t="s">
        <v>111</v>
      </c>
      <c r="DL89">
        <v>5</v>
      </c>
      <c r="DM89">
        <v>5</v>
      </c>
      <c r="DN89">
        <v>95.2</v>
      </c>
      <c r="DP89" s="86" t="str">
        <f t="shared" si="16"/>
        <v>56110Cross Merchan SC Johnson</v>
      </c>
      <c r="DQ89">
        <v>56110</v>
      </c>
      <c r="DR89" t="s">
        <v>385</v>
      </c>
      <c r="DS89" t="s">
        <v>482</v>
      </c>
      <c r="DT89" t="s">
        <v>103</v>
      </c>
      <c r="DU89" t="s">
        <v>1838</v>
      </c>
      <c r="DV89" t="s">
        <v>1839</v>
      </c>
      <c r="DW89" t="s">
        <v>111</v>
      </c>
      <c r="DX89">
        <v>5</v>
      </c>
      <c r="DY89">
        <v>5</v>
      </c>
      <c r="DZ89">
        <v>97.8</v>
      </c>
      <c r="EB89" s="86" t="str">
        <f t="shared" si="17"/>
        <v>132039Cross Merchan SC Johnson</v>
      </c>
      <c r="EC89">
        <v>132039</v>
      </c>
      <c r="ED89" t="s">
        <v>337</v>
      </c>
      <c r="EE89" t="s">
        <v>1345</v>
      </c>
      <c r="EF89" t="s">
        <v>103</v>
      </c>
      <c r="EG89" t="s">
        <v>1866</v>
      </c>
      <c r="EH89" t="s">
        <v>1867</v>
      </c>
      <c r="EI89" t="s">
        <v>111</v>
      </c>
      <c r="EJ89">
        <v>5</v>
      </c>
      <c r="EK89">
        <v>5</v>
      </c>
      <c r="EL89">
        <v>100</v>
      </c>
    </row>
    <row r="90" spans="1:142" x14ac:dyDescent="0.35">
      <c r="A90" s="86" t="str">
        <f t="shared" si="18"/>
        <v>69667Share Sub Loc Pao Quente SC Johnson</v>
      </c>
      <c r="B90">
        <v>69667</v>
      </c>
      <c r="C90" t="s">
        <v>387</v>
      </c>
      <c r="D90" t="s">
        <v>103</v>
      </c>
      <c r="E90" t="s">
        <v>507</v>
      </c>
      <c r="F90" t="s">
        <v>508</v>
      </c>
      <c r="G90" t="s">
        <v>458</v>
      </c>
      <c r="H90">
        <v>23.93</v>
      </c>
      <c r="I90">
        <v>6.8</v>
      </c>
      <c r="J90">
        <v>17</v>
      </c>
      <c r="L90" s="86" t="str">
        <f t="shared" si="19"/>
        <v>65621Mix + Intocáveis SC Johnson</v>
      </c>
      <c r="M90">
        <v>65621</v>
      </c>
      <c r="N90" t="s">
        <v>362</v>
      </c>
      <c r="O90" t="s">
        <v>454</v>
      </c>
      <c r="P90" t="s">
        <v>103</v>
      </c>
      <c r="Q90" t="s">
        <v>658</v>
      </c>
      <c r="R90" t="s">
        <v>659</v>
      </c>
      <c r="S90" t="s">
        <v>459</v>
      </c>
      <c r="T90">
        <v>30.375</v>
      </c>
      <c r="U90">
        <v>45</v>
      </c>
      <c r="V90">
        <v>56.01</v>
      </c>
      <c r="X90" s="86" t="str">
        <f t="shared" si="20"/>
        <v>73922Mix + Intocáveis SC Johnson</v>
      </c>
      <c r="Y90">
        <v>73922</v>
      </c>
      <c r="Z90" t="s">
        <v>358</v>
      </c>
      <c r="AA90" t="s">
        <v>482</v>
      </c>
      <c r="AB90" t="s">
        <v>103</v>
      </c>
      <c r="AC90" t="s">
        <v>829</v>
      </c>
      <c r="AD90" t="s">
        <v>830</v>
      </c>
      <c r="AE90" t="s">
        <v>459</v>
      </c>
      <c r="AF90">
        <v>38.25</v>
      </c>
      <c r="AG90">
        <v>45</v>
      </c>
      <c r="AH90">
        <v>76.17</v>
      </c>
      <c r="AJ90" s="86" t="str">
        <f t="shared" si="21"/>
        <v>74369Share Sub Loc Pao Quente SC Johnson</v>
      </c>
      <c r="AK90">
        <v>74369</v>
      </c>
      <c r="AL90" t="s">
        <v>377</v>
      </c>
      <c r="AM90" t="s">
        <v>104</v>
      </c>
      <c r="AN90" t="s">
        <v>103</v>
      </c>
      <c r="AO90" t="s">
        <v>996</v>
      </c>
      <c r="AP90" t="s">
        <v>997</v>
      </c>
      <c r="AQ90" t="s">
        <v>458</v>
      </c>
      <c r="AR90">
        <v>9</v>
      </c>
      <c r="AS90">
        <v>12</v>
      </c>
      <c r="AT90">
        <v>70.42</v>
      </c>
      <c r="AV90" s="86" t="str">
        <f t="shared" si="22"/>
        <v>73977Share Sub Loc Pao Quente SC Johnson</v>
      </c>
      <c r="AW90">
        <v>73977</v>
      </c>
      <c r="AX90" t="s">
        <v>335</v>
      </c>
      <c r="AY90" t="s">
        <v>460</v>
      </c>
      <c r="AZ90" t="s">
        <v>103</v>
      </c>
      <c r="BA90" t="s">
        <v>1067</v>
      </c>
      <c r="BB90" t="s">
        <v>1068</v>
      </c>
      <c r="BC90" t="s">
        <v>458</v>
      </c>
      <c r="BD90">
        <v>6</v>
      </c>
      <c r="BE90">
        <v>12</v>
      </c>
      <c r="BF90">
        <v>57.02</v>
      </c>
      <c r="BH90" s="86" t="str">
        <f t="shared" si="23"/>
        <v>64883Share Sub Loc Pao Quente SC Johnson</v>
      </c>
      <c r="BI90">
        <v>64883</v>
      </c>
      <c r="BJ90" t="s">
        <v>334</v>
      </c>
      <c r="BK90" t="s">
        <v>460</v>
      </c>
      <c r="BL90" t="s">
        <v>103</v>
      </c>
      <c r="BM90" t="s">
        <v>1225</v>
      </c>
      <c r="BN90" t="s">
        <v>1226</v>
      </c>
      <c r="BO90" t="s">
        <v>458</v>
      </c>
      <c r="BP90">
        <v>9</v>
      </c>
      <c r="BQ90">
        <v>12</v>
      </c>
      <c r="BR90">
        <v>76.03</v>
      </c>
      <c r="BT90" s="86" t="str">
        <f t="shared" si="12"/>
        <v>56110Share Sub Loc Pao Quente SC Johnson</v>
      </c>
      <c r="BU90">
        <v>56110</v>
      </c>
      <c r="BV90" t="s">
        <v>385</v>
      </c>
      <c r="BW90" t="s">
        <v>482</v>
      </c>
      <c r="BX90" t="s">
        <v>103</v>
      </c>
      <c r="BY90" t="s">
        <v>1323</v>
      </c>
      <c r="BZ90" t="s">
        <v>1324</v>
      </c>
      <c r="CA90" t="s">
        <v>458</v>
      </c>
      <c r="CB90">
        <v>12</v>
      </c>
      <c r="CC90">
        <v>12</v>
      </c>
      <c r="CD90">
        <v>78.2</v>
      </c>
      <c r="CF90" s="86" t="str">
        <f t="shared" si="13"/>
        <v>56110Share Sub Loc Pao Quente SC Johnson</v>
      </c>
      <c r="CG90">
        <v>56110</v>
      </c>
      <c r="CH90" t="s">
        <v>385</v>
      </c>
      <c r="CI90" t="s">
        <v>482</v>
      </c>
      <c r="CJ90" t="s">
        <v>103</v>
      </c>
      <c r="CK90" t="s">
        <v>1457</v>
      </c>
      <c r="CL90" t="s">
        <v>1458</v>
      </c>
      <c r="CM90" t="s">
        <v>458</v>
      </c>
      <c r="CN90">
        <v>12</v>
      </c>
      <c r="CO90">
        <v>12</v>
      </c>
      <c r="CP90">
        <v>75.8</v>
      </c>
      <c r="CR90" s="86" t="str">
        <f t="shared" si="14"/>
        <v>57802Share Sub Loc Pao Quente SC Johnson</v>
      </c>
      <c r="CS90">
        <v>57802</v>
      </c>
      <c r="CT90" t="s">
        <v>376</v>
      </c>
      <c r="CU90" t="s">
        <v>1004</v>
      </c>
      <c r="CV90" t="s">
        <v>103</v>
      </c>
      <c r="CW90" t="s">
        <v>1584</v>
      </c>
      <c r="CX90" t="s">
        <v>1585</v>
      </c>
      <c r="CY90" t="s">
        <v>458</v>
      </c>
      <c r="CZ90">
        <v>9</v>
      </c>
      <c r="DA90">
        <v>12</v>
      </c>
      <c r="DB90">
        <v>75.2</v>
      </c>
      <c r="DD90" s="86" t="str">
        <f t="shared" si="15"/>
        <v>59280Lancamentos</v>
      </c>
      <c r="DE90">
        <v>59280</v>
      </c>
      <c r="DF90" t="s">
        <v>386</v>
      </c>
      <c r="DG90" t="s">
        <v>1272</v>
      </c>
      <c r="DH90" t="s">
        <v>103</v>
      </c>
      <c r="DI90" t="s">
        <v>1638</v>
      </c>
      <c r="DJ90" t="s">
        <v>1639</v>
      </c>
      <c r="DK90" t="s">
        <v>953</v>
      </c>
      <c r="DL90">
        <v>9</v>
      </c>
      <c r="DM90">
        <v>18</v>
      </c>
      <c r="DN90">
        <v>95.2</v>
      </c>
      <c r="DP90" s="86" t="str">
        <f t="shared" si="16"/>
        <v>56110Lancamentos</v>
      </c>
      <c r="DQ90">
        <v>56110</v>
      </c>
      <c r="DR90" t="s">
        <v>385</v>
      </c>
      <c r="DS90" t="s">
        <v>482</v>
      </c>
      <c r="DT90" t="s">
        <v>103</v>
      </c>
      <c r="DU90" t="s">
        <v>1838</v>
      </c>
      <c r="DV90" t="s">
        <v>1839</v>
      </c>
      <c r="DW90" t="s">
        <v>953</v>
      </c>
      <c r="DX90">
        <v>18</v>
      </c>
      <c r="DY90">
        <v>18</v>
      </c>
      <c r="DZ90">
        <v>97.8</v>
      </c>
      <c r="EB90" s="86" t="str">
        <f t="shared" si="17"/>
        <v>132039Lancamentos</v>
      </c>
      <c r="EC90">
        <v>132039</v>
      </c>
      <c r="ED90" t="s">
        <v>337</v>
      </c>
      <c r="EE90" t="s">
        <v>1345</v>
      </c>
      <c r="EF90" t="s">
        <v>103</v>
      </c>
      <c r="EG90" t="s">
        <v>1866</v>
      </c>
      <c r="EH90" t="s">
        <v>1867</v>
      </c>
      <c r="EI90" t="s">
        <v>953</v>
      </c>
      <c r="EJ90">
        <v>18</v>
      </c>
      <c r="EK90">
        <v>18</v>
      </c>
      <c r="EL90">
        <v>100</v>
      </c>
    </row>
    <row r="91" spans="1:142" x14ac:dyDescent="0.35">
      <c r="A91" s="86" t="str">
        <f t="shared" si="18"/>
        <v>69667Mix + Intocáveis SC Johnson</v>
      </c>
      <c r="B91">
        <v>69667</v>
      </c>
      <c r="C91" t="s">
        <v>387</v>
      </c>
      <c r="D91" t="s">
        <v>103</v>
      </c>
      <c r="E91" t="s">
        <v>507</v>
      </c>
      <c r="F91" t="s">
        <v>508</v>
      </c>
      <c r="G91" t="s">
        <v>459</v>
      </c>
      <c r="H91">
        <v>23.93</v>
      </c>
      <c r="I91">
        <v>0</v>
      </c>
      <c r="J91">
        <v>45</v>
      </c>
      <c r="L91" s="86" t="str">
        <f t="shared" si="19"/>
        <v>69667Share Sub Category SC Johnson</v>
      </c>
      <c r="M91">
        <v>69667</v>
      </c>
      <c r="N91" t="s">
        <v>387</v>
      </c>
      <c r="O91" t="s">
        <v>482</v>
      </c>
      <c r="P91" t="s">
        <v>103</v>
      </c>
      <c r="Q91" t="s">
        <v>660</v>
      </c>
      <c r="R91" t="s">
        <v>661</v>
      </c>
      <c r="S91" t="s">
        <v>457</v>
      </c>
      <c r="T91">
        <v>17.13</v>
      </c>
      <c r="U91">
        <v>30</v>
      </c>
      <c r="V91">
        <v>61.5</v>
      </c>
      <c r="X91" s="86" t="str">
        <f t="shared" si="20"/>
        <v>73977Share Sub Category SC Johnson</v>
      </c>
      <c r="Y91">
        <v>73977</v>
      </c>
      <c r="Z91" t="s">
        <v>335</v>
      </c>
      <c r="AA91" t="s">
        <v>460</v>
      </c>
      <c r="AB91" t="s">
        <v>103</v>
      </c>
      <c r="AC91" t="s">
        <v>893</v>
      </c>
      <c r="AD91" t="s">
        <v>894</v>
      </c>
      <c r="AE91" t="s">
        <v>457</v>
      </c>
      <c r="AF91">
        <v>21.42</v>
      </c>
      <c r="AG91">
        <v>30</v>
      </c>
      <c r="AH91">
        <v>71.42</v>
      </c>
      <c r="AJ91" s="86" t="str">
        <f t="shared" si="21"/>
        <v>74369Mix + Intocáveis SC Johnson</v>
      </c>
      <c r="AK91">
        <v>74369</v>
      </c>
      <c r="AL91" t="s">
        <v>377</v>
      </c>
      <c r="AM91" t="s">
        <v>104</v>
      </c>
      <c r="AN91" t="s">
        <v>103</v>
      </c>
      <c r="AO91" t="s">
        <v>996</v>
      </c>
      <c r="AP91" t="s">
        <v>997</v>
      </c>
      <c r="AQ91" t="s">
        <v>459</v>
      </c>
      <c r="AR91">
        <v>33.92</v>
      </c>
      <c r="AS91">
        <v>40</v>
      </c>
      <c r="AT91">
        <v>70.42</v>
      </c>
      <c r="AV91" s="86" t="str">
        <f t="shared" si="22"/>
        <v>73977Mix + Intocáveis SC Johnson</v>
      </c>
      <c r="AW91">
        <v>73977</v>
      </c>
      <c r="AX91" t="s">
        <v>335</v>
      </c>
      <c r="AY91" t="s">
        <v>460</v>
      </c>
      <c r="AZ91" t="s">
        <v>103</v>
      </c>
      <c r="BA91" t="s">
        <v>1067</v>
      </c>
      <c r="BB91" t="s">
        <v>1068</v>
      </c>
      <c r="BC91" t="s">
        <v>459</v>
      </c>
      <c r="BD91">
        <v>24.36</v>
      </c>
      <c r="BE91">
        <v>40</v>
      </c>
      <c r="BF91">
        <v>57.02</v>
      </c>
      <c r="BH91" s="86" t="str">
        <f t="shared" si="23"/>
        <v>64883Mix + Intocáveis SC Johnson</v>
      </c>
      <c r="BI91">
        <v>64883</v>
      </c>
      <c r="BJ91" t="s">
        <v>334</v>
      </c>
      <c r="BK91" t="s">
        <v>460</v>
      </c>
      <c r="BL91" t="s">
        <v>103</v>
      </c>
      <c r="BM91" t="s">
        <v>1225</v>
      </c>
      <c r="BN91" t="s">
        <v>1226</v>
      </c>
      <c r="BO91" t="s">
        <v>459</v>
      </c>
      <c r="BP91">
        <v>22.6</v>
      </c>
      <c r="BQ91">
        <v>40</v>
      </c>
      <c r="BR91">
        <v>76.03</v>
      </c>
      <c r="BT91" s="86" t="str">
        <f t="shared" si="12"/>
        <v>56110Cross Merchan SC Johnson</v>
      </c>
      <c r="BU91">
        <v>56110</v>
      </c>
      <c r="BV91" t="s">
        <v>385</v>
      </c>
      <c r="BW91" t="s">
        <v>482</v>
      </c>
      <c r="BX91" t="s">
        <v>103</v>
      </c>
      <c r="BY91" t="s">
        <v>1323</v>
      </c>
      <c r="BZ91" t="s">
        <v>1324</v>
      </c>
      <c r="CA91" t="s">
        <v>111</v>
      </c>
      <c r="CB91">
        <v>5</v>
      </c>
      <c r="CC91">
        <v>5</v>
      </c>
      <c r="CD91">
        <v>78.2</v>
      </c>
      <c r="CF91" s="86" t="str">
        <f t="shared" si="13"/>
        <v>56110Cross Merchan SC Johnson</v>
      </c>
      <c r="CG91">
        <v>56110</v>
      </c>
      <c r="CH91" t="s">
        <v>385</v>
      </c>
      <c r="CI91" t="s">
        <v>482</v>
      </c>
      <c r="CJ91" t="s">
        <v>103</v>
      </c>
      <c r="CK91" t="s">
        <v>1457</v>
      </c>
      <c r="CL91" t="s">
        <v>1458</v>
      </c>
      <c r="CM91" t="s">
        <v>111</v>
      </c>
      <c r="CN91">
        <v>5</v>
      </c>
      <c r="CO91">
        <v>5</v>
      </c>
      <c r="CP91">
        <v>75.8</v>
      </c>
      <c r="CR91" s="86" t="str">
        <f t="shared" si="14"/>
        <v>57802Cross Merchan SC Johnson</v>
      </c>
      <c r="CS91">
        <v>57802</v>
      </c>
      <c r="CT91" t="s">
        <v>376</v>
      </c>
      <c r="CU91" t="s">
        <v>1004</v>
      </c>
      <c r="CV91" t="s">
        <v>103</v>
      </c>
      <c r="CW91" t="s">
        <v>1584</v>
      </c>
      <c r="CX91" t="s">
        <v>1585</v>
      </c>
      <c r="CY91" t="s">
        <v>111</v>
      </c>
      <c r="CZ91">
        <v>5</v>
      </c>
      <c r="DA91">
        <v>5</v>
      </c>
      <c r="DB91">
        <v>75.2</v>
      </c>
      <c r="DD91" s="86" t="str">
        <f t="shared" si="15"/>
        <v>59280Share Sub Category SC Johnson</v>
      </c>
      <c r="DE91">
        <v>59280</v>
      </c>
      <c r="DF91" t="s">
        <v>386</v>
      </c>
      <c r="DG91" t="s">
        <v>1272</v>
      </c>
      <c r="DH91" t="s">
        <v>103</v>
      </c>
      <c r="DI91" t="s">
        <v>1638</v>
      </c>
      <c r="DJ91" t="s">
        <v>1639</v>
      </c>
      <c r="DK91" t="s">
        <v>457</v>
      </c>
      <c r="DL91">
        <v>25</v>
      </c>
      <c r="DM91">
        <v>25</v>
      </c>
      <c r="DN91">
        <v>95.2</v>
      </c>
      <c r="DP91" s="86" t="str">
        <f t="shared" si="16"/>
        <v>56110Share Sub Category SC Johnson</v>
      </c>
      <c r="DQ91">
        <v>56110</v>
      </c>
      <c r="DR91" t="s">
        <v>385</v>
      </c>
      <c r="DS91" t="s">
        <v>482</v>
      </c>
      <c r="DT91" t="s">
        <v>103</v>
      </c>
      <c r="DU91" t="s">
        <v>1838</v>
      </c>
      <c r="DV91" t="s">
        <v>1839</v>
      </c>
      <c r="DW91" t="s">
        <v>457</v>
      </c>
      <c r="DX91">
        <v>25</v>
      </c>
      <c r="DY91">
        <v>25</v>
      </c>
      <c r="DZ91">
        <v>97.8</v>
      </c>
      <c r="EB91" s="86" t="str">
        <f t="shared" si="17"/>
        <v>132039Share Sub Category SC Johnson</v>
      </c>
      <c r="EC91">
        <v>132039</v>
      </c>
      <c r="ED91" t="s">
        <v>337</v>
      </c>
      <c r="EE91" t="s">
        <v>1345</v>
      </c>
      <c r="EF91" t="s">
        <v>103</v>
      </c>
      <c r="EG91" t="s">
        <v>1866</v>
      </c>
      <c r="EH91" t="s">
        <v>1867</v>
      </c>
      <c r="EI91" t="s">
        <v>457</v>
      </c>
      <c r="EJ91">
        <v>25</v>
      </c>
      <c r="EK91">
        <v>25</v>
      </c>
      <c r="EL91">
        <v>100</v>
      </c>
    </row>
    <row r="92" spans="1:142" x14ac:dyDescent="0.35">
      <c r="A92" s="86" t="str">
        <f t="shared" si="18"/>
        <v>73922Share Sub Category SC Johnson</v>
      </c>
      <c r="B92">
        <v>73922</v>
      </c>
      <c r="C92" t="s">
        <v>358</v>
      </c>
      <c r="D92" t="s">
        <v>103</v>
      </c>
      <c r="E92" t="s">
        <v>509</v>
      </c>
      <c r="F92" t="s">
        <v>510</v>
      </c>
      <c r="G92" t="s">
        <v>457</v>
      </c>
      <c r="H92">
        <v>57.08</v>
      </c>
      <c r="I92">
        <v>30</v>
      </c>
      <c r="J92">
        <v>30</v>
      </c>
      <c r="L92" s="86" t="str">
        <f t="shared" si="19"/>
        <v>69667Cross Merchan SC Johnson</v>
      </c>
      <c r="M92">
        <v>69667</v>
      </c>
      <c r="N92" t="s">
        <v>387</v>
      </c>
      <c r="O92" t="s">
        <v>482</v>
      </c>
      <c r="P92" t="s">
        <v>103</v>
      </c>
      <c r="Q92" t="s">
        <v>660</v>
      </c>
      <c r="R92" t="s">
        <v>661</v>
      </c>
      <c r="S92" t="s">
        <v>111</v>
      </c>
      <c r="T92">
        <v>8</v>
      </c>
      <c r="U92">
        <v>8</v>
      </c>
      <c r="V92">
        <v>61.5</v>
      </c>
      <c r="X92" s="86" t="str">
        <f t="shared" si="20"/>
        <v>73977Cross Merchan SC Johnson</v>
      </c>
      <c r="Y92">
        <v>73977</v>
      </c>
      <c r="Z92" t="s">
        <v>335</v>
      </c>
      <c r="AA92" t="s">
        <v>460</v>
      </c>
      <c r="AB92" t="s">
        <v>103</v>
      </c>
      <c r="AC92" t="s">
        <v>893</v>
      </c>
      <c r="AD92" t="s">
        <v>894</v>
      </c>
      <c r="AE92" t="s">
        <v>111</v>
      </c>
      <c r="AF92">
        <v>8</v>
      </c>
      <c r="AG92">
        <v>8</v>
      </c>
      <c r="AH92">
        <v>71.42</v>
      </c>
      <c r="AJ92" s="86" t="str">
        <f t="shared" si="21"/>
        <v>74369Lancamentos</v>
      </c>
      <c r="AK92">
        <v>74369</v>
      </c>
      <c r="AL92" t="s">
        <v>377</v>
      </c>
      <c r="AM92" t="s">
        <v>104</v>
      </c>
      <c r="AN92" t="s">
        <v>103</v>
      </c>
      <c r="AO92" t="s">
        <v>996</v>
      </c>
      <c r="AP92" t="s">
        <v>997</v>
      </c>
      <c r="AQ92" t="s">
        <v>953</v>
      </c>
      <c r="AR92">
        <v>0</v>
      </c>
      <c r="AS92">
        <v>18</v>
      </c>
      <c r="AT92">
        <v>70.42</v>
      </c>
      <c r="AV92" s="86" t="str">
        <f t="shared" si="22"/>
        <v>73977Lancamentos</v>
      </c>
      <c r="AW92">
        <v>73977</v>
      </c>
      <c r="AX92" t="s">
        <v>335</v>
      </c>
      <c r="AY92" t="s">
        <v>460</v>
      </c>
      <c r="AZ92" t="s">
        <v>103</v>
      </c>
      <c r="BA92" t="s">
        <v>1067</v>
      </c>
      <c r="BB92" t="s">
        <v>1068</v>
      </c>
      <c r="BC92" t="s">
        <v>953</v>
      </c>
      <c r="BD92">
        <v>0</v>
      </c>
      <c r="BE92">
        <v>18</v>
      </c>
      <c r="BF92">
        <v>57.02</v>
      </c>
      <c r="BH92" s="86" t="str">
        <f t="shared" si="23"/>
        <v>64883Lancamentos</v>
      </c>
      <c r="BI92">
        <v>64883</v>
      </c>
      <c r="BJ92" t="s">
        <v>334</v>
      </c>
      <c r="BK92" t="s">
        <v>460</v>
      </c>
      <c r="BL92" t="s">
        <v>103</v>
      </c>
      <c r="BM92" t="s">
        <v>1225</v>
      </c>
      <c r="BN92" t="s">
        <v>1226</v>
      </c>
      <c r="BO92" t="s">
        <v>953</v>
      </c>
      <c r="BP92">
        <v>18</v>
      </c>
      <c r="BQ92">
        <v>18</v>
      </c>
      <c r="BR92">
        <v>76.03</v>
      </c>
      <c r="BT92" s="86" t="str">
        <f t="shared" si="12"/>
        <v>56110Execucao Bonus</v>
      </c>
      <c r="BU92">
        <v>56110</v>
      </c>
      <c r="BV92" t="s">
        <v>385</v>
      </c>
      <c r="BW92" t="s">
        <v>482</v>
      </c>
      <c r="BX92" t="s">
        <v>103</v>
      </c>
      <c r="BY92" t="s">
        <v>1323</v>
      </c>
      <c r="BZ92" t="s">
        <v>1324</v>
      </c>
      <c r="CA92" t="s">
        <v>1291</v>
      </c>
      <c r="CB92">
        <v>5</v>
      </c>
      <c r="CC92">
        <v>5</v>
      </c>
      <c r="CD92">
        <v>78.2</v>
      </c>
      <c r="CF92" s="86" t="str">
        <f t="shared" si="13"/>
        <v>56110Execucao Bonus</v>
      </c>
      <c r="CG92">
        <v>56110</v>
      </c>
      <c r="CH92" t="s">
        <v>385</v>
      </c>
      <c r="CI92" t="s">
        <v>482</v>
      </c>
      <c r="CJ92" t="s">
        <v>103</v>
      </c>
      <c r="CK92" t="s">
        <v>1457</v>
      </c>
      <c r="CL92" t="s">
        <v>1458</v>
      </c>
      <c r="CM92" t="s">
        <v>1291</v>
      </c>
      <c r="CN92">
        <v>5</v>
      </c>
      <c r="CO92">
        <v>5</v>
      </c>
      <c r="CP92">
        <v>75.8</v>
      </c>
      <c r="CR92" s="86" t="str">
        <f t="shared" si="14"/>
        <v>57802Execucao Bonus</v>
      </c>
      <c r="CS92">
        <v>57802</v>
      </c>
      <c r="CT92" t="s">
        <v>376</v>
      </c>
      <c r="CU92" t="s">
        <v>1004</v>
      </c>
      <c r="CV92" t="s">
        <v>103</v>
      </c>
      <c r="CW92" t="s">
        <v>1584</v>
      </c>
      <c r="CX92" t="s">
        <v>1585</v>
      </c>
      <c r="CY92" t="s">
        <v>1291</v>
      </c>
      <c r="CZ92">
        <v>0</v>
      </c>
      <c r="DA92">
        <v>5</v>
      </c>
      <c r="DB92">
        <v>75.2</v>
      </c>
      <c r="DD92" s="86" t="str">
        <f t="shared" si="15"/>
        <v>59280Share Sub Loc Pao Quente SC Johnson</v>
      </c>
      <c r="DE92">
        <v>59280</v>
      </c>
      <c r="DF92" t="s">
        <v>386</v>
      </c>
      <c r="DG92" t="s">
        <v>1272</v>
      </c>
      <c r="DH92" t="s">
        <v>103</v>
      </c>
      <c r="DI92" t="s">
        <v>1638</v>
      </c>
      <c r="DJ92" t="s">
        <v>1639</v>
      </c>
      <c r="DK92" t="s">
        <v>458</v>
      </c>
      <c r="DL92">
        <v>12</v>
      </c>
      <c r="DM92">
        <v>12</v>
      </c>
      <c r="DN92">
        <v>95.2</v>
      </c>
      <c r="DP92" s="86" t="str">
        <f t="shared" si="16"/>
        <v>56110Share Sub Loc Pao Quente SC Johnson</v>
      </c>
      <c r="DQ92">
        <v>56110</v>
      </c>
      <c r="DR92" t="s">
        <v>385</v>
      </c>
      <c r="DS92" t="s">
        <v>482</v>
      </c>
      <c r="DT92" t="s">
        <v>103</v>
      </c>
      <c r="DU92" t="s">
        <v>1838</v>
      </c>
      <c r="DV92" t="s">
        <v>1839</v>
      </c>
      <c r="DW92" t="s">
        <v>458</v>
      </c>
      <c r="DX92">
        <v>12</v>
      </c>
      <c r="DY92">
        <v>12</v>
      </c>
      <c r="DZ92">
        <v>97.8</v>
      </c>
      <c r="EB92" s="86" t="str">
        <f t="shared" si="17"/>
        <v>132039Share Sub Loc Pao Quente SC Johnson</v>
      </c>
      <c r="EC92">
        <v>132039</v>
      </c>
      <c r="ED92" t="s">
        <v>337</v>
      </c>
      <c r="EE92" t="s">
        <v>1345</v>
      </c>
      <c r="EF92" t="s">
        <v>103</v>
      </c>
      <c r="EG92" t="s">
        <v>1866</v>
      </c>
      <c r="EH92" t="s">
        <v>1867</v>
      </c>
      <c r="EI92" t="s">
        <v>458</v>
      </c>
      <c r="EJ92">
        <v>12</v>
      </c>
      <c r="EK92">
        <v>12</v>
      </c>
      <c r="EL92">
        <v>100</v>
      </c>
    </row>
    <row r="93" spans="1:142" x14ac:dyDescent="0.35">
      <c r="A93" s="86" t="str">
        <f t="shared" si="18"/>
        <v>73922Cross Merchan SC Johnson</v>
      </c>
      <c r="B93">
        <v>73922</v>
      </c>
      <c r="C93" t="s">
        <v>358</v>
      </c>
      <c r="D93" t="s">
        <v>103</v>
      </c>
      <c r="E93" t="s">
        <v>509</v>
      </c>
      <c r="F93" t="s">
        <v>510</v>
      </c>
      <c r="G93" t="s">
        <v>111</v>
      </c>
      <c r="H93">
        <v>57.08</v>
      </c>
      <c r="I93">
        <v>0</v>
      </c>
      <c r="J93">
        <v>8</v>
      </c>
      <c r="L93" s="86" t="str">
        <f t="shared" si="19"/>
        <v>69667Share Sub Loc Pao Quente SC Johnson</v>
      </c>
      <c r="M93">
        <v>69667</v>
      </c>
      <c r="N93" t="s">
        <v>387</v>
      </c>
      <c r="O93" t="s">
        <v>482</v>
      </c>
      <c r="P93" t="s">
        <v>103</v>
      </c>
      <c r="Q93" t="s">
        <v>660</v>
      </c>
      <c r="R93" t="s">
        <v>661</v>
      </c>
      <c r="S93" t="s">
        <v>458</v>
      </c>
      <c r="T93">
        <v>12.75</v>
      </c>
      <c r="U93">
        <v>17</v>
      </c>
      <c r="V93">
        <v>61.5</v>
      </c>
      <c r="X93" s="86" t="str">
        <f t="shared" si="20"/>
        <v>73977Share Sub Loc Pao Quente SC Johnson</v>
      </c>
      <c r="Y93">
        <v>73977</v>
      </c>
      <c r="Z93" t="s">
        <v>335</v>
      </c>
      <c r="AA93" t="s">
        <v>460</v>
      </c>
      <c r="AB93" t="s">
        <v>103</v>
      </c>
      <c r="AC93" t="s">
        <v>893</v>
      </c>
      <c r="AD93" t="s">
        <v>894</v>
      </c>
      <c r="AE93" t="s">
        <v>458</v>
      </c>
      <c r="AF93">
        <v>12.75</v>
      </c>
      <c r="AG93">
        <v>17</v>
      </c>
      <c r="AH93">
        <v>71.42</v>
      </c>
      <c r="AJ93" s="86" t="str">
        <f t="shared" si="21"/>
        <v>74744Share Sub Category SC Johnson</v>
      </c>
      <c r="AK93">
        <v>74744</v>
      </c>
      <c r="AL93" t="s">
        <v>359</v>
      </c>
      <c r="AM93" t="s">
        <v>104</v>
      </c>
      <c r="AN93" t="s">
        <v>103</v>
      </c>
      <c r="AO93" t="s">
        <v>919</v>
      </c>
      <c r="AP93" t="s">
        <v>920</v>
      </c>
      <c r="AQ93" t="s">
        <v>457</v>
      </c>
      <c r="AR93">
        <v>25</v>
      </c>
      <c r="AS93">
        <v>25</v>
      </c>
      <c r="AT93">
        <v>66.94</v>
      </c>
      <c r="AV93" s="86" t="str">
        <f t="shared" si="22"/>
        <v>74369Share Sub Category SC Johnson</v>
      </c>
      <c r="AW93">
        <v>74369</v>
      </c>
      <c r="AX93" t="s">
        <v>377</v>
      </c>
      <c r="AY93" t="s">
        <v>489</v>
      </c>
      <c r="AZ93" t="s">
        <v>103</v>
      </c>
      <c r="BA93" t="s">
        <v>1131</v>
      </c>
      <c r="BB93" t="s">
        <v>1132</v>
      </c>
      <c r="BC93" t="s">
        <v>457</v>
      </c>
      <c r="BD93">
        <v>21.425000000000001</v>
      </c>
      <c r="BE93">
        <v>25</v>
      </c>
      <c r="BF93">
        <v>66.8</v>
      </c>
      <c r="BH93" s="86" t="str">
        <f t="shared" si="23"/>
        <v>69667Share Sub Category SC Johnson</v>
      </c>
      <c r="BI93">
        <v>69667</v>
      </c>
      <c r="BJ93" t="s">
        <v>387</v>
      </c>
      <c r="BK93" t="s">
        <v>482</v>
      </c>
      <c r="BL93" t="s">
        <v>103</v>
      </c>
      <c r="BM93" t="s">
        <v>1227</v>
      </c>
      <c r="BN93" t="s">
        <v>1228</v>
      </c>
      <c r="BO93" t="s">
        <v>457</v>
      </c>
      <c r="BP93">
        <v>21.425000000000001</v>
      </c>
      <c r="BQ93">
        <v>25</v>
      </c>
      <c r="BR93">
        <v>77.78</v>
      </c>
      <c r="BT93" s="86" t="str">
        <f t="shared" si="12"/>
        <v>57802Lancamentos</v>
      </c>
      <c r="BU93">
        <v>57802</v>
      </c>
      <c r="BV93" t="s">
        <v>376</v>
      </c>
      <c r="BW93" t="s">
        <v>1004</v>
      </c>
      <c r="BX93" t="s">
        <v>103</v>
      </c>
      <c r="BY93" t="s">
        <v>1302</v>
      </c>
      <c r="BZ93" t="s">
        <v>1303</v>
      </c>
      <c r="CA93" t="s">
        <v>953</v>
      </c>
      <c r="CB93">
        <v>9</v>
      </c>
      <c r="CC93">
        <v>18</v>
      </c>
      <c r="CD93">
        <v>75.599999999999994</v>
      </c>
      <c r="CF93" s="86" t="str">
        <f t="shared" si="13"/>
        <v>57802Lancamentos</v>
      </c>
      <c r="CG93">
        <v>57802</v>
      </c>
      <c r="CH93" t="s">
        <v>376</v>
      </c>
      <c r="CI93" t="s">
        <v>1004</v>
      </c>
      <c r="CJ93" t="s">
        <v>103</v>
      </c>
      <c r="CK93" t="s">
        <v>1493</v>
      </c>
      <c r="CL93" t="s">
        <v>1494</v>
      </c>
      <c r="CM93" t="s">
        <v>953</v>
      </c>
      <c r="CN93">
        <v>9</v>
      </c>
      <c r="CO93">
        <v>18</v>
      </c>
      <c r="CP93">
        <v>78</v>
      </c>
      <c r="CR93" s="86" t="str">
        <f t="shared" si="14"/>
        <v>59280Lancamentos</v>
      </c>
      <c r="CS93">
        <v>59280</v>
      </c>
      <c r="CT93" t="s">
        <v>386</v>
      </c>
      <c r="CU93" t="s">
        <v>1272</v>
      </c>
      <c r="CV93" t="s">
        <v>103</v>
      </c>
      <c r="CW93" t="s">
        <v>1586</v>
      </c>
      <c r="CX93" t="s">
        <v>1587</v>
      </c>
      <c r="CY93" t="s">
        <v>953</v>
      </c>
      <c r="CZ93">
        <v>18</v>
      </c>
      <c r="DA93">
        <v>18</v>
      </c>
      <c r="DB93">
        <v>101.73</v>
      </c>
      <c r="DD93" s="86" t="str">
        <f t="shared" si="15"/>
        <v>64883Mix + Intocáveis SC Johnson</v>
      </c>
      <c r="DE93">
        <v>64883</v>
      </c>
      <c r="DF93" t="s">
        <v>334</v>
      </c>
      <c r="DG93" t="s">
        <v>1345</v>
      </c>
      <c r="DH93" t="s">
        <v>103</v>
      </c>
      <c r="DI93" t="s">
        <v>1688</v>
      </c>
      <c r="DJ93" t="s">
        <v>1689</v>
      </c>
      <c r="DK93" t="s">
        <v>459</v>
      </c>
      <c r="DL93">
        <v>27.2</v>
      </c>
      <c r="DM93">
        <v>40</v>
      </c>
      <c r="DN93">
        <v>92.2</v>
      </c>
      <c r="DP93" s="86" t="str">
        <f t="shared" si="16"/>
        <v>57802Mix + Intocáveis SC Johnson</v>
      </c>
      <c r="DQ93">
        <v>57802</v>
      </c>
      <c r="DR93" t="s">
        <v>376</v>
      </c>
      <c r="DS93" t="s">
        <v>1004</v>
      </c>
      <c r="DT93" t="s">
        <v>103</v>
      </c>
      <c r="DU93" t="s">
        <v>1840</v>
      </c>
      <c r="DV93" t="s">
        <v>1841</v>
      </c>
      <c r="DW93" t="s">
        <v>459</v>
      </c>
      <c r="DX93">
        <v>13.2</v>
      </c>
      <c r="DY93">
        <v>40</v>
      </c>
      <c r="DZ93">
        <v>52.2</v>
      </c>
      <c r="EB93" s="86" t="str">
        <f t="shared" si="17"/>
        <v>135870Mix + Intocáveis SC Johnson</v>
      </c>
      <c r="EC93">
        <v>135870</v>
      </c>
      <c r="ED93" t="s">
        <v>339</v>
      </c>
      <c r="EE93" t="s">
        <v>1306</v>
      </c>
      <c r="EF93" t="s">
        <v>103</v>
      </c>
      <c r="EG93" t="s">
        <v>1920</v>
      </c>
      <c r="EH93" t="s">
        <v>1921</v>
      </c>
      <c r="EI93" t="s">
        <v>459</v>
      </c>
      <c r="EJ93">
        <v>38.4</v>
      </c>
      <c r="EK93">
        <v>40</v>
      </c>
      <c r="EL93">
        <v>94.4</v>
      </c>
    </row>
    <row r="94" spans="1:142" x14ac:dyDescent="0.35">
      <c r="A94" s="86" t="str">
        <f t="shared" si="18"/>
        <v>73922Share Sub Loc Pao Quente SC Johnson</v>
      </c>
      <c r="B94">
        <v>73922</v>
      </c>
      <c r="C94" t="s">
        <v>358</v>
      </c>
      <c r="D94" t="s">
        <v>103</v>
      </c>
      <c r="E94" t="s">
        <v>509</v>
      </c>
      <c r="F94" t="s">
        <v>510</v>
      </c>
      <c r="G94" t="s">
        <v>458</v>
      </c>
      <c r="H94">
        <v>57.08</v>
      </c>
      <c r="I94">
        <v>10.199999999999999</v>
      </c>
      <c r="J94">
        <v>17</v>
      </c>
      <c r="L94" s="86" t="str">
        <f t="shared" si="19"/>
        <v>69667Mix + Intocáveis SC Johnson</v>
      </c>
      <c r="M94">
        <v>69667</v>
      </c>
      <c r="N94" t="s">
        <v>387</v>
      </c>
      <c r="O94" t="s">
        <v>482</v>
      </c>
      <c r="P94" t="s">
        <v>103</v>
      </c>
      <c r="Q94" t="s">
        <v>660</v>
      </c>
      <c r="R94" t="s">
        <v>661</v>
      </c>
      <c r="S94" t="s">
        <v>459</v>
      </c>
      <c r="T94">
        <v>23.625</v>
      </c>
      <c r="U94">
        <v>45</v>
      </c>
      <c r="V94">
        <v>61.5</v>
      </c>
      <c r="X94" s="86" t="str">
        <f t="shared" si="20"/>
        <v>73977Mix + Intocáveis SC Johnson</v>
      </c>
      <c r="Y94">
        <v>73977</v>
      </c>
      <c r="Z94" t="s">
        <v>335</v>
      </c>
      <c r="AA94" t="s">
        <v>460</v>
      </c>
      <c r="AB94" t="s">
        <v>103</v>
      </c>
      <c r="AC94" t="s">
        <v>893</v>
      </c>
      <c r="AD94" t="s">
        <v>894</v>
      </c>
      <c r="AE94" t="s">
        <v>459</v>
      </c>
      <c r="AF94">
        <v>29.25</v>
      </c>
      <c r="AG94">
        <v>45</v>
      </c>
      <c r="AH94">
        <v>71.42</v>
      </c>
      <c r="AJ94" s="86" t="str">
        <f t="shared" si="21"/>
        <v>74744Cross Merchan SC Johnson</v>
      </c>
      <c r="AK94">
        <v>74744</v>
      </c>
      <c r="AL94" t="s">
        <v>359</v>
      </c>
      <c r="AM94" t="s">
        <v>104</v>
      </c>
      <c r="AN94" t="s">
        <v>103</v>
      </c>
      <c r="AO94" t="s">
        <v>919</v>
      </c>
      <c r="AP94" t="s">
        <v>920</v>
      </c>
      <c r="AQ94" t="s">
        <v>111</v>
      </c>
      <c r="AR94">
        <v>2.5</v>
      </c>
      <c r="AS94">
        <v>5</v>
      </c>
      <c r="AT94">
        <v>66.94</v>
      </c>
      <c r="AV94" s="86" t="str">
        <f t="shared" si="22"/>
        <v>74369Cross Merchan SC Johnson</v>
      </c>
      <c r="AW94">
        <v>74369</v>
      </c>
      <c r="AX94" t="s">
        <v>377</v>
      </c>
      <c r="AY94" t="s">
        <v>489</v>
      </c>
      <c r="AZ94" t="s">
        <v>103</v>
      </c>
      <c r="BA94" t="s">
        <v>1131</v>
      </c>
      <c r="BB94" t="s">
        <v>1132</v>
      </c>
      <c r="BC94" t="s">
        <v>111</v>
      </c>
      <c r="BD94">
        <v>3.335</v>
      </c>
      <c r="BE94">
        <v>5</v>
      </c>
      <c r="BF94">
        <v>66.8</v>
      </c>
      <c r="BH94" s="86" t="str">
        <f t="shared" si="23"/>
        <v>69667Cross Merchan SC Johnson</v>
      </c>
      <c r="BI94">
        <v>69667</v>
      </c>
      <c r="BJ94" t="s">
        <v>387</v>
      </c>
      <c r="BK94" t="s">
        <v>482</v>
      </c>
      <c r="BL94" t="s">
        <v>103</v>
      </c>
      <c r="BM94" t="s">
        <v>1227</v>
      </c>
      <c r="BN94" t="s">
        <v>1228</v>
      </c>
      <c r="BO94" t="s">
        <v>111</v>
      </c>
      <c r="BP94">
        <v>5</v>
      </c>
      <c r="BQ94">
        <v>5</v>
      </c>
      <c r="BR94">
        <v>77.78</v>
      </c>
      <c r="BT94" s="86" t="str">
        <f t="shared" si="12"/>
        <v>57802Mix + Intocáveis SC Johnson</v>
      </c>
      <c r="BU94">
        <v>57802</v>
      </c>
      <c r="BV94" t="s">
        <v>376</v>
      </c>
      <c r="BW94" t="s">
        <v>1004</v>
      </c>
      <c r="BX94" t="s">
        <v>103</v>
      </c>
      <c r="BY94" t="s">
        <v>1302</v>
      </c>
      <c r="BZ94" t="s">
        <v>1303</v>
      </c>
      <c r="CA94" t="s">
        <v>459</v>
      </c>
      <c r="CB94">
        <v>25.6</v>
      </c>
      <c r="CC94">
        <v>40</v>
      </c>
      <c r="CD94">
        <v>75.599999999999994</v>
      </c>
      <c r="CF94" s="86" t="str">
        <f t="shared" si="13"/>
        <v>57802Mix + Intocáveis SC Johnson</v>
      </c>
      <c r="CG94">
        <v>57802</v>
      </c>
      <c r="CH94" t="s">
        <v>376</v>
      </c>
      <c r="CI94" t="s">
        <v>1004</v>
      </c>
      <c r="CJ94" t="s">
        <v>103</v>
      </c>
      <c r="CK94" t="s">
        <v>1493</v>
      </c>
      <c r="CL94" t="s">
        <v>1494</v>
      </c>
      <c r="CM94" t="s">
        <v>459</v>
      </c>
      <c r="CN94">
        <v>28</v>
      </c>
      <c r="CO94">
        <v>40</v>
      </c>
      <c r="CP94">
        <v>78</v>
      </c>
      <c r="CR94" s="86" t="str">
        <f t="shared" si="14"/>
        <v>59280Mix + Intocáveis SC Johnson</v>
      </c>
      <c r="CS94">
        <v>59280</v>
      </c>
      <c r="CT94" t="s">
        <v>386</v>
      </c>
      <c r="CU94" t="s">
        <v>1272</v>
      </c>
      <c r="CV94" t="s">
        <v>103</v>
      </c>
      <c r="CW94" t="s">
        <v>1586</v>
      </c>
      <c r="CX94" t="s">
        <v>1587</v>
      </c>
      <c r="CY94" t="s">
        <v>459</v>
      </c>
      <c r="CZ94">
        <v>38.4</v>
      </c>
      <c r="DA94">
        <v>40</v>
      </c>
      <c r="DB94">
        <v>101.73</v>
      </c>
      <c r="DD94" s="86" t="str">
        <f t="shared" si="15"/>
        <v>64883Execucao Bonus</v>
      </c>
      <c r="DE94">
        <v>64883</v>
      </c>
      <c r="DF94" t="s">
        <v>334</v>
      </c>
      <c r="DG94" t="s">
        <v>1345</v>
      </c>
      <c r="DH94" t="s">
        <v>103</v>
      </c>
      <c r="DI94" t="s">
        <v>1688</v>
      </c>
      <c r="DJ94" t="s">
        <v>1689</v>
      </c>
      <c r="DK94" t="s">
        <v>1291</v>
      </c>
      <c r="DL94">
        <v>5</v>
      </c>
      <c r="DM94">
        <v>5</v>
      </c>
      <c r="DN94">
        <v>92.2</v>
      </c>
      <c r="DP94" s="86" t="str">
        <f t="shared" si="16"/>
        <v>57802Execucao Bonus</v>
      </c>
      <c r="DQ94">
        <v>57802</v>
      </c>
      <c r="DR94" t="s">
        <v>376</v>
      </c>
      <c r="DS94" t="s">
        <v>1004</v>
      </c>
      <c r="DT94" t="s">
        <v>103</v>
      </c>
      <c r="DU94" t="s">
        <v>1840</v>
      </c>
      <c r="DV94" t="s">
        <v>1841</v>
      </c>
      <c r="DW94" t="s">
        <v>1291</v>
      </c>
      <c r="DX94">
        <v>0</v>
      </c>
      <c r="DY94">
        <v>5</v>
      </c>
      <c r="DZ94">
        <v>52.2</v>
      </c>
      <c r="EB94" s="86" t="str">
        <f t="shared" si="17"/>
        <v>135870Execucao Bonus</v>
      </c>
      <c r="EC94">
        <v>135870</v>
      </c>
      <c r="ED94" t="s">
        <v>339</v>
      </c>
      <c r="EE94" t="s">
        <v>1306</v>
      </c>
      <c r="EF94" t="s">
        <v>103</v>
      </c>
      <c r="EG94" t="s">
        <v>1920</v>
      </c>
      <c r="EH94" t="s">
        <v>1921</v>
      </c>
      <c r="EI94" t="s">
        <v>1291</v>
      </c>
      <c r="EJ94">
        <v>5</v>
      </c>
      <c r="EK94">
        <v>5</v>
      </c>
      <c r="EL94">
        <v>94.4</v>
      </c>
    </row>
    <row r="95" spans="1:142" x14ac:dyDescent="0.35">
      <c r="A95" s="86" t="str">
        <f t="shared" si="18"/>
        <v>73922Mix + Intocáveis SC Johnson</v>
      </c>
      <c r="B95">
        <v>73922</v>
      </c>
      <c r="C95" t="s">
        <v>358</v>
      </c>
      <c r="D95" t="s">
        <v>103</v>
      </c>
      <c r="E95" t="s">
        <v>509</v>
      </c>
      <c r="F95" t="s">
        <v>510</v>
      </c>
      <c r="G95" t="s">
        <v>459</v>
      </c>
      <c r="H95">
        <v>57.08</v>
      </c>
      <c r="I95">
        <v>16.875</v>
      </c>
      <c r="J95">
        <v>45</v>
      </c>
      <c r="L95" s="86" t="str">
        <f t="shared" si="19"/>
        <v>73922Share Sub Category SC Johnson</v>
      </c>
      <c r="M95">
        <v>73922</v>
      </c>
      <c r="N95" t="s">
        <v>358</v>
      </c>
      <c r="O95" t="s">
        <v>482</v>
      </c>
      <c r="P95" t="s">
        <v>103</v>
      </c>
      <c r="Q95" t="s">
        <v>662</v>
      </c>
      <c r="R95" t="s">
        <v>663</v>
      </c>
      <c r="S95" t="s">
        <v>457</v>
      </c>
      <c r="T95">
        <v>21.42</v>
      </c>
      <c r="U95">
        <v>30</v>
      </c>
      <c r="V95">
        <v>76.17</v>
      </c>
      <c r="X95" s="86" t="str">
        <f t="shared" si="20"/>
        <v>74369Share Sub Category SC Johnson</v>
      </c>
      <c r="Y95">
        <v>74369</v>
      </c>
      <c r="Z95" t="s">
        <v>377</v>
      </c>
      <c r="AA95" t="s">
        <v>104</v>
      </c>
      <c r="AB95" t="s">
        <v>103</v>
      </c>
      <c r="AC95" t="s">
        <v>789</v>
      </c>
      <c r="AD95" t="s">
        <v>790</v>
      </c>
      <c r="AE95" t="s">
        <v>457</v>
      </c>
      <c r="AF95">
        <v>21.42</v>
      </c>
      <c r="AG95">
        <v>30</v>
      </c>
      <c r="AH95">
        <v>80.67</v>
      </c>
      <c r="AJ95" s="86" t="str">
        <f t="shared" si="21"/>
        <v>74744Share Sub Loc Pao Quente SC Johnson</v>
      </c>
      <c r="AK95">
        <v>74744</v>
      </c>
      <c r="AL95" t="s">
        <v>359</v>
      </c>
      <c r="AM95" t="s">
        <v>104</v>
      </c>
      <c r="AN95" t="s">
        <v>103</v>
      </c>
      <c r="AO95" t="s">
        <v>919</v>
      </c>
      <c r="AP95" t="s">
        <v>920</v>
      </c>
      <c r="AQ95" t="s">
        <v>458</v>
      </c>
      <c r="AR95">
        <v>9</v>
      </c>
      <c r="AS95">
        <v>12</v>
      </c>
      <c r="AT95">
        <v>66.94</v>
      </c>
      <c r="AV95" s="86" t="str">
        <f t="shared" si="22"/>
        <v>74369Share Sub Loc Pao Quente SC Johnson</v>
      </c>
      <c r="AW95">
        <v>74369</v>
      </c>
      <c r="AX95" t="s">
        <v>377</v>
      </c>
      <c r="AY95" t="s">
        <v>489</v>
      </c>
      <c r="AZ95" t="s">
        <v>103</v>
      </c>
      <c r="BA95" t="s">
        <v>1131</v>
      </c>
      <c r="BB95" t="s">
        <v>1132</v>
      </c>
      <c r="BC95" t="s">
        <v>458</v>
      </c>
      <c r="BD95">
        <v>9</v>
      </c>
      <c r="BE95">
        <v>12</v>
      </c>
      <c r="BF95">
        <v>66.8</v>
      </c>
      <c r="BH95" s="86" t="str">
        <f t="shared" si="23"/>
        <v>69667Share Sub Loc Pao Quente SC Johnson</v>
      </c>
      <c r="BI95">
        <v>69667</v>
      </c>
      <c r="BJ95" t="s">
        <v>387</v>
      </c>
      <c r="BK95" t="s">
        <v>482</v>
      </c>
      <c r="BL95" t="s">
        <v>103</v>
      </c>
      <c r="BM95" t="s">
        <v>1227</v>
      </c>
      <c r="BN95" t="s">
        <v>1228</v>
      </c>
      <c r="BO95" t="s">
        <v>458</v>
      </c>
      <c r="BP95">
        <v>9</v>
      </c>
      <c r="BQ95">
        <v>12</v>
      </c>
      <c r="BR95">
        <v>77.78</v>
      </c>
      <c r="BT95" s="86" t="str">
        <f t="shared" si="12"/>
        <v>57802Share Sub Category SC Johnson</v>
      </c>
      <c r="BU95">
        <v>57802</v>
      </c>
      <c r="BV95" t="s">
        <v>376</v>
      </c>
      <c r="BW95" t="s">
        <v>1004</v>
      </c>
      <c r="BX95" t="s">
        <v>103</v>
      </c>
      <c r="BY95" t="s">
        <v>1302</v>
      </c>
      <c r="BZ95" t="s">
        <v>1303</v>
      </c>
      <c r="CA95" t="s">
        <v>457</v>
      </c>
      <c r="CB95">
        <v>25</v>
      </c>
      <c r="CC95">
        <v>25</v>
      </c>
      <c r="CD95">
        <v>75.599999999999994</v>
      </c>
      <c r="CF95" s="86" t="str">
        <f t="shared" si="13"/>
        <v>57802Share Sub Category SC Johnson</v>
      </c>
      <c r="CG95">
        <v>57802</v>
      </c>
      <c r="CH95" t="s">
        <v>376</v>
      </c>
      <c r="CI95" t="s">
        <v>1004</v>
      </c>
      <c r="CJ95" t="s">
        <v>103</v>
      </c>
      <c r="CK95" t="s">
        <v>1493</v>
      </c>
      <c r="CL95" t="s">
        <v>1494</v>
      </c>
      <c r="CM95" t="s">
        <v>457</v>
      </c>
      <c r="CN95">
        <v>25</v>
      </c>
      <c r="CO95">
        <v>25</v>
      </c>
      <c r="CP95">
        <v>78</v>
      </c>
      <c r="CR95" s="86" t="str">
        <f t="shared" si="14"/>
        <v>59280Share Sub Category SC Johnson</v>
      </c>
      <c r="CS95">
        <v>59280</v>
      </c>
      <c r="CT95" t="s">
        <v>386</v>
      </c>
      <c r="CU95" t="s">
        <v>1272</v>
      </c>
      <c r="CV95" t="s">
        <v>103</v>
      </c>
      <c r="CW95" t="s">
        <v>1586</v>
      </c>
      <c r="CX95" t="s">
        <v>1587</v>
      </c>
      <c r="CY95" t="s">
        <v>457</v>
      </c>
      <c r="CZ95">
        <v>25</v>
      </c>
      <c r="DA95">
        <v>25</v>
      </c>
      <c r="DB95">
        <v>101.73</v>
      </c>
      <c r="DD95" s="86" t="str">
        <f t="shared" si="15"/>
        <v>64883Cross Merchan SC Johnson</v>
      </c>
      <c r="DE95">
        <v>64883</v>
      </c>
      <c r="DF95" t="s">
        <v>334</v>
      </c>
      <c r="DG95" t="s">
        <v>1345</v>
      </c>
      <c r="DH95" t="s">
        <v>103</v>
      </c>
      <c r="DI95" t="s">
        <v>1688</v>
      </c>
      <c r="DJ95" t="s">
        <v>1689</v>
      </c>
      <c r="DK95" t="s">
        <v>111</v>
      </c>
      <c r="DL95">
        <v>5</v>
      </c>
      <c r="DM95">
        <v>5</v>
      </c>
      <c r="DN95">
        <v>92.2</v>
      </c>
      <c r="DP95" s="86" t="str">
        <f t="shared" si="16"/>
        <v>57802Cross Merchan SC Johnson</v>
      </c>
      <c r="DQ95">
        <v>57802</v>
      </c>
      <c r="DR95" t="s">
        <v>376</v>
      </c>
      <c r="DS95" t="s">
        <v>1004</v>
      </c>
      <c r="DT95" t="s">
        <v>103</v>
      </c>
      <c r="DU95" t="s">
        <v>1840</v>
      </c>
      <c r="DV95" t="s">
        <v>1841</v>
      </c>
      <c r="DW95" t="s">
        <v>111</v>
      </c>
      <c r="DX95">
        <v>5</v>
      </c>
      <c r="DY95">
        <v>5</v>
      </c>
      <c r="DZ95">
        <v>52.2</v>
      </c>
      <c r="EB95" s="86" t="str">
        <f t="shared" si="17"/>
        <v>135870Cross Merchan SC Johnson</v>
      </c>
      <c r="EC95">
        <v>135870</v>
      </c>
      <c r="ED95" t="s">
        <v>339</v>
      </c>
      <c r="EE95" t="s">
        <v>1306</v>
      </c>
      <c r="EF95" t="s">
        <v>103</v>
      </c>
      <c r="EG95" t="s">
        <v>1920</v>
      </c>
      <c r="EH95" t="s">
        <v>1921</v>
      </c>
      <c r="EI95" t="s">
        <v>111</v>
      </c>
      <c r="EJ95">
        <v>5</v>
      </c>
      <c r="EK95">
        <v>5</v>
      </c>
      <c r="EL95">
        <v>94.4</v>
      </c>
    </row>
    <row r="96" spans="1:142" x14ac:dyDescent="0.35">
      <c r="A96" s="86" t="str">
        <f t="shared" si="18"/>
        <v>73977Share Sub Category SC Johnson</v>
      </c>
      <c r="B96">
        <v>73977</v>
      </c>
      <c r="C96" t="s">
        <v>335</v>
      </c>
      <c r="D96" t="s">
        <v>103</v>
      </c>
      <c r="E96" t="s">
        <v>511</v>
      </c>
      <c r="F96" t="s">
        <v>512</v>
      </c>
      <c r="G96" t="s">
        <v>457</v>
      </c>
      <c r="H96">
        <v>65.16</v>
      </c>
      <c r="I96">
        <v>25.71</v>
      </c>
      <c r="J96">
        <v>30</v>
      </c>
      <c r="L96" s="86" t="str">
        <f t="shared" si="19"/>
        <v>73922Cross Merchan SC Johnson</v>
      </c>
      <c r="M96">
        <v>73922</v>
      </c>
      <c r="N96" t="s">
        <v>358</v>
      </c>
      <c r="O96" t="s">
        <v>482</v>
      </c>
      <c r="P96" t="s">
        <v>103</v>
      </c>
      <c r="Q96" t="s">
        <v>662</v>
      </c>
      <c r="R96" t="s">
        <v>663</v>
      </c>
      <c r="S96" t="s">
        <v>111</v>
      </c>
      <c r="T96">
        <v>8</v>
      </c>
      <c r="U96">
        <v>8</v>
      </c>
      <c r="V96">
        <v>76.17</v>
      </c>
      <c r="X96" s="86" t="str">
        <f t="shared" si="20"/>
        <v>74369Cross Merchan SC Johnson</v>
      </c>
      <c r="Y96">
        <v>74369</v>
      </c>
      <c r="Z96" t="s">
        <v>377</v>
      </c>
      <c r="AA96" t="s">
        <v>104</v>
      </c>
      <c r="AB96" t="s">
        <v>103</v>
      </c>
      <c r="AC96" t="s">
        <v>789</v>
      </c>
      <c r="AD96" t="s">
        <v>790</v>
      </c>
      <c r="AE96" t="s">
        <v>111</v>
      </c>
      <c r="AF96">
        <v>8</v>
      </c>
      <c r="AG96">
        <v>8</v>
      </c>
      <c r="AH96">
        <v>80.67</v>
      </c>
      <c r="AJ96" s="86" t="str">
        <f t="shared" si="21"/>
        <v>74744Mix + Intocáveis SC Johnson</v>
      </c>
      <c r="AK96">
        <v>74744</v>
      </c>
      <c r="AL96" t="s">
        <v>359</v>
      </c>
      <c r="AM96" t="s">
        <v>104</v>
      </c>
      <c r="AN96" t="s">
        <v>103</v>
      </c>
      <c r="AO96" t="s">
        <v>919</v>
      </c>
      <c r="AP96" t="s">
        <v>920</v>
      </c>
      <c r="AQ96" t="s">
        <v>459</v>
      </c>
      <c r="AR96">
        <v>30.44</v>
      </c>
      <c r="AS96">
        <v>40</v>
      </c>
      <c r="AT96">
        <v>66.94</v>
      </c>
      <c r="AV96" s="86" t="str">
        <f t="shared" si="22"/>
        <v>74369Mix + Intocáveis SC Johnson</v>
      </c>
      <c r="AW96">
        <v>74369</v>
      </c>
      <c r="AX96" t="s">
        <v>377</v>
      </c>
      <c r="AY96" t="s">
        <v>489</v>
      </c>
      <c r="AZ96" t="s">
        <v>103</v>
      </c>
      <c r="BA96" t="s">
        <v>1131</v>
      </c>
      <c r="BB96" t="s">
        <v>1132</v>
      </c>
      <c r="BC96" t="s">
        <v>459</v>
      </c>
      <c r="BD96">
        <v>33.04</v>
      </c>
      <c r="BE96">
        <v>40</v>
      </c>
      <c r="BF96">
        <v>66.8</v>
      </c>
      <c r="BH96" s="86" t="str">
        <f t="shared" si="23"/>
        <v>69667Mix + Intocáveis SC Johnson</v>
      </c>
      <c r="BI96">
        <v>69667</v>
      </c>
      <c r="BJ96" t="s">
        <v>387</v>
      </c>
      <c r="BK96" t="s">
        <v>482</v>
      </c>
      <c r="BL96" t="s">
        <v>103</v>
      </c>
      <c r="BM96" t="s">
        <v>1227</v>
      </c>
      <c r="BN96" t="s">
        <v>1228</v>
      </c>
      <c r="BO96" t="s">
        <v>459</v>
      </c>
      <c r="BP96">
        <v>24.36</v>
      </c>
      <c r="BQ96">
        <v>40</v>
      </c>
      <c r="BR96">
        <v>77.78</v>
      </c>
      <c r="BT96" s="86" t="str">
        <f t="shared" si="12"/>
        <v>57802Share Sub Loc Pao Quente SC Johnson</v>
      </c>
      <c r="BU96">
        <v>57802</v>
      </c>
      <c r="BV96" t="s">
        <v>376</v>
      </c>
      <c r="BW96" t="s">
        <v>1004</v>
      </c>
      <c r="BX96" t="s">
        <v>103</v>
      </c>
      <c r="BY96" t="s">
        <v>1302</v>
      </c>
      <c r="BZ96" t="s">
        <v>1303</v>
      </c>
      <c r="CA96" t="s">
        <v>458</v>
      </c>
      <c r="CB96">
        <v>6</v>
      </c>
      <c r="CC96">
        <v>12</v>
      </c>
      <c r="CD96">
        <v>75.599999999999994</v>
      </c>
      <c r="CF96" s="86" t="str">
        <f t="shared" si="13"/>
        <v>57802Share Sub Loc Pao Quente SC Johnson</v>
      </c>
      <c r="CG96">
        <v>57802</v>
      </c>
      <c r="CH96" t="s">
        <v>376</v>
      </c>
      <c r="CI96" t="s">
        <v>1004</v>
      </c>
      <c r="CJ96" t="s">
        <v>103</v>
      </c>
      <c r="CK96" t="s">
        <v>1493</v>
      </c>
      <c r="CL96" t="s">
        <v>1494</v>
      </c>
      <c r="CM96" t="s">
        <v>458</v>
      </c>
      <c r="CN96">
        <v>6</v>
      </c>
      <c r="CO96">
        <v>12</v>
      </c>
      <c r="CP96">
        <v>78</v>
      </c>
      <c r="CR96" s="86" t="str">
        <f t="shared" si="14"/>
        <v>59280Share Sub Loc Pao Quente SC Johnson</v>
      </c>
      <c r="CS96">
        <v>59280</v>
      </c>
      <c r="CT96" t="s">
        <v>386</v>
      </c>
      <c r="CU96" t="s">
        <v>1272</v>
      </c>
      <c r="CV96" t="s">
        <v>103</v>
      </c>
      <c r="CW96" t="s">
        <v>1586</v>
      </c>
      <c r="CX96" t="s">
        <v>1587</v>
      </c>
      <c r="CY96" t="s">
        <v>458</v>
      </c>
      <c r="CZ96">
        <v>12</v>
      </c>
      <c r="DA96">
        <v>12</v>
      </c>
      <c r="DB96">
        <v>101.73</v>
      </c>
      <c r="DD96" s="86" t="str">
        <f t="shared" si="15"/>
        <v>64883Lancamentos</v>
      </c>
      <c r="DE96">
        <v>64883</v>
      </c>
      <c r="DF96" t="s">
        <v>334</v>
      </c>
      <c r="DG96" t="s">
        <v>1345</v>
      </c>
      <c r="DH96" t="s">
        <v>103</v>
      </c>
      <c r="DI96" t="s">
        <v>1688</v>
      </c>
      <c r="DJ96" t="s">
        <v>1689</v>
      </c>
      <c r="DK96" t="s">
        <v>953</v>
      </c>
      <c r="DL96">
        <v>18</v>
      </c>
      <c r="DM96">
        <v>18</v>
      </c>
      <c r="DN96">
        <v>92.2</v>
      </c>
      <c r="DP96" s="86" t="str">
        <f t="shared" si="16"/>
        <v>57802Lancamentos</v>
      </c>
      <c r="DQ96">
        <v>57802</v>
      </c>
      <c r="DR96" t="s">
        <v>376</v>
      </c>
      <c r="DS96" t="s">
        <v>1004</v>
      </c>
      <c r="DT96" t="s">
        <v>103</v>
      </c>
      <c r="DU96" t="s">
        <v>1840</v>
      </c>
      <c r="DV96" t="s">
        <v>1841</v>
      </c>
      <c r="DW96" t="s">
        <v>953</v>
      </c>
      <c r="DX96">
        <v>9</v>
      </c>
      <c r="DY96">
        <v>18</v>
      </c>
      <c r="DZ96">
        <v>52.2</v>
      </c>
      <c r="EB96" s="86" t="str">
        <f t="shared" si="17"/>
        <v>135870Lancamentos</v>
      </c>
      <c r="EC96">
        <v>135870</v>
      </c>
      <c r="ED96" t="s">
        <v>339</v>
      </c>
      <c r="EE96" t="s">
        <v>1306</v>
      </c>
      <c r="EF96" t="s">
        <v>103</v>
      </c>
      <c r="EG96" t="s">
        <v>1920</v>
      </c>
      <c r="EH96" t="s">
        <v>1921</v>
      </c>
      <c r="EI96" t="s">
        <v>953</v>
      </c>
      <c r="EJ96">
        <v>9</v>
      </c>
      <c r="EK96">
        <v>18</v>
      </c>
      <c r="EL96">
        <v>94.4</v>
      </c>
    </row>
    <row r="97" spans="1:142" x14ac:dyDescent="0.35">
      <c r="A97" s="86" t="str">
        <f t="shared" si="18"/>
        <v>73977Cross Merchan SC Johnson</v>
      </c>
      <c r="B97">
        <v>73977</v>
      </c>
      <c r="C97" t="s">
        <v>335</v>
      </c>
      <c r="D97" t="s">
        <v>103</v>
      </c>
      <c r="E97" t="s">
        <v>511</v>
      </c>
      <c r="F97" t="s">
        <v>512</v>
      </c>
      <c r="G97" t="s">
        <v>111</v>
      </c>
      <c r="H97">
        <v>65.16</v>
      </c>
      <c r="I97">
        <v>0</v>
      </c>
      <c r="J97">
        <v>8</v>
      </c>
      <c r="L97" s="86" t="str">
        <f t="shared" si="19"/>
        <v>73922Share Sub Loc Pao Quente SC Johnson</v>
      </c>
      <c r="M97">
        <v>73922</v>
      </c>
      <c r="N97" t="s">
        <v>358</v>
      </c>
      <c r="O97" t="s">
        <v>482</v>
      </c>
      <c r="P97" t="s">
        <v>103</v>
      </c>
      <c r="Q97" t="s">
        <v>662</v>
      </c>
      <c r="R97" t="s">
        <v>663</v>
      </c>
      <c r="S97" t="s">
        <v>458</v>
      </c>
      <c r="T97">
        <v>8.5</v>
      </c>
      <c r="U97">
        <v>17</v>
      </c>
      <c r="V97">
        <v>76.17</v>
      </c>
      <c r="X97" s="86" t="str">
        <f t="shared" si="20"/>
        <v>74369Share Sub Loc Pao Quente SC Johnson</v>
      </c>
      <c r="Y97">
        <v>74369</v>
      </c>
      <c r="Z97" t="s">
        <v>377</v>
      </c>
      <c r="AA97" t="s">
        <v>104</v>
      </c>
      <c r="AB97" t="s">
        <v>103</v>
      </c>
      <c r="AC97" t="s">
        <v>789</v>
      </c>
      <c r="AD97" t="s">
        <v>790</v>
      </c>
      <c r="AE97" t="s">
        <v>458</v>
      </c>
      <c r="AF97">
        <v>8.5</v>
      </c>
      <c r="AG97">
        <v>17</v>
      </c>
      <c r="AH97">
        <v>80.67</v>
      </c>
      <c r="AJ97" s="86" t="str">
        <f t="shared" si="21"/>
        <v>74744Lancamentos</v>
      </c>
      <c r="AK97">
        <v>74744</v>
      </c>
      <c r="AL97" t="s">
        <v>359</v>
      </c>
      <c r="AM97" t="s">
        <v>104</v>
      </c>
      <c r="AN97" t="s">
        <v>103</v>
      </c>
      <c r="AO97" t="s">
        <v>919</v>
      </c>
      <c r="AP97" t="s">
        <v>920</v>
      </c>
      <c r="AQ97" t="s">
        <v>953</v>
      </c>
      <c r="AR97">
        <v>0</v>
      </c>
      <c r="AS97">
        <v>18</v>
      </c>
      <c r="AT97">
        <v>66.94</v>
      </c>
      <c r="AV97" s="86" t="str">
        <f t="shared" si="22"/>
        <v>74369Lancamentos</v>
      </c>
      <c r="AW97">
        <v>74369</v>
      </c>
      <c r="AX97" t="s">
        <v>377</v>
      </c>
      <c r="AY97" t="s">
        <v>489</v>
      </c>
      <c r="AZ97" t="s">
        <v>103</v>
      </c>
      <c r="BA97" t="s">
        <v>1131</v>
      </c>
      <c r="BB97" t="s">
        <v>1132</v>
      </c>
      <c r="BC97" t="s">
        <v>953</v>
      </c>
      <c r="BD97">
        <v>0</v>
      </c>
      <c r="BE97">
        <v>18</v>
      </c>
      <c r="BF97">
        <v>66.8</v>
      </c>
      <c r="BH97" s="86" t="str">
        <f t="shared" si="23"/>
        <v>69667Lancamentos</v>
      </c>
      <c r="BI97">
        <v>69667</v>
      </c>
      <c r="BJ97" t="s">
        <v>387</v>
      </c>
      <c r="BK97" t="s">
        <v>482</v>
      </c>
      <c r="BL97" t="s">
        <v>103</v>
      </c>
      <c r="BM97" t="s">
        <v>1227</v>
      </c>
      <c r="BN97" t="s">
        <v>1228</v>
      </c>
      <c r="BO97" t="s">
        <v>953</v>
      </c>
      <c r="BP97">
        <v>18</v>
      </c>
      <c r="BQ97">
        <v>18</v>
      </c>
      <c r="BR97">
        <v>77.78</v>
      </c>
      <c r="BT97" s="86" t="str">
        <f t="shared" si="12"/>
        <v>57802Cross Merchan SC Johnson</v>
      </c>
      <c r="BU97">
        <v>57802</v>
      </c>
      <c r="BV97" t="s">
        <v>376</v>
      </c>
      <c r="BW97" t="s">
        <v>1004</v>
      </c>
      <c r="BX97" t="s">
        <v>103</v>
      </c>
      <c r="BY97" t="s">
        <v>1302</v>
      </c>
      <c r="BZ97" t="s">
        <v>1303</v>
      </c>
      <c r="CA97" t="s">
        <v>111</v>
      </c>
      <c r="CB97">
        <v>5</v>
      </c>
      <c r="CC97">
        <v>5</v>
      </c>
      <c r="CD97">
        <v>75.599999999999994</v>
      </c>
      <c r="CF97" s="86" t="str">
        <f t="shared" si="13"/>
        <v>57802Cross Merchan SC Johnson</v>
      </c>
      <c r="CG97">
        <v>57802</v>
      </c>
      <c r="CH97" t="s">
        <v>376</v>
      </c>
      <c r="CI97" t="s">
        <v>1004</v>
      </c>
      <c r="CJ97" t="s">
        <v>103</v>
      </c>
      <c r="CK97" t="s">
        <v>1493</v>
      </c>
      <c r="CL97" t="s">
        <v>1494</v>
      </c>
      <c r="CM97" t="s">
        <v>111</v>
      </c>
      <c r="CN97">
        <v>5</v>
      </c>
      <c r="CO97">
        <v>5</v>
      </c>
      <c r="CP97">
        <v>78</v>
      </c>
      <c r="CR97" s="86" t="str">
        <f t="shared" si="14"/>
        <v>59280Cross Merchan SC Johnson</v>
      </c>
      <c r="CS97">
        <v>59280</v>
      </c>
      <c r="CT97" t="s">
        <v>386</v>
      </c>
      <c r="CU97" t="s">
        <v>1272</v>
      </c>
      <c r="CV97" t="s">
        <v>103</v>
      </c>
      <c r="CW97" t="s">
        <v>1586</v>
      </c>
      <c r="CX97" t="s">
        <v>1587</v>
      </c>
      <c r="CY97" t="s">
        <v>111</v>
      </c>
      <c r="CZ97">
        <v>3.335</v>
      </c>
      <c r="DA97">
        <v>5</v>
      </c>
      <c r="DB97">
        <v>101.73</v>
      </c>
      <c r="DD97" s="86" t="str">
        <f t="shared" si="15"/>
        <v>64883Share Sub Category SC Johnson</v>
      </c>
      <c r="DE97">
        <v>64883</v>
      </c>
      <c r="DF97" t="s">
        <v>334</v>
      </c>
      <c r="DG97" t="s">
        <v>1345</v>
      </c>
      <c r="DH97" t="s">
        <v>103</v>
      </c>
      <c r="DI97" t="s">
        <v>1688</v>
      </c>
      <c r="DJ97" t="s">
        <v>1689</v>
      </c>
      <c r="DK97" t="s">
        <v>457</v>
      </c>
      <c r="DL97">
        <v>25</v>
      </c>
      <c r="DM97">
        <v>25</v>
      </c>
      <c r="DN97">
        <v>92.2</v>
      </c>
      <c r="DP97" s="86" t="str">
        <f t="shared" si="16"/>
        <v>57802Share Sub Category SC Johnson</v>
      </c>
      <c r="DQ97">
        <v>57802</v>
      </c>
      <c r="DR97" t="s">
        <v>376</v>
      </c>
      <c r="DS97" t="s">
        <v>1004</v>
      </c>
      <c r="DT97" t="s">
        <v>103</v>
      </c>
      <c r="DU97" t="s">
        <v>1840</v>
      </c>
      <c r="DV97" t="s">
        <v>1841</v>
      </c>
      <c r="DW97" t="s">
        <v>457</v>
      </c>
      <c r="DX97">
        <v>25</v>
      </c>
      <c r="DY97">
        <v>25</v>
      </c>
      <c r="DZ97">
        <v>52.2</v>
      </c>
      <c r="EB97" s="86" t="str">
        <f t="shared" si="17"/>
        <v>135870Share Sub Category SC Johnson</v>
      </c>
      <c r="EC97">
        <v>135870</v>
      </c>
      <c r="ED97" t="s">
        <v>339</v>
      </c>
      <c r="EE97" t="s">
        <v>1306</v>
      </c>
      <c r="EF97" t="s">
        <v>103</v>
      </c>
      <c r="EG97" t="s">
        <v>1920</v>
      </c>
      <c r="EH97" t="s">
        <v>1921</v>
      </c>
      <c r="EI97" t="s">
        <v>457</v>
      </c>
      <c r="EJ97">
        <v>25</v>
      </c>
      <c r="EK97">
        <v>25</v>
      </c>
      <c r="EL97">
        <v>94.4</v>
      </c>
    </row>
    <row r="98" spans="1:142" x14ac:dyDescent="0.35">
      <c r="A98" s="86" t="str">
        <f t="shared" si="18"/>
        <v>73977Share Sub Loc Pao Quente SC Johnson</v>
      </c>
      <c r="B98">
        <v>73977</v>
      </c>
      <c r="C98" t="s">
        <v>335</v>
      </c>
      <c r="D98" t="s">
        <v>103</v>
      </c>
      <c r="E98" t="s">
        <v>511</v>
      </c>
      <c r="F98" t="s">
        <v>512</v>
      </c>
      <c r="G98" t="s">
        <v>458</v>
      </c>
      <c r="H98">
        <v>65.16</v>
      </c>
      <c r="I98">
        <v>10.199999999999999</v>
      </c>
      <c r="J98">
        <v>17</v>
      </c>
      <c r="L98" s="86" t="str">
        <f t="shared" si="19"/>
        <v>73922Mix + Intocáveis SC Johnson</v>
      </c>
      <c r="M98">
        <v>73922</v>
      </c>
      <c r="N98" t="s">
        <v>358</v>
      </c>
      <c r="O98" t="s">
        <v>482</v>
      </c>
      <c r="P98" t="s">
        <v>103</v>
      </c>
      <c r="Q98" t="s">
        <v>662</v>
      </c>
      <c r="R98" t="s">
        <v>663</v>
      </c>
      <c r="S98" t="s">
        <v>459</v>
      </c>
      <c r="T98">
        <v>38.25</v>
      </c>
      <c r="U98">
        <v>45</v>
      </c>
      <c r="V98">
        <v>76.17</v>
      </c>
      <c r="X98" s="86" t="str">
        <f t="shared" si="20"/>
        <v>74369Mix + Intocáveis SC Johnson</v>
      </c>
      <c r="Y98">
        <v>74369</v>
      </c>
      <c r="Z98" t="s">
        <v>377</v>
      </c>
      <c r="AA98" t="s">
        <v>104</v>
      </c>
      <c r="AB98" t="s">
        <v>103</v>
      </c>
      <c r="AC98" t="s">
        <v>789</v>
      </c>
      <c r="AD98" t="s">
        <v>790</v>
      </c>
      <c r="AE98" t="s">
        <v>459</v>
      </c>
      <c r="AF98">
        <v>42.75</v>
      </c>
      <c r="AG98">
        <v>45</v>
      </c>
      <c r="AH98">
        <v>80.67</v>
      </c>
      <c r="AJ98" s="86" t="str">
        <f t="shared" si="21"/>
        <v>102953Share Sub Category SC Johnson</v>
      </c>
      <c r="AK98">
        <v>102953</v>
      </c>
      <c r="AL98" t="s">
        <v>388</v>
      </c>
      <c r="AM98" t="s">
        <v>104</v>
      </c>
      <c r="AN98" t="s">
        <v>103</v>
      </c>
      <c r="AO98" t="s">
        <v>988</v>
      </c>
      <c r="AP98" t="s">
        <v>989</v>
      </c>
      <c r="AQ98" t="s">
        <v>457</v>
      </c>
      <c r="AR98">
        <v>25</v>
      </c>
      <c r="AS98">
        <v>25</v>
      </c>
      <c r="AT98">
        <v>70.819999999999993</v>
      </c>
      <c r="AV98" s="86" t="str">
        <f t="shared" si="22"/>
        <v>74744Share Sub Category SC Johnson</v>
      </c>
      <c r="AW98">
        <v>74744</v>
      </c>
      <c r="AX98" t="s">
        <v>359</v>
      </c>
      <c r="AY98" t="s">
        <v>477</v>
      </c>
      <c r="AZ98" t="s">
        <v>103</v>
      </c>
      <c r="BA98" t="s">
        <v>1069</v>
      </c>
      <c r="BB98" t="s">
        <v>1070</v>
      </c>
      <c r="BC98" t="s">
        <v>457</v>
      </c>
      <c r="BD98">
        <v>25</v>
      </c>
      <c r="BE98">
        <v>25</v>
      </c>
      <c r="BF98">
        <v>60.08</v>
      </c>
      <c r="BH98" s="86" t="str">
        <f t="shared" si="23"/>
        <v>73922Share Sub Category SC Johnson</v>
      </c>
      <c r="BI98">
        <v>73922</v>
      </c>
      <c r="BJ98" t="s">
        <v>358</v>
      </c>
      <c r="BK98" t="s">
        <v>482</v>
      </c>
      <c r="BL98" t="s">
        <v>103</v>
      </c>
      <c r="BM98" t="s">
        <v>1229</v>
      </c>
      <c r="BN98" t="s">
        <v>1230</v>
      </c>
      <c r="BO98" t="s">
        <v>457</v>
      </c>
      <c r="BP98">
        <v>25</v>
      </c>
      <c r="BQ98">
        <v>25</v>
      </c>
      <c r="BR98">
        <v>73.319999999999993</v>
      </c>
      <c r="BT98" s="86" t="str">
        <f t="shared" si="12"/>
        <v>57802Execucao Bonus</v>
      </c>
      <c r="BU98">
        <v>57802</v>
      </c>
      <c r="BV98" t="s">
        <v>376</v>
      </c>
      <c r="BW98" t="s">
        <v>1004</v>
      </c>
      <c r="BX98" t="s">
        <v>103</v>
      </c>
      <c r="BY98" t="s">
        <v>1302</v>
      </c>
      <c r="BZ98" t="s">
        <v>1303</v>
      </c>
      <c r="CA98" t="s">
        <v>1291</v>
      </c>
      <c r="CB98">
        <v>5</v>
      </c>
      <c r="CC98">
        <v>5</v>
      </c>
      <c r="CD98">
        <v>75.599999999999994</v>
      </c>
      <c r="CF98" s="86" t="str">
        <f t="shared" si="13"/>
        <v>57802Execucao Bonus</v>
      </c>
      <c r="CG98">
        <v>57802</v>
      </c>
      <c r="CH98" t="s">
        <v>376</v>
      </c>
      <c r="CI98" t="s">
        <v>1004</v>
      </c>
      <c r="CJ98" t="s">
        <v>103</v>
      </c>
      <c r="CK98" t="s">
        <v>1493</v>
      </c>
      <c r="CL98" t="s">
        <v>1494</v>
      </c>
      <c r="CM98" t="s">
        <v>1291</v>
      </c>
      <c r="CN98">
        <v>5</v>
      </c>
      <c r="CO98">
        <v>5</v>
      </c>
      <c r="CP98">
        <v>78</v>
      </c>
      <c r="CR98" s="86" t="str">
        <f t="shared" si="14"/>
        <v>59280Execucao Bonus</v>
      </c>
      <c r="CS98">
        <v>59280</v>
      </c>
      <c r="CT98" t="s">
        <v>386</v>
      </c>
      <c r="CU98" t="s">
        <v>1272</v>
      </c>
      <c r="CV98" t="s">
        <v>103</v>
      </c>
      <c r="CW98" t="s">
        <v>1586</v>
      </c>
      <c r="CX98" t="s">
        <v>1587</v>
      </c>
      <c r="CY98" t="s">
        <v>1291</v>
      </c>
      <c r="CZ98">
        <v>3.27</v>
      </c>
      <c r="DA98">
        <v>5</v>
      </c>
      <c r="DB98">
        <v>101.73</v>
      </c>
      <c r="DD98" s="86" t="str">
        <f t="shared" si="15"/>
        <v>64883Share Sub Loc Pao Quente SC Johnson</v>
      </c>
      <c r="DE98">
        <v>64883</v>
      </c>
      <c r="DF98" t="s">
        <v>334</v>
      </c>
      <c r="DG98" t="s">
        <v>1345</v>
      </c>
      <c r="DH98" t="s">
        <v>103</v>
      </c>
      <c r="DI98" t="s">
        <v>1688</v>
      </c>
      <c r="DJ98" t="s">
        <v>1689</v>
      </c>
      <c r="DK98" t="s">
        <v>458</v>
      </c>
      <c r="DL98">
        <v>12</v>
      </c>
      <c r="DM98">
        <v>12</v>
      </c>
      <c r="DN98">
        <v>92.2</v>
      </c>
      <c r="DP98" s="86" t="str">
        <f t="shared" si="16"/>
        <v>57802Share Sub Loc Pao Quente SC Johnson</v>
      </c>
      <c r="DQ98">
        <v>57802</v>
      </c>
      <c r="DR98" t="s">
        <v>376</v>
      </c>
      <c r="DS98" t="s">
        <v>1004</v>
      </c>
      <c r="DT98" t="s">
        <v>103</v>
      </c>
      <c r="DU98" t="s">
        <v>1840</v>
      </c>
      <c r="DV98" t="s">
        <v>1841</v>
      </c>
      <c r="DW98" t="s">
        <v>458</v>
      </c>
      <c r="DX98">
        <v>0</v>
      </c>
      <c r="DY98">
        <v>12</v>
      </c>
      <c r="DZ98">
        <v>52.2</v>
      </c>
      <c r="EB98" s="86" t="str">
        <f t="shared" si="17"/>
        <v>135870Share Sub Loc Pao Quente SC Johnson</v>
      </c>
      <c r="EC98">
        <v>135870</v>
      </c>
      <c r="ED98" t="s">
        <v>339</v>
      </c>
      <c r="EE98" t="s">
        <v>1306</v>
      </c>
      <c r="EF98" t="s">
        <v>103</v>
      </c>
      <c r="EG98" t="s">
        <v>1920</v>
      </c>
      <c r="EH98" t="s">
        <v>1921</v>
      </c>
      <c r="EI98" t="s">
        <v>458</v>
      </c>
      <c r="EJ98">
        <v>12</v>
      </c>
      <c r="EK98">
        <v>12</v>
      </c>
      <c r="EL98">
        <v>94.4</v>
      </c>
    </row>
    <row r="99" spans="1:142" x14ac:dyDescent="0.35">
      <c r="A99" s="86" t="str">
        <f t="shared" si="18"/>
        <v>73977Mix + Intocáveis SC Johnson</v>
      </c>
      <c r="B99">
        <v>73977</v>
      </c>
      <c r="C99" t="s">
        <v>335</v>
      </c>
      <c r="D99" t="s">
        <v>103</v>
      </c>
      <c r="E99" t="s">
        <v>511</v>
      </c>
      <c r="F99" t="s">
        <v>512</v>
      </c>
      <c r="G99" t="s">
        <v>459</v>
      </c>
      <c r="H99">
        <v>65.16</v>
      </c>
      <c r="I99">
        <v>29.25</v>
      </c>
      <c r="J99">
        <v>45</v>
      </c>
      <c r="L99" s="86" t="str">
        <f t="shared" si="19"/>
        <v>73977Share Sub Category SC Johnson</v>
      </c>
      <c r="M99">
        <v>73977</v>
      </c>
      <c r="N99" t="s">
        <v>335</v>
      </c>
      <c r="O99" t="s">
        <v>104</v>
      </c>
      <c r="P99" t="s">
        <v>103</v>
      </c>
      <c r="Q99" t="s">
        <v>664</v>
      </c>
      <c r="R99" t="s">
        <v>665</v>
      </c>
      <c r="S99" t="s">
        <v>457</v>
      </c>
      <c r="T99">
        <v>21.42</v>
      </c>
      <c r="U99">
        <v>30</v>
      </c>
      <c r="V99">
        <v>66.05</v>
      </c>
      <c r="X99" s="86" t="str">
        <f t="shared" si="20"/>
        <v>74744Share Sub Category SC Johnson</v>
      </c>
      <c r="Y99">
        <v>74744</v>
      </c>
      <c r="Z99" t="s">
        <v>359</v>
      </c>
      <c r="AA99" t="s">
        <v>477</v>
      </c>
      <c r="AB99" t="s">
        <v>103</v>
      </c>
      <c r="AC99" t="s">
        <v>831</v>
      </c>
      <c r="AD99" t="s">
        <v>832</v>
      </c>
      <c r="AE99" t="s">
        <v>457</v>
      </c>
      <c r="AF99">
        <v>25.71</v>
      </c>
      <c r="AG99">
        <v>30</v>
      </c>
      <c r="AH99">
        <v>45.71</v>
      </c>
      <c r="AJ99" s="86" t="str">
        <f t="shared" si="21"/>
        <v>102953Cross Merchan SC Johnson</v>
      </c>
      <c r="AK99">
        <v>102953</v>
      </c>
      <c r="AL99" t="s">
        <v>388</v>
      </c>
      <c r="AM99" t="s">
        <v>104</v>
      </c>
      <c r="AN99" t="s">
        <v>103</v>
      </c>
      <c r="AO99" t="s">
        <v>988</v>
      </c>
      <c r="AP99" t="s">
        <v>989</v>
      </c>
      <c r="AQ99" t="s">
        <v>111</v>
      </c>
      <c r="AR99">
        <v>2.5</v>
      </c>
      <c r="AS99">
        <v>5</v>
      </c>
      <c r="AT99">
        <v>70.819999999999993</v>
      </c>
      <c r="AV99" s="86" t="str">
        <f t="shared" si="22"/>
        <v>74744Cross Merchan SC Johnson</v>
      </c>
      <c r="AW99">
        <v>74744</v>
      </c>
      <c r="AX99" t="s">
        <v>359</v>
      </c>
      <c r="AY99" t="s">
        <v>477</v>
      </c>
      <c r="AZ99" t="s">
        <v>103</v>
      </c>
      <c r="BA99" t="s">
        <v>1069</v>
      </c>
      <c r="BB99" t="s">
        <v>1070</v>
      </c>
      <c r="BC99" t="s">
        <v>111</v>
      </c>
      <c r="BD99">
        <v>0</v>
      </c>
      <c r="BE99">
        <v>5</v>
      </c>
      <c r="BF99">
        <v>60.08</v>
      </c>
      <c r="BH99" s="86" t="str">
        <f t="shared" si="23"/>
        <v>73922Cross Merchan SC Johnson</v>
      </c>
      <c r="BI99">
        <v>73922</v>
      </c>
      <c r="BJ99" t="s">
        <v>358</v>
      </c>
      <c r="BK99" t="s">
        <v>482</v>
      </c>
      <c r="BL99" t="s">
        <v>103</v>
      </c>
      <c r="BM99" t="s">
        <v>1229</v>
      </c>
      <c r="BN99" t="s">
        <v>1230</v>
      </c>
      <c r="BO99" t="s">
        <v>111</v>
      </c>
      <c r="BP99">
        <v>5</v>
      </c>
      <c r="BQ99">
        <v>5</v>
      </c>
      <c r="BR99">
        <v>73.319999999999993</v>
      </c>
      <c r="BT99" s="86" t="str">
        <f t="shared" si="12"/>
        <v>59280Lancamentos</v>
      </c>
      <c r="BU99">
        <v>59280</v>
      </c>
      <c r="BV99" t="s">
        <v>386</v>
      </c>
      <c r="BW99" t="s">
        <v>1272</v>
      </c>
      <c r="BX99" t="s">
        <v>103</v>
      </c>
      <c r="BY99" t="s">
        <v>1273</v>
      </c>
      <c r="BZ99" t="s">
        <v>1274</v>
      </c>
      <c r="CA99" t="s">
        <v>953</v>
      </c>
      <c r="CB99">
        <v>9</v>
      </c>
      <c r="CC99">
        <v>18</v>
      </c>
      <c r="CD99">
        <v>80</v>
      </c>
      <c r="CF99" s="86" t="str">
        <f t="shared" si="13"/>
        <v>59280Lancamentos</v>
      </c>
      <c r="CG99">
        <v>59280</v>
      </c>
      <c r="CH99" t="s">
        <v>386</v>
      </c>
      <c r="CI99" t="s">
        <v>1272</v>
      </c>
      <c r="CJ99" t="s">
        <v>103</v>
      </c>
      <c r="CK99" t="s">
        <v>1459</v>
      </c>
      <c r="CL99" t="s">
        <v>1460</v>
      </c>
      <c r="CM99" t="s">
        <v>953</v>
      </c>
      <c r="CN99">
        <v>9</v>
      </c>
      <c r="CO99">
        <v>18</v>
      </c>
      <c r="CP99">
        <v>85</v>
      </c>
      <c r="CR99" s="86" t="str">
        <f t="shared" si="14"/>
        <v>64883Lancamentos</v>
      </c>
      <c r="CS99">
        <v>64883</v>
      </c>
      <c r="CT99" t="s">
        <v>334</v>
      </c>
      <c r="CU99" t="s">
        <v>1345</v>
      </c>
      <c r="CV99" t="s">
        <v>103</v>
      </c>
      <c r="CW99" t="s">
        <v>1626</v>
      </c>
      <c r="CX99" t="s">
        <v>1627</v>
      </c>
      <c r="CY99" t="s">
        <v>953</v>
      </c>
      <c r="CZ99">
        <v>18</v>
      </c>
      <c r="DA99">
        <v>18</v>
      </c>
      <c r="DB99">
        <v>88.4</v>
      </c>
      <c r="DD99" s="86" t="str">
        <f t="shared" si="15"/>
        <v>69667Mix + Intocáveis SC Johnson</v>
      </c>
      <c r="DE99">
        <v>69667</v>
      </c>
      <c r="DF99" t="s">
        <v>387</v>
      </c>
      <c r="DG99" t="s">
        <v>482</v>
      </c>
      <c r="DH99" t="s">
        <v>103</v>
      </c>
      <c r="DI99" t="s">
        <v>1648</v>
      </c>
      <c r="DJ99" t="s">
        <v>1649</v>
      </c>
      <c r="DK99" t="s">
        <v>459</v>
      </c>
      <c r="DL99">
        <v>25.6</v>
      </c>
      <c r="DM99">
        <v>40</v>
      </c>
      <c r="DN99">
        <v>90.6</v>
      </c>
      <c r="DP99" s="86" t="str">
        <f t="shared" si="16"/>
        <v>59280Mix + Intocáveis SC Johnson</v>
      </c>
      <c r="DQ99">
        <v>59280</v>
      </c>
      <c r="DR99" t="s">
        <v>386</v>
      </c>
      <c r="DS99" t="s">
        <v>1272</v>
      </c>
      <c r="DT99" t="s">
        <v>103</v>
      </c>
      <c r="DU99" t="s">
        <v>1804</v>
      </c>
      <c r="DV99" t="s">
        <v>1805</v>
      </c>
      <c r="DW99" t="s">
        <v>459</v>
      </c>
      <c r="DX99">
        <v>40</v>
      </c>
      <c r="DY99">
        <v>40</v>
      </c>
      <c r="DZ99">
        <v>100</v>
      </c>
      <c r="EB99" s="86" t="str">
        <f t="shared" si="17"/>
        <v>136856Mix + Intocáveis SC Johnson</v>
      </c>
      <c r="EC99">
        <v>136856</v>
      </c>
      <c r="ED99" t="s">
        <v>379</v>
      </c>
      <c r="EE99" t="s">
        <v>489</v>
      </c>
      <c r="EF99" t="s">
        <v>103</v>
      </c>
      <c r="EG99" t="s">
        <v>1878</v>
      </c>
      <c r="EH99" t="s">
        <v>1879</v>
      </c>
      <c r="EI99" t="s">
        <v>459</v>
      </c>
      <c r="EJ99">
        <v>34.4</v>
      </c>
      <c r="EK99">
        <v>40</v>
      </c>
      <c r="EL99">
        <v>99.4</v>
      </c>
    </row>
    <row r="100" spans="1:142" x14ac:dyDescent="0.35">
      <c r="A100" s="86" t="str">
        <f t="shared" si="18"/>
        <v>74369Share Sub Category SC Johnson</v>
      </c>
      <c r="B100">
        <v>74369</v>
      </c>
      <c r="C100" t="s">
        <v>377</v>
      </c>
      <c r="D100" t="s">
        <v>103</v>
      </c>
      <c r="E100" t="s">
        <v>513</v>
      </c>
      <c r="F100" t="s">
        <v>514</v>
      </c>
      <c r="G100" t="s">
        <v>457</v>
      </c>
      <c r="H100">
        <v>64.55</v>
      </c>
      <c r="I100">
        <v>17.13</v>
      </c>
      <c r="J100">
        <v>30</v>
      </c>
      <c r="L100" s="86" t="str">
        <f t="shared" si="19"/>
        <v>73977Cross Merchan SC Johnson</v>
      </c>
      <c r="M100">
        <v>73977</v>
      </c>
      <c r="N100" t="s">
        <v>335</v>
      </c>
      <c r="O100" t="s">
        <v>104</v>
      </c>
      <c r="P100" t="s">
        <v>103</v>
      </c>
      <c r="Q100" t="s">
        <v>664</v>
      </c>
      <c r="R100" t="s">
        <v>665</v>
      </c>
      <c r="S100" t="s">
        <v>111</v>
      </c>
      <c r="T100">
        <v>8</v>
      </c>
      <c r="U100">
        <v>8</v>
      </c>
      <c r="V100">
        <v>66.05</v>
      </c>
      <c r="X100" s="86" t="str">
        <f t="shared" si="20"/>
        <v>74744Cross Merchan SC Johnson</v>
      </c>
      <c r="Y100">
        <v>74744</v>
      </c>
      <c r="Z100" t="s">
        <v>359</v>
      </c>
      <c r="AA100" t="s">
        <v>477</v>
      </c>
      <c r="AB100" t="s">
        <v>103</v>
      </c>
      <c r="AC100" t="s">
        <v>831</v>
      </c>
      <c r="AD100" t="s">
        <v>832</v>
      </c>
      <c r="AE100" t="s">
        <v>111</v>
      </c>
      <c r="AF100">
        <v>0</v>
      </c>
      <c r="AG100">
        <v>8</v>
      </c>
      <c r="AH100">
        <v>45.71</v>
      </c>
      <c r="AJ100" s="86" t="str">
        <f t="shared" si="21"/>
        <v>102953Share Sub Loc Pao Quente SC Johnson</v>
      </c>
      <c r="AK100">
        <v>102953</v>
      </c>
      <c r="AL100" t="s">
        <v>388</v>
      </c>
      <c r="AM100" t="s">
        <v>104</v>
      </c>
      <c r="AN100" t="s">
        <v>103</v>
      </c>
      <c r="AO100" t="s">
        <v>988</v>
      </c>
      <c r="AP100" t="s">
        <v>989</v>
      </c>
      <c r="AQ100" t="s">
        <v>458</v>
      </c>
      <c r="AR100">
        <v>12</v>
      </c>
      <c r="AS100">
        <v>12</v>
      </c>
      <c r="AT100">
        <v>70.819999999999993</v>
      </c>
      <c r="AV100" s="86" t="str">
        <f t="shared" si="22"/>
        <v>74744Share Sub Loc Pao Quente SC Johnson</v>
      </c>
      <c r="AW100">
        <v>74744</v>
      </c>
      <c r="AX100" t="s">
        <v>359</v>
      </c>
      <c r="AY100" t="s">
        <v>477</v>
      </c>
      <c r="AZ100" t="s">
        <v>103</v>
      </c>
      <c r="BA100" t="s">
        <v>1069</v>
      </c>
      <c r="BB100" t="s">
        <v>1070</v>
      </c>
      <c r="BC100" t="s">
        <v>458</v>
      </c>
      <c r="BD100">
        <v>9</v>
      </c>
      <c r="BE100">
        <v>12</v>
      </c>
      <c r="BF100">
        <v>60.08</v>
      </c>
      <c r="BH100" s="86" t="str">
        <f t="shared" si="23"/>
        <v>73922Share Sub Loc Pao Quente SC Johnson</v>
      </c>
      <c r="BI100">
        <v>73922</v>
      </c>
      <c r="BJ100" t="s">
        <v>358</v>
      </c>
      <c r="BK100" t="s">
        <v>482</v>
      </c>
      <c r="BL100" t="s">
        <v>103</v>
      </c>
      <c r="BM100" t="s">
        <v>1229</v>
      </c>
      <c r="BN100" t="s">
        <v>1230</v>
      </c>
      <c r="BO100" t="s">
        <v>458</v>
      </c>
      <c r="BP100">
        <v>12</v>
      </c>
      <c r="BQ100">
        <v>12</v>
      </c>
      <c r="BR100">
        <v>73.319999999999993</v>
      </c>
      <c r="BT100" s="86" t="str">
        <f t="shared" si="12"/>
        <v>59280Mix + Intocáveis SC Johnson</v>
      </c>
      <c r="BU100">
        <v>59280</v>
      </c>
      <c r="BV100" t="s">
        <v>386</v>
      </c>
      <c r="BW100" t="s">
        <v>1272</v>
      </c>
      <c r="BX100" t="s">
        <v>103</v>
      </c>
      <c r="BY100" t="s">
        <v>1273</v>
      </c>
      <c r="BZ100" t="s">
        <v>1274</v>
      </c>
      <c r="CA100" t="s">
        <v>459</v>
      </c>
      <c r="CB100">
        <v>32</v>
      </c>
      <c r="CC100">
        <v>40</v>
      </c>
      <c r="CD100">
        <v>80</v>
      </c>
      <c r="CF100" s="86" t="str">
        <f t="shared" si="13"/>
        <v>59280Mix + Intocáveis SC Johnson</v>
      </c>
      <c r="CG100">
        <v>59280</v>
      </c>
      <c r="CH100" t="s">
        <v>386</v>
      </c>
      <c r="CI100" t="s">
        <v>1272</v>
      </c>
      <c r="CJ100" t="s">
        <v>103</v>
      </c>
      <c r="CK100" t="s">
        <v>1459</v>
      </c>
      <c r="CL100" t="s">
        <v>1460</v>
      </c>
      <c r="CM100" t="s">
        <v>459</v>
      </c>
      <c r="CN100">
        <v>32</v>
      </c>
      <c r="CO100">
        <v>40</v>
      </c>
      <c r="CP100">
        <v>85</v>
      </c>
      <c r="CR100" s="86" t="str">
        <f t="shared" si="14"/>
        <v>64883Mix + Intocáveis SC Johnson</v>
      </c>
      <c r="CS100">
        <v>64883</v>
      </c>
      <c r="CT100" t="s">
        <v>334</v>
      </c>
      <c r="CU100" t="s">
        <v>1345</v>
      </c>
      <c r="CV100" t="s">
        <v>103</v>
      </c>
      <c r="CW100" t="s">
        <v>1626</v>
      </c>
      <c r="CX100" t="s">
        <v>1627</v>
      </c>
      <c r="CY100" t="s">
        <v>459</v>
      </c>
      <c r="CZ100">
        <v>26.4</v>
      </c>
      <c r="DA100">
        <v>40</v>
      </c>
      <c r="DB100">
        <v>88.4</v>
      </c>
      <c r="DD100" s="86" t="str">
        <f t="shared" si="15"/>
        <v>69667Execucao Bonus</v>
      </c>
      <c r="DE100">
        <v>69667</v>
      </c>
      <c r="DF100" t="s">
        <v>387</v>
      </c>
      <c r="DG100" t="s">
        <v>482</v>
      </c>
      <c r="DH100" t="s">
        <v>103</v>
      </c>
      <c r="DI100" t="s">
        <v>1648</v>
      </c>
      <c r="DJ100" t="s">
        <v>1649</v>
      </c>
      <c r="DK100" t="s">
        <v>1291</v>
      </c>
      <c r="DL100">
        <v>5</v>
      </c>
      <c r="DM100">
        <v>5</v>
      </c>
      <c r="DN100">
        <v>90.6</v>
      </c>
      <c r="DP100" s="86" t="str">
        <f t="shared" si="16"/>
        <v>59280Execucao Bonus</v>
      </c>
      <c r="DQ100">
        <v>59280</v>
      </c>
      <c r="DR100" t="s">
        <v>386</v>
      </c>
      <c r="DS100" t="s">
        <v>1272</v>
      </c>
      <c r="DT100" t="s">
        <v>103</v>
      </c>
      <c r="DU100" t="s">
        <v>1804</v>
      </c>
      <c r="DV100" t="s">
        <v>1805</v>
      </c>
      <c r="DW100" t="s">
        <v>1291</v>
      </c>
      <c r="DX100">
        <v>3</v>
      </c>
      <c r="DY100">
        <v>5</v>
      </c>
      <c r="DZ100">
        <v>100</v>
      </c>
      <c r="EB100" s="86" t="str">
        <f t="shared" si="17"/>
        <v>136856Execucao Bonus</v>
      </c>
      <c r="EC100">
        <v>136856</v>
      </c>
      <c r="ED100" t="s">
        <v>379</v>
      </c>
      <c r="EE100" t="s">
        <v>489</v>
      </c>
      <c r="EF100" t="s">
        <v>103</v>
      </c>
      <c r="EG100" t="s">
        <v>1878</v>
      </c>
      <c r="EH100" t="s">
        <v>1879</v>
      </c>
      <c r="EI100" t="s">
        <v>1291</v>
      </c>
      <c r="EJ100">
        <v>5</v>
      </c>
      <c r="EK100">
        <v>5</v>
      </c>
      <c r="EL100">
        <v>99.4</v>
      </c>
    </row>
    <row r="101" spans="1:142" x14ac:dyDescent="0.35">
      <c r="A101" s="86" t="str">
        <f t="shared" si="18"/>
        <v>74369Cross Merchan SC Johnson</v>
      </c>
      <c r="B101">
        <v>74369</v>
      </c>
      <c r="C101" t="s">
        <v>377</v>
      </c>
      <c r="D101" t="s">
        <v>103</v>
      </c>
      <c r="E101" t="s">
        <v>513</v>
      </c>
      <c r="F101" t="s">
        <v>514</v>
      </c>
      <c r="G101" t="s">
        <v>111</v>
      </c>
      <c r="H101">
        <v>64.55</v>
      </c>
      <c r="I101">
        <v>8</v>
      </c>
      <c r="J101">
        <v>8</v>
      </c>
      <c r="L101" s="86" t="str">
        <f t="shared" si="19"/>
        <v>73977Share Sub Loc Pao Quente SC Johnson</v>
      </c>
      <c r="M101">
        <v>73977</v>
      </c>
      <c r="N101" t="s">
        <v>335</v>
      </c>
      <c r="O101" t="s">
        <v>104</v>
      </c>
      <c r="P101" t="s">
        <v>103</v>
      </c>
      <c r="Q101" t="s">
        <v>664</v>
      </c>
      <c r="R101" t="s">
        <v>665</v>
      </c>
      <c r="S101" t="s">
        <v>458</v>
      </c>
      <c r="T101">
        <v>8.5</v>
      </c>
      <c r="U101">
        <v>17</v>
      </c>
      <c r="V101">
        <v>66.05</v>
      </c>
      <c r="X101" s="86" t="str">
        <f t="shared" si="20"/>
        <v>74744Share Sub Loc Pao Quente SC Johnson</v>
      </c>
      <c r="Y101">
        <v>74744</v>
      </c>
      <c r="Z101" t="s">
        <v>359</v>
      </c>
      <c r="AA101" t="s">
        <v>477</v>
      </c>
      <c r="AB101" t="s">
        <v>103</v>
      </c>
      <c r="AC101" t="s">
        <v>831</v>
      </c>
      <c r="AD101" t="s">
        <v>832</v>
      </c>
      <c r="AE101" t="s">
        <v>458</v>
      </c>
      <c r="AF101">
        <v>4.25</v>
      </c>
      <c r="AG101">
        <v>17</v>
      </c>
      <c r="AH101">
        <v>45.71</v>
      </c>
      <c r="AJ101" s="86" t="str">
        <f t="shared" si="21"/>
        <v>102953Mix + Intocáveis SC Johnson</v>
      </c>
      <c r="AK101">
        <v>102953</v>
      </c>
      <c r="AL101" t="s">
        <v>388</v>
      </c>
      <c r="AM101" t="s">
        <v>104</v>
      </c>
      <c r="AN101" t="s">
        <v>103</v>
      </c>
      <c r="AO101" t="s">
        <v>988</v>
      </c>
      <c r="AP101" t="s">
        <v>989</v>
      </c>
      <c r="AQ101" t="s">
        <v>459</v>
      </c>
      <c r="AR101">
        <v>31.32</v>
      </c>
      <c r="AS101">
        <v>40</v>
      </c>
      <c r="AT101">
        <v>70.819999999999993</v>
      </c>
      <c r="AV101" s="86" t="str">
        <f t="shared" si="22"/>
        <v>74744Mix + Intocáveis SC Johnson</v>
      </c>
      <c r="AW101">
        <v>74744</v>
      </c>
      <c r="AX101" t="s">
        <v>359</v>
      </c>
      <c r="AY101" t="s">
        <v>477</v>
      </c>
      <c r="AZ101" t="s">
        <v>103</v>
      </c>
      <c r="BA101" t="s">
        <v>1069</v>
      </c>
      <c r="BB101" t="s">
        <v>1070</v>
      </c>
      <c r="BC101" t="s">
        <v>459</v>
      </c>
      <c r="BD101">
        <v>26.08</v>
      </c>
      <c r="BE101">
        <v>40</v>
      </c>
      <c r="BF101">
        <v>60.08</v>
      </c>
      <c r="BH101" s="86" t="str">
        <f t="shared" si="23"/>
        <v>73922Mix + Intocáveis SC Johnson</v>
      </c>
      <c r="BI101">
        <v>73922</v>
      </c>
      <c r="BJ101" t="s">
        <v>358</v>
      </c>
      <c r="BK101" t="s">
        <v>482</v>
      </c>
      <c r="BL101" t="s">
        <v>103</v>
      </c>
      <c r="BM101" t="s">
        <v>1229</v>
      </c>
      <c r="BN101" t="s">
        <v>1230</v>
      </c>
      <c r="BO101" t="s">
        <v>459</v>
      </c>
      <c r="BP101">
        <v>31.32</v>
      </c>
      <c r="BQ101">
        <v>40</v>
      </c>
      <c r="BR101">
        <v>73.319999999999993</v>
      </c>
      <c r="BT101" s="86" t="str">
        <f t="shared" si="12"/>
        <v>59280Share Sub Category SC Johnson</v>
      </c>
      <c r="BU101">
        <v>59280</v>
      </c>
      <c r="BV101" t="s">
        <v>386</v>
      </c>
      <c r="BW101" t="s">
        <v>1272</v>
      </c>
      <c r="BX101" t="s">
        <v>103</v>
      </c>
      <c r="BY101" t="s">
        <v>1273</v>
      </c>
      <c r="BZ101" t="s">
        <v>1274</v>
      </c>
      <c r="CA101" t="s">
        <v>457</v>
      </c>
      <c r="CB101">
        <v>25</v>
      </c>
      <c r="CC101">
        <v>25</v>
      </c>
      <c r="CD101">
        <v>80</v>
      </c>
      <c r="CF101" s="86" t="str">
        <f t="shared" si="13"/>
        <v>59280Share Sub Category SC Johnson</v>
      </c>
      <c r="CG101">
        <v>59280</v>
      </c>
      <c r="CH101" t="s">
        <v>386</v>
      </c>
      <c r="CI101" t="s">
        <v>1272</v>
      </c>
      <c r="CJ101" t="s">
        <v>103</v>
      </c>
      <c r="CK101" t="s">
        <v>1459</v>
      </c>
      <c r="CL101" t="s">
        <v>1460</v>
      </c>
      <c r="CM101" t="s">
        <v>457</v>
      </c>
      <c r="CN101">
        <v>25</v>
      </c>
      <c r="CO101">
        <v>25</v>
      </c>
      <c r="CP101">
        <v>85</v>
      </c>
      <c r="CR101" s="86" t="str">
        <f t="shared" si="14"/>
        <v>64883Share Sub Category SC Johnson</v>
      </c>
      <c r="CS101">
        <v>64883</v>
      </c>
      <c r="CT101" t="s">
        <v>334</v>
      </c>
      <c r="CU101" t="s">
        <v>1345</v>
      </c>
      <c r="CV101" t="s">
        <v>103</v>
      </c>
      <c r="CW101" t="s">
        <v>1626</v>
      </c>
      <c r="CX101" t="s">
        <v>1627</v>
      </c>
      <c r="CY101" t="s">
        <v>457</v>
      </c>
      <c r="CZ101">
        <v>25</v>
      </c>
      <c r="DA101">
        <v>25</v>
      </c>
      <c r="DB101">
        <v>88.4</v>
      </c>
      <c r="DD101" s="86" t="str">
        <f t="shared" si="15"/>
        <v>69667Cross Merchan SC Johnson</v>
      </c>
      <c r="DE101">
        <v>69667</v>
      </c>
      <c r="DF101" t="s">
        <v>387</v>
      </c>
      <c r="DG101" t="s">
        <v>482</v>
      </c>
      <c r="DH101" t="s">
        <v>103</v>
      </c>
      <c r="DI101" t="s">
        <v>1648</v>
      </c>
      <c r="DJ101" t="s">
        <v>1649</v>
      </c>
      <c r="DK101" t="s">
        <v>111</v>
      </c>
      <c r="DL101">
        <v>5</v>
      </c>
      <c r="DM101">
        <v>5</v>
      </c>
      <c r="DN101">
        <v>90.6</v>
      </c>
      <c r="DP101" s="86" t="str">
        <f t="shared" si="16"/>
        <v>59280Cross Merchan SC Johnson</v>
      </c>
      <c r="DQ101">
        <v>59280</v>
      </c>
      <c r="DR101" t="s">
        <v>386</v>
      </c>
      <c r="DS101" t="s">
        <v>1272</v>
      </c>
      <c r="DT101" t="s">
        <v>103</v>
      </c>
      <c r="DU101" t="s">
        <v>1804</v>
      </c>
      <c r="DV101" t="s">
        <v>1805</v>
      </c>
      <c r="DW101" t="s">
        <v>111</v>
      </c>
      <c r="DX101">
        <v>5</v>
      </c>
      <c r="DY101">
        <v>5</v>
      </c>
      <c r="DZ101">
        <v>100</v>
      </c>
      <c r="EB101" s="86" t="str">
        <f t="shared" si="17"/>
        <v>136856Cross Merchan SC Johnson</v>
      </c>
      <c r="EC101">
        <v>136856</v>
      </c>
      <c r="ED101" t="s">
        <v>379</v>
      </c>
      <c r="EE101" t="s">
        <v>489</v>
      </c>
      <c r="EF101" t="s">
        <v>103</v>
      </c>
      <c r="EG101" t="s">
        <v>1878</v>
      </c>
      <c r="EH101" t="s">
        <v>1879</v>
      </c>
      <c r="EI101" t="s">
        <v>111</v>
      </c>
      <c r="EJ101">
        <v>5</v>
      </c>
      <c r="EK101">
        <v>5</v>
      </c>
      <c r="EL101">
        <v>99.4</v>
      </c>
    </row>
    <row r="102" spans="1:142" x14ac:dyDescent="0.35">
      <c r="A102" s="86" t="str">
        <f t="shared" si="18"/>
        <v>74369Share Sub Loc Pao Quente SC Johnson</v>
      </c>
      <c r="B102">
        <v>74369</v>
      </c>
      <c r="C102" t="s">
        <v>377</v>
      </c>
      <c r="D102" t="s">
        <v>103</v>
      </c>
      <c r="E102" t="s">
        <v>513</v>
      </c>
      <c r="F102" t="s">
        <v>514</v>
      </c>
      <c r="G102" t="s">
        <v>458</v>
      </c>
      <c r="H102">
        <v>64.55</v>
      </c>
      <c r="I102">
        <v>6.8</v>
      </c>
      <c r="J102">
        <v>17</v>
      </c>
      <c r="L102" s="86" t="str">
        <f t="shared" si="19"/>
        <v>73977Mix + Intocáveis SC Johnson</v>
      </c>
      <c r="M102">
        <v>73977</v>
      </c>
      <c r="N102" t="s">
        <v>335</v>
      </c>
      <c r="O102" t="s">
        <v>104</v>
      </c>
      <c r="P102" t="s">
        <v>103</v>
      </c>
      <c r="Q102" t="s">
        <v>664</v>
      </c>
      <c r="R102" t="s">
        <v>665</v>
      </c>
      <c r="S102" t="s">
        <v>459</v>
      </c>
      <c r="T102">
        <v>28.125</v>
      </c>
      <c r="U102">
        <v>45</v>
      </c>
      <c r="V102">
        <v>66.05</v>
      </c>
      <c r="X102" s="86" t="str">
        <f t="shared" si="20"/>
        <v>74744Mix + Intocáveis SC Johnson</v>
      </c>
      <c r="Y102">
        <v>74744</v>
      </c>
      <c r="Z102" t="s">
        <v>359</v>
      </c>
      <c r="AA102" t="s">
        <v>477</v>
      </c>
      <c r="AB102" t="s">
        <v>103</v>
      </c>
      <c r="AC102" t="s">
        <v>831</v>
      </c>
      <c r="AD102" t="s">
        <v>832</v>
      </c>
      <c r="AE102" t="s">
        <v>459</v>
      </c>
      <c r="AF102">
        <v>15.75</v>
      </c>
      <c r="AG102">
        <v>45</v>
      </c>
      <c r="AH102">
        <v>45.71</v>
      </c>
      <c r="AJ102" s="86" t="str">
        <f t="shared" si="21"/>
        <v>102953Lancamentos</v>
      </c>
      <c r="AK102">
        <v>102953</v>
      </c>
      <c r="AL102" t="s">
        <v>388</v>
      </c>
      <c r="AM102" t="s">
        <v>104</v>
      </c>
      <c r="AN102" t="s">
        <v>103</v>
      </c>
      <c r="AO102" t="s">
        <v>988</v>
      </c>
      <c r="AP102" t="s">
        <v>989</v>
      </c>
      <c r="AQ102" t="s">
        <v>953</v>
      </c>
      <c r="AR102">
        <v>0</v>
      </c>
      <c r="AS102">
        <v>18</v>
      </c>
      <c r="AT102">
        <v>70.819999999999993</v>
      </c>
      <c r="AV102" s="86" t="str">
        <f t="shared" si="22"/>
        <v>74744Lancamentos</v>
      </c>
      <c r="AW102">
        <v>74744</v>
      </c>
      <c r="AX102" t="s">
        <v>359</v>
      </c>
      <c r="AY102" t="s">
        <v>477</v>
      </c>
      <c r="AZ102" t="s">
        <v>103</v>
      </c>
      <c r="BA102" t="s">
        <v>1069</v>
      </c>
      <c r="BB102" t="s">
        <v>1070</v>
      </c>
      <c r="BC102" t="s">
        <v>953</v>
      </c>
      <c r="BD102">
        <v>0</v>
      </c>
      <c r="BE102">
        <v>18</v>
      </c>
      <c r="BF102">
        <v>60.08</v>
      </c>
      <c r="BH102" s="86" t="str">
        <f t="shared" si="23"/>
        <v>73922Lancamentos</v>
      </c>
      <c r="BI102">
        <v>73922</v>
      </c>
      <c r="BJ102" t="s">
        <v>358</v>
      </c>
      <c r="BK102" t="s">
        <v>482</v>
      </c>
      <c r="BL102" t="s">
        <v>103</v>
      </c>
      <c r="BM102" t="s">
        <v>1229</v>
      </c>
      <c r="BN102" t="s">
        <v>1230</v>
      </c>
      <c r="BO102" t="s">
        <v>953</v>
      </c>
      <c r="BP102">
        <v>0</v>
      </c>
      <c r="BQ102">
        <v>18</v>
      </c>
      <c r="BR102">
        <v>73.319999999999993</v>
      </c>
      <c r="BT102" s="86" t="str">
        <f t="shared" si="12"/>
        <v>59280Share Sub Loc Pao Quente SC Johnson</v>
      </c>
      <c r="BU102">
        <v>59280</v>
      </c>
      <c r="BV102" t="s">
        <v>386</v>
      </c>
      <c r="BW102" t="s">
        <v>1272</v>
      </c>
      <c r="BX102" t="s">
        <v>103</v>
      </c>
      <c r="BY102" t="s">
        <v>1273</v>
      </c>
      <c r="BZ102" t="s">
        <v>1274</v>
      </c>
      <c r="CA102" t="s">
        <v>458</v>
      </c>
      <c r="CB102">
        <v>9</v>
      </c>
      <c r="CC102">
        <v>12</v>
      </c>
      <c r="CD102">
        <v>80</v>
      </c>
      <c r="CF102" s="86" t="str">
        <f t="shared" si="13"/>
        <v>59280Share Sub Loc Pao Quente SC Johnson</v>
      </c>
      <c r="CG102">
        <v>59280</v>
      </c>
      <c r="CH102" t="s">
        <v>386</v>
      </c>
      <c r="CI102" t="s">
        <v>1272</v>
      </c>
      <c r="CJ102" t="s">
        <v>103</v>
      </c>
      <c r="CK102" t="s">
        <v>1459</v>
      </c>
      <c r="CL102" t="s">
        <v>1460</v>
      </c>
      <c r="CM102" t="s">
        <v>458</v>
      </c>
      <c r="CN102">
        <v>9</v>
      </c>
      <c r="CO102">
        <v>12</v>
      </c>
      <c r="CP102">
        <v>85</v>
      </c>
      <c r="CR102" s="86" t="str">
        <f t="shared" si="14"/>
        <v>64883Share Sub Loc Pao Quente SC Johnson</v>
      </c>
      <c r="CS102">
        <v>64883</v>
      </c>
      <c r="CT102" t="s">
        <v>334</v>
      </c>
      <c r="CU102" t="s">
        <v>1345</v>
      </c>
      <c r="CV102" t="s">
        <v>103</v>
      </c>
      <c r="CW102" t="s">
        <v>1626</v>
      </c>
      <c r="CX102" t="s">
        <v>1627</v>
      </c>
      <c r="CY102" t="s">
        <v>458</v>
      </c>
      <c r="CZ102">
        <v>9</v>
      </c>
      <c r="DA102">
        <v>12</v>
      </c>
      <c r="DB102">
        <v>88.4</v>
      </c>
      <c r="DD102" s="86" t="str">
        <f t="shared" si="15"/>
        <v>69667Lancamentos</v>
      </c>
      <c r="DE102">
        <v>69667</v>
      </c>
      <c r="DF102" t="s">
        <v>387</v>
      </c>
      <c r="DG102" t="s">
        <v>482</v>
      </c>
      <c r="DH102" t="s">
        <v>103</v>
      </c>
      <c r="DI102" t="s">
        <v>1648</v>
      </c>
      <c r="DJ102" t="s">
        <v>1649</v>
      </c>
      <c r="DK102" t="s">
        <v>953</v>
      </c>
      <c r="DL102">
        <v>18</v>
      </c>
      <c r="DM102">
        <v>18</v>
      </c>
      <c r="DN102">
        <v>90.6</v>
      </c>
      <c r="DP102" s="86" t="str">
        <f t="shared" si="16"/>
        <v>59280Lancamentos</v>
      </c>
      <c r="DQ102">
        <v>59280</v>
      </c>
      <c r="DR102" t="s">
        <v>386</v>
      </c>
      <c r="DS102" t="s">
        <v>1272</v>
      </c>
      <c r="DT102" t="s">
        <v>103</v>
      </c>
      <c r="DU102" t="s">
        <v>1804</v>
      </c>
      <c r="DV102" t="s">
        <v>1805</v>
      </c>
      <c r="DW102" t="s">
        <v>953</v>
      </c>
      <c r="DX102">
        <v>18</v>
      </c>
      <c r="DY102">
        <v>18</v>
      </c>
      <c r="DZ102">
        <v>100</v>
      </c>
      <c r="EB102" s="86" t="str">
        <f t="shared" si="17"/>
        <v>136856Lancamentos</v>
      </c>
      <c r="EC102">
        <v>136856</v>
      </c>
      <c r="ED102" t="s">
        <v>379</v>
      </c>
      <c r="EE102" t="s">
        <v>489</v>
      </c>
      <c r="EF102" t="s">
        <v>103</v>
      </c>
      <c r="EG102" t="s">
        <v>1878</v>
      </c>
      <c r="EH102" t="s">
        <v>1879</v>
      </c>
      <c r="EI102" t="s">
        <v>953</v>
      </c>
      <c r="EJ102">
        <v>18</v>
      </c>
      <c r="EK102">
        <v>18</v>
      </c>
      <c r="EL102">
        <v>99.4</v>
      </c>
    </row>
    <row r="103" spans="1:142" x14ac:dyDescent="0.35">
      <c r="A103" s="86" t="str">
        <f t="shared" si="18"/>
        <v>74369Mix + Intocáveis SC Johnson</v>
      </c>
      <c r="B103">
        <v>74369</v>
      </c>
      <c r="C103" t="s">
        <v>377</v>
      </c>
      <c r="D103" t="s">
        <v>103</v>
      </c>
      <c r="E103" t="s">
        <v>513</v>
      </c>
      <c r="F103" t="s">
        <v>514</v>
      </c>
      <c r="G103" t="s">
        <v>459</v>
      </c>
      <c r="H103">
        <v>64.55</v>
      </c>
      <c r="I103">
        <v>32.625</v>
      </c>
      <c r="J103">
        <v>45</v>
      </c>
      <c r="L103" s="86" t="str">
        <f t="shared" si="19"/>
        <v>74369Share Sub Category SC Johnson</v>
      </c>
      <c r="M103">
        <v>74369</v>
      </c>
      <c r="N103" t="s">
        <v>377</v>
      </c>
      <c r="O103" t="s">
        <v>104</v>
      </c>
      <c r="P103" t="s">
        <v>103</v>
      </c>
      <c r="Q103" t="s">
        <v>666</v>
      </c>
      <c r="R103" t="s">
        <v>667</v>
      </c>
      <c r="S103" t="s">
        <v>457</v>
      </c>
      <c r="T103">
        <v>21.42</v>
      </c>
      <c r="U103">
        <v>30</v>
      </c>
      <c r="V103">
        <v>84.92</v>
      </c>
      <c r="X103" s="86" t="str">
        <f t="shared" si="20"/>
        <v>102953Share Sub Category SC Johnson</v>
      </c>
      <c r="Y103">
        <v>102953</v>
      </c>
      <c r="Z103" t="s">
        <v>388</v>
      </c>
      <c r="AA103" t="s">
        <v>482</v>
      </c>
      <c r="AB103" t="s">
        <v>103</v>
      </c>
      <c r="AC103" t="s">
        <v>851</v>
      </c>
      <c r="AD103" t="s">
        <v>852</v>
      </c>
      <c r="AE103" t="s">
        <v>457</v>
      </c>
      <c r="AF103">
        <v>30</v>
      </c>
      <c r="AG103">
        <v>30</v>
      </c>
      <c r="AH103">
        <v>81.13</v>
      </c>
      <c r="AJ103" s="86" t="str">
        <f t="shared" si="21"/>
        <v>107838Share Sub Category SC Johnson</v>
      </c>
      <c r="AK103">
        <v>107838</v>
      </c>
      <c r="AL103" t="s">
        <v>378</v>
      </c>
      <c r="AM103" t="s">
        <v>36</v>
      </c>
      <c r="AN103" t="s">
        <v>103</v>
      </c>
      <c r="AO103" t="s">
        <v>921</v>
      </c>
      <c r="AP103" t="s">
        <v>922</v>
      </c>
      <c r="AQ103" t="s">
        <v>457</v>
      </c>
      <c r="AR103">
        <v>14.275</v>
      </c>
      <c r="AS103">
        <v>25</v>
      </c>
      <c r="AT103">
        <v>51.38</v>
      </c>
      <c r="AV103" s="86" t="str">
        <f t="shared" si="22"/>
        <v>102953Share Sub Category SC Johnson</v>
      </c>
      <c r="AW103">
        <v>102953</v>
      </c>
      <c r="AX103" t="s">
        <v>388</v>
      </c>
      <c r="AY103" t="s">
        <v>482</v>
      </c>
      <c r="AZ103" t="s">
        <v>103</v>
      </c>
      <c r="BA103" t="s">
        <v>1071</v>
      </c>
      <c r="BB103" t="s">
        <v>1072</v>
      </c>
      <c r="BC103" t="s">
        <v>457</v>
      </c>
      <c r="BD103">
        <v>25</v>
      </c>
      <c r="BE103">
        <v>25</v>
      </c>
      <c r="BF103">
        <v>66.11</v>
      </c>
      <c r="BH103" s="86" t="str">
        <f t="shared" si="23"/>
        <v>73977Share Sub Category SC Johnson</v>
      </c>
      <c r="BI103">
        <v>73977</v>
      </c>
      <c r="BJ103" t="s">
        <v>335</v>
      </c>
      <c r="BK103" t="s">
        <v>460</v>
      </c>
      <c r="BL103" t="s">
        <v>103</v>
      </c>
      <c r="BM103" t="s">
        <v>1231</v>
      </c>
      <c r="BN103" t="s">
        <v>1232</v>
      </c>
      <c r="BO103" t="s">
        <v>457</v>
      </c>
      <c r="BP103">
        <v>17.850000000000001</v>
      </c>
      <c r="BQ103">
        <v>25</v>
      </c>
      <c r="BR103">
        <v>69.06</v>
      </c>
      <c r="BT103" s="86" t="str">
        <f t="shared" si="12"/>
        <v>59280Cross Merchan SC Johnson</v>
      </c>
      <c r="BU103">
        <v>59280</v>
      </c>
      <c r="BV103" t="s">
        <v>386</v>
      </c>
      <c r="BW103" t="s">
        <v>1272</v>
      </c>
      <c r="BX103" t="s">
        <v>103</v>
      </c>
      <c r="BY103" t="s">
        <v>1273</v>
      </c>
      <c r="BZ103" t="s">
        <v>1274</v>
      </c>
      <c r="CA103" t="s">
        <v>111</v>
      </c>
      <c r="CB103">
        <v>5</v>
      </c>
      <c r="CC103">
        <v>5</v>
      </c>
      <c r="CD103">
        <v>80</v>
      </c>
      <c r="CF103" s="86" t="str">
        <f t="shared" si="13"/>
        <v>59280Cross Merchan SC Johnson</v>
      </c>
      <c r="CG103">
        <v>59280</v>
      </c>
      <c r="CH103" t="s">
        <v>386</v>
      </c>
      <c r="CI103" t="s">
        <v>1272</v>
      </c>
      <c r="CJ103" t="s">
        <v>103</v>
      </c>
      <c r="CK103" t="s">
        <v>1459</v>
      </c>
      <c r="CL103" t="s">
        <v>1460</v>
      </c>
      <c r="CM103" t="s">
        <v>111</v>
      </c>
      <c r="CN103">
        <v>5</v>
      </c>
      <c r="CO103">
        <v>5</v>
      </c>
      <c r="CP103">
        <v>85</v>
      </c>
      <c r="CR103" s="86" t="str">
        <f t="shared" si="14"/>
        <v>64883Cross Merchan SC Johnson</v>
      </c>
      <c r="CS103">
        <v>64883</v>
      </c>
      <c r="CT103" t="s">
        <v>334</v>
      </c>
      <c r="CU103" t="s">
        <v>1345</v>
      </c>
      <c r="CV103" t="s">
        <v>103</v>
      </c>
      <c r="CW103" t="s">
        <v>1626</v>
      </c>
      <c r="CX103" t="s">
        <v>1627</v>
      </c>
      <c r="CY103" t="s">
        <v>111</v>
      </c>
      <c r="CZ103">
        <v>5</v>
      </c>
      <c r="DA103">
        <v>5</v>
      </c>
      <c r="DB103">
        <v>88.4</v>
      </c>
      <c r="DD103" s="86" t="str">
        <f t="shared" si="15"/>
        <v>69667Share Sub Category SC Johnson</v>
      </c>
      <c r="DE103">
        <v>69667</v>
      </c>
      <c r="DF103" t="s">
        <v>387</v>
      </c>
      <c r="DG103" t="s">
        <v>482</v>
      </c>
      <c r="DH103" t="s">
        <v>103</v>
      </c>
      <c r="DI103" t="s">
        <v>1648</v>
      </c>
      <c r="DJ103" t="s">
        <v>1649</v>
      </c>
      <c r="DK103" t="s">
        <v>457</v>
      </c>
      <c r="DL103">
        <v>25</v>
      </c>
      <c r="DM103">
        <v>25</v>
      </c>
      <c r="DN103">
        <v>90.6</v>
      </c>
      <c r="DP103" s="86" t="str">
        <f t="shared" si="16"/>
        <v>59280Share Sub Category SC Johnson</v>
      </c>
      <c r="DQ103">
        <v>59280</v>
      </c>
      <c r="DR103" t="s">
        <v>386</v>
      </c>
      <c r="DS103" t="s">
        <v>1272</v>
      </c>
      <c r="DT103" t="s">
        <v>103</v>
      </c>
      <c r="DU103" t="s">
        <v>1804</v>
      </c>
      <c r="DV103" t="s">
        <v>1805</v>
      </c>
      <c r="DW103" t="s">
        <v>457</v>
      </c>
      <c r="DX103">
        <v>25</v>
      </c>
      <c r="DY103">
        <v>25</v>
      </c>
      <c r="DZ103">
        <v>100</v>
      </c>
      <c r="EB103" s="86" t="str">
        <f t="shared" si="17"/>
        <v>136856Share Sub Category SC Johnson</v>
      </c>
      <c r="EC103">
        <v>136856</v>
      </c>
      <c r="ED103" t="s">
        <v>379</v>
      </c>
      <c r="EE103" t="s">
        <v>489</v>
      </c>
      <c r="EF103" t="s">
        <v>103</v>
      </c>
      <c r="EG103" t="s">
        <v>1878</v>
      </c>
      <c r="EH103" t="s">
        <v>1879</v>
      </c>
      <c r="EI103" t="s">
        <v>457</v>
      </c>
      <c r="EJ103">
        <v>25</v>
      </c>
      <c r="EK103">
        <v>25</v>
      </c>
      <c r="EL103">
        <v>99.4</v>
      </c>
    </row>
    <row r="104" spans="1:142" x14ac:dyDescent="0.35">
      <c r="A104" s="86" t="str">
        <f t="shared" si="18"/>
        <v>74744Share Sub Category SC Johnson</v>
      </c>
      <c r="B104">
        <v>74744</v>
      </c>
      <c r="C104" t="s">
        <v>359</v>
      </c>
      <c r="D104" t="s">
        <v>103</v>
      </c>
      <c r="E104" t="s">
        <v>515</v>
      </c>
      <c r="F104" t="s">
        <v>516</v>
      </c>
      <c r="G104" t="s">
        <v>457</v>
      </c>
      <c r="H104">
        <v>58.57</v>
      </c>
      <c r="I104">
        <v>21.42</v>
      </c>
      <c r="J104">
        <v>30</v>
      </c>
      <c r="L104" s="86" t="str">
        <f t="shared" si="19"/>
        <v>74369Cross Merchan SC Johnson</v>
      </c>
      <c r="M104">
        <v>74369</v>
      </c>
      <c r="N104" t="s">
        <v>377</v>
      </c>
      <c r="O104" t="s">
        <v>104</v>
      </c>
      <c r="P104" t="s">
        <v>103</v>
      </c>
      <c r="Q104" t="s">
        <v>666</v>
      </c>
      <c r="R104" t="s">
        <v>667</v>
      </c>
      <c r="S104" t="s">
        <v>111</v>
      </c>
      <c r="T104">
        <v>8</v>
      </c>
      <c r="U104">
        <v>8</v>
      </c>
      <c r="V104">
        <v>84.92</v>
      </c>
      <c r="X104" s="86" t="str">
        <f t="shared" si="20"/>
        <v>102953Cross Merchan SC Johnson</v>
      </c>
      <c r="Y104">
        <v>102953</v>
      </c>
      <c r="Z104" t="s">
        <v>388</v>
      </c>
      <c r="AA104" t="s">
        <v>482</v>
      </c>
      <c r="AB104" t="s">
        <v>103</v>
      </c>
      <c r="AC104" t="s">
        <v>851</v>
      </c>
      <c r="AD104" t="s">
        <v>852</v>
      </c>
      <c r="AE104" t="s">
        <v>111</v>
      </c>
      <c r="AF104">
        <v>8</v>
      </c>
      <c r="AG104">
        <v>8</v>
      </c>
      <c r="AH104">
        <v>81.13</v>
      </c>
      <c r="AJ104" s="86" t="str">
        <f t="shared" si="21"/>
        <v>107838Cross Merchan SC Johnson</v>
      </c>
      <c r="AK104">
        <v>107838</v>
      </c>
      <c r="AL104" t="s">
        <v>378</v>
      </c>
      <c r="AM104" t="s">
        <v>36</v>
      </c>
      <c r="AN104" t="s">
        <v>103</v>
      </c>
      <c r="AO104" t="s">
        <v>921</v>
      </c>
      <c r="AP104" t="s">
        <v>922</v>
      </c>
      <c r="AQ104" t="s">
        <v>111</v>
      </c>
      <c r="AR104">
        <v>2.5</v>
      </c>
      <c r="AS104">
        <v>5</v>
      </c>
      <c r="AT104">
        <v>51.38</v>
      </c>
      <c r="AV104" s="86" t="str">
        <f t="shared" si="22"/>
        <v>102953Cross Merchan SC Johnson</v>
      </c>
      <c r="AW104">
        <v>102953</v>
      </c>
      <c r="AX104" t="s">
        <v>388</v>
      </c>
      <c r="AY104" t="s">
        <v>482</v>
      </c>
      <c r="AZ104" t="s">
        <v>103</v>
      </c>
      <c r="BA104" t="s">
        <v>1071</v>
      </c>
      <c r="BB104" t="s">
        <v>1072</v>
      </c>
      <c r="BC104" t="s">
        <v>111</v>
      </c>
      <c r="BD104">
        <v>1.665</v>
      </c>
      <c r="BE104">
        <v>5</v>
      </c>
      <c r="BF104">
        <v>66.11</v>
      </c>
      <c r="BH104" s="86" t="str">
        <f t="shared" si="23"/>
        <v>73977Cross Merchan SC Johnson</v>
      </c>
      <c r="BI104">
        <v>73977</v>
      </c>
      <c r="BJ104" t="s">
        <v>335</v>
      </c>
      <c r="BK104" t="s">
        <v>460</v>
      </c>
      <c r="BL104" t="s">
        <v>103</v>
      </c>
      <c r="BM104" t="s">
        <v>1231</v>
      </c>
      <c r="BN104" t="s">
        <v>1232</v>
      </c>
      <c r="BO104" t="s">
        <v>111</v>
      </c>
      <c r="BP104">
        <v>3.335</v>
      </c>
      <c r="BQ104">
        <v>5</v>
      </c>
      <c r="BR104">
        <v>69.06</v>
      </c>
      <c r="BT104" s="86" t="str">
        <f t="shared" si="12"/>
        <v>59280Execucao Bonus</v>
      </c>
      <c r="BU104">
        <v>59280</v>
      </c>
      <c r="BV104" t="s">
        <v>386</v>
      </c>
      <c r="BW104" t="s">
        <v>1272</v>
      </c>
      <c r="BX104" t="s">
        <v>103</v>
      </c>
      <c r="BY104" t="s">
        <v>1273</v>
      </c>
      <c r="BZ104" t="s">
        <v>1274</v>
      </c>
      <c r="CA104" t="s">
        <v>1291</v>
      </c>
      <c r="CB104">
        <v>0</v>
      </c>
      <c r="CC104">
        <v>5</v>
      </c>
      <c r="CD104">
        <v>80</v>
      </c>
      <c r="CF104" s="86" t="str">
        <f t="shared" si="13"/>
        <v>59280Execucao Bonus</v>
      </c>
      <c r="CG104">
        <v>59280</v>
      </c>
      <c r="CH104" t="s">
        <v>386</v>
      </c>
      <c r="CI104" t="s">
        <v>1272</v>
      </c>
      <c r="CJ104" t="s">
        <v>103</v>
      </c>
      <c r="CK104" t="s">
        <v>1459</v>
      </c>
      <c r="CL104" t="s">
        <v>1460</v>
      </c>
      <c r="CM104" t="s">
        <v>1291</v>
      </c>
      <c r="CN104">
        <v>5</v>
      </c>
      <c r="CO104">
        <v>5</v>
      </c>
      <c r="CP104">
        <v>85</v>
      </c>
      <c r="CR104" s="86" t="str">
        <f t="shared" si="14"/>
        <v>64883Execucao Bonus</v>
      </c>
      <c r="CS104">
        <v>64883</v>
      </c>
      <c r="CT104" t="s">
        <v>334</v>
      </c>
      <c r="CU104" t="s">
        <v>1345</v>
      </c>
      <c r="CV104" t="s">
        <v>103</v>
      </c>
      <c r="CW104" t="s">
        <v>1626</v>
      </c>
      <c r="CX104" t="s">
        <v>1627</v>
      </c>
      <c r="CY104" t="s">
        <v>1291</v>
      </c>
      <c r="CZ104">
        <v>5</v>
      </c>
      <c r="DA104">
        <v>5</v>
      </c>
      <c r="DB104">
        <v>88.4</v>
      </c>
      <c r="DD104" s="86" t="str">
        <f t="shared" si="15"/>
        <v>69667Share Sub Loc Pao Quente SC Johnson</v>
      </c>
      <c r="DE104">
        <v>69667</v>
      </c>
      <c r="DF104" t="s">
        <v>387</v>
      </c>
      <c r="DG104" t="s">
        <v>482</v>
      </c>
      <c r="DH104" t="s">
        <v>103</v>
      </c>
      <c r="DI104" t="s">
        <v>1648</v>
      </c>
      <c r="DJ104" t="s">
        <v>1649</v>
      </c>
      <c r="DK104" t="s">
        <v>458</v>
      </c>
      <c r="DL104">
        <v>12</v>
      </c>
      <c r="DM104">
        <v>12</v>
      </c>
      <c r="DN104">
        <v>90.6</v>
      </c>
      <c r="DP104" s="86" t="str">
        <f t="shared" si="16"/>
        <v>59280Share Sub Loc Pao Quente SC Johnson</v>
      </c>
      <c r="DQ104">
        <v>59280</v>
      </c>
      <c r="DR104" t="s">
        <v>386</v>
      </c>
      <c r="DS104" t="s">
        <v>1272</v>
      </c>
      <c r="DT104" t="s">
        <v>103</v>
      </c>
      <c r="DU104" t="s">
        <v>1804</v>
      </c>
      <c r="DV104" t="s">
        <v>1805</v>
      </c>
      <c r="DW104" t="s">
        <v>458</v>
      </c>
      <c r="DX104">
        <v>9</v>
      </c>
      <c r="DY104">
        <v>12</v>
      </c>
      <c r="DZ104">
        <v>100</v>
      </c>
      <c r="EB104" s="86" t="str">
        <f t="shared" si="17"/>
        <v>136856Share Sub Loc Pao Quente SC Johnson</v>
      </c>
      <c r="EC104">
        <v>136856</v>
      </c>
      <c r="ED104" t="s">
        <v>379</v>
      </c>
      <c r="EE104" t="s">
        <v>489</v>
      </c>
      <c r="EF104" t="s">
        <v>103</v>
      </c>
      <c r="EG104" t="s">
        <v>1878</v>
      </c>
      <c r="EH104" t="s">
        <v>1879</v>
      </c>
      <c r="EI104" t="s">
        <v>458</v>
      </c>
      <c r="EJ104">
        <v>12</v>
      </c>
      <c r="EK104">
        <v>12</v>
      </c>
      <c r="EL104">
        <v>99.4</v>
      </c>
    </row>
    <row r="105" spans="1:142" x14ac:dyDescent="0.35">
      <c r="A105" s="86" t="str">
        <f t="shared" si="18"/>
        <v>74744Cross Merchan SC Johnson</v>
      </c>
      <c r="B105">
        <v>74744</v>
      </c>
      <c r="C105" t="s">
        <v>359</v>
      </c>
      <c r="D105" t="s">
        <v>103</v>
      </c>
      <c r="E105" t="s">
        <v>515</v>
      </c>
      <c r="F105" t="s">
        <v>516</v>
      </c>
      <c r="G105" t="s">
        <v>111</v>
      </c>
      <c r="H105">
        <v>58.57</v>
      </c>
      <c r="I105">
        <v>0</v>
      </c>
      <c r="J105">
        <v>8</v>
      </c>
      <c r="L105" s="86" t="str">
        <f t="shared" si="19"/>
        <v>74369Share Sub Loc Pao Quente SC Johnson</v>
      </c>
      <c r="M105">
        <v>74369</v>
      </c>
      <c r="N105" t="s">
        <v>377</v>
      </c>
      <c r="O105" t="s">
        <v>104</v>
      </c>
      <c r="P105" t="s">
        <v>103</v>
      </c>
      <c r="Q105" t="s">
        <v>666</v>
      </c>
      <c r="R105" t="s">
        <v>667</v>
      </c>
      <c r="S105" t="s">
        <v>458</v>
      </c>
      <c r="T105">
        <v>12.75</v>
      </c>
      <c r="U105">
        <v>17</v>
      </c>
      <c r="V105">
        <v>84.92</v>
      </c>
      <c r="X105" s="86" t="str">
        <f t="shared" si="20"/>
        <v>102953Share Sub Loc Pao Quente SC Johnson</v>
      </c>
      <c r="Y105">
        <v>102953</v>
      </c>
      <c r="Z105" t="s">
        <v>388</v>
      </c>
      <c r="AA105" t="s">
        <v>482</v>
      </c>
      <c r="AB105" t="s">
        <v>103</v>
      </c>
      <c r="AC105" t="s">
        <v>851</v>
      </c>
      <c r="AD105" t="s">
        <v>852</v>
      </c>
      <c r="AE105" t="s">
        <v>458</v>
      </c>
      <c r="AF105">
        <v>12.75</v>
      </c>
      <c r="AG105">
        <v>17</v>
      </c>
      <c r="AH105">
        <v>81.13</v>
      </c>
      <c r="AJ105" s="86" t="str">
        <f t="shared" si="21"/>
        <v>107838Share Sub Loc Pao Quente SC Johnson</v>
      </c>
      <c r="AK105">
        <v>107838</v>
      </c>
      <c r="AL105" t="s">
        <v>378</v>
      </c>
      <c r="AM105" t="s">
        <v>36</v>
      </c>
      <c r="AN105" t="s">
        <v>103</v>
      </c>
      <c r="AO105" t="s">
        <v>921</v>
      </c>
      <c r="AP105" t="s">
        <v>922</v>
      </c>
      <c r="AQ105" t="s">
        <v>458</v>
      </c>
      <c r="AR105">
        <v>12</v>
      </c>
      <c r="AS105">
        <v>12</v>
      </c>
      <c r="AT105">
        <v>51.38</v>
      </c>
      <c r="AV105" s="86" t="str">
        <f t="shared" si="22"/>
        <v>102953Share Sub Loc Pao Quente SC Johnson</v>
      </c>
      <c r="AW105">
        <v>102953</v>
      </c>
      <c r="AX105" t="s">
        <v>388</v>
      </c>
      <c r="AY105" t="s">
        <v>482</v>
      </c>
      <c r="AZ105" t="s">
        <v>103</v>
      </c>
      <c r="BA105" t="s">
        <v>1071</v>
      </c>
      <c r="BB105" t="s">
        <v>1072</v>
      </c>
      <c r="BC105" t="s">
        <v>458</v>
      </c>
      <c r="BD105">
        <v>9</v>
      </c>
      <c r="BE105">
        <v>12</v>
      </c>
      <c r="BF105">
        <v>66.11</v>
      </c>
      <c r="BH105" s="86" t="str">
        <f t="shared" si="23"/>
        <v>73977Share Sub Loc Pao Quente SC Johnson</v>
      </c>
      <c r="BI105">
        <v>73977</v>
      </c>
      <c r="BJ105" t="s">
        <v>335</v>
      </c>
      <c r="BK105" t="s">
        <v>460</v>
      </c>
      <c r="BL105" t="s">
        <v>103</v>
      </c>
      <c r="BM105" t="s">
        <v>1231</v>
      </c>
      <c r="BN105" t="s">
        <v>1232</v>
      </c>
      <c r="BO105" t="s">
        <v>458</v>
      </c>
      <c r="BP105">
        <v>9</v>
      </c>
      <c r="BQ105">
        <v>12</v>
      </c>
      <c r="BR105">
        <v>69.06</v>
      </c>
      <c r="BT105" s="86" t="str">
        <f t="shared" si="12"/>
        <v>69667Lancamentos</v>
      </c>
      <c r="BU105">
        <v>69667</v>
      </c>
      <c r="BV105" t="s">
        <v>387</v>
      </c>
      <c r="BW105" t="s">
        <v>482</v>
      </c>
      <c r="BX105" t="s">
        <v>103</v>
      </c>
      <c r="BY105" t="s">
        <v>1356</v>
      </c>
      <c r="BZ105" t="s">
        <v>1357</v>
      </c>
      <c r="CA105" t="s">
        <v>953</v>
      </c>
      <c r="CB105">
        <v>9</v>
      </c>
      <c r="CC105">
        <v>18</v>
      </c>
      <c r="CD105">
        <v>73.83</v>
      </c>
      <c r="CF105" s="86" t="str">
        <f t="shared" si="13"/>
        <v>69667Lancamentos</v>
      </c>
      <c r="CG105">
        <v>69667</v>
      </c>
      <c r="CH105" t="s">
        <v>387</v>
      </c>
      <c r="CI105" t="s">
        <v>482</v>
      </c>
      <c r="CJ105" t="s">
        <v>103</v>
      </c>
      <c r="CK105" t="s">
        <v>1424</v>
      </c>
      <c r="CL105" t="s">
        <v>1425</v>
      </c>
      <c r="CM105" t="s">
        <v>953</v>
      </c>
      <c r="CN105">
        <v>18</v>
      </c>
      <c r="CO105">
        <v>18</v>
      </c>
      <c r="CP105">
        <v>88.62</v>
      </c>
      <c r="CR105" s="86" t="str">
        <f t="shared" si="14"/>
        <v>69667Lancamentos</v>
      </c>
      <c r="CS105">
        <v>69667</v>
      </c>
      <c r="CT105" t="s">
        <v>387</v>
      </c>
      <c r="CU105" t="s">
        <v>482</v>
      </c>
      <c r="CV105" t="s">
        <v>103</v>
      </c>
      <c r="CW105" t="s">
        <v>1624</v>
      </c>
      <c r="CX105" t="s">
        <v>1625</v>
      </c>
      <c r="CY105" t="s">
        <v>953</v>
      </c>
      <c r="CZ105">
        <v>9</v>
      </c>
      <c r="DA105">
        <v>18</v>
      </c>
      <c r="DB105">
        <v>78.83</v>
      </c>
      <c r="DD105" s="86" t="str">
        <f t="shared" si="15"/>
        <v>73922Mix + Intocáveis SC Johnson</v>
      </c>
      <c r="DE105">
        <v>73922</v>
      </c>
      <c r="DF105" t="s">
        <v>358</v>
      </c>
      <c r="DG105" t="s">
        <v>482</v>
      </c>
      <c r="DH105" t="s">
        <v>103</v>
      </c>
      <c r="DI105" t="s">
        <v>1640</v>
      </c>
      <c r="DJ105" t="s">
        <v>1641</v>
      </c>
      <c r="DK105" t="s">
        <v>459</v>
      </c>
      <c r="DL105">
        <v>35.200000000000003</v>
      </c>
      <c r="DM105">
        <v>40</v>
      </c>
      <c r="DN105">
        <v>96.62</v>
      </c>
      <c r="DP105" s="86" t="str">
        <f t="shared" si="16"/>
        <v>64883Mix + Intocáveis SC Johnson</v>
      </c>
      <c r="DQ105">
        <v>64883</v>
      </c>
      <c r="DR105" t="s">
        <v>334</v>
      </c>
      <c r="DS105" t="s">
        <v>1345</v>
      </c>
      <c r="DT105" t="s">
        <v>103</v>
      </c>
      <c r="DU105" t="s">
        <v>1862</v>
      </c>
      <c r="DV105" t="s">
        <v>1863</v>
      </c>
      <c r="DW105" t="s">
        <v>459</v>
      </c>
      <c r="DX105">
        <v>25.6</v>
      </c>
      <c r="DY105">
        <v>40</v>
      </c>
      <c r="DZ105">
        <v>87.03</v>
      </c>
      <c r="EB105" s="86" t="str">
        <f t="shared" si="17"/>
        <v>150368Mix + Intocáveis SC Johnson</v>
      </c>
      <c r="EC105">
        <v>150368</v>
      </c>
      <c r="ED105" t="s">
        <v>341</v>
      </c>
      <c r="EE105" t="s">
        <v>482</v>
      </c>
      <c r="EF105" t="s">
        <v>103</v>
      </c>
      <c r="EG105" t="s">
        <v>1922</v>
      </c>
      <c r="EH105" t="s">
        <v>1923</v>
      </c>
      <c r="EI105" t="s">
        <v>459</v>
      </c>
      <c r="EJ105">
        <v>31.2</v>
      </c>
      <c r="EK105">
        <v>40</v>
      </c>
      <c r="EL105">
        <v>87.2</v>
      </c>
    </row>
    <row r="106" spans="1:142" x14ac:dyDescent="0.35">
      <c r="A106" s="86" t="str">
        <f t="shared" si="18"/>
        <v>74744Share Sub Loc Pao Quente SC Johnson</v>
      </c>
      <c r="B106">
        <v>74744</v>
      </c>
      <c r="C106" t="s">
        <v>359</v>
      </c>
      <c r="D106" t="s">
        <v>103</v>
      </c>
      <c r="E106" t="s">
        <v>515</v>
      </c>
      <c r="F106" t="s">
        <v>516</v>
      </c>
      <c r="G106" t="s">
        <v>458</v>
      </c>
      <c r="H106">
        <v>58.57</v>
      </c>
      <c r="I106">
        <v>3.4</v>
      </c>
      <c r="J106">
        <v>17</v>
      </c>
      <c r="L106" s="86" t="str">
        <f t="shared" si="19"/>
        <v>74369Mix + Intocáveis SC Johnson</v>
      </c>
      <c r="M106">
        <v>74369</v>
      </c>
      <c r="N106" t="s">
        <v>377</v>
      </c>
      <c r="O106" t="s">
        <v>104</v>
      </c>
      <c r="P106" t="s">
        <v>103</v>
      </c>
      <c r="Q106" t="s">
        <v>666</v>
      </c>
      <c r="R106" t="s">
        <v>667</v>
      </c>
      <c r="S106" t="s">
        <v>459</v>
      </c>
      <c r="T106">
        <v>42.75</v>
      </c>
      <c r="U106">
        <v>45</v>
      </c>
      <c r="V106">
        <v>84.92</v>
      </c>
      <c r="X106" s="86" t="str">
        <f t="shared" si="20"/>
        <v>102953Mix + Intocáveis SC Johnson</v>
      </c>
      <c r="Y106">
        <v>102953</v>
      </c>
      <c r="Z106" t="s">
        <v>388</v>
      </c>
      <c r="AA106" t="s">
        <v>482</v>
      </c>
      <c r="AB106" t="s">
        <v>103</v>
      </c>
      <c r="AC106" t="s">
        <v>851</v>
      </c>
      <c r="AD106" t="s">
        <v>852</v>
      </c>
      <c r="AE106" t="s">
        <v>459</v>
      </c>
      <c r="AF106">
        <v>30.375</v>
      </c>
      <c r="AG106">
        <v>45</v>
      </c>
      <c r="AH106">
        <v>81.13</v>
      </c>
      <c r="AJ106" s="86" t="str">
        <f t="shared" si="21"/>
        <v>107838Mix + Intocáveis SC Johnson</v>
      </c>
      <c r="AK106">
        <v>107838</v>
      </c>
      <c r="AL106" t="s">
        <v>378</v>
      </c>
      <c r="AM106" t="s">
        <v>36</v>
      </c>
      <c r="AN106" t="s">
        <v>103</v>
      </c>
      <c r="AO106" t="s">
        <v>921</v>
      </c>
      <c r="AP106" t="s">
        <v>922</v>
      </c>
      <c r="AQ106" t="s">
        <v>459</v>
      </c>
      <c r="AR106">
        <v>22.6</v>
      </c>
      <c r="AS106">
        <v>40</v>
      </c>
      <c r="AT106">
        <v>51.38</v>
      </c>
      <c r="AV106" s="86" t="str">
        <f t="shared" si="22"/>
        <v>102953Mix + Intocáveis SC Johnson</v>
      </c>
      <c r="AW106">
        <v>102953</v>
      </c>
      <c r="AX106" t="s">
        <v>388</v>
      </c>
      <c r="AY106" t="s">
        <v>482</v>
      </c>
      <c r="AZ106" t="s">
        <v>103</v>
      </c>
      <c r="BA106" t="s">
        <v>1071</v>
      </c>
      <c r="BB106" t="s">
        <v>1072</v>
      </c>
      <c r="BC106" t="s">
        <v>459</v>
      </c>
      <c r="BD106">
        <v>30.44</v>
      </c>
      <c r="BE106">
        <v>40</v>
      </c>
      <c r="BF106">
        <v>66.11</v>
      </c>
      <c r="BH106" s="86" t="str">
        <f t="shared" si="23"/>
        <v>73977Mix + Intocáveis SC Johnson</v>
      </c>
      <c r="BI106">
        <v>73977</v>
      </c>
      <c r="BJ106" t="s">
        <v>335</v>
      </c>
      <c r="BK106" t="s">
        <v>460</v>
      </c>
      <c r="BL106" t="s">
        <v>103</v>
      </c>
      <c r="BM106" t="s">
        <v>1231</v>
      </c>
      <c r="BN106" t="s">
        <v>1232</v>
      </c>
      <c r="BO106" t="s">
        <v>459</v>
      </c>
      <c r="BP106">
        <v>20.88</v>
      </c>
      <c r="BQ106">
        <v>40</v>
      </c>
      <c r="BR106">
        <v>69.06</v>
      </c>
      <c r="BT106" s="86" t="str">
        <f t="shared" si="12"/>
        <v>69667Mix + Intocáveis SC Johnson</v>
      </c>
      <c r="BU106">
        <v>69667</v>
      </c>
      <c r="BV106" t="s">
        <v>387</v>
      </c>
      <c r="BW106" t="s">
        <v>482</v>
      </c>
      <c r="BX106" t="s">
        <v>103</v>
      </c>
      <c r="BY106" t="s">
        <v>1356</v>
      </c>
      <c r="BZ106" t="s">
        <v>1357</v>
      </c>
      <c r="CA106" t="s">
        <v>459</v>
      </c>
      <c r="CB106">
        <v>26.4</v>
      </c>
      <c r="CC106">
        <v>40</v>
      </c>
      <c r="CD106">
        <v>73.83</v>
      </c>
      <c r="CF106" s="86" t="str">
        <f t="shared" si="13"/>
        <v>69667Mix + Intocáveis SC Johnson</v>
      </c>
      <c r="CG106">
        <v>69667</v>
      </c>
      <c r="CH106" t="s">
        <v>387</v>
      </c>
      <c r="CI106" t="s">
        <v>482</v>
      </c>
      <c r="CJ106" t="s">
        <v>103</v>
      </c>
      <c r="CK106" t="s">
        <v>1424</v>
      </c>
      <c r="CL106" t="s">
        <v>1425</v>
      </c>
      <c r="CM106" t="s">
        <v>459</v>
      </c>
      <c r="CN106">
        <v>27.2</v>
      </c>
      <c r="CO106">
        <v>40</v>
      </c>
      <c r="CP106">
        <v>88.62</v>
      </c>
      <c r="CR106" s="86" t="str">
        <f t="shared" si="14"/>
        <v>69667Mix + Intocáveis SC Johnson</v>
      </c>
      <c r="CS106">
        <v>69667</v>
      </c>
      <c r="CT106" t="s">
        <v>387</v>
      </c>
      <c r="CU106" t="s">
        <v>482</v>
      </c>
      <c r="CV106" t="s">
        <v>103</v>
      </c>
      <c r="CW106" t="s">
        <v>1624</v>
      </c>
      <c r="CX106" t="s">
        <v>1625</v>
      </c>
      <c r="CY106" t="s">
        <v>459</v>
      </c>
      <c r="CZ106">
        <v>26.4</v>
      </c>
      <c r="DA106">
        <v>40</v>
      </c>
      <c r="DB106">
        <v>78.83</v>
      </c>
      <c r="DD106" s="86" t="str">
        <f t="shared" si="15"/>
        <v>73922Execucao Bonus</v>
      </c>
      <c r="DE106">
        <v>73922</v>
      </c>
      <c r="DF106" t="s">
        <v>358</v>
      </c>
      <c r="DG106" t="s">
        <v>482</v>
      </c>
      <c r="DH106" t="s">
        <v>103</v>
      </c>
      <c r="DI106" t="s">
        <v>1640</v>
      </c>
      <c r="DJ106" t="s">
        <v>1641</v>
      </c>
      <c r="DK106" t="s">
        <v>1291</v>
      </c>
      <c r="DL106">
        <v>5</v>
      </c>
      <c r="DM106">
        <v>5</v>
      </c>
      <c r="DN106">
        <v>96.62</v>
      </c>
      <c r="DP106" s="86" t="str">
        <f t="shared" si="16"/>
        <v>64883Execucao Bonus</v>
      </c>
      <c r="DQ106">
        <v>64883</v>
      </c>
      <c r="DR106" t="s">
        <v>334</v>
      </c>
      <c r="DS106" t="s">
        <v>1345</v>
      </c>
      <c r="DT106" t="s">
        <v>103</v>
      </c>
      <c r="DU106" t="s">
        <v>1862</v>
      </c>
      <c r="DV106" t="s">
        <v>1863</v>
      </c>
      <c r="DW106" t="s">
        <v>1291</v>
      </c>
      <c r="DX106">
        <v>5</v>
      </c>
      <c r="DY106">
        <v>5</v>
      </c>
      <c r="DZ106">
        <v>87.03</v>
      </c>
      <c r="EB106" s="86" t="str">
        <f t="shared" si="17"/>
        <v>150368Execucao Bonus</v>
      </c>
      <c r="EC106">
        <v>150368</v>
      </c>
      <c r="ED106" t="s">
        <v>341</v>
      </c>
      <c r="EE106" t="s">
        <v>482</v>
      </c>
      <c r="EF106" t="s">
        <v>103</v>
      </c>
      <c r="EG106" t="s">
        <v>1922</v>
      </c>
      <c r="EH106" t="s">
        <v>1923</v>
      </c>
      <c r="EI106" t="s">
        <v>1291</v>
      </c>
      <c r="EJ106">
        <v>5</v>
      </c>
      <c r="EK106">
        <v>5</v>
      </c>
      <c r="EL106">
        <v>87.2</v>
      </c>
    </row>
    <row r="107" spans="1:142" x14ac:dyDescent="0.35">
      <c r="A107" s="86" t="str">
        <f t="shared" si="18"/>
        <v>74744Mix + Intocáveis SC Johnson</v>
      </c>
      <c r="B107">
        <v>74744</v>
      </c>
      <c r="C107" t="s">
        <v>359</v>
      </c>
      <c r="D107" t="s">
        <v>103</v>
      </c>
      <c r="E107" t="s">
        <v>515</v>
      </c>
      <c r="F107" t="s">
        <v>516</v>
      </c>
      <c r="G107" t="s">
        <v>459</v>
      </c>
      <c r="H107">
        <v>58.57</v>
      </c>
      <c r="I107">
        <v>33.75</v>
      </c>
      <c r="J107">
        <v>45</v>
      </c>
      <c r="L107" s="86" t="str">
        <f t="shared" si="19"/>
        <v>74744Share Sub Category SC Johnson</v>
      </c>
      <c r="M107">
        <v>74744</v>
      </c>
      <c r="N107" t="s">
        <v>359</v>
      </c>
      <c r="O107" t="s">
        <v>477</v>
      </c>
      <c r="P107" t="s">
        <v>103</v>
      </c>
      <c r="Q107" t="s">
        <v>668</v>
      </c>
      <c r="R107" t="s">
        <v>669</v>
      </c>
      <c r="S107" t="s">
        <v>457</v>
      </c>
      <c r="T107">
        <v>21.42</v>
      </c>
      <c r="U107">
        <v>30</v>
      </c>
      <c r="V107">
        <v>56.05</v>
      </c>
      <c r="X107" s="86" t="str">
        <f t="shared" si="20"/>
        <v>107838Share Sub Category SC Johnson</v>
      </c>
      <c r="Y107">
        <v>107838</v>
      </c>
      <c r="Z107" t="s">
        <v>378</v>
      </c>
      <c r="AA107" t="s">
        <v>36</v>
      </c>
      <c r="AB107" t="s">
        <v>103</v>
      </c>
      <c r="AC107" t="s">
        <v>833</v>
      </c>
      <c r="AD107" t="s">
        <v>834</v>
      </c>
      <c r="AE107" t="s">
        <v>457</v>
      </c>
      <c r="AF107">
        <v>25.71</v>
      </c>
      <c r="AG107">
        <v>30</v>
      </c>
      <c r="AH107">
        <v>82.21</v>
      </c>
      <c r="AJ107" s="86" t="str">
        <f t="shared" si="21"/>
        <v>107838Lancamentos</v>
      </c>
      <c r="AK107">
        <v>107838</v>
      </c>
      <c r="AL107" t="s">
        <v>378</v>
      </c>
      <c r="AM107" t="s">
        <v>36</v>
      </c>
      <c r="AN107" t="s">
        <v>103</v>
      </c>
      <c r="AO107" t="s">
        <v>921</v>
      </c>
      <c r="AP107" t="s">
        <v>922</v>
      </c>
      <c r="AQ107" t="s">
        <v>953</v>
      </c>
      <c r="AR107">
        <v>0</v>
      </c>
      <c r="AS107">
        <v>18</v>
      </c>
      <c r="AT107">
        <v>51.38</v>
      </c>
      <c r="AV107" s="86" t="str">
        <f t="shared" si="22"/>
        <v>102953Lancamentos</v>
      </c>
      <c r="AW107">
        <v>102953</v>
      </c>
      <c r="AX107" t="s">
        <v>388</v>
      </c>
      <c r="AY107" t="s">
        <v>482</v>
      </c>
      <c r="AZ107" t="s">
        <v>103</v>
      </c>
      <c r="BA107" t="s">
        <v>1071</v>
      </c>
      <c r="BB107" t="s">
        <v>1072</v>
      </c>
      <c r="BC107" t="s">
        <v>953</v>
      </c>
      <c r="BD107">
        <v>0</v>
      </c>
      <c r="BE107">
        <v>18</v>
      </c>
      <c r="BF107">
        <v>66.11</v>
      </c>
      <c r="BH107" s="86" t="str">
        <f t="shared" si="23"/>
        <v>73977Lancamentos</v>
      </c>
      <c r="BI107">
        <v>73977</v>
      </c>
      <c r="BJ107" t="s">
        <v>335</v>
      </c>
      <c r="BK107" t="s">
        <v>460</v>
      </c>
      <c r="BL107" t="s">
        <v>103</v>
      </c>
      <c r="BM107" t="s">
        <v>1231</v>
      </c>
      <c r="BN107" t="s">
        <v>1232</v>
      </c>
      <c r="BO107" t="s">
        <v>953</v>
      </c>
      <c r="BP107">
        <v>18</v>
      </c>
      <c r="BQ107">
        <v>18</v>
      </c>
      <c r="BR107">
        <v>69.06</v>
      </c>
      <c r="BT107" s="86" t="str">
        <f t="shared" si="12"/>
        <v>69667Share Sub Category SC Johnson</v>
      </c>
      <c r="BU107">
        <v>69667</v>
      </c>
      <c r="BV107" t="s">
        <v>387</v>
      </c>
      <c r="BW107" t="s">
        <v>482</v>
      </c>
      <c r="BX107" t="s">
        <v>103</v>
      </c>
      <c r="BY107" t="s">
        <v>1356</v>
      </c>
      <c r="BZ107" t="s">
        <v>1357</v>
      </c>
      <c r="CA107" t="s">
        <v>457</v>
      </c>
      <c r="CB107">
        <v>21.425000000000001</v>
      </c>
      <c r="CC107">
        <v>25</v>
      </c>
      <c r="CD107">
        <v>73.83</v>
      </c>
      <c r="CF107" s="86" t="str">
        <f t="shared" si="13"/>
        <v>69667Share Sub Category SC Johnson</v>
      </c>
      <c r="CG107">
        <v>69667</v>
      </c>
      <c r="CH107" t="s">
        <v>387</v>
      </c>
      <c r="CI107" t="s">
        <v>482</v>
      </c>
      <c r="CJ107" t="s">
        <v>103</v>
      </c>
      <c r="CK107" t="s">
        <v>1424</v>
      </c>
      <c r="CL107" t="s">
        <v>1425</v>
      </c>
      <c r="CM107" t="s">
        <v>457</v>
      </c>
      <c r="CN107">
        <v>21.425000000000001</v>
      </c>
      <c r="CO107">
        <v>25</v>
      </c>
      <c r="CP107">
        <v>88.62</v>
      </c>
      <c r="CR107" s="86" t="str">
        <f t="shared" si="14"/>
        <v>69667Share Sub Category SC Johnson</v>
      </c>
      <c r="CS107">
        <v>69667</v>
      </c>
      <c r="CT107" t="s">
        <v>387</v>
      </c>
      <c r="CU107" t="s">
        <v>482</v>
      </c>
      <c r="CV107" t="s">
        <v>103</v>
      </c>
      <c r="CW107" t="s">
        <v>1624</v>
      </c>
      <c r="CX107" t="s">
        <v>1625</v>
      </c>
      <c r="CY107" t="s">
        <v>457</v>
      </c>
      <c r="CZ107">
        <v>21.425000000000001</v>
      </c>
      <c r="DA107">
        <v>25</v>
      </c>
      <c r="DB107">
        <v>78.83</v>
      </c>
      <c r="DD107" s="86" t="str">
        <f t="shared" si="15"/>
        <v>73922Cross Merchan SC Johnson</v>
      </c>
      <c r="DE107">
        <v>73922</v>
      </c>
      <c r="DF107" t="s">
        <v>358</v>
      </c>
      <c r="DG107" t="s">
        <v>482</v>
      </c>
      <c r="DH107" t="s">
        <v>103</v>
      </c>
      <c r="DI107" t="s">
        <v>1640</v>
      </c>
      <c r="DJ107" t="s">
        <v>1641</v>
      </c>
      <c r="DK107" t="s">
        <v>111</v>
      </c>
      <c r="DL107">
        <v>5</v>
      </c>
      <c r="DM107">
        <v>5</v>
      </c>
      <c r="DN107">
        <v>96.62</v>
      </c>
      <c r="DP107" s="86" t="str">
        <f t="shared" si="16"/>
        <v>64883Cross Merchan SC Johnson</v>
      </c>
      <c r="DQ107">
        <v>64883</v>
      </c>
      <c r="DR107" t="s">
        <v>334</v>
      </c>
      <c r="DS107" t="s">
        <v>1345</v>
      </c>
      <c r="DT107" t="s">
        <v>103</v>
      </c>
      <c r="DU107" t="s">
        <v>1862</v>
      </c>
      <c r="DV107" t="s">
        <v>1863</v>
      </c>
      <c r="DW107" t="s">
        <v>111</v>
      </c>
      <c r="DX107">
        <v>5</v>
      </c>
      <c r="DY107">
        <v>5</v>
      </c>
      <c r="DZ107">
        <v>87.03</v>
      </c>
      <c r="EB107" s="86" t="str">
        <f t="shared" si="17"/>
        <v>150368Cross Merchan SC Johnson</v>
      </c>
      <c r="EC107">
        <v>150368</v>
      </c>
      <c r="ED107" t="s">
        <v>341</v>
      </c>
      <c r="EE107" t="s">
        <v>482</v>
      </c>
      <c r="EF107" t="s">
        <v>103</v>
      </c>
      <c r="EG107" t="s">
        <v>1922</v>
      </c>
      <c r="EH107" t="s">
        <v>1923</v>
      </c>
      <c r="EI107" t="s">
        <v>111</v>
      </c>
      <c r="EJ107">
        <v>5</v>
      </c>
      <c r="EK107">
        <v>5</v>
      </c>
      <c r="EL107">
        <v>87.2</v>
      </c>
    </row>
    <row r="108" spans="1:142" x14ac:dyDescent="0.35">
      <c r="A108" s="86" t="str">
        <f t="shared" si="18"/>
        <v>102953Share Sub Category SC Johnson</v>
      </c>
      <c r="B108">
        <v>102953</v>
      </c>
      <c r="C108" t="s">
        <v>388</v>
      </c>
      <c r="D108" t="s">
        <v>103</v>
      </c>
      <c r="E108" t="s">
        <v>517</v>
      </c>
      <c r="F108" t="s">
        <v>518</v>
      </c>
      <c r="G108" t="s">
        <v>457</v>
      </c>
      <c r="H108">
        <v>44.32</v>
      </c>
      <c r="I108">
        <v>25.71</v>
      </c>
      <c r="J108">
        <v>30</v>
      </c>
      <c r="L108" s="86" t="str">
        <f t="shared" si="19"/>
        <v>74744Cross Merchan SC Johnson</v>
      </c>
      <c r="M108">
        <v>74744</v>
      </c>
      <c r="N108" t="s">
        <v>359</v>
      </c>
      <c r="O108" t="s">
        <v>477</v>
      </c>
      <c r="P108" t="s">
        <v>103</v>
      </c>
      <c r="Q108" t="s">
        <v>668</v>
      </c>
      <c r="R108" t="s">
        <v>669</v>
      </c>
      <c r="S108" t="s">
        <v>111</v>
      </c>
      <c r="T108">
        <v>0</v>
      </c>
      <c r="U108">
        <v>8</v>
      </c>
      <c r="V108">
        <v>56.05</v>
      </c>
      <c r="X108" s="86" t="str">
        <f t="shared" si="20"/>
        <v>107838Cross Merchan SC Johnson</v>
      </c>
      <c r="Y108">
        <v>107838</v>
      </c>
      <c r="Z108" t="s">
        <v>378</v>
      </c>
      <c r="AA108" t="s">
        <v>36</v>
      </c>
      <c r="AB108" t="s">
        <v>103</v>
      </c>
      <c r="AC108" t="s">
        <v>833</v>
      </c>
      <c r="AD108" t="s">
        <v>834</v>
      </c>
      <c r="AE108" t="s">
        <v>111</v>
      </c>
      <c r="AF108">
        <v>8</v>
      </c>
      <c r="AG108">
        <v>8</v>
      </c>
      <c r="AH108">
        <v>82.21</v>
      </c>
      <c r="AJ108" s="86" t="str">
        <f t="shared" si="21"/>
        <v>124155Share Sub Category SC Johnson</v>
      </c>
      <c r="AK108">
        <v>124155</v>
      </c>
      <c r="AL108" t="s">
        <v>336</v>
      </c>
      <c r="AM108" t="s">
        <v>36</v>
      </c>
      <c r="AN108" t="s">
        <v>103</v>
      </c>
      <c r="AO108" t="s">
        <v>923</v>
      </c>
      <c r="AP108" t="s">
        <v>924</v>
      </c>
      <c r="AQ108" t="s">
        <v>457</v>
      </c>
      <c r="AR108">
        <v>25</v>
      </c>
      <c r="AS108">
        <v>25</v>
      </c>
      <c r="AT108">
        <v>69.540000000000006</v>
      </c>
      <c r="AV108" s="86" t="str">
        <f t="shared" si="22"/>
        <v>107838Share Sub Category SC Johnson</v>
      </c>
      <c r="AW108">
        <v>107838</v>
      </c>
      <c r="AX108" t="s">
        <v>378</v>
      </c>
      <c r="AY108" t="s">
        <v>36</v>
      </c>
      <c r="AZ108" t="s">
        <v>103</v>
      </c>
      <c r="BA108" t="s">
        <v>1073</v>
      </c>
      <c r="BB108" t="s">
        <v>1074</v>
      </c>
      <c r="BC108" t="s">
        <v>457</v>
      </c>
      <c r="BD108">
        <v>25</v>
      </c>
      <c r="BE108">
        <v>25</v>
      </c>
      <c r="BF108">
        <v>44.84</v>
      </c>
      <c r="BH108" s="86" t="str">
        <f t="shared" si="23"/>
        <v>74369Share Sub Category SC Johnson</v>
      </c>
      <c r="BI108">
        <v>74369</v>
      </c>
      <c r="BJ108" t="s">
        <v>377</v>
      </c>
      <c r="BK108" t="s">
        <v>489</v>
      </c>
      <c r="BL108" t="s">
        <v>103</v>
      </c>
      <c r="BM108" t="s">
        <v>1187</v>
      </c>
      <c r="BN108" t="s">
        <v>1188</v>
      </c>
      <c r="BO108" t="s">
        <v>457</v>
      </c>
      <c r="BP108">
        <v>21.425000000000001</v>
      </c>
      <c r="BQ108">
        <v>25</v>
      </c>
      <c r="BR108">
        <v>86.56</v>
      </c>
      <c r="BT108" s="86" t="str">
        <f t="shared" si="12"/>
        <v>69667Share Sub Loc Pao Quente SC Johnson</v>
      </c>
      <c r="BU108">
        <v>69667</v>
      </c>
      <c r="BV108" t="s">
        <v>387</v>
      </c>
      <c r="BW108" t="s">
        <v>482</v>
      </c>
      <c r="BX108" t="s">
        <v>103</v>
      </c>
      <c r="BY108" t="s">
        <v>1356</v>
      </c>
      <c r="BZ108" t="s">
        <v>1357</v>
      </c>
      <c r="CA108" t="s">
        <v>458</v>
      </c>
      <c r="CB108">
        <v>12</v>
      </c>
      <c r="CC108">
        <v>12</v>
      </c>
      <c r="CD108">
        <v>73.83</v>
      </c>
      <c r="CF108" s="86" t="str">
        <f t="shared" si="13"/>
        <v>69667Share Sub Loc Pao Quente SC Johnson</v>
      </c>
      <c r="CG108">
        <v>69667</v>
      </c>
      <c r="CH108" t="s">
        <v>387</v>
      </c>
      <c r="CI108" t="s">
        <v>482</v>
      </c>
      <c r="CJ108" t="s">
        <v>103</v>
      </c>
      <c r="CK108" t="s">
        <v>1424</v>
      </c>
      <c r="CL108" t="s">
        <v>1425</v>
      </c>
      <c r="CM108" t="s">
        <v>458</v>
      </c>
      <c r="CN108">
        <v>12</v>
      </c>
      <c r="CO108">
        <v>12</v>
      </c>
      <c r="CP108">
        <v>88.62</v>
      </c>
      <c r="CR108" s="86" t="str">
        <f t="shared" si="14"/>
        <v>69667Share Sub Loc Pao Quente SC Johnson</v>
      </c>
      <c r="CS108">
        <v>69667</v>
      </c>
      <c r="CT108" t="s">
        <v>387</v>
      </c>
      <c r="CU108" t="s">
        <v>482</v>
      </c>
      <c r="CV108" t="s">
        <v>103</v>
      </c>
      <c r="CW108" t="s">
        <v>1624</v>
      </c>
      <c r="CX108" t="s">
        <v>1625</v>
      </c>
      <c r="CY108" t="s">
        <v>458</v>
      </c>
      <c r="CZ108">
        <v>12</v>
      </c>
      <c r="DA108">
        <v>12</v>
      </c>
      <c r="DB108">
        <v>78.83</v>
      </c>
      <c r="DD108" s="86" t="str">
        <f t="shared" si="15"/>
        <v>73922Lancamentos</v>
      </c>
      <c r="DE108">
        <v>73922</v>
      </c>
      <c r="DF108" t="s">
        <v>358</v>
      </c>
      <c r="DG108" t="s">
        <v>482</v>
      </c>
      <c r="DH108" t="s">
        <v>103</v>
      </c>
      <c r="DI108" t="s">
        <v>1640</v>
      </c>
      <c r="DJ108" t="s">
        <v>1641</v>
      </c>
      <c r="DK108" t="s">
        <v>953</v>
      </c>
      <c r="DL108">
        <v>18</v>
      </c>
      <c r="DM108">
        <v>18</v>
      </c>
      <c r="DN108">
        <v>96.62</v>
      </c>
      <c r="DP108" s="86" t="str">
        <f t="shared" si="16"/>
        <v>64883Lancamentos</v>
      </c>
      <c r="DQ108">
        <v>64883</v>
      </c>
      <c r="DR108" t="s">
        <v>334</v>
      </c>
      <c r="DS108" t="s">
        <v>1345</v>
      </c>
      <c r="DT108" t="s">
        <v>103</v>
      </c>
      <c r="DU108" t="s">
        <v>1862</v>
      </c>
      <c r="DV108" t="s">
        <v>1863</v>
      </c>
      <c r="DW108" t="s">
        <v>953</v>
      </c>
      <c r="DX108">
        <v>18</v>
      </c>
      <c r="DY108">
        <v>18</v>
      </c>
      <c r="DZ108">
        <v>87.03</v>
      </c>
      <c r="EB108" s="86" t="str">
        <f t="shared" si="17"/>
        <v>150368Lancamentos</v>
      </c>
      <c r="EC108">
        <v>150368</v>
      </c>
      <c r="ED108" t="s">
        <v>341</v>
      </c>
      <c r="EE108" t="s">
        <v>482</v>
      </c>
      <c r="EF108" t="s">
        <v>103</v>
      </c>
      <c r="EG108" t="s">
        <v>1922</v>
      </c>
      <c r="EH108" t="s">
        <v>1923</v>
      </c>
      <c r="EI108" t="s">
        <v>953</v>
      </c>
      <c r="EJ108">
        <v>9</v>
      </c>
      <c r="EK108">
        <v>18</v>
      </c>
      <c r="EL108">
        <v>87.2</v>
      </c>
    </row>
    <row r="109" spans="1:142" x14ac:dyDescent="0.35">
      <c r="A109" s="86" t="str">
        <f t="shared" si="18"/>
        <v>102953Cross Merchan SC Johnson</v>
      </c>
      <c r="B109">
        <v>102953</v>
      </c>
      <c r="C109" t="s">
        <v>388</v>
      </c>
      <c r="D109" t="s">
        <v>103</v>
      </c>
      <c r="E109" t="s">
        <v>517</v>
      </c>
      <c r="F109" t="s">
        <v>518</v>
      </c>
      <c r="G109" t="s">
        <v>111</v>
      </c>
      <c r="H109">
        <v>44.32</v>
      </c>
      <c r="I109">
        <v>0</v>
      </c>
      <c r="J109">
        <v>8</v>
      </c>
      <c r="L109" s="86" t="str">
        <f t="shared" si="19"/>
        <v>74744Share Sub Loc Pao Quente SC Johnson</v>
      </c>
      <c r="M109">
        <v>74744</v>
      </c>
      <c r="N109" t="s">
        <v>359</v>
      </c>
      <c r="O109" t="s">
        <v>477</v>
      </c>
      <c r="P109" t="s">
        <v>103</v>
      </c>
      <c r="Q109" t="s">
        <v>668</v>
      </c>
      <c r="R109" t="s">
        <v>669</v>
      </c>
      <c r="S109" t="s">
        <v>458</v>
      </c>
      <c r="T109">
        <v>4.25</v>
      </c>
      <c r="U109">
        <v>17</v>
      </c>
      <c r="V109">
        <v>56.05</v>
      </c>
      <c r="X109" s="86" t="str">
        <f t="shared" si="20"/>
        <v>107838Share Sub Loc Pao Quente SC Johnson</v>
      </c>
      <c r="Y109">
        <v>107838</v>
      </c>
      <c r="Z109" t="s">
        <v>378</v>
      </c>
      <c r="AA109" t="s">
        <v>36</v>
      </c>
      <c r="AB109" t="s">
        <v>103</v>
      </c>
      <c r="AC109" t="s">
        <v>833</v>
      </c>
      <c r="AD109" t="s">
        <v>834</v>
      </c>
      <c r="AE109" t="s">
        <v>458</v>
      </c>
      <c r="AF109">
        <v>17</v>
      </c>
      <c r="AG109">
        <v>17</v>
      </c>
      <c r="AH109">
        <v>82.21</v>
      </c>
      <c r="AJ109" s="86" t="str">
        <f t="shared" si="21"/>
        <v>124155Cross Merchan SC Johnson</v>
      </c>
      <c r="AK109">
        <v>124155</v>
      </c>
      <c r="AL109" t="s">
        <v>336</v>
      </c>
      <c r="AM109" t="s">
        <v>36</v>
      </c>
      <c r="AN109" t="s">
        <v>103</v>
      </c>
      <c r="AO109" t="s">
        <v>923</v>
      </c>
      <c r="AP109" t="s">
        <v>924</v>
      </c>
      <c r="AQ109" t="s">
        <v>111</v>
      </c>
      <c r="AR109">
        <v>2.5</v>
      </c>
      <c r="AS109">
        <v>5</v>
      </c>
      <c r="AT109">
        <v>69.540000000000006</v>
      </c>
      <c r="AV109" s="86" t="str">
        <f t="shared" si="22"/>
        <v>107838Cross Merchan SC Johnson</v>
      </c>
      <c r="AW109">
        <v>107838</v>
      </c>
      <c r="AX109" t="s">
        <v>378</v>
      </c>
      <c r="AY109" t="s">
        <v>36</v>
      </c>
      <c r="AZ109" t="s">
        <v>103</v>
      </c>
      <c r="BA109" t="s">
        <v>1073</v>
      </c>
      <c r="BB109" t="s">
        <v>1074</v>
      </c>
      <c r="BC109" t="s">
        <v>111</v>
      </c>
      <c r="BD109">
        <v>1.665</v>
      </c>
      <c r="BE109">
        <v>5</v>
      </c>
      <c r="BF109">
        <v>44.84</v>
      </c>
      <c r="BH109" s="86" t="str">
        <f t="shared" si="23"/>
        <v>74369Cross Merchan SC Johnson</v>
      </c>
      <c r="BI109">
        <v>74369</v>
      </c>
      <c r="BJ109" t="s">
        <v>377</v>
      </c>
      <c r="BK109" t="s">
        <v>489</v>
      </c>
      <c r="BL109" t="s">
        <v>103</v>
      </c>
      <c r="BM109" t="s">
        <v>1187</v>
      </c>
      <c r="BN109" t="s">
        <v>1188</v>
      </c>
      <c r="BO109" t="s">
        <v>111</v>
      </c>
      <c r="BP109">
        <v>3.335</v>
      </c>
      <c r="BQ109">
        <v>5</v>
      </c>
      <c r="BR109">
        <v>86.56</v>
      </c>
      <c r="BT109" s="86" t="str">
        <f t="shared" si="12"/>
        <v>69667Cross Merchan SC Johnson</v>
      </c>
      <c r="BU109">
        <v>69667</v>
      </c>
      <c r="BV109" t="s">
        <v>387</v>
      </c>
      <c r="BW109" t="s">
        <v>482</v>
      </c>
      <c r="BX109" t="s">
        <v>103</v>
      </c>
      <c r="BY109" t="s">
        <v>1356</v>
      </c>
      <c r="BZ109" t="s">
        <v>1357</v>
      </c>
      <c r="CA109" t="s">
        <v>111</v>
      </c>
      <c r="CB109">
        <v>5</v>
      </c>
      <c r="CC109">
        <v>5</v>
      </c>
      <c r="CD109">
        <v>73.83</v>
      </c>
      <c r="CF109" s="86" t="str">
        <f t="shared" si="13"/>
        <v>69667Cross Merchan SC Johnson</v>
      </c>
      <c r="CG109">
        <v>69667</v>
      </c>
      <c r="CH109" t="s">
        <v>387</v>
      </c>
      <c r="CI109" t="s">
        <v>482</v>
      </c>
      <c r="CJ109" t="s">
        <v>103</v>
      </c>
      <c r="CK109" t="s">
        <v>1424</v>
      </c>
      <c r="CL109" t="s">
        <v>1425</v>
      </c>
      <c r="CM109" t="s">
        <v>111</v>
      </c>
      <c r="CN109">
        <v>5</v>
      </c>
      <c r="CO109">
        <v>5</v>
      </c>
      <c r="CP109">
        <v>88.62</v>
      </c>
      <c r="CR109" s="86" t="str">
        <f t="shared" si="14"/>
        <v>69667Cross Merchan SC Johnson</v>
      </c>
      <c r="CS109">
        <v>69667</v>
      </c>
      <c r="CT109" t="s">
        <v>387</v>
      </c>
      <c r="CU109" t="s">
        <v>482</v>
      </c>
      <c r="CV109" t="s">
        <v>103</v>
      </c>
      <c r="CW109" t="s">
        <v>1624</v>
      </c>
      <c r="CX109" t="s">
        <v>1625</v>
      </c>
      <c r="CY109" t="s">
        <v>111</v>
      </c>
      <c r="CZ109">
        <v>5</v>
      </c>
      <c r="DA109">
        <v>5</v>
      </c>
      <c r="DB109">
        <v>78.83</v>
      </c>
      <c r="DD109" s="86" t="str">
        <f t="shared" si="15"/>
        <v>73922Share Sub Category SC Johnson</v>
      </c>
      <c r="DE109">
        <v>73922</v>
      </c>
      <c r="DF109" t="s">
        <v>358</v>
      </c>
      <c r="DG109" t="s">
        <v>482</v>
      </c>
      <c r="DH109" t="s">
        <v>103</v>
      </c>
      <c r="DI109" t="s">
        <v>1640</v>
      </c>
      <c r="DJ109" t="s">
        <v>1641</v>
      </c>
      <c r="DK109" t="s">
        <v>457</v>
      </c>
      <c r="DL109">
        <v>21.425000000000001</v>
      </c>
      <c r="DM109">
        <v>25</v>
      </c>
      <c r="DN109">
        <v>96.62</v>
      </c>
      <c r="DP109" s="86" t="str">
        <f t="shared" si="16"/>
        <v>64883Share Sub Category SC Johnson</v>
      </c>
      <c r="DQ109">
        <v>64883</v>
      </c>
      <c r="DR109" t="s">
        <v>334</v>
      </c>
      <c r="DS109" t="s">
        <v>1345</v>
      </c>
      <c r="DT109" t="s">
        <v>103</v>
      </c>
      <c r="DU109" t="s">
        <v>1862</v>
      </c>
      <c r="DV109" t="s">
        <v>1863</v>
      </c>
      <c r="DW109" t="s">
        <v>457</v>
      </c>
      <c r="DX109">
        <v>21.425000000000001</v>
      </c>
      <c r="DY109">
        <v>25</v>
      </c>
      <c r="DZ109">
        <v>87.03</v>
      </c>
      <c r="EB109" s="86" t="str">
        <f t="shared" si="17"/>
        <v>150368Share Sub Category SC Johnson</v>
      </c>
      <c r="EC109">
        <v>150368</v>
      </c>
      <c r="ED109" t="s">
        <v>341</v>
      </c>
      <c r="EE109" t="s">
        <v>482</v>
      </c>
      <c r="EF109" t="s">
        <v>103</v>
      </c>
      <c r="EG109" t="s">
        <v>1922</v>
      </c>
      <c r="EH109" t="s">
        <v>1923</v>
      </c>
      <c r="EI109" t="s">
        <v>457</v>
      </c>
      <c r="EJ109">
        <v>25</v>
      </c>
      <c r="EK109">
        <v>25</v>
      </c>
      <c r="EL109">
        <v>87.2</v>
      </c>
    </row>
    <row r="110" spans="1:142" x14ac:dyDescent="0.35">
      <c r="A110" s="86" t="str">
        <f t="shared" si="18"/>
        <v>102953Share Sub Loc Pao Quente SC Johnson</v>
      </c>
      <c r="B110">
        <v>102953</v>
      </c>
      <c r="C110" t="s">
        <v>388</v>
      </c>
      <c r="D110" t="s">
        <v>103</v>
      </c>
      <c r="E110" t="s">
        <v>517</v>
      </c>
      <c r="F110" t="s">
        <v>518</v>
      </c>
      <c r="G110" t="s">
        <v>458</v>
      </c>
      <c r="H110">
        <v>44.32</v>
      </c>
      <c r="I110">
        <v>6.8</v>
      </c>
      <c r="J110">
        <v>17</v>
      </c>
      <c r="L110" s="86" t="str">
        <f t="shared" si="19"/>
        <v>74744Mix + Intocáveis SC Johnson</v>
      </c>
      <c r="M110">
        <v>74744</v>
      </c>
      <c r="N110" t="s">
        <v>359</v>
      </c>
      <c r="O110" t="s">
        <v>477</v>
      </c>
      <c r="P110" t="s">
        <v>103</v>
      </c>
      <c r="Q110" t="s">
        <v>668</v>
      </c>
      <c r="R110" t="s">
        <v>669</v>
      </c>
      <c r="S110" t="s">
        <v>459</v>
      </c>
      <c r="T110">
        <v>30.375</v>
      </c>
      <c r="U110">
        <v>45</v>
      </c>
      <c r="V110">
        <v>56.05</v>
      </c>
      <c r="X110" s="86" t="str">
        <f t="shared" si="20"/>
        <v>107838Mix + Intocáveis SC Johnson</v>
      </c>
      <c r="Y110">
        <v>107838</v>
      </c>
      <c r="Z110" t="s">
        <v>378</v>
      </c>
      <c r="AA110" t="s">
        <v>36</v>
      </c>
      <c r="AB110" t="s">
        <v>103</v>
      </c>
      <c r="AC110" t="s">
        <v>833</v>
      </c>
      <c r="AD110" t="s">
        <v>834</v>
      </c>
      <c r="AE110" t="s">
        <v>459</v>
      </c>
      <c r="AF110">
        <v>31.5</v>
      </c>
      <c r="AG110">
        <v>45</v>
      </c>
      <c r="AH110">
        <v>82.21</v>
      </c>
      <c r="AJ110" s="86" t="str">
        <f t="shared" si="21"/>
        <v>124155Share Sub Loc Pao Quente SC Johnson</v>
      </c>
      <c r="AK110">
        <v>124155</v>
      </c>
      <c r="AL110" t="s">
        <v>336</v>
      </c>
      <c r="AM110" t="s">
        <v>36</v>
      </c>
      <c r="AN110" t="s">
        <v>103</v>
      </c>
      <c r="AO110" t="s">
        <v>923</v>
      </c>
      <c r="AP110" t="s">
        <v>924</v>
      </c>
      <c r="AQ110" t="s">
        <v>458</v>
      </c>
      <c r="AR110">
        <v>9</v>
      </c>
      <c r="AS110">
        <v>12</v>
      </c>
      <c r="AT110">
        <v>69.540000000000006</v>
      </c>
      <c r="AV110" s="86" t="str">
        <f t="shared" si="22"/>
        <v>107838Share Sub Loc Pao Quente SC Johnson</v>
      </c>
      <c r="AW110">
        <v>107838</v>
      </c>
      <c r="AX110" t="s">
        <v>378</v>
      </c>
      <c r="AY110" t="s">
        <v>36</v>
      </c>
      <c r="AZ110" t="s">
        <v>103</v>
      </c>
      <c r="BA110" t="s">
        <v>1073</v>
      </c>
      <c r="BB110" t="s">
        <v>1074</v>
      </c>
      <c r="BC110" t="s">
        <v>458</v>
      </c>
      <c r="BD110">
        <v>6</v>
      </c>
      <c r="BE110">
        <v>12</v>
      </c>
      <c r="BF110">
        <v>44.84</v>
      </c>
      <c r="BH110" s="86" t="str">
        <f t="shared" si="23"/>
        <v>74369Share Sub Loc Pao Quente SC Johnson</v>
      </c>
      <c r="BI110">
        <v>74369</v>
      </c>
      <c r="BJ110" t="s">
        <v>377</v>
      </c>
      <c r="BK110" t="s">
        <v>489</v>
      </c>
      <c r="BL110" t="s">
        <v>103</v>
      </c>
      <c r="BM110" t="s">
        <v>1187</v>
      </c>
      <c r="BN110" t="s">
        <v>1188</v>
      </c>
      <c r="BO110" t="s">
        <v>458</v>
      </c>
      <c r="BP110">
        <v>9</v>
      </c>
      <c r="BQ110">
        <v>12</v>
      </c>
      <c r="BR110">
        <v>86.56</v>
      </c>
      <c r="BT110" s="86" t="str">
        <f t="shared" si="12"/>
        <v>69667Execucao Bonus</v>
      </c>
      <c r="BU110">
        <v>69667</v>
      </c>
      <c r="BV110" t="s">
        <v>387</v>
      </c>
      <c r="BW110" t="s">
        <v>482</v>
      </c>
      <c r="BX110" t="s">
        <v>103</v>
      </c>
      <c r="BY110" t="s">
        <v>1356</v>
      </c>
      <c r="BZ110" t="s">
        <v>1357</v>
      </c>
      <c r="CA110" t="s">
        <v>1291</v>
      </c>
      <c r="CB110">
        <v>0</v>
      </c>
      <c r="CC110">
        <v>5</v>
      </c>
      <c r="CD110">
        <v>73.83</v>
      </c>
      <c r="CF110" s="86" t="str">
        <f t="shared" si="13"/>
        <v>69667Execucao Bonus</v>
      </c>
      <c r="CG110">
        <v>69667</v>
      </c>
      <c r="CH110" t="s">
        <v>387</v>
      </c>
      <c r="CI110" t="s">
        <v>482</v>
      </c>
      <c r="CJ110" t="s">
        <v>103</v>
      </c>
      <c r="CK110" t="s">
        <v>1424</v>
      </c>
      <c r="CL110" t="s">
        <v>1425</v>
      </c>
      <c r="CM110" t="s">
        <v>1291</v>
      </c>
      <c r="CN110">
        <v>5</v>
      </c>
      <c r="CO110">
        <v>5</v>
      </c>
      <c r="CP110">
        <v>88.62</v>
      </c>
      <c r="CR110" s="86" t="str">
        <f t="shared" si="14"/>
        <v>69667Execucao Bonus</v>
      </c>
      <c r="CS110">
        <v>69667</v>
      </c>
      <c r="CT110" t="s">
        <v>387</v>
      </c>
      <c r="CU110" t="s">
        <v>482</v>
      </c>
      <c r="CV110" t="s">
        <v>103</v>
      </c>
      <c r="CW110" t="s">
        <v>1624</v>
      </c>
      <c r="CX110" t="s">
        <v>1625</v>
      </c>
      <c r="CY110" t="s">
        <v>1291</v>
      </c>
      <c r="CZ110">
        <v>5</v>
      </c>
      <c r="DA110">
        <v>5</v>
      </c>
      <c r="DB110">
        <v>78.83</v>
      </c>
      <c r="DD110" s="86" t="str">
        <f t="shared" si="15"/>
        <v>73922Share Sub Loc Pao Quente SC Johnson</v>
      </c>
      <c r="DE110">
        <v>73922</v>
      </c>
      <c r="DF110" t="s">
        <v>358</v>
      </c>
      <c r="DG110" t="s">
        <v>482</v>
      </c>
      <c r="DH110" t="s">
        <v>103</v>
      </c>
      <c r="DI110" t="s">
        <v>1640</v>
      </c>
      <c r="DJ110" t="s">
        <v>1641</v>
      </c>
      <c r="DK110" t="s">
        <v>458</v>
      </c>
      <c r="DL110">
        <v>12</v>
      </c>
      <c r="DM110">
        <v>12</v>
      </c>
      <c r="DN110">
        <v>96.62</v>
      </c>
      <c r="DP110" s="86" t="str">
        <f t="shared" si="16"/>
        <v>64883Share Sub Loc Pao Quente SC Johnson</v>
      </c>
      <c r="DQ110">
        <v>64883</v>
      </c>
      <c r="DR110" t="s">
        <v>334</v>
      </c>
      <c r="DS110" t="s">
        <v>1345</v>
      </c>
      <c r="DT110" t="s">
        <v>103</v>
      </c>
      <c r="DU110" t="s">
        <v>1862</v>
      </c>
      <c r="DV110" t="s">
        <v>1863</v>
      </c>
      <c r="DW110" t="s">
        <v>458</v>
      </c>
      <c r="DX110">
        <v>12</v>
      </c>
      <c r="DY110">
        <v>12</v>
      </c>
      <c r="DZ110">
        <v>87.03</v>
      </c>
      <c r="EB110" s="86" t="str">
        <f t="shared" si="17"/>
        <v>150368Share Sub Loc Pao Quente SC Johnson</v>
      </c>
      <c r="EC110">
        <v>150368</v>
      </c>
      <c r="ED110" t="s">
        <v>341</v>
      </c>
      <c r="EE110" t="s">
        <v>482</v>
      </c>
      <c r="EF110" t="s">
        <v>103</v>
      </c>
      <c r="EG110" t="s">
        <v>1922</v>
      </c>
      <c r="EH110" t="s">
        <v>1923</v>
      </c>
      <c r="EI110" t="s">
        <v>458</v>
      </c>
      <c r="EJ110">
        <v>12</v>
      </c>
      <c r="EK110">
        <v>12</v>
      </c>
      <c r="EL110">
        <v>87.2</v>
      </c>
    </row>
    <row r="111" spans="1:142" x14ac:dyDescent="0.35">
      <c r="A111" s="86" t="str">
        <f t="shared" si="18"/>
        <v>102953Mix + Intocáveis SC Johnson</v>
      </c>
      <c r="B111">
        <v>102953</v>
      </c>
      <c r="C111" t="s">
        <v>388</v>
      </c>
      <c r="D111" t="s">
        <v>103</v>
      </c>
      <c r="E111" t="s">
        <v>517</v>
      </c>
      <c r="F111" t="s">
        <v>518</v>
      </c>
      <c r="G111" t="s">
        <v>459</v>
      </c>
      <c r="H111">
        <v>44.32</v>
      </c>
      <c r="I111">
        <v>11.8125</v>
      </c>
      <c r="J111">
        <v>45</v>
      </c>
      <c r="L111" s="86" t="str">
        <f t="shared" si="19"/>
        <v>102953Share Sub Category SC Johnson</v>
      </c>
      <c r="M111">
        <v>102953</v>
      </c>
      <c r="N111" t="s">
        <v>388</v>
      </c>
      <c r="O111" t="s">
        <v>482</v>
      </c>
      <c r="P111" t="s">
        <v>103</v>
      </c>
      <c r="Q111" t="s">
        <v>670</v>
      </c>
      <c r="R111" t="s">
        <v>671</v>
      </c>
      <c r="S111" t="s">
        <v>457</v>
      </c>
      <c r="T111">
        <v>25.71</v>
      </c>
      <c r="U111">
        <v>30</v>
      </c>
      <c r="V111">
        <v>71.34</v>
      </c>
      <c r="X111" s="86" t="str">
        <f t="shared" si="20"/>
        <v>119456Share Sub Category SC Johnson</v>
      </c>
      <c r="Y111">
        <v>119456</v>
      </c>
      <c r="Z111" t="s">
        <v>389</v>
      </c>
      <c r="AA111" t="s">
        <v>104</v>
      </c>
      <c r="AB111" t="s">
        <v>103</v>
      </c>
      <c r="AC111" t="s">
        <v>853</v>
      </c>
      <c r="AD111" t="s">
        <v>854</v>
      </c>
      <c r="AE111" t="s">
        <v>457</v>
      </c>
      <c r="AF111">
        <v>25.71</v>
      </c>
      <c r="AG111">
        <v>30</v>
      </c>
      <c r="AH111">
        <v>87.84</v>
      </c>
      <c r="AJ111" s="86" t="str">
        <f t="shared" si="21"/>
        <v>124155Mix + Intocáveis SC Johnson</v>
      </c>
      <c r="AK111">
        <v>124155</v>
      </c>
      <c r="AL111" t="s">
        <v>336</v>
      </c>
      <c r="AM111" t="s">
        <v>36</v>
      </c>
      <c r="AN111" t="s">
        <v>103</v>
      </c>
      <c r="AO111" t="s">
        <v>923</v>
      </c>
      <c r="AP111" t="s">
        <v>924</v>
      </c>
      <c r="AQ111" t="s">
        <v>459</v>
      </c>
      <c r="AR111">
        <v>33.04</v>
      </c>
      <c r="AS111">
        <v>40</v>
      </c>
      <c r="AT111">
        <v>69.540000000000006</v>
      </c>
      <c r="AV111" s="86" t="str">
        <f t="shared" si="22"/>
        <v>107838Mix + Intocáveis SC Johnson</v>
      </c>
      <c r="AW111">
        <v>107838</v>
      </c>
      <c r="AX111" t="s">
        <v>378</v>
      </c>
      <c r="AY111" t="s">
        <v>36</v>
      </c>
      <c r="AZ111" t="s">
        <v>103</v>
      </c>
      <c r="BA111" t="s">
        <v>1073</v>
      </c>
      <c r="BB111" t="s">
        <v>1074</v>
      </c>
      <c r="BC111" t="s">
        <v>459</v>
      </c>
      <c r="BD111">
        <v>12.18</v>
      </c>
      <c r="BE111">
        <v>40</v>
      </c>
      <c r="BF111">
        <v>44.84</v>
      </c>
      <c r="BH111" s="86" t="str">
        <f t="shared" si="23"/>
        <v>74369Mix + Intocáveis SC Johnson</v>
      </c>
      <c r="BI111">
        <v>74369</v>
      </c>
      <c r="BJ111" t="s">
        <v>377</v>
      </c>
      <c r="BK111" t="s">
        <v>489</v>
      </c>
      <c r="BL111" t="s">
        <v>103</v>
      </c>
      <c r="BM111" t="s">
        <v>1187</v>
      </c>
      <c r="BN111" t="s">
        <v>1188</v>
      </c>
      <c r="BO111" t="s">
        <v>459</v>
      </c>
      <c r="BP111">
        <v>34.799999999999997</v>
      </c>
      <c r="BQ111">
        <v>40</v>
      </c>
      <c r="BR111">
        <v>86.56</v>
      </c>
      <c r="BT111" s="86" t="str">
        <f t="shared" si="12"/>
        <v>73922Lancamentos</v>
      </c>
      <c r="BU111">
        <v>73922</v>
      </c>
      <c r="BV111" t="s">
        <v>358</v>
      </c>
      <c r="BW111" t="s">
        <v>482</v>
      </c>
      <c r="BX111" t="s">
        <v>103</v>
      </c>
      <c r="BY111" t="s">
        <v>1374</v>
      </c>
      <c r="BZ111" t="s">
        <v>1375</v>
      </c>
      <c r="CA111" t="s">
        <v>953</v>
      </c>
      <c r="CB111">
        <v>9</v>
      </c>
      <c r="CC111">
        <v>18</v>
      </c>
      <c r="CD111">
        <v>88</v>
      </c>
      <c r="CF111" s="86" t="str">
        <f t="shared" si="13"/>
        <v>73922Lancamentos</v>
      </c>
      <c r="CG111">
        <v>73922</v>
      </c>
      <c r="CH111" t="s">
        <v>358</v>
      </c>
      <c r="CI111" t="s">
        <v>482</v>
      </c>
      <c r="CJ111" t="s">
        <v>103</v>
      </c>
      <c r="CK111" t="s">
        <v>1440</v>
      </c>
      <c r="CL111" t="s">
        <v>1441</v>
      </c>
      <c r="CM111" t="s">
        <v>953</v>
      </c>
      <c r="CN111">
        <v>18</v>
      </c>
      <c r="CO111">
        <v>18</v>
      </c>
      <c r="CP111">
        <v>92</v>
      </c>
      <c r="CR111" s="86" t="str">
        <f t="shared" si="14"/>
        <v>73922Lancamentos</v>
      </c>
      <c r="CS111">
        <v>73922</v>
      </c>
      <c r="CT111" t="s">
        <v>358</v>
      </c>
      <c r="CU111" t="s">
        <v>482</v>
      </c>
      <c r="CV111" t="s">
        <v>103</v>
      </c>
      <c r="CW111" t="s">
        <v>1546</v>
      </c>
      <c r="CX111" t="s">
        <v>1547</v>
      </c>
      <c r="CY111" t="s">
        <v>953</v>
      </c>
      <c r="CZ111">
        <v>18</v>
      </c>
      <c r="DA111">
        <v>18</v>
      </c>
      <c r="DB111">
        <v>93.6</v>
      </c>
      <c r="DD111" s="86" t="str">
        <f t="shared" si="15"/>
        <v>74369Mix + Intocáveis SC Johnson</v>
      </c>
      <c r="DE111">
        <v>74369</v>
      </c>
      <c r="DF111" t="s">
        <v>377</v>
      </c>
      <c r="DG111" t="s">
        <v>489</v>
      </c>
      <c r="DH111" t="s">
        <v>103</v>
      </c>
      <c r="DI111" t="s">
        <v>1690</v>
      </c>
      <c r="DJ111" t="s">
        <v>1691</v>
      </c>
      <c r="DK111" t="s">
        <v>459</v>
      </c>
      <c r="DL111">
        <v>34.4</v>
      </c>
      <c r="DM111">
        <v>40</v>
      </c>
      <c r="DN111">
        <v>87.4</v>
      </c>
      <c r="DP111" s="86" t="str">
        <f t="shared" si="16"/>
        <v>69667Mix + Intocáveis SC Johnson</v>
      </c>
      <c r="DQ111">
        <v>69667</v>
      </c>
      <c r="DR111" t="s">
        <v>387</v>
      </c>
      <c r="DS111" t="s">
        <v>482</v>
      </c>
      <c r="DT111" t="s">
        <v>103</v>
      </c>
      <c r="DU111" t="s">
        <v>1842</v>
      </c>
      <c r="DV111" t="s">
        <v>1843</v>
      </c>
      <c r="DW111" t="s">
        <v>459</v>
      </c>
      <c r="DX111">
        <v>24</v>
      </c>
      <c r="DY111">
        <v>40</v>
      </c>
      <c r="DZ111">
        <v>89</v>
      </c>
      <c r="EB111" s="86" t="str">
        <f t="shared" si="17"/>
        <v>152696Mix + Intocáveis SC Johnson</v>
      </c>
      <c r="EC111">
        <v>152696</v>
      </c>
      <c r="ED111" t="s">
        <v>363</v>
      </c>
      <c r="EE111" t="s">
        <v>1306</v>
      </c>
      <c r="EF111" t="s">
        <v>103</v>
      </c>
      <c r="EG111" t="s">
        <v>1894</v>
      </c>
      <c r="EH111" t="s">
        <v>1895</v>
      </c>
      <c r="EI111" t="s">
        <v>459</v>
      </c>
      <c r="EJ111">
        <v>37.6</v>
      </c>
      <c r="EK111">
        <v>40</v>
      </c>
      <c r="EL111">
        <v>99.02</v>
      </c>
    </row>
    <row r="112" spans="1:142" x14ac:dyDescent="0.35">
      <c r="A112" s="86" t="str">
        <f t="shared" si="18"/>
        <v>107838Share Sub Category SC Johnson</v>
      </c>
      <c r="B112">
        <v>107838</v>
      </c>
      <c r="C112" t="s">
        <v>378</v>
      </c>
      <c r="D112" t="s">
        <v>103</v>
      </c>
      <c r="E112" t="s">
        <v>519</v>
      </c>
      <c r="F112" t="s">
        <v>520</v>
      </c>
      <c r="G112" t="s">
        <v>457</v>
      </c>
      <c r="H112">
        <v>58.07</v>
      </c>
      <c r="I112">
        <v>12.87</v>
      </c>
      <c r="J112">
        <v>30</v>
      </c>
      <c r="L112" s="86" t="str">
        <f t="shared" si="19"/>
        <v>102953Cross Merchan SC Johnson</v>
      </c>
      <c r="M112">
        <v>102953</v>
      </c>
      <c r="N112" t="s">
        <v>388</v>
      </c>
      <c r="O112" t="s">
        <v>482</v>
      </c>
      <c r="P112" t="s">
        <v>103</v>
      </c>
      <c r="Q112" t="s">
        <v>670</v>
      </c>
      <c r="R112" t="s">
        <v>671</v>
      </c>
      <c r="S112" t="s">
        <v>111</v>
      </c>
      <c r="T112">
        <v>0</v>
      </c>
      <c r="U112">
        <v>8</v>
      </c>
      <c r="V112">
        <v>71.34</v>
      </c>
      <c r="X112" s="86" t="str">
        <f t="shared" si="20"/>
        <v>119456Cross Merchan SC Johnson</v>
      </c>
      <c r="Y112">
        <v>119456</v>
      </c>
      <c r="Z112" t="s">
        <v>389</v>
      </c>
      <c r="AA112" t="s">
        <v>104</v>
      </c>
      <c r="AB112" t="s">
        <v>103</v>
      </c>
      <c r="AC112" t="s">
        <v>853</v>
      </c>
      <c r="AD112" t="s">
        <v>854</v>
      </c>
      <c r="AE112" t="s">
        <v>111</v>
      </c>
      <c r="AF112">
        <v>8</v>
      </c>
      <c r="AG112">
        <v>8</v>
      </c>
      <c r="AH112">
        <v>87.84</v>
      </c>
      <c r="AJ112" s="86" t="str">
        <f t="shared" si="21"/>
        <v>124155Lancamentos</v>
      </c>
      <c r="AK112">
        <v>124155</v>
      </c>
      <c r="AL112" t="s">
        <v>336</v>
      </c>
      <c r="AM112" t="s">
        <v>36</v>
      </c>
      <c r="AN112" t="s">
        <v>103</v>
      </c>
      <c r="AO112" t="s">
        <v>923</v>
      </c>
      <c r="AP112" t="s">
        <v>924</v>
      </c>
      <c r="AQ112" t="s">
        <v>953</v>
      </c>
      <c r="AR112">
        <v>0</v>
      </c>
      <c r="AS112">
        <v>18</v>
      </c>
      <c r="AT112">
        <v>69.540000000000006</v>
      </c>
      <c r="AV112" s="86" t="str">
        <f t="shared" si="22"/>
        <v>107838Lancamentos</v>
      </c>
      <c r="AW112">
        <v>107838</v>
      </c>
      <c r="AX112" t="s">
        <v>378</v>
      </c>
      <c r="AY112" t="s">
        <v>36</v>
      </c>
      <c r="AZ112" t="s">
        <v>103</v>
      </c>
      <c r="BA112" t="s">
        <v>1073</v>
      </c>
      <c r="BB112" t="s">
        <v>1074</v>
      </c>
      <c r="BC112" t="s">
        <v>953</v>
      </c>
      <c r="BD112">
        <v>0</v>
      </c>
      <c r="BE112">
        <v>18</v>
      </c>
      <c r="BF112">
        <v>44.84</v>
      </c>
      <c r="BH112" s="86" t="str">
        <f t="shared" si="23"/>
        <v>74369Lancamentos</v>
      </c>
      <c r="BI112">
        <v>74369</v>
      </c>
      <c r="BJ112" t="s">
        <v>377</v>
      </c>
      <c r="BK112" t="s">
        <v>489</v>
      </c>
      <c r="BL112" t="s">
        <v>103</v>
      </c>
      <c r="BM112" t="s">
        <v>1187</v>
      </c>
      <c r="BN112" t="s">
        <v>1188</v>
      </c>
      <c r="BO112" t="s">
        <v>953</v>
      </c>
      <c r="BP112">
        <v>18</v>
      </c>
      <c r="BQ112">
        <v>18</v>
      </c>
      <c r="BR112">
        <v>86.56</v>
      </c>
      <c r="BT112" s="86" t="str">
        <f t="shared" si="12"/>
        <v>73922Mix + Intocáveis SC Johnson</v>
      </c>
      <c r="BU112">
        <v>73922</v>
      </c>
      <c r="BV112" t="s">
        <v>358</v>
      </c>
      <c r="BW112" t="s">
        <v>482</v>
      </c>
      <c r="BX112" t="s">
        <v>103</v>
      </c>
      <c r="BY112" t="s">
        <v>1374</v>
      </c>
      <c r="BZ112" t="s">
        <v>1375</v>
      </c>
      <c r="CA112" t="s">
        <v>459</v>
      </c>
      <c r="CB112">
        <v>32</v>
      </c>
      <c r="CC112">
        <v>40</v>
      </c>
      <c r="CD112">
        <v>88</v>
      </c>
      <c r="CF112" s="86" t="str">
        <f t="shared" si="13"/>
        <v>73922Mix + Intocáveis SC Johnson</v>
      </c>
      <c r="CG112">
        <v>73922</v>
      </c>
      <c r="CH112" t="s">
        <v>358</v>
      </c>
      <c r="CI112" t="s">
        <v>482</v>
      </c>
      <c r="CJ112" t="s">
        <v>103</v>
      </c>
      <c r="CK112" t="s">
        <v>1440</v>
      </c>
      <c r="CL112" t="s">
        <v>1441</v>
      </c>
      <c r="CM112" t="s">
        <v>459</v>
      </c>
      <c r="CN112">
        <v>32</v>
      </c>
      <c r="CO112">
        <v>40</v>
      </c>
      <c r="CP112">
        <v>92</v>
      </c>
      <c r="CR112" s="86" t="str">
        <f t="shared" si="14"/>
        <v>73922Mix + Intocáveis SC Johnson</v>
      </c>
      <c r="CS112">
        <v>73922</v>
      </c>
      <c r="CT112" t="s">
        <v>358</v>
      </c>
      <c r="CU112" t="s">
        <v>482</v>
      </c>
      <c r="CV112" t="s">
        <v>103</v>
      </c>
      <c r="CW112" t="s">
        <v>1546</v>
      </c>
      <c r="CX112" t="s">
        <v>1547</v>
      </c>
      <c r="CY112" t="s">
        <v>459</v>
      </c>
      <c r="CZ112">
        <v>33.6</v>
      </c>
      <c r="DA112">
        <v>40</v>
      </c>
      <c r="DB112">
        <v>93.6</v>
      </c>
      <c r="DD112" s="86" t="str">
        <f t="shared" si="15"/>
        <v>74369Execucao Bonus</v>
      </c>
      <c r="DE112">
        <v>74369</v>
      </c>
      <c r="DF112" t="s">
        <v>377</v>
      </c>
      <c r="DG112" t="s">
        <v>489</v>
      </c>
      <c r="DH112" t="s">
        <v>103</v>
      </c>
      <c r="DI112" t="s">
        <v>1690</v>
      </c>
      <c r="DJ112" t="s">
        <v>1691</v>
      </c>
      <c r="DK112" t="s">
        <v>1291</v>
      </c>
      <c r="DL112">
        <v>5</v>
      </c>
      <c r="DM112">
        <v>5</v>
      </c>
      <c r="DN112">
        <v>87.4</v>
      </c>
      <c r="DP112" s="86" t="str">
        <f t="shared" si="16"/>
        <v>69667Execucao Bonus</v>
      </c>
      <c r="DQ112">
        <v>69667</v>
      </c>
      <c r="DR112" t="s">
        <v>387</v>
      </c>
      <c r="DS112" t="s">
        <v>482</v>
      </c>
      <c r="DT112" t="s">
        <v>103</v>
      </c>
      <c r="DU112" t="s">
        <v>1842</v>
      </c>
      <c r="DV112" t="s">
        <v>1843</v>
      </c>
      <c r="DW112" t="s">
        <v>1291</v>
      </c>
      <c r="DX112">
        <v>5</v>
      </c>
      <c r="DY112">
        <v>5</v>
      </c>
      <c r="DZ112">
        <v>89</v>
      </c>
      <c r="EB112" s="86" t="str">
        <f t="shared" si="17"/>
        <v>152696Execucao Bonus</v>
      </c>
      <c r="EC112">
        <v>152696</v>
      </c>
      <c r="ED112" t="s">
        <v>363</v>
      </c>
      <c r="EE112" t="s">
        <v>1306</v>
      </c>
      <c r="EF112" t="s">
        <v>103</v>
      </c>
      <c r="EG112" t="s">
        <v>1894</v>
      </c>
      <c r="EH112" t="s">
        <v>1895</v>
      </c>
      <c r="EI112" t="s">
        <v>1291</v>
      </c>
      <c r="EJ112">
        <v>5</v>
      </c>
      <c r="EK112">
        <v>5</v>
      </c>
      <c r="EL112">
        <v>99.02</v>
      </c>
    </row>
    <row r="113" spans="1:142" x14ac:dyDescent="0.35">
      <c r="A113" s="86" t="str">
        <f t="shared" si="18"/>
        <v>107838Cross Merchan SC Johnson</v>
      </c>
      <c r="B113">
        <v>107838</v>
      </c>
      <c r="C113" t="s">
        <v>378</v>
      </c>
      <c r="D113" t="s">
        <v>103</v>
      </c>
      <c r="E113" t="s">
        <v>519</v>
      </c>
      <c r="F113" t="s">
        <v>520</v>
      </c>
      <c r="G113" t="s">
        <v>111</v>
      </c>
      <c r="H113">
        <v>58.07</v>
      </c>
      <c r="I113">
        <v>8</v>
      </c>
      <c r="J113">
        <v>8</v>
      </c>
      <c r="L113" s="86" t="str">
        <f t="shared" si="19"/>
        <v>102953Share Sub Loc Pao Quente SC Johnson</v>
      </c>
      <c r="M113">
        <v>102953</v>
      </c>
      <c r="N113" t="s">
        <v>388</v>
      </c>
      <c r="O113" t="s">
        <v>482</v>
      </c>
      <c r="P113" t="s">
        <v>103</v>
      </c>
      <c r="Q113" t="s">
        <v>670</v>
      </c>
      <c r="R113" t="s">
        <v>671</v>
      </c>
      <c r="S113" t="s">
        <v>458</v>
      </c>
      <c r="T113">
        <v>8.5</v>
      </c>
      <c r="U113">
        <v>17</v>
      </c>
      <c r="V113">
        <v>71.34</v>
      </c>
      <c r="X113" s="86" t="str">
        <f t="shared" si="20"/>
        <v>119456Share Sub Loc Pao Quente SC Johnson</v>
      </c>
      <c r="Y113">
        <v>119456</v>
      </c>
      <c r="Z113" t="s">
        <v>389</v>
      </c>
      <c r="AA113" t="s">
        <v>104</v>
      </c>
      <c r="AB113" t="s">
        <v>103</v>
      </c>
      <c r="AC113" t="s">
        <v>853</v>
      </c>
      <c r="AD113" t="s">
        <v>854</v>
      </c>
      <c r="AE113" t="s">
        <v>458</v>
      </c>
      <c r="AF113">
        <v>17</v>
      </c>
      <c r="AG113">
        <v>17</v>
      </c>
      <c r="AH113">
        <v>87.84</v>
      </c>
      <c r="AJ113" s="86" t="str">
        <f t="shared" si="21"/>
        <v>132039Share Sub Category SC Johnson</v>
      </c>
      <c r="AK113">
        <v>132039</v>
      </c>
      <c r="AL113" t="s">
        <v>337</v>
      </c>
      <c r="AM113" t="s">
        <v>104</v>
      </c>
      <c r="AN113" t="s">
        <v>103</v>
      </c>
      <c r="AO113" t="s">
        <v>925</v>
      </c>
      <c r="AP113" t="s">
        <v>926</v>
      </c>
      <c r="AQ113" t="s">
        <v>457</v>
      </c>
      <c r="AR113">
        <v>25</v>
      </c>
      <c r="AS113">
        <v>25</v>
      </c>
      <c r="AT113">
        <v>67.34</v>
      </c>
      <c r="AV113" s="86" t="str">
        <f t="shared" si="22"/>
        <v>119456Share Sub Category SC Johnson</v>
      </c>
      <c r="AW113">
        <v>119456</v>
      </c>
      <c r="AX113" t="s">
        <v>389</v>
      </c>
      <c r="AY113" t="s">
        <v>482</v>
      </c>
      <c r="AZ113" t="s">
        <v>103</v>
      </c>
      <c r="BA113" t="s">
        <v>1035</v>
      </c>
      <c r="BB113" t="s">
        <v>1036</v>
      </c>
      <c r="BC113" t="s">
        <v>457</v>
      </c>
      <c r="BD113">
        <v>25</v>
      </c>
      <c r="BE113">
        <v>25</v>
      </c>
      <c r="BF113">
        <v>58.84</v>
      </c>
      <c r="BH113" s="86" t="str">
        <f t="shared" si="23"/>
        <v>74744Share Sub Category SC Johnson</v>
      </c>
      <c r="BI113">
        <v>74744</v>
      </c>
      <c r="BJ113" t="s">
        <v>359</v>
      </c>
      <c r="BK113" t="s">
        <v>477</v>
      </c>
      <c r="BL113" t="s">
        <v>103</v>
      </c>
      <c r="BM113" t="s">
        <v>1189</v>
      </c>
      <c r="BN113" t="s">
        <v>1190</v>
      </c>
      <c r="BO113" t="s">
        <v>457</v>
      </c>
      <c r="BP113">
        <v>25</v>
      </c>
      <c r="BQ113">
        <v>25</v>
      </c>
      <c r="BR113">
        <v>60.96</v>
      </c>
      <c r="BT113" s="86" t="str">
        <f t="shared" si="12"/>
        <v>73922Share Sub Category SC Johnson</v>
      </c>
      <c r="BU113">
        <v>73922</v>
      </c>
      <c r="BV113" t="s">
        <v>358</v>
      </c>
      <c r="BW113" t="s">
        <v>482</v>
      </c>
      <c r="BX113" t="s">
        <v>103</v>
      </c>
      <c r="BY113" t="s">
        <v>1374</v>
      </c>
      <c r="BZ113" t="s">
        <v>1375</v>
      </c>
      <c r="CA113" t="s">
        <v>457</v>
      </c>
      <c r="CB113">
        <v>25</v>
      </c>
      <c r="CC113">
        <v>25</v>
      </c>
      <c r="CD113">
        <v>88</v>
      </c>
      <c r="CF113" s="86" t="str">
        <f t="shared" si="13"/>
        <v>73922Share Sub Category SC Johnson</v>
      </c>
      <c r="CG113">
        <v>73922</v>
      </c>
      <c r="CH113" t="s">
        <v>358</v>
      </c>
      <c r="CI113" t="s">
        <v>482</v>
      </c>
      <c r="CJ113" t="s">
        <v>103</v>
      </c>
      <c r="CK113" t="s">
        <v>1440</v>
      </c>
      <c r="CL113" t="s">
        <v>1441</v>
      </c>
      <c r="CM113" t="s">
        <v>457</v>
      </c>
      <c r="CN113">
        <v>25</v>
      </c>
      <c r="CO113">
        <v>25</v>
      </c>
      <c r="CP113">
        <v>92</v>
      </c>
      <c r="CR113" s="86" t="str">
        <f t="shared" si="14"/>
        <v>73922Share Sub Category SC Johnson</v>
      </c>
      <c r="CS113">
        <v>73922</v>
      </c>
      <c r="CT113" t="s">
        <v>358</v>
      </c>
      <c r="CU113" t="s">
        <v>482</v>
      </c>
      <c r="CV113" t="s">
        <v>103</v>
      </c>
      <c r="CW113" t="s">
        <v>1546</v>
      </c>
      <c r="CX113" t="s">
        <v>1547</v>
      </c>
      <c r="CY113" t="s">
        <v>457</v>
      </c>
      <c r="CZ113">
        <v>25</v>
      </c>
      <c r="DA113">
        <v>25</v>
      </c>
      <c r="DB113">
        <v>93.6</v>
      </c>
      <c r="DD113" s="86" t="str">
        <f t="shared" si="15"/>
        <v>74369Cross Merchan SC Johnson</v>
      </c>
      <c r="DE113">
        <v>74369</v>
      </c>
      <c r="DF113" t="s">
        <v>377</v>
      </c>
      <c r="DG113" t="s">
        <v>489</v>
      </c>
      <c r="DH113" t="s">
        <v>103</v>
      </c>
      <c r="DI113" t="s">
        <v>1690</v>
      </c>
      <c r="DJ113" t="s">
        <v>1691</v>
      </c>
      <c r="DK113" t="s">
        <v>111</v>
      </c>
      <c r="DL113">
        <v>5</v>
      </c>
      <c r="DM113">
        <v>5</v>
      </c>
      <c r="DN113">
        <v>87.4</v>
      </c>
      <c r="DP113" s="86" t="str">
        <f t="shared" si="16"/>
        <v>69667Cross Merchan SC Johnson</v>
      </c>
      <c r="DQ113">
        <v>69667</v>
      </c>
      <c r="DR113" t="s">
        <v>387</v>
      </c>
      <c r="DS113" t="s">
        <v>482</v>
      </c>
      <c r="DT113" t="s">
        <v>103</v>
      </c>
      <c r="DU113" t="s">
        <v>1842</v>
      </c>
      <c r="DV113" t="s">
        <v>1843</v>
      </c>
      <c r="DW113" t="s">
        <v>111</v>
      </c>
      <c r="DX113">
        <v>5</v>
      </c>
      <c r="DY113">
        <v>5</v>
      </c>
      <c r="DZ113">
        <v>89</v>
      </c>
      <c r="EB113" s="86" t="str">
        <f t="shared" si="17"/>
        <v>152696Cross Merchan SC Johnson</v>
      </c>
      <c r="EC113">
        <v>152696</v>
      </c>
      <c r="ED113" t="s">
        <v>363</v>
      </c>
      <c r="EE113" t="s">
        <v>1306</v>
      </c>
      <c r="EF113" t="s">
        <v>103</v>
      </c>
      <c r="EG113" t="s">
        <v>1894</v>
      </c>
      <c r="EH113" t="s">
        <v>1895</v>
      </c>
      <c r="EI113" t="s">
        <v>111</v>
      </c>
      <c r="EJ113">
        <v>5</v>
      </c>
      <c r="EK113">
        <v>5</v>
      </c>
      <c r="EL113">
        <v>99.02</v>
      </c>
    </row>
    <row r="114" spans="1:142" x14ac:dyDescent="0.35">
      <c r="A114" s="86" t="str">
        <f t="shared" si="18"/>
        <v>107838Share Sub Loc Pao Quente SC Johnson</v>
      </c>
      <c r="B114">
        <v>107838</v>
      </c>
      <c r="C114" t="s">
        <v>378</v>
      </c>
      <c r="D114" t="s">
        <v>103</v>
      </c>
      <c r="E114" t="s">
        <v>519</v>
      </c>
      <c r="F114" t="s">
        <v>520</v>
      </c>
      <c r="G114" t="s">
        <v>458</v>
      </c>
      <c r="H114">
        <v>58.07</v>
      </c>
      <c r="I114">
        <v>10.199999999999999</v>
      </c>
      <c r="J114">
        <v>17</v>
      </c>
      <c r="L114" s="86" t="str">
        <f t="shared" si="19"/>
        <v>102953Mix + Intocáveis SC Johnson</v>
      </c>
      <c r="M114">
        <v>102953</v>
      </c>
      <c r="N114" t="s">
        <v>388</v>
      </c>
      <c r="O114" t="s">
        <v>482</v>
      </c>
      <c r="P114" t="s">
        <v>103</v>
      </c>
      <c r="Q114" t="s">
        <v>670</v>
      </c>
      <c r="R114" t="s">
        <v>671</v>
      </c>
      <c r="S114" t="s">
        <v>459</v>
      </c>
      <c r="T114">
        <v>37.125</v>
      </c>
      <c r="U114">
        <v>45</v>
      </c>
      <c r="V114">
        <v>71.34</v>
      </c>
      <c r="X114" s="86" t="str">
        <f t="shared" si="20"/>
        <v>119456Mix + Intocáveis SC Johnson</v>
      </c>
      <c r="Y114">
        <v>119456</v>
      </c>
      <c r="Z114" t="s">
        <v>389</v>
      </c>
      <c r="AA114" t="s">
        <v>104</v>
      </c>
      <c r="AB114" t="s">
        <v>103</v>
      </c>
      <c r="AC114" t="s">
        <v>853</v>
      </c>
      <c r="AD114" t="s">
        <v>854</v>
      </c>
      <c r="AE114" t="s">
        <v>459</v>
      </c>
      <c r="AF114">
        <v>37.125</v>
      </c>
      <c r="AG114">
        <v>45</v>
      </c>
      <c r="AH114">
        <v>87.84</v>
      </c>
      <c r="AJ114" s="86" t="str">
        <f t="shared" si="21"/>
        <v>132039Cross Merchan SC Johnson</v>
      </c>
      <c r="AK114">
        <v>132039</v>
      </c>
      <c r="AL114" t="s">
        <v>337</v>
      </c>
      <c r="AM114" t="s">
        <v>104</v>
      </c>
      <c r="AN114" t="s">
        <v>103</v>
      </c>
      <c r="AO114" t="s">
        <v>925</v>
      </c>
      <c r="AP114" t="s">
        <v>926</v>
      </c>
      <c r="AQ114" t="s">
        <v>111</v>
      </c>
      <c r="AR114">
        <v>2.5</v>
      </c>
      <c r="AS114">
        <v>5</v>
      </c>
      <c r="AT114">
        <v>67.34</v>
      </c>
      <c r="AV114" s="86" t="str">
        <f t="shared" si="22"/>
        <v>119456Cross Merchan SC Johnson</v>
      </c>
      <c r="AW114">
        <v>119456</v>
      </c>
      <c r="AX114" t="s">
        <v>389</v>
      </c>
      <c r="AY114" t="s">
        <v>482</v>
      </c>
      <c r="AZ114" t="s">
        <v>103</v>
      </c>
      <c r="BA114" t="s">
        <v>1035</v>
      </c>
      <c r="BB114" t="s">
        <v>1036</v>
      </c>
      <c r="BC114" t="s">
        <v>111</v>
      </c>
      <c r="BD114">
        <v>0</v>
      </c>
      <c r="BE114">
        <v>5</v>
      </c>
      <c r="BF114">
        <v>58.84</v>
      </c>
      <c r="BH114" s="86" t="str">
        <f t="shared" si="23"/>
        <v>74744Cross Merchan SC Johnson</v>
      </c>
      <c r="BI114">
        <v>74744</v>
      </c>
      <c r="BJ114" t="s">
        <v>359</v>
      </c>
      <c r="BK114" t="s">
        <v>477</v>
      </c>
      <c r="BL114" t="s">
        <v>103</v>
      </c>
      <c r="BM114" t="s">
        <v>1189</v>
      </c>
      <c r="BN114" t="s">
        <v>1190</v>
      </c>
      <c r="BO114" t="s">
        <v>111</v>
      </c>
      <c r="BP114">
        <v>0</v>
      </c>
      <c r="BQ114">
        <v>5</v>
      </c>
      <c r="BR114">
        <v>60.96</v>
      </c>
      <c r="BT114" s="86" t="str">
        <f t="shared" si="12"/>
        <v>73922Share Sub Loc Pao Quente SC Johnson</v>
      </c>
      <c r="BU114">
        <v>73922</v>
      </c>
      <c r="BV114" t="s">
        <v>358</v>
      </c>
      <c r="BW114" t="s">
        <v>482</v>
      </c>
      <c r="BX114" t="s">
        <v>103</v>
      </c>
      <c r="BY114" t="s">
        <v>1374</v>
      </c>
      <c r="BZ114" t="s">
        <v>1375</v>
      </c>
      <c r="CA114" t="s">
        <v>458</v>
      </c>
      <c r="CB114">
        <v>12</v>
      </c>
      <c r="CC114">
        <v>12</v>
      </c>
      <c r="CD114">
        <v>88</v>
      </c>
      <c r="CF114" s="86" t="str">
        <f t="shared" si="13"/>
        <v>73922Share Sub Loc Pao Quente SC Johnson</v>
      </c>
      <c r="CG114">
        <v>73922</v>
      </c>
      <c r="CH114" t="s">
        <v>358</v>
      </c>
      <c r="CI114" t="s">
        <v>482</v>
      </c>
      <c r="CJ114" t="s">
        <v>103</v>
      </c>
      <c r="CK114" t="s">
        <v>1440</v>
      </c>
      <c r="CL114" t="s">
        <v>1441</v>
      </c>
      <c r="CM114" t="s">
        <v>458</v>
      </c>
      <c r="CN114">
        <v>12</v>
      </c>
      <c r="CO114">
        <v>12</v>
      </c>
      <c r="CP114">
        <v>92</v>
      </c>
      <c r="CR114" s="86" t="str">
        <f t="shared" si="14"/>
        <v>73922Share Sub Loc Pao Quente SC Johnson</v>
      </c>
      <c r="CS114">
        <v>73922</v>
      </c>
      <c r="CT114" t="s">
        <v>358</v>
      </c>
      <c r="CU114" t="s">
        <v>482</v>
      </c>
      <c r="CV114" t="s">
        <v>103</v>
      </c>
      <c r="CW114" t="s">
        <v>1546</v>
      </c>
      <c r="CX114" t="s">
        <v>1547</v>
      </c>
      <c r="CY114" t="s">
        <v>458</v>
      </c>
      <c r="CZ114">
        <v>12</v>
      </c>
      <c r="DA114">
        <v>12</v>
      </c>
      <c r="DB114">
        <v>93.6</v>
      </c>
      <c r="DD114" s="86" t="str">
        <f t="shared" si="15"/>
        <v>74369Lancamentos</v>
      </c>
      <c r="DE114">
        <v>74369</v>
      </c>
      <c r="DF114" t="s">
        <v>377</v>
      </c>
      <c r="DG114" t="s">
        <v>489</v>
      </c>
      <c r="DH114" t="s">
        <v>103</v>
      </c>
      <c r="DI114" t="s">
        <v>1690</v>
      </c>
      <c r="DJ114" t="s">
        <v>1691</v>
      </c>
      <c r="DK114" t="s">
        <v>953</v>
      </c>
      <c r="DL114">
        <v>9</v>
      </c>
      <c r="DM114">
        <v>18</v>
      </c>
      <c r="DN114">
        <v>87.4</v>
      </c>
      <c r="DP114" s="86" t="str">
        <f t="shared" si="16"/>
        <v>69667Lancamentos</v>
      </c>
      <c r="DQ114">
        <v>69667</v>
      </c>
      <c r="DR114" t="s">
        <v>387</v>
      </c>
      <c r="DS114" t="s">
        <v>482</v>
      </c>
      <c r="DT114" t="s">
        <v>103</v>
      </c>
      <c r="DU114" t="s">
        <v>1842</v>
      </c>
      <c r="DV114" t="s">
        <v>1843</v>
      </c>
      <c r="DW114" t="s">
        <v>953</v>
      </c>
      <c r="DX114">
        <v>18</v>
      </c>
      <c r="DY114">
        <v>18</v>
      </c>
      <c r="DZ114">
        <v>89</v>
      </c>
      <c r="EB114" s="86" t="str">
        <f t="shared" si="17"/>
        <v>152696Lancamentos</v>
      </c>
      <c r="EC114">
        <v>152696</v>
      </c>
      <c r="ED114" t="s">
        <v>363</v>
      </c>
      <c r="EE114" t="s">
        <v>1306</v>
      </c>
      <c r="EF114" t="s">
        <v>103</v>
      </c>
      <c r="EG114" t="s">
        <v>1894</v>
      </c>
      <c r="EH114" t="s">
        <v>1895</v>
      </c>
      <c r="EI114" t="s">
        <v>953</v>
      </c>
      <c r="EJ114">
        <v>18</v>
      </c>
      <c r="EK114">
        <v>18</v>
      </c>
      <c r="EL114">
        <v>99.02</v>
      </c>
    </row>
    <row r="115" spans="1:142" x14ac:dyDescent="0.35">
      <c r="A115" s="86" t="str">
        <f t="shared" si="18"/>
        <v>107838Mix + Intocáveis SC Johnson</v>
      </c>
      <c r="B115">
        <v>107838</v>
      </c>
      <c r="C115" t="s">
        <v>378</v>
      </c>
      <c r="D115" t="s">
        <v>103</v>
      </c>
      <c r="E115" t="s">
        <v>519</v>
      </c>
      <c r="F115" t="s">
        <v>520</v>
      </c>
      <c r="G115" t="s">
        <v>459</v>
      </c>
      <c r="H115">
        <v>58.07</v>
      </c>
      <c r="I115">
        <v>27</v>
      </c>
      <c r="J115">
        <v>45</v>
      </c>
      <c r="L115" s="86" t="str">
        <f t="shared" si="19"/>
        <v>107838Share Sub Category SC Johnson</v>
      </c>
      <c r="M115">
        <v>107838</v>
      </c>
      <c r="N115" t="s">
        <v>378</v>
      </c>
      <c r="O115" t="s">
        <v>36</v>
      </c>
      <c r="P115" t="s">
        <v>103</v>
      </c>
      <c r="Q115" t="s">
        <v>672</v>
      </c>
      <c r="R115" t="s">
        <v>673</v>
      </c>
      <c r="S115" t="s">
        <v>457</v>
      </c>
      <c r="T115">
        <v>17.13</v>
      </c>
      <c r="U115">
        <v>30</v>
      </c>
      <c r="V115">
        <v>56.01</v>
      </c>
      <c r="X115" s="86" t="str">
        <f t="shared" si="20"/>
        <v>124155Share Sub Category SC Johnson</v>
      </c>
      <c r="Y115">
        <v>124155</v>
      </c>
      <c r="Z115" t="s">
        <v>336</v>
      </c>
      <c r="AA115" t="s">
        <v>36</v>
      </c>
      <c r="AB115" t="s">
        <v>103</v>
      </c>
      <c r="AC115" t="s">
        <v>761</v>
      </c>
      <c r="AD115" t="s">
        <v>762</v>
      </c>
      <c r="AE115" t="s">
        <v>457</v>
      </c>
      <c r="AF115">
        <v>21.42</v>
      </c>
      <c r="AG115">
        <v>30</v>
      </c>
      <c r="AH115">
        <v>73.92</v>
      </c>
      <c r="AJ115" s="86" t="str">
        <f t="shared" si="21"/>
        <v>132039Share Sub Loc Pao Quente SC Johnson</v>
      </c>
      <c r="AK115">
        <v>132039</v>
      </c>
      <c r="AL115" t="s">
        <v>337</v>
      </c>
      <c r="AM115" t="s">
        <v>104</v>
      </c>
      <c r="AN115" t="s">
        <v>103</v>
      </c>
      <c r="AO115" t="s">
        <v>925</v>
      </c>
      <c r="AP115" t="s">
        <v>926</v>
      </c>
      <c r="AQ115" t="s">
        <v>458</v>
      </c>
      <c r="AR115">
        <v>12</v>
      </c>
      <c r="AS115">
        <v>12</v>
      </c>
      <c r="AT115">
        <v>67.34</v>
      </c>
      <c r="AV115" s="86" t="str">
        <f t="shared" si="22"/>
        <v>119456Share Sub Loc Pao Quente SC Johnson</v>
      </c>
      <c r="AW115">
        <v>119456</v>
      </c>
      <c r="AX115" t="s">
        <v>389</v>
      </c>
      <c r="AY115" t="s">
        <v>482</v>
      </c>
      <c r="AZ115" t="s">
        <v>103</v>
      </c>
      <c r="BA115" t="s">
        <v>1035</v>
      </c>
      <c r="BB115" t="s">
        <v>1036</v>
      </c>
      <c r="BC115" t="s">
        <v>458</v>
      </c>
      <c r="BD115">
        <v>6</v>
      </c>
      <c r="BE115">
        <v>12</v>
      </c>
      <c r="BF115">
        <v>58.84</v>
      </c>
      <c r="BH115" s="86" t="str">
        <f t="shared" si="23"/>
        <v>74744Share Sub Loc Pao Quente SC Johnson</v>
      </c>
      <c r="BI115">
        <v>74744</v>
      </c>
      <c r="BJ115" t="s">
        <v>359</v>
      </c>
      <c r="BK115" t="s">
        <v>477</v>
      </c>
      <c r="BL115" t="s">
        <v>103</v>
      </c>
      <c r="BM115" t="s">
        <v>1189</v>
      </c>
      <c r="BN115" t="s">
        <v>1190</v>
      </c>
      <c r="BO115" t="s">
        <v>458</v>
      </c>
      <c r="BP115">
        <v>9</v>
      </c>
      <c r="BQ115">
        <v>12</v>
      </c>
      <c r="BR115">
        <v>60.96</v>
      </c>
      <c r="BT115" s="86" t="str">
        <f t="shared" si="12"/>
        <v>73922Cross Merchan SC Johnson</v>
      </c>
      <c r="BU115">
        <v>73922</v>
      </c>
      <c r="BV115" t="s">
        <v>358</v>
      </c>
      <c r="BW115" t="s">
        <v>482</v>
      </c>
      <c r="BX115" t="s">
        <v>103</v>
      </c>
      <c r="BY115" t="s">
        <v>1374</v>
      </c>
      <c r="BZ115" t="s">
        <v>1375</v>
      </c>
      <c r="CA115" t="s">
        <v>111</v>
      </c>
      <c r="CB115">
        <v>5</v>
      </c>
      <c r="CC115">
        <v>5</v>
      </c>
      <c r="CD115">
        <v>88</v>
      </c>
      <c r="CF115" s="86" t="str">
        <f t="shared" si="13"/>
        <v>73922Cross Merchan SC Johnson</v>
      </c>
      <c r="CG115">
        <v>73922</v>
      </c>
      <c r="CH115" t="s">
        <v>358</v>
      </c>
      <c r="CI115" t="s">
        <v>482</v>
      </c>
      <c r="CJ115" t="s">
        <v>103</v>
      </c>
      <c r="CK115" t="s">
        <v>1440</v>
      </c>
      <c r="CL115" t="s">
        <v>1441</v>
      </c>
      <c r="CM115" t="s">
        <v>111</v>
      </c>
      <c r="CN115">
        <v>5</v>
      </c>
      <c r="CO115">
        <v>5</v>
      </c>
      <c r="CP115">
        <v>92</v>
      </c>
      <c r="CR115" s="86" t="str">
        <f t="shared" si="14"/>
        <v>73922Cross Merchan SC Johnson</v>
      </c>
      <c r="CS115">
        <v>73922</v>
      </c>
      <c r="CT115" t="s">
        <v>358</v>
      </c>
      <c r="CU115" t="s">
        <v>482</v>
      </c>
      <c r="CV115" t="s">
        <v>103</v>
      </c>
      <c r="CW115" t="s">
        <v>1546</v>
      </c>
      <c r="CX115" t="s">
        <v>1547</v>
      </c>
      <c r="CY115" t="s">
        <v>111</v>
      </c>
      <c r="CZ115">
        <v>5</v>
      </c>
      <c r="DA115">
        <v>5</v>
      </c>
      <c r="DB115">
        <v>93.6</v>
      </c>
      <c r="DD115" s="86" t="str">
        <f t="shared" si="15"/>
        <v>74369Share Sub Category SC Johnson</v>
      </c>
      <c r="DE115">
        <v>74369</v>
      </c>
      <c r="DF115" t="s">
        <v>377</v>
      </c>
      <c r="DG115" t="s">
        <v>489</v>
      </c>
      <c r="DH115" t="s">
        <v>103</v>
      </c>
      <c r="DI115" t="s">
        <v>1690</v>
      </c>
      <c r="DJ115" t="s">
        <v>1691</v>
      </c>
      <c r="DK115" t="s">
        <v>457</v>
      </c>
      <c r="DL115">
        <v>25</v>
      </c>
      <c r="DM115">
        <v>25</v>
      </c>
      <c r="DN115">
        <v>87.4</v>
      </c>
      <c r="DP115" s="86" t="str">
        <f t="shared" si="16"/>
        <v>69667Share Sub Category SC Johnson</v>
      </c>
      <c r="DQ115">
        <v>69667</v>
      </c>
      <c r="DR115" t="s">
        <v>387</v>
      </c>
      <c r="DS115" t="s">
        <v>482</v>
      </c>
      <c r="DT115" t="s">
        <v>103</v>
      </c>
      <c r="DU115" t="s">
        <v>1842</v>
      </c>
      <c r="DV115" t="s">
        <v>1843</v>
      </c>
      <c r="DW115" t="s">
        <v>457</v>
      </c>
      <c r="DX115">
        <v>25</v>
      </c>
      <c r="DY115">
        <v>25</v>
      </c>
      <c r="DZ115">
        <v>89</v>
      </c>
      <c r="EB115" s="86" t="str">
        <f t="shared" si="17"/>
        <v>152696Share Sub Category SC Johnson</v>
      </c>
      <c r="EC115">
        <v>152696</v>
      </c>
      <c r="ED115" t="s">
        <v>363</v>
      </c>
      <c r="EE115" t="s">
        <v>1306</v>
      </c>
      <c r="EF115" t="s">
        <v>103</v>
      </c>
      <c r="EG115" t="s">
        <v>1894</v>
      </c>
      <c r="EH115" t="s">
        <v>1895</v>
      </c>
      <c r="EI115" t="s">
        <v>457</v>
      </c>
      <c r="EJ115">
        <v>21.425000000000001</v>
      </c>
      <c r="EK115">
        <v>25</v>
      </c>
      <c r="EL115">
        <v>99.02</v>
      </c>
    </row>
    <row r="116" spans="1:142" x14ac:dyDescent="0.35">
      <c r="A116" s="86" t="str">
        <f t="shared" si="18"/>
        <v>119456Share Sub Category SC Johnson</v>
      </c>
      <c r="B116">
        <v>119456</v>
      </c>
      <c r="C116" t="s">
        <v>389</v>
      </c>
      <c r="D116" t="s">
        <v>103</v>
      </c>
      <c r="E116" t="s">
        <v>521</v>
      </c>
      <c r="F116" t="s">
        <v>522</v>
      </c>
      <c r="G116" t="s">
        <v>457</v>
      </c>
      <c r="H116">
        <v>28.22</v>
      </c>
      <c r="I116">
        <v>21.42</v>
      </c>
      <c r="J116">
        <v>30</v>
      </c>
      <c r="L116" s="86" t="str">
        <f t="shared" si="19"/>
        <v>107838Cross Merchan SC Johnson</v>
      </c>
      <c r="M116">
        <v>107838</v>
      </c>
      <c r="N116" t="s">
        <v>378</v>
      </c>
      <c r="O116" t="s">
        <v>36</v>
      </c>
      <c r="P116" t="s">
        <v>103</v>
      </c>
      <c r="Q116" t="s">
        <v>672</v>
      </c>
      <c r="R116" t="s">
        <v>673</v>
      </c>
      <c r="S116" t="s">
        <v>111</v>
      </c>
      <c r="T116">
        <v>0</v>
      </c>
      <c r="U116">
        <v>8</v>
      </c>
      <c r="V116">
        <v>56.01</v>
      </c>
      <c r="X116" s="86" t="str">
        <f t="shared" si="20"/>
        <v>124155Cross Merchan SC Johnson</v>
      </c>
      <c r="Y116">
        <v>124155</v>
      </c>
      <c r="Z116" t="s">
        <v>336</v>
      </c>
      <c r="AA116" t="s">
        <v>36</v>
      </c>
      <c r="AB116" t="s">
        <v>103</v>
      </c>
      <c r="AC116" t="s">
        <v>761</v>
      </c>
      <c r="AD116" t="s">
        <v>762</v>
      </c>
      <c r="AE116" t="s">
        <v>111</v>
      </c>
      <c r="AF116">
        <v>8</v>
      </c>
      <c r="AG116">
        <v>8</v>
      </c>
      <c r="AH116">
        <v>73.92</v>
      </c>
      <c r="AJ116" s="86" t="str">
        <f t="shared" si="21"/>
        <v>132039Mix + Intocáveis SC Johnson</v>
      </c>
      <c r="AK116">
        <v>132039</v>
      </c>
      <c r="AL116" t="s">
        <v>337</v>
      </c>
      <c r="AM116" t="s">
        <v>104</v>
      </c>
      <c r="AN116" t="s">
        <v>103</v>
      </c>
      <c r="AO116" t="s">
        <v>925</v>
      </c>
      <c r="AP116" t="s">
        <v>926</v>
      </c>
      <c r="AQ116" t="s">
        <v>459</v>
      </c>
      <c r="AR116">
        <v>27.84</v>
      </c>
      <c r="AS116">
        <v>40</v>
      </c>
      <c r="AT116">
        <v>67.34</v>
      </c>
      <c r="AV116" s="86" t="str">
        <f t="shared" si="22"/>
        <v>119456Mix + Intocáveis SC Johnson</v>
      </c>
      <c r="AW116">
        <v>119456</v>
      </c>
      <c r="AX116" t="s">
        <v>389</v>
      </c>
      <c r="AY116" t="s">
        <v>482</v>
      </c>
      <c r="AZ116" t="s">
        <v>103</v>
      </c>
      <c r="BA116" t="s">
        <v>1035</v>
      </c>
      <c r="BB116" t="s">
        <v>1036</v>
      </c>
      <c r="BC116" t="s">
        <v>459</v>
      </c>
      <c r="BD116">
        <v>27.84</v>
      </c>
      <c r="BE116">
        <v>40</v>
      </c>
      <c r="BF116">
        <v>58.84</v>
      </c>
      <c r="BH116" s="86" t="str">
        <f t="shared" si="23"/>
        <v>74744Mix + Intocáveis SC Johnson</v>
      </c>
      <c r="BI116">
        <v>74744</v>
      </c>
      <c r="BJ116" t="s">
        <v>359</v>
      </c>
      <c r="BK116" t="s">
        <v>477</v>
      </c>
      <c r="BL116" t="s">
        <v>103</v>
      </c>
      <c r="BM116" t="s">
        <v>1189</v>
      </c>
      <c r="BN116" t="s">
        <v>1190</v>
      </c>
      <c r="BO116" t="s">
        <v>459</v>
      </c>
      <c r="BP116">
        <v>26.96</v>
      </c>
      <c r="BQ116">
        <v>40</v>
      </c>
      <c r="BR116">
        <v>60.96</v>
      </c>
      <c r="BT116" s="86" t="str">
        <f t="shared" si="12"/>
        <v>73922Execucao Bonus</v>
      </c>
      <c r="BU116">
        <v>73922</v>
      </c>
      <c r="BV116" t="s">
        <v>358</v>
      </c>
      <c r="BW116" t="s">
        <v>482</v>
      </c>
      <c r="BX116" t="s">
        <v>103</v>
      </c>
      <c r="BY116" t="s">
        <v>1374</v>
      </c>
      <c r="BZ116" t="s">
        <v>1375</v>
      </c>
      <c r="CA116" t="s">
        <v>1291</v>
      </c>
      <c r="CB116">
        <v>5</v>
      </c>
      <c r="CC116">
        <v>5</v>
      </c>
      <c r="CD116">
        <v>88</v>
      </c>
      <c r="CF116" s="86" t="str">
        <f t="shared" si="13"/>
        <v>73922Execucao Bonus</v>
      </c>
      <c r="CG116">
        <v>73922</v>
      </c>
      <c r="CH116" t="s">
        <v>358</v>
      </c>
      <c r="CI116" t="s">
        <v>482</v>
      </c>
      <c r="CJ116" t="s">
        <v>103</v>
      </c>
      <c r="CK116" t="s">
        <v>1440</v>
      </c>
      <c r="CL116" t="s">
        <v>1441</v>
      </c>
      <c r="CM116" t="s">
        <v>1291</v>
      </c>
      <c r="CN116">
        <v>0</v>
      </c>
      <c r="CO116">
        <v>5</v>
      </c>
      <c r="CP116">
        <v>92</v>
      </c>
      <c r="CR116" s="86" t="str">
        <f t="shared" si="14"/>
        <v>73922Execucao Bonus</v>
      </c>
      <c r="CS116">
        <v>73922</v>
      </c>
      <c r="CT116" t="s">
        <v>358</v>
      </c>
      <c r="CU116" t="s">
        <v>482</v>
      </c>
      <c r="CV116" t="s">
        <v>103</v>
      </c>
      <c r="CW116" t="s">
        <v>1546</v>
      </c>
      <c r="CX116" t="s">
        <v>1547</v>
      </c>
      <c r="CY116" t="s">
        <v>1291</v>
      </c>
      <c r="CZ116">
        <v>0</v>
      </c>
      <c r="DA116">
        <v>5</v>
      </c>
      <c r="DB116">
        <v>93.6</v>
      </c>
      <c r="DD116" s="86" t="str">
        <f t="shared" si="15"/>
        <v>74369Share Sub Loc Pao Quente SC Johnson</v>
      </c>
      <c r="DE116">
        <v>74369</v>
      </c>
      <c r="DF116" t="s">
        <v>377</v>
      </c>
      <c r="DG116" t="s">
        <v>489</v>
      </c>
      <c r="DH116" t="s">
        <v>103</v>
      </c>
      <c r="DI116" t="s">
        <v>1690</v>
      </c>
      <c r="DJ116" t="s">
        <v>1691</v>
      </c>
      <c r="DK116" t="s">
        <v>458</v>
      </c>
      <c r="DL116">
        <v>9</v>
      </c>
      <c r="DM116">
        <v>12</v>
      </c>
      <c r="DN116">
        <v>87.4</v>
      </c>
      <c r="DP116" s="86" t="str">
        <f t="shared" si="16"/>
        <v>69667Share Sub Loc Pao Quente SC Johnson</v>
      </c>
      <c r="DQ116">
        <v>69667</v>
      </c>
      <c r="DR116" t="s">
        <v>387</v>
      </c>
      <c r="DS116" t="s">
        <v>482</v>
      </c>
      <c r="DT116" t="s">
        <v>103</v>
      </c>
      <c r="DU116" t="s">
        <v>1842</v>
      </c>
      <c r="DV116" t="s">
        <v>1843</v>
      </c>
      <c r="DW116" t="s">
        <v>458</v>
      </c>
      <c r="DX116">
        <v>12</v>
      </c>
      <c r="DY116">
        <v>12</v>
      </c>
      <c r="DZ116">
        <v>89</v>
      </c>
      <c r="EB116" s="86" t="str">
        <f t="shared" si="17"/>
        <v>152696Share Sub Loc Pao Quente SC Johnson</v>
      </c>
      <c r="EC116">
        <v>152696</v>
      </c>
      <c r="ED116" t="s">
        <v>363</v>
      </c>
      <c r="EE116" t="s">
        <v>1306</v>
      </c>
      <c r="EF116" t="s">
        <v>103</v>
      </c>
      <c r="EG116" t="s">
        <v>1894</v>
      </c>
      <c r="EH116" t="s">
        <v>1895</v>
      </c>
      <c r="EI116" t="s">
        <v>458</v>
      </c>
      <c r="EJ116">
        <v>12</v>
      </c>
      <c r="EK116">
        <v>12</v>
      </c>
      <c r="EL116">
        <v>99.02</v>
      </c>
    </row>
    <row r="117" spans="1:142" x14ac:dyDescent="0.35">
      <c r="A117" s="86" t="str">
        <f t="shared" si="18"/>
        <v>119456Cross Merchan SC Johnson</v>
      </c>
      <c r="B117">
        <v>119456</v>
      </c>
      <c r="C117" t="s">
        <v>389</v>
      </c>
      <c r="D117" t="s">
        <v>103</v>
      </c>
      <c r="E117" t="s">
        <v>521</v>
      </c>
      <c r="F117" t="s">
        <v>522</v>
      </c>
      <c r="G117" t="s">
        <v>111</v>
      </c>
      <c r="H117">
        <v>28.22</v>
      </c>
      <c r="I117">
        <v>0</v>
      </c>
      <c r="J117">
        <v>8</v>
      </c>
      <c r="L117" s="86" t="str">
        <f t="shared" si="19"/>
        <v>107838Share Sub Loc Pao Quente SC Johnson</v>
      </c>
      <c r="M117">
        <v>107838</v>
      </c>
      <c r="N117" t="s">
        <v>378</v>
      </c>
      <c r="O117" t="s">
        <v>36</v>
      </c>
      <c r="P117" t="s">
        <v>103</v>
      </c>
      <c r="Q117" t="s">
        <v>672</v>
      </c>
      <c r="R117" t="s">
        <v>673</v>
      </c>
      <c r="S117" t="s">
        <v>458</v>
      </c>
      <c r="T117">
        <v>8.5</v>
      </c>
      <c r="U117">
        <v>17</v>
      </c>
      <c r="V117">
        <v>56.01</v>
      </c>
      <c r="X117" s="86" t="str">
        <f t="shared" si="20"/>
        <v>124155Share Sub Loc Pao Quente SC Johnson</v>
      </c>
      <c r="Y117">
        <v>124155</v>
      </c>
      <c r="Z117" t="s">
        <v>336</v>
      </c>
      <c r="AA117" t="s">
        <v>36</v>
      </c>
      <c r="AB117" t="s">
        <v>103</v>
      </c>
      <c r="AC117" t="s">
        <v>761</v>
      </c>
      <c r="AD117" t="s">
        <v>762</v>
      </c>
      <c r="AE117" t="s">
        <v>458</v>
      </c>
      <c r="AF117">
        <v>8.5</v>
      </c>
      <c r="AG117">
        <v>17</v>
      </c>
      <c r="AH117">
        <v>73.92</v>
      </c>
      <c r="AJ117" s="86" t="str">
        <f t="shared" si="21"/>
        <v>132039Lancamentos</v>
      </c>
      <c r="AK117">
        <v>132039</v>
      </c>
      <c r="AL117" t="s">
        <v>337</v>
      </c>
      <c r="AM117" t="s">
        <v>104</v>
      </c>
      <c r="AN117" t="s">
        <v>103</v>
      </c>
      <c r="AO117" t="s">
        <v>925</v>
      </c>
      <c r="AP117" t="s">
        <v>926</v>
      </c>
      <c r="AQ117" t="s">
        <v>953</v>
      </c>
      <c r="AR117">
        <v>0</v>
      </c>
      <c r="AS117">
        <v>18</v>
      </c>
      <c r="AT117">
        <v>67.34</v>
      </c>
      <c r="AV117" s="86" t="str">
        <f t="shared" si="22"/>
        <v>119456Lancamentos</v>
      </c>
      <c r="AW117">
        <v>119456</v>
      </c>
      <c r="AX117" t="s">
        <v>389</v>
      </c>
      <c r="AY117" t="s">
        <v>482</v>
      </c>
      <c r="AZ117" t="s">
        <v>103</v>
      </c>
      <c r="BA117" t="s">
        <v>1035</v>
      </c>
      <c r="BB117" t="s">
        <v>1036</v>
      </c>
      <c r="BC117" t="s">
        <v>953</v>
      </c>
      <c r="BD117">
        <v>0</v>
      </c>
      <c r="BE117">
        <v>18</v>
      </c>
      <c r="BF117">
        <v>58.84</v>
      </c>
      <c r="BH117" s="86" t="str">
        <f t="shared" si="23"/>
        <v>74744Lancamentos</v>
      </c>
      <c r="BI117">
        <v>74744</v>
      </c>
      <c r="BJ117" t="s">
        <v>359</v>
      </c>
      <c r="BK117" t="s">
        <v>477</v>
      </c>
      <c r="BL117" t="s">
        <v>103</v>
      </c>
      <c r="BM117" t="s">
        <v>1189</v>
      </c>
      <c r="BN117" t="s">
        <v>1190</v>
      </c>
      <c r="BO117" t="s">
        <v>953</v>
      </c>
      <c r="BP117">
        <v>0</v>
      </c>
      <c r="BQ117">
        <v>18</v>
      </c>
      <c r="BR117">
        <v>60.96</v>
      </c>
      <c r="BT117" s="86" t="str">
        <f t="shared" si="12"/>
        <v>74369Lancamentos</v>
      </c>
      <c r="BU117">
        <v>74369</v>
      </c>
      <c r="BV117" t="s">
        <v>377</v>
      </c>
      <c r="BW117" t="s">
        <v>489</v>
      </c>
      <c r="BX117" t="s">
        <v>103</v>
      </c>
      <c r="BY117" t="s">
        <v>1388</v>
      </c>
      <c r="BZ117" t="s">
        <v>1389</v>
      </c>
      <c r="CA117" t="s">
        <v>953</v>
      </c>
      <c r="CB117">
        <v>9</v>
      </c>
      <c r="CC117">
        <v>18</v>
      </c>
      <c r="CD117">
        <v>77.22</v>
      </c>
      <c r="CF117" s="86" t="str">
        <f t="shared" si="13"/>
        <v>74369Lancamentos</v>
      </c>
      <c r="CG117">
        <v>74369</v>
      </c>
      <c r="CH117" t="s">
        <v>377</v>
      </c>
      <c r="CI117" t="s">
        <v>489</v>
      </c>
      <c r="CJ117" t="s">
        <v>103</v>
      </c>
      <c r="CK117" t="s">
        <v>1408</v>
      </c>
      <c r="CL117" t="s">
        <v>1409</v>
      </c>
      <c r="CM117" t="s">
        <v>953</v>
      </c>
      <c r="CN117">
        <v>18</v>
      </c>
      <c r="CO117">
        <v>18</v>
      </c>
      <c r="CP117">
        <v>98.8</v>
      </c>
      <c r="CR117" s="86" t="str">
        <f t="shared" si="14"/>
        <v>74369Lancamentos</v>
      </c>
      <c r="CS117">
        <v>74369</v>
      </c>
      <c r="CT117" t="s">
        <v>377</v>
      </c>
      <c r="CU117" t="s">
        <v>489</v>
      </c>
      <c r="CV117" t="s">
        <v>103</v>
      </c>
      <c r="CW117" t="s">
        <v>1519</v>
      </c>
      <c r="CX117" t="s">
        <v>1520</v>
      </c>
      <c r="CY117" t="s">
        <v>953</v>
      </c>
      <c r="CZ117">
        <v>18</v>
      </c>
      <c r="DA117">
        <v>18</v>
      </c>
      <c r="DB117">
        <v>98.8</v>
      </c>
      <c r="DD117" s="86" t="str">
        <f t="shared" si="15"/>
        <v>102953Mix + Intocáveis SC Johnson</v>
      </c>
      <c r="DE117">
        <v>102953</v>
      </c>
      <c r="DF117" t="s">
        <v>388</v>
      </c>
      <c r="DG117" t="s">
        <v>482</v>
      </c>
      <c r="DH117" t="s">
        <v>103</v>
      </c>
      <c r="DI117" t="s">
        <v>1662</v>
      </c>
      <c r="DJ117" t="s">
        <v>1663</v>
      </c>
      <c r="DK117" t="s">
        <v>459</v>
      </c>
      <c r="DL117">
        <v>32.799999999999997</v>
      </c>
      <c r="DM117">
        <v>40</v>
      </c>
      <c r="DN117">
        <v>97.8</v>
      </c>
      <c r="DP117" s="86" t="str">
        <f t="shared" si="16"/>
        <v>73922Mix + Intocáveis SC Johnson</v>
      </c>
      <c r="DQ117">
        <v>73922</v>
      </c>
      <c r="DR117" t="s">
        <v>358</v>
      </c>
      <c r="DS117" t="s">
        <v>482</v>
      </c>
      <c r="DT117" t="s">
        <v>103</v>
      </c>
      <c r="DU117" t="s">
        <v>1770</v>
      </c>
      <c r="DV117" t="s">
        <v>1771</v>
      </c>
      <c r="DW117" t="s">
        <v>459</v>
      </c>
      <c r="DX117">
        <v>31.2</v>
      </c>
      <c r="DY117">
        <v>40</v>
      </c>
      <c r="DZ117">
        <v>96.2</v>
      </c>
      <c r="EB117" s="86" t="str">
        <f t="shared" si="17"/>
        <v>152753Mix + Intocáveis SC Johnson</v>
      </c>
      <c r="EC117">
        <v>152753</v>
      </c>
      <c r="ED117" t="s">
        <v>393</v>
      </c>
      <c r="EE117" t="s">
        <v>482</v>
      </c>
      <c r="EF117" t="s">
        <v>103</v>
      </c>
      <c r="EG117" t="s">
        <v>1896</v>
      </c>
      <c r="EH117" t="s">
        <v>1897</v>
      </c>
      <c r="EI117" t="s">
        <v>459</v>
      </c>
      <c r="EJ117">
        <v>28</v>
      </c>
      <c r="EK117">
        <v>40</v>
      </c>
      <c r="EL117">
        <v>83.42</v>
      </c>
    </row>
    <row r="118" spans="1:142" x14ac:dyDescent="0.35">
      <c r="A118" s="86" t="str">
        <f t="shared" si="18"/>
        <v>119456Share Sub Loc Pao Quente SC Johnson</v>
      </c>
      <c r="B118">
        <v>119456</v>
      </c>
      <c r="C118" t="s">
        <v>389</v>
      </c>
      <c r="D118" t="s">
        <v>103</v>
      </c>
      <c r="E118" t="s">
        <v>521</v>
      </c>
      <c r="F118" t="s">
        <v>522</v>
      </c>
      <c r="G118" t="s">
        <v>458</v>
      </c>
      <c r="H118">
        <v>28.22</v>
      </c>
      <c r="I118">
        <v>6.8</v>
      </c>
      <c r="J118">
        <v>17</v>
      </c>
      <c r="L118" s="86" t="str">
        <f t="shared" si="19"/>
        <v>107838Mix + Intocáveis SC Johnson</v>
      </c>
      <c r="M118">
        <v>107838</v>
      </c>
      <c r="N118" t="s">
        <v>378</v>
      </c>
      <c r="O118" t="s">
        <v>36</v>
      </c>
      <c r="P118" t="s">
        <v>103</v>
      </c>
      <c r="Q118" t="s">
        <v>672</v>
      </c>
      <c r="R118" t="s">
        <v>673</v>
      </c>
      <c r="S118" t="s">
        <v>459</v>
      </c>
      <c r="T118">
        <v>30.375</v>
      </c>
      <c r="U118">
        <v>45</v>
      </c>
      <c r="V118">
        <v>56.01</v>
      </c>
      <c r="X118" s="86" t="str">
        <f t="shared" si="20"/>
        <v>124155Mix + Intocáveis SC Johnson</v>
      </c>
      <c r="Y118">
        <v>124155</v>
      </c>
      <c r="Z118" t="s">
        <v>336</v>
      </c>
      <c r="AA118" t="s">
        <v>36</v>
      </c>
      <c r="AB118" t="s">
        <v>103</v>
      </c>
      <c r="AC118" t="s">
        <v>761</v>
      </c>
      <c r="AD118" t="s">
        <v>762</v>
      </c>
      <c r="AE118" t="s">
        <v>459</v>
      </c>
      <c r="AF118">
        <v>36</v>
      </c>
      <c r="AG118">
        <v>45</v>
      </c>
      <c r="AH118">
        <v>73.92</v>
      </c>
      <c r="AJ118" s="86" t="str">
        <f t="shared" si="21"/>
        <v>133136Share Sub Category SC Johnson</v>
      </c>
      <c r="AK118">
        <v>133136</v>
      </c>
      <c r="AL118" t="s">
        <v>338</v>
      </c>
      <c r="AM118" t="s">
        <v>36</v>
      </c>
      <c r="AN118" t="s">
        <v>103</v>
      </c>
      <c r="AO118" t="s">
        <v>968</v>
      </c>
      <c r="AP118" t="s">
        <v>969</v>
      </c>
      <c r="AQ118" t="s">
        <v>457</v>
      </c>
      <c r="AR118">
        <v>25</v>
      </c>
      <c r="AS118">
        <v>25</v>
      </c>
      <c r="AT118">
        <v>62.58</v>
      </c>
      <c r="AV118" s="86" t="str">
        <f t="shared" si="22"/>
        <v>124155Share Sub Category SC Johnson</v>
      </c>
      <c r="AW118">
        <v>124155</v>
      </c>
      <c r="AX118" t="s">
        <v>336</v>
      </c>
      <c r="AY118" t="s">
        <v>36</v>
      </c>
      <c r="AZ118" t="s">
        <v>103</v>
      </c>
      <c r="BA118" t="s">
        <v>1027</v>
      </c>
      <c r="BB118" t="s">
        <v>1028</v>
      </c>
      <c r="BC118" t="s">
        <v>457</v>
      </c>
      <c r="BD118">
        <v>21.425000000000001</v>
      </c>
      <c r="BE118">
        <v>25</v>
      </c>
      <c r="BF118">
        <v>69.010000000000005</v>
      </c>
      <c r="BH118" s="86" t="str">
        <f t="shared" si="23"/>
        <v>102953Share Sub Category SC Johnson</v>
      </c>
      <c r="BI118">
        <v>102953</v>
      </c>
      <c r="BJ118" t="s">
        <v>388</v>
      </c>
      <c r="BK118" t="s">
        <v>482</v>
      </c>
      <c r="BL118" t="s">
        <v>103</v>
      </c>
      <c r="BM118" t="s">
        <v>1233</v>
      </c>
      <c r="BN118" t="s">
        <v>1234</v>
      </c>
      <c r="BO118" t="s">
        <v>457</v>
      </c>
      <c r="BP118">
        <v>25</v>
      </c>
      <c r="BQ118">
        <v>25</v>
      </c>
      <c r="BR118">
        <v>66.510000000000005</v>
      </c>
      <c r="BT118" s="86" t="str">
        <f t="shared" si="12"/>
        <v>74369Mix + Intocáveis SC Johnson</v>
      </c>
      <c r="BU118">
        <v>74369</v>
      </c>
      <c r="BV118" t="s">
        <v>377</v>
      </c>
      <c r="BW118" t="s">
        <v>489</v>
      </c>
      <c r="BX118" t="s">
        <v>103</v>
      </c>
      <c r="BY118" t="s">
        <v>1388</v>
      </c>
      <c r="BZ118" t="s">
        <v>1389</v>
      </c>
      <c r="CA118" t="s">
        <v>459</v>
      </c>
      <c r="CB118">
        <v>32.799999999999997</v>
      </c>
      <c r="CC118">
        <v>40</v>
      </c>
      <c r="CD118">
        <v>77.22</v>
      </c>
      <c r="CF118" s="86" t="str">
        <f t="shared" si="13"/>
        <v>74369Mix + Intocáveis SC Johnson</v>
      </c>
      <c r="CG118">
        <v>74369</v>
      </c>
      <c r="CH118" t="s">
        <v>377</v>
      </c>
      <c r="CI118" t="s">
        <v>489</v>
      </c>
      <c r="CJ118" t="s">
        <v>103</v>
      </c>
      <c r="CK118" t="s">
        <v>1408</v>
      </c>
      <c r="CL118" t="s">
        <v>1409</v>
      </c>
      <c r="CM118" t="s">
        <v>459</v>
      </c>
      <c r="CN118">
        <v>36.799999999999997</v>
      </c>
      <c r="CO118">
        <v>40</v>
      </c>
      <c r="CP118">
        <v>98.8</v>
      </c>
      <c r="CR118" s="86" t="str">
        <f t="shared" si="14"/>
        <v>74369Mix + Intocáveis SC Johnson</v>
      </c>
      <c r="CS118">
        <v>74369</v>
      </c>
      <c r="CT118" t="s">
        <v>377</v>
      </c>
      <c r="CU118" t="s">
        <v>489</v>
      </c>
      <c r="CV118" t="s">
        <v>103</v>
      </c>
      <c r="CW118" t="s">
        <v>1519</v>
      </c>
      <c r="CX118" t="s">
        <v>1520</v>
      </c>
      <c r="CY118" t="s">
        <v>459</v>
      </c>
      <c r="CZ118">
        <v>36.799999999999997</v>
      </c>
      <c r="DA118">
        <v>40</v>
      </c>
      <c r="DB118">
        <v>98.8</v>
      </c>
      <c r="DD118" s="86" t="str">
        <f t="shared" si="15"/>
        <v>102953Execucao Bonus</v>
      </c>
      <c r="DE118">
        <v>102953</v>
      </c>
      <c r="DF118" t="s">
        <v>388</v>
      </c>
      <c r="DG118" t="s">
        <v>482</v>
      </c>
      <c r="DH118" t="s">
        <v>103</v>
      </c>
      <c r="DI118" t="s">
        <v>1662</v>
      </c>
      <c r="DJ118" t="s">
        <v>1663</v>
      </c>
      <c r="DK118" t="s">
        <v>1291</v>
      </c>
      <c r="DL118">
        <v>5</v>
      </c>
      <c r="DM118">
        <v>5</v>
      </c>
      <c r="DN118">
        <v>97.8</v>
      </c>
      <c r="DP118" s="86" t="str">
        <f t="shared" si="16"/>
        <v>73922Execucao Bonus</v>
      </c>
      <c r="DQ118">
        <v>73922</v>
      </c>
      <c r="DR118" t="s">
        <v>358</v>
      </c>
      <c r="DS118" t="s">
        <v>482</v>
      </c>
      <c r="DT118" t="s">
        <v>103</v>
      </c>
      <c r="DU118" t="s">
        <v>1770</v>
      </c>
      <c r="DV118" t="s">
        <v>1771</v>
      </c>
      <c r="DW118" t="s">
        <v>1291</v>
      </c>
      <c r="DX118">
        <v>5</v>
      </c>
      <c r="DY118">
        <v>5</v>
      </c>
      <c r="DZ118">
        <v>96.2</v>
      </c>
      <c r="EB118" s="86" t="str">
        <f t="shared" si="17"/>
        <v>152753Execucao Bonus</v>
      </c>
      <c r="EC118">
        <v>152753</v>
      </c>
      <c r="ED118" t="s">
        <v>393</v>
      </c>
      <c r="EE118" t="s">
        <v>482</v>
      </c>
      <c r="EF118" t="s">
        <v>103</v>
      </c>
      <c r="EG118" t="s">
        <v>1896</v>
      </c>
      <c r="EH118" t="s">
        <v>1897</v>
      </c>
      <c r="EI118" t="s">
        <v>1291</v>
      </c>
      <c r="EJ118">
        <v>5</v>
      </c>
      <c r="EK118">
        <v>5</v>
      </c>
      <c r="EL118">
        <v>83.42</v>
      </c>
    </row>
    <row r="119" spans="1:142" x14ac:dyDescent="0.35">
      <c r="A119" s="86" t="str">
        <f t="shared" si="18"/>
        <v>119456Mix + Intocáveis SC Johnson</v>
      </c>
      <c r="B119">
        <v>119456</v>
      </c>
      <c r="C119" t="s">
        <v>389</v>
      </c>
      <c r="D119" t="s">
        <v>103</v>
      </c>
      <c r="E119" t="s">
        <v>521</v>
      </c>
      <c r="F119" t="s">
        <v>522</v>
      </c>
      <c r="G119" t="s">
        <v>459</v>
      </c>
      <c r="H119">
        <v>28.22</v>
      </c>
      <c r="I119">
        <v>0</v>
      </c>
      <c r="J119">
        <v>45</v>
      </c>
      <c r="L119" s="86" t="str">
        <f t="shared" si="19"/>
        <v>119456Share Sub Category SC Johnson</v>
      </c>
      <c r="M119">
        <v>119456</v>
      </c>
      <c r="N119" t="s">
        <v>389</v>
      </c>
      <c r="O119" t="s">
        <v>482</v>
      </c>
      <c r="P119" t="s">
        <v>103</v>
      </c>
      <c r="Q119" t="s">
        <v>674</v>
      </c>
      <c r="R119" t="s">
        <v>675</v>
      </c>
      <c r="S119" t="s">
        <v>457</v>
      </c>
      <c r="T119">
        <v>17.13</v>
      </c>
      <c r="U119">
        <v>30</v>
      </c>
      <c r="V119">
        <v>43.63</v>
      </c>
      <c r="X119" s="86" t="str">
        <f t="shared" si="20"/>
        <v>131538Share Sub Category SC Johnson</v>
      </c>
      <c r="Y119">
        <v>131538</v>
      </c>
      <c r="Z119" t="s">
        <v>390</v>
      </c>
      <c r="AA119" t="s">
        <v>482</v>
      </c>
      <c r="AB119" t="s">
        <v>103</v>
      </c>
      <c r="AC119" t="s">
        <v>835</v>
      </c>
      <c r="AD119" t="s">
        <v>836</v>
      </c>
      <c r="AE119" t="s">
        <v>457</v>
      </c>
      <c r="AF119">
        <v>21.42</v>
      </c>
      <c r="AG119">
        <v>30</v>
      </c>
      <c r="AH119">
        <v>69.42</v>
      </c>
      <c r="AJ119" s="86" t="str">
        <f t="shared" si="21"/>
        <v>133136Cross Merchan SC Johnson</v>
      </c>
      <c r="AK119">
        <v>133136</v>
      </c>
      <c r="AL119" t="s">
        <v>338</v>
      </c>
      <c r="AM119" t="s">
        <v>36</v>
      </c>
      <c r="AN119" t="s">
        <v>103</v>
      </c>
      <c r="AO119" t="s">
        <v>968</v>
      </c>
      <c r="AP119" t="s">
        <v>969</v>
      </c>
      <c r="AQ119" t="s">
        <v>111</v>
      </c>
      <c r="AR119">
        <v>2.5</v>
      </c>
      <c r="AS119">
        <v>5</v>
      </c>
      <c r="AT119">
        <v>62.58</v>
      </c>
      <c r="AV119" s="86" t="str">
        <f t="shared" si="22"/>
        <v>124155Cross Merchan SC Johnson</v>
      </c>
      <c r="AW119">
        <v>124155</v>
      </c>
      <c r="AX119" t="s">
        <v>336</v>
      </c>
      <c r="AY119" t="s">
        <v>36</v>
      </c>
      <c r="AZ119" t="s">
        <v>103</v>
      </c>
      <c r="BA119" t="s">
        <v>1027</v>
      </c>
      <c r="BB119" t="s">
        <v>1028</v>
      </c>
      <c r="BC119" t="s">
        <v>111</v>
      </c>
      <c r="BD119">
        <v>1.665</v>
      </c>
      <c r="BE119">
        <v>5</v>
      </c>
      <c r="BF119">
        <v>69.010000000000005</v>
      </c>
      <c r="BH119" s="86" t="str">
        <f t="shared" si="23"/>
        <v>102953Cross Merchan SC Johnson</v>
      </c>
      <c r="BI119">
        <v>102953</v>
      </c>
      <c r="BJ119" t="s">
        <v>388</v>
      </c>
      <c r="BK119" t="s">
        <v>482</v>
      </c>
      <c r="BL119" t="s">
        <v>103</v>
      </c>
      <c r="BM119" t="s">
        <v>1233</v>
      </c>
      <c r="BN119" t="s">
        <v>1234</v>
      </c>
      <c r="BO119" t="s">
        <v>111</v>
      </c>
      <c r="BP119">
        <v>1.665</v>
      </c>
      <c r="BQ119">
        <v>5</v>
      </c>
      <c r="BR119">
        <v>66.510000000000005</v>
      </c>
      <c r="BT119" s="86" t="str">
        <f t="shared" si="12"/>
        <v>74369Share Sub Category SC Johnson</v>
      </c>
      <c r="BU119">
        <v>74369</v>
      </c>
      <c r="BV119" t="s">
        <v>377</v>
      </c>
      <c r="BW119" t="s">
        <v>489</v>
      </c>
      <c r="BX119" t="s">
        <v>103</v>
      </c>
      <c r="BY119" t="s">
        <v>1388</v>
      </c>
      <c r="BZ119" t="s">
        <v>1389</v>
      </c>
      <c r="CA119" t="s">
        <v>457</v>
      </c>
      <c r="CB119">
        <v>21.425000000000001</v>
      </c>
      <c r="CC119">
        <v>25</v>
      </c>
      <c r="CD119">
        <v>77.22</v>
      </c>
      <c r="CF119" s="86" t="str">
        <f t="shared" si="13"/>
        <v>74369Share Sub Category SC Johnson</v>
      </c>
      <c r="CG119">
        <v>74369</v>
      </c>
      <c r="CH119" t="s">
        <v>377</v>
      </c>
      <c r="CI119" t="s">
        <v>489</v>
      </c>
      <c r="CJ119" t="s">
        <v>103</v>
      </c>
      <c r="CK119" t="s">
        <v>1408</v>
      </c>
      <c r="CL119" t="s">
        <v>1409</v>
      </c>
      <c r="CM119" t="s">
        <v>457</v>
      </c>
      <c r="CN119">
        <v>25</v>
      </c>
      <c r="CO119">
        <v>25</v>
      </c>
      <c r="CP119">
        <v>98.8</v>
      </c>
      <c r="CR119" s="86" t="str">
        <f t="shared" si="14"/>
        <v>74369Share Sub Category SC Johnson</v>
      </c>
      <c r="CS119">
        <v>74369</v>
      </c>
      <c r="CT119" t="s">
        <v>377</v>
      </c>
      <c r="CU119" t="s">
        <v>489</v>
      </c>
      <c r="CV119" t="s">
        <v>103</v>
      </c>
      <c r="CW119" t="s">
        <v>1519</v>
      </c>
      <c r="CX119" t="s">
        <v>1520</v>
      </c>
      <c r="CY119" t="s">
        <v>457</v>
      </c>
      <c r="CZ119">
        <v>25</v>
      </c>
      <c r="DA119">
        <v>25</v>
      </c>
      <c r="DB119">
        <v>98.8</v>
      </c>
      <c r="DD119" s="86" t="str">
        <f t="shared" si="15"/>
        <v>102953Cross Merchan SC Johnson</v>
      </c>
      <c r="DE119">
        <v>102953</v>
      </c>
      <c r="DF119" t="s">
        <v>388</v>
      </c>
      <c r="DG119" t="s">
        <v>482</v>
      </c>
      <c r="DH119" t="s">
        <v>103</v>
      </c>
      <c r="DI119" t="s">
        <v>1662</v>
      </c>
      <c r="DJ119" t="s">
        <v>1663</v>
      </c>
      <c r="DK119" t="s">
        <v>111</v>
      </c>
      <c r="DL119">
        <v>5</v>
      </c>
      <c r="DM119">
        <v>5</v>
      </c>
      <c r="DN119">
        <v>97.8</v>
      </c>
      <c r="DP119" s="86" t="str">
        <f t="shared" si="16"/>
        <v>73922Cross Merchan SC Johnson</v>
      </c>
      <c r="DQ119">
        <v>73922</v>
      </c>
      <c r="DR119" t="s">
        <v>358</v>
      </c>
      <c r="DS119" t="s">
        <v>482</v>
      </c>
      <c r="DT119" t="s">
        <v>103</v>
      </c>
      <c r="DU119" t="s">
        <v>1770</v>
      </c>
      <c r="DV119" t="s">
        <v>1771</v>
      </c>
      <c r="DW119" t="s">
        <v>111</v>
      </c>
      <c r="DX119">
        <v>5</v>
      </c>
      <c r="DY119">
        <v>5</v>
      </c>
      <c r="DZ119">
        <v>96.2</v>
      </c>
      <c r="EB119" s="86" t="str">
        <f t="shared" si="17"/>
        <v>152753Cross Merchan SC Johnson</v>
      </c>
      <c r="EC119">
        <v>152753</v>
      </c>
      <c r="ED119" t="s">
        <v>393</v>
      </c>
      <c r="EE119" t="s">
        <v>482</v>
      </c>
      <c r="EF119" t="s">
        <v>103</v>
      </c>
      <c r="EG119" t="s">
        <v>1896</v>
      </c>
      <c r="EH119" t="s">
        <v>1897</v>
      </c>
      <c r="EI119" t="s">
        <v>111</v>
      </c>
      <c r="EJ119">
        <v>5</v>
      </c>
      <c r="EK119">
        <v>5</v>
      </c>
      <c r="EL119">
        <v>83.42</v>
      </c>
    </row>
    <row r="120" spans="1:142" x14ac:dyDescent="0.35">
      <c r="A120" s="86" t="str">
        <f t="shared" si="18"/>
        <v>124155Share Sub Category SC Johnson</v>
      </c>
      <c r="B120">
        <v>124155</v>
      </c>
      <c r="C120" t="s">
        <v>336</v>
      </c>
      <c r="D120" t="s">
        <v>103</v>
      </c>
      <c r="E120" t="s">
        <v>523</v>
      </c>
      <c r="F120" t="s">
        <v>524</v>
      </c>
      <c r="G120" t="s">
        <v>457</v>
      </c>
      <c r="H120">
        <v>82.16</v>
      </c>
      <c r="I120">
        <v>25.71</v>
      </c>
      <c r="J120">
        <v>30</v>
      </c>
      <c r="L120" s="86" t="str">
        <f t="shared" si="19"/>
        <v>119456Cross Merchan SC Johnson</v>
      </c>
      <c r="M120">
        <v>119456</v>
      </c>
      <c r="N120" t="s">
        <v>389</v>
      </c>
      <c r="O120" t="s">
        <v>482</v>
      </c>
      <c r="P120" t="s">
        <v>103</v>
      </c>
      <c r="Q120" t="s">
        <v>674</v>
      </c>
      <c r="R120" t="s">
        <v>675</v>
      </c>
      <c r="S120" t="s">
        <v>111</v>
      </c>
      <c r="T120">
        <v>0</v>
      </c>
      <c r="U120">
        <v>8</v>
      </c>
      <c r="V120">
        <v>43.63</v>
      </c>
      <c r="X120" s="86" t="str">
        <f t="shared" si="20"/>
        <v>131538Cross Merchan SC Johnson</v>
      </c>
      <c r="Y120">
        <v>131538</v>
      </c>
      <c r="Z120" t="s">
        <v>390</v>
      </c>
      <c r="AA120" t="s">
        <v>482</v>
      </c>
      <c r="AB120" t="s">
        <v>103</v>
      </c>
      <c r="AC120" t="s">
        <v>835</v>
      </c>
      <c r="AD120" t="s">
        <v>836</v>
      </c>
      <c r="AE120" t="s">
        <v>111</v>
      </c>
      <c r="AF120">
        <v>8</v>
      </c>
      <c r="AG120">
        <v>8</v>
      </c>
      <c r="AH120">
        <v>69.42</v>
      </c>
      <c r="AJ120" s="86" t="str">
        <f t="shared" si="21"/>
        <v>133136Share Sub Loc Pao Quente SC Johnson</v>
      </c>
      <c r="AK120">
        <v>133136</v>
      </c>
      <c r="AL120" t="s">
        <v>338</v>
      </c>
      <c r="AM120" t="s">
        <v>36</v>
      </c>
      <c r="AN120" t="s">
        <v>103</v>
      </c>
      <c r="AO120" t="s">
        <v>968</v>
      </c>
      <c r="AP120" t="s">
        <v>969</v>
      </c>
      <c r="AQ120" t="s">
        <v>458</v>
      </c>
      <c r="AR120">
        <v>9</v>
      </c>
      <c r="AS120">
        <v>12</v>
      </c>
      <c r="AT120">
        <v>62.58</v>
      </c>
      <c r="AV120" s="86" t="str">
        <f t="shared" si="22"/>
        <v>124155Share Sub Loc Pao Quente SC Johnson</v>
      </c>
      <c r="AW120">
        <v>124155</v>
      </c>
      <c r="AX120" t="s">
        <v>336</v>
      </c>
      <c r="AY120" t="s">
        <v>36</v>
      </c>
      <c r="AZ120" t="s">
        <v>103</v>
      </c>
      <c r="BA120" t="s">
        <v>1027</v>
      </c>
      <c r="BB120" t="s">
        <v>1028</v>
      </c>
      <c r="BC120" t="s">
        <v>458</v>
      </c>
      <c r="BD120">
        <v>12</v>
      </c>
      <c r="BE120">
        <v>12</v>
      </c>
      <c r="BF120">
        <v>69.010000000000005</v>
      </c>
      <c r="BH120" s="86" t="str">
        <f t="shared" si="23"/>
        <v>102953Share Sub Loc Pao Quente SC Johnson</v>
      </c>
      <c r="BI120">
        <v>102953</v>
      </c>
      <c r="BJ120" t="s">
        <v>388</v>
      </c>
      <c r="BK120" t="s">
        <v>482</v>
      </c>
      <c r="BL120" t="s">
        <v>103</v>
      </c>
      <c r="BM120" t="s">
        <v>1233</v>
      </c>
      <c r="BN120" t="s">
        <v>1234</v>
      </c>
      <c r="BO120" t="s">
        <v>458</v>
      </c>
      <c r="BP120">
        <v>12</v>
      </c>
      <c r="BQ120">
        <v>12</v>
      </c>
      <c r="BR120">
        <v>66.510000000000005</v>
      </c>
      <c r="BT120" s="86" t="str">
        <f t="shared" si="12"/>
        <v>74369Share Sub Loc Pao Quente SC Johnson</v>
      </c>
      <c r="BU120">
        <v>74369</v>
      </c>
      <c r="BV120" t="s">
        <v>377</v>
      </c>
      <c r="BW120" t="s">
        <v>489</v>
      </c>
      <c r="BX120" t="s">
        <v>103</v>
      </c>
      <c r="BY120" t="s">
        <v>1388</v>
      </c>
      <c r="BZ120" t="s">
        <v>1389</v>
      </c>
      <c r="CA120" t="s">
        <v>458</v>
      </c>
      <c r="CB120">
        <v>9</v>
      </c>
      <c r="CC120">
        <v>12</v>
      </c>
      <c r="CD120">
        <v>77.22</v>
      </c>
      <c r="CF120" s="86" t="str">
        <f t="shared" si="13"/>
        <v>74369Share Sub Loc Pao Quente SC Johnson</v>
      </c>
      <c r="CG120">
        <v>74369</v>
      </c>
      <c r="CH120" t="s">
        <v>377</v>
      </c>
      <c r="CI120" t="s">
        <v>489</v>
      </c>
      <c r="CJ120" t="s">
        <v>103</v>
      </c>
      <c r="CK120" t="s">
        <v>1408</v>
      </c>
      <c r="CL120" t="s">
        <v>1409</v>
      </c>
      <c r="CM120" t="s">
        <v>458</v>
      </c>
      <c r="CN120">
        <v>9</v>
      </c>
      <c r="CO120">
        <v>12</v>
      </c>
      <c r="CP120">
        <v>98.8</v>
      </c>
      <c r="CR120" s="86" t="str">
        <f t="shared" si="14"/>
        <v>74369Share Sub Loc Pao Quente SC Johnson</v>
      </c>
      <c r="CS120">
        <v>74369</v>
      </c>
      <c r="CT120" t="s">
        <v>377</v>
      </c>
      <c r="CU120" t="s">
        <v>489</v>
      </c>
      <c r="CV120" t="s">
        <v>103</v>
      </c>
      <c r="CW120" t="s">
        <v>1519</v>
      </c>
      <c r="CX120" t="s">
        <v>1520</v>
      </c>
      <c r="CY120" t="s">
        <v>458</v>
      </c>
      <c r="CZ120">
        <v>9</v>
      </c>
      <c r="DA120">
        <v>12</v>
      </c>
      <c r="DB120">
        <v>98.8</v>
      </c>
      <c r="DD120" s="86" t="str">
        <f t="shared" si="15"/>
        <v>102953Lancamentos</v>
      </c>
      <c r="DE120">
        <v>102953</v>
      </c>
      <c r="DF120" t="s">
        <v>388</v>
      </c>
      <c r="DG120" t="s">
        <v>482</v>
      </c>
      <c r="DH120" t="s">
        <v>103</v>
      </c>
      <c r="DI120" t="s">
        <v>1662</v>
      </c>
      <c r="DJ120" t="s">
        <v>1663</v>
      </c>
      <c r="DK120" t="s">
        <v>953</v>
      </c>
      <c r="DL120">
        <v>18</v>
      </c>
      <c r="DM120">
        <v>18</v>
      </c>
      <c r="DN120">
        <v>97.8</v>
      </c>
      <c r="DP120" s="86" t="str">
        <f t="shared" si="16"/>
        <v>73922Lancamentos</v>
      </c>
      <c r="DQ120">
        <v>73922</v>
      </c>
      <c r="DR120" t="s">
        <v>358</v>
      </c>
      <c r="DS120" t="s">
        <v>482</v>
      </c>
      <c r="DT120" t="s">
        <v>103</v>
      </c>
      <c r="DU120" t="s">
        <v>1770</v>
      </c>
      <c r="DV120" t="s">
        <v>1771</v>
      </c>
      <c r="DW120" t="s">
        <v>953</v>
      </c>
      <c r="DX120">
        <v>18</v>
      </c>
      <c r="DY120">
        <v>18</v>
      </c>
      <c r="DZ120">
        <v>96.2</v>
      </c>
      <c r="EB120" s="86" t="str">
        <f t="shared" si="17"/>
        <v>152753Lancamentos</v>
      </c>
      <c r="EC120">
        <v>152753</v>
      </c>
      <c r="ED120" t="s">
        <v>393</v>
      </c>
      <c r="EE120" t="s">
        <v>482</v>
      </c>
      <c r="EF120" t="s">
        <v>103</v>
      </c>
      <c r="EG120" t="s">
        <v>1896</v>
      </c>
      <c r="EH120" t="s">
        <v>1897</v>
      </c>
      <c r="EI120" t="s">
        <v>953</v>
      </c>
      <c r="EJ120">
        <v>18</v>
      </c>
      <c r="EK120">
        <v>18</v>
      </c>
      <c r="EL120">
        <v>83.42</v>
      </c>
    </row>
    <row r="121" spans="1:142" x14ac:dyDescent="0.35">
      <c r="A121" s="86" t="str">
        <f t="shared" si="18"/>
        <v>124155Cross Merchan SC Johnson</v>
      </c>
      <c r="B121">
        <v>124155</v>
      </c>
      <c r="C121" t="s">
        <v>336</v>
      </c>
      <c r="D121" t="s">
        <v>103</v>
      </c>
      <c r="E121" t="s">
        <v>523</v>
      </c>
      <c r="F121" t="s">
        <v>524</v>
      </c>
      <c r="G121" t="s">
        <v>111</v>
      </c>
      <c r="H121">
        <v>82.16</v>
      </c>
      <c r="I121">
        <v>8</v>
      </c>
      <c r="J121">
        <v>8</v>
      </c>
      <c r="L121" s="86" t="str">
        <f t="shared" si="19"/>
        <v>119456Share Sub Loc Pao Quente SC Johnson</v>
      </c>
      <c r="M121">
        <v>119456</v>
      </c>
      <c r="N121" t="s">
        <v>389</v>
      </c>
      <c r="O121" t="s">
        <v>482</v>
      </c>
      <c r="P121" t="s">
        <v>103</v>
      </c>
      <c r="Q121" t="s">
        <v>674</v>
      </c>
      <c r="R121" t="s">
        <v>675</v>
      </c>
      <c r="S121" t="s">
        <v>458</v>
      </c>
      <c r="T121">
        <v>8.5</v>
      </c>
      <c r="U121">
        <v>17</v>
      </c>
      <c r="V121">
        <v>43.63</v>
      </c>
      <c r="X121" s="86" t="str">
        <f t="shared" si="20"/>
        <v>131538Share Sub Loc Pao Quente SC Johnson</v>
      </c>
      <c r="Y121">
        <v>131538</v>
      </c>
      <c r="Z121" t="s">
        <v>390</v>
      </c>
      <c r="AA121" t="s">
        <v>482</v>
      </c>
      <c r="AB121" t="s">
        <v>103</v>
      </c>
      <c r="AC121" t="s">
        <v>835</v>
      </c>
      <c r="AD121" t="s">
        <v>836</v>
      </c>
      <c r="AE121" t="s">
        <v>458</v>
      </c>
      <c r="AF121">
        <v>8.5</v>
      </c>
      <c r="AG121">
        <v>17</v>
      </c>
      <c r="AH121">
        <v>69.42</v>
      </c>
      <c r="AJ121" s="86" t="str">
        <f t="shared" si="21"/>
        <v>133136Mix + Intocáveis SC Johnson</v>
      </c>
      <c r="AK121">
        <v>133136</v>
      </c>
      <c r="AL121" t="s">
        <v>338</v>
      </c>
      <c r="AM121" t="s">
        <v>36</v>
      </c>
      <c r="AN121" t="s">
        <v>103</v>
      </c>
      <c r="AO121" t="s">
        <v>968</v>
      </c>
      <c r="AP121" t="s">
        <v>969</v>
      </c>
      <c r="AQ121" t="s">
        <v>459</v>
      </c>
      <c r="AR121">
        <v>26.08</v>
      </c>
      <c r="AS121">
        <v>40</v>
      </c>
      <c r="AT121">
        <v>62.58</v>
      </c>
      <c r="AV121" s="86" t="str">
        <f t="shared" si="22"/>
        <v>124155Mix + Intocáveis SC Johnson</v>
      </c>
      <c r="AW121">
        <v>124155</v>
      </c>
      <c r="AX121" t="s">
        <v>336</v>
      </c>
      <c r="AY121" t="s">
        <v>36</v>
      </c>
      <c r="AZ121" t="s">
        <v>103</v>
      </c>
      <c r="BA121" t="s">
        <v>1027</v>
      </c>
      <c r="BB121" t="s">
        <v>1028</v>
      </c>
      <c r="BC121" t="s">
        <v>459</v>
      </c>
      <c r="BD121">
        <v>33.92</v>
      </c>
      <c r="BE121">
        <v>40</v>
      </c>
      <c r="BF121">
        <v>69.010000000000005</v>
      </c>
      <c r="BH121" s="86" t="str">
        <f t="shared" si="23"/>
        <v>102953Mix + Intocáveis SC Johnson</v>
      </c>
      <c r="BI121">
        <v>102953</v>
      </c>
      <c r="BJ121" t="s">
        <v>388</v>
      </c>
      <c r="BK121" t="s">
        <v>482</v>
      </c>
      <c r="BL121" t="s">
        <v>103</v>
      </c>
      <c r="BM121" t="s">
        <v>1233</v>
      </c>
      <c r="BN121" t="s">
        <v>1234</v>
      </c>
      <c r="BO121" t="s">
        <v>459</v>
      </c>
      <c r="BP121">
        <v>27.84</v>
      </c>
      <c r="BQ121">
        <v>40</v>
      </c>
      <c r="BR121">
        <v>66.510000000000005</v>
      </c>
      <c r="BT121" s="86" t="str">
        <f t="shared" si="12"/>
        <v>74369Cross Merchan SC Johnson</v>
      </c>
      <c r="BU121">
        <v>74369</v>
      </c>
      <c r="BV121" t="s">
        <v>377</v>
      </c>
      <c r="BW121" t="s">
        <v>489</v>
      </c>
      <c r="BX121" t="s">
        <v>103</v>
      </c>
      <c r="BY121" t="s">
        <v>1388</v>
      </c>
      <c r="BZ121" t="s">
        <v>1389</v>
      </c>
      <c r="CA121" t="s">
        <v>111</v>
      </c>
      <c r="CB121">
        <v>5</v>
      </c>
      <c r="CC121">
        <v>5</v>
      </c>
      <c r="CD121">
        <v>77.22</v>
      </c>
      <c r="CF121" s="86" t="str">
        <f t="shared" si="13"/>
        <v>74369Cross Merchan SC Johnson</v>
      </c>
      <c r="CG121">
        <v>74369</v>
      </c>
      <c r="CH121" t="s">
        <v>377</v>
      </c>
      <c r="CI121" t="s">
        <v>489</v>
      </c>
      <c r="CJ121" t="s">
        <v>103</v>
      </c>
      <c r="CK121" t="s">
        <v>1408</v>
      </c>
      <c r="CL121" t="s">
        <v>1409</v>
      </c>
      <c r="CM121" t="s">
        <v>111</v>
      </c>
      <c r="CN121">
        <v>5</v>
      </c>
      <c r="CO121">
        <v>5</v>
      </c>
      <c r="CP121">
        <v>98.8</v>
      </c>
      <c r="CR121" s="86" t="str">
        <f t="shared" si="14"/>
        <v>74369Cross Merchan SC Johnson</v>
      </c>
      <c r="CS121">
        <v>74369</v>
      </c>
      <c r="CT121" t="s">
        <v>377</v>
      </c>
      <c r="CU121" t="s">
        <v>489</v>
      </c>
      <c r="CV121" t="s">
        <v>103</v>
      </c>
      <c r="CW121" t="s">
        <v>1519</v>
      </c>
      <c r="CX121" t="s">
        <v>1520</v>
      </c>
      <c r="CY121" t="s">
        <v>111</v>
      </c>
      <c r="CZ121">
        <v>5</v>
      </c>
      <c r="DA121">
        <v>5</v>
      </c>
      <c r="DB121">
        <v>98.8</v>
      </c>
      <c r="DD121" s="86" t="str">
        <f t="shared" si="15"/>
        <v>102953Share Sub Category SC Johnson</v>
      </c>
      <c r="DE121">
        <v>102953</v>
      </c>
      <c r="DF121" t="s">
        <v>388</v>
      </c>
      <c r="DG121" t="s">
        <v>482</v>
      </c>
      <c r="DH121" t="s">
        <v>103</v>
      </c>
      <c r="DI121" t="s">
        <v>1662</v>
      </c>
      <c r="DJ121" t="s">
        <v>1663</v>
      </c>
      <c r="DK121" t="s">
        <v>457</v>
      </c>
      <c r="DL121">
        <v>25</v>
      </c>
      <c r="DM121">
        <v>25</v>
      </c>
      <c r="DN121">
        <v>97.8</v>
      </c>
      <c r="DP121" s="86" t="str">
        <f t="shared" si="16"/>
        <v>73922Share Sub Category SC Johnson</v>
      </c>
      <c r="DQ121">
        <v>73922</v>
      </c>
      <c r="DR121" t="s">
        <v>358</v>
      </c>
      <c r="DS121" t="s">
        <v>482</v>
      </c>
      <c r="DT121" t="s">
        <v>103</v>
      </c>
      <c r="DU121" t="s">
        <v>1770</v>
      </c>
      <c r="DV121" t="s">
        <v>1771</v>
      </c>
      <c r="DW121" t="s">
        <v>457</v>
      </c>
      <c r="DX121">
        <v>25</v>
      </c>
      <c r="DY121">
        <v>25</v>
      </c>
      <c r="DZ121">
        <v>96.2</v>
      </c>
      <c r="EB121" s="86" t="str">
        <f t="shared" si="17"/>
        <v>152753Share Sub Category SC Johnson</v>
      </c>
      <c r="EC121">
        <v>152753</v>
      </c>
      <c r="ED121" t="s">
        <v>393</v>
      </c>
      <c r="EE121" t="s">
        <v>482</v>
      </c>
      <c r="EF121" t="s">
        <v>103</v>
      </c>
      <c r="EG121" t="s">
        <v>1896</v>
      </c>
      <c r="EH121" t="s">
        <v>1897</v>
      </c>
      <c r="EI121" t="s">
        <v>457</v>
      </c>
      <c r="EJ121">
        <v>21.425000000000001</v>
      </c>
      <c r="EK121">
        <v>25</v>
      </c>
      <c r="EL121">
        <v>83.42</v>
      </c>
    </row>
    <row r="122" spans="1:142" x14ac:dyDescent="0.35">
      <c r="A122" s="86" t="str">
        <f t="shared" si="18"/>
        <v>124155Share Sub Loc Pao Quente SC Johnson</v>
      </c>
      <c r="B122">
        <v>124155</v>
      </c>
      <c r="C122" t="s">
        <v>336</v>
      </c>
      <c r="D122" t="s">
        <v>103</v>
      </c>
      <c r="E122" t="s">
        <v>523</v>
      </c>
      <c r="F122" t="s">
        <v>524</v>
      </c>
      <c r="G122" t="s">
        <v>458</v>
      </c>
      <c r="H122">
        <v>82.16</v>
      </c>
      <c r="I122">
        <v>10.199999999999999</v>
      </c>
      <c r="J122">
        <v>17</v>
      </c>
      <c r="L122" s="86" t="str">
        <f t="shared" si="19"/>
        <v>119456Mix + Intocáveis SC Johnson</v>
      </c>
      <c r="M122">
        <v>119456</v>
      </c>
      <c r="N122" t="s">
        <v>389</v>
      </c>
      <c r="O122" t="s">
        <v>482</v>
      </c>
      <c r="P122" t="s">
        <v>103</v>
      </c>
      <c r="Q122" t="s">
        <v>674</v>
      </c>
      <c r="R122" t="s">
        <v>675</v>
      </c>
      <c r="S122" t="s">
        <v>459</v>
      </c>
      <c r="T122">
        <v>18</v>
      </c>
      <c r="U122">
        <v>45</v>
      </c>
      <c r="V122">
        <v>43.63</v>
      </c>
      <c r="X122" s="86" t="str">
        <f t="shared" si="20"/>
        <v>131538Mix + Intocáveis SC Johnson</v>
      </c>
      <c r="Y122">
        <v>131538</v>
      </c>
      <c r="Z122" t="s">
        <v>390</v>
      </c>
      <c r="AA122" t="s">
        <v>482</v>
      </c>
      <c r="AB122" t="s">
        <v>103</v>
      </c>
      <c r="AC122" t="s">
        <v>835</v>
      </c>
      <c r="AD122" t="s">
        <v>836</v>
      </c>
      <c r="AE122" t="s">
        <v>459</v>
      </c>
      <c r="AF122">
        <v>31.5</v>
      </c>
      <c r="AG122">
        <v>45</v>
      </c>
      <c r="AH122">
        <v>69.42</v>
      </c>
      <c r="AJ122" s="86" t="str">
        <f t="shared" si="21"/>
        <v>133136Lancamentos</v>
      </c>
      <c r="AK122">
        <v>133136</v>
      </c>
      <c r="AL122" t="s">
        <v>338</v>
      </c>
      <c r="AM122" t="s">
        <v>36</v>
      </c>
      <c r="AN122" t="s">
        <v>103</v>
      </c>
      <c r="AO122" t="s">
        <v>968</v>
      </c>
      <c r="AP122" t="s">
        <v>969</v>
      </c>
      <c r="AQ122" t="s">
        <v>953</v>
      </c>
      <c r="AR122">
        <v>0</v>
      </c>
      <c r="AS122">
        <v>18</v>
      </c>
      <c r="AT122">
        <v>62.58</v>
      </c>
      <c r="AV122" s="86" t="str">
        <f t="shared" si="22"/>
        <v>124155Lancamentos</v>
      </c>
      <c r="AW122">
        <v>124155</v>
      </c>
      <c r="AX122" t="s">
        <v>336</v>
      </c>
      <c r="AY122" t="s">
        <v>36</v>
      </c>
      <c r="AZ122" t="s">
        <v>103</v>
      </c>
      <c r="BA122" t="s">
        <v>1027</v>
      </c>
      <c r="BB122" t="s">
        <v>1028</v>
      </c>
      <c r="BC122" t="s">
        <v>953</v>
      </c>
      <c r="BD122">
        <v>0</v>
      </c>
      <c r="BE122">
        <v>18</v>
      </c>
      <c r="BF122">
        <v>69.010000000000005</v>
      </c>
      <c r="BH122" s="86" t="str">
        <f t="shared" si="23"/>
        <v>102953Lancamentos</v>
      </c>
      <c r="BI122">
        <v>102953</v>
      </c>
      <c r="BJ122" t="s">
        <v>388</v>
      </c>
      <c r="BK122" t="s">
        <v>482</v>
      </c>
      <c r="BL122" t="s">
        <v>103</v>
      </c>
      <c r="BM122" t="s">
        <v>1233</v>
      </c>
      <c r="BN122" t="s">
        <v>1234</v>
      </c>
      <c r="BO122" t="s">
        <v>953</v>
      </c>
      <c r="BP122">
        <v>0</v>
      </c>
      <c r="BQ122">
        <v>18</v>
      </c>
      <c r="BR122">
        <v>66.510000000000005</v>
      </c>
      <c r="BT122" s="86" t="str">
        <f t="shared" si="12"/>
        <v>74369Execucao Bonus</v>
      </c>
      <c r="BU122">
        <v>74369</v>
      </c>
      <c r="BV122" t="s">
        <v>377</v>
      </c>
      <c r="BW122" t="s">
        <v>489</v>
      </c>
      <c r="BX122" t="s">
        <v>103</v>
      </c>
      <c r="BY122" t="s">
        <v>1388</v>
      </c>
      <c r="BZ122" t="s">
        <v>1389</v>
      </c>
      <c r="CA122" t="s">
        <v>1291</v>
      </c>
      <c r="CB122">
        <v>0</v>
      </c>
      <c r="CC122">
        <v>5</v>
      </c>
      <c r="CD122">
        <v>77.22</v>
      </c>
      <c r="CF122" s="86" t="str">
        <f t="shared" si="13"/>
        <v>74369Execucao Bonus</v>
      </c>
      <c r="CG122">
        <v>74369</v>
      </c>
      <c r="CH122" t="s">
        <v>377</v>
      </c>
      <c r="CI122" t="s">
        <v>489</v>
      </c>
      <c r="CJ122" t="s">
        <v>103</v>
      </c>
      <c r="CK122" t="s">
        <v>1408</v>
      </c>
      <c r="CL122" t="s">
        <v>1409</v>
      </c>
      <c r="CM122" t="s">
        <v>1291</v>
      </c>
      <c r="CN122">
        <v>5</v>
      </c>
      <c r="CO122">
        <v>5</v>
      </c>
      <c r="CP122">
        <v>98.8</v>
      </c>
      <c r="CR122" s="86" t="str">
        <f t="shared" si="14"/>
        <v>74369Execucao Bonus</v>
      </c>
      <c r="CS122">
        <v>74369</v>
      </c>
      <c r="CT122" t="s">
        <v>377</v>
      </c>
      <c r="CU122" t="s">
        <v>489</v>
      </c>
      <c r="CV122" t="s">
        <v>103</v>
      </c>
      <c r="CW122" t="s">
        <v>1519</v>
      </c>
      <c r="CX122" t="s">
        <v>1520</v>
      </c>
      <c r="CY122" t="s">
        <v>1291</v>
      </c>
      <c r="CZ122">
        <v>5</v>
      </c>
      <c r="DA122">
        <v>5</v>
      </c>
      <c r="DB122">
        <v>98.8</v>
      </c>
      <c r="DD122" s="86" t="str">
        <f t="shared" si="15"/>
        <v>102953Share Sub Loc Pao Quente SC Johnson</v>
      </c>
      <c r="DE122">
        <v>102953</v>
      </c>
      <c r="DF122" t="s">
        <v>388</v>
      </c>
      <c r="DG122" t="s">
        <v>482</v>
      </c>
      <c r="DH122" t="s">
        <v>103</v>
      </c>
      <c r="DI122" t="s">
        <v>1662</v>
      </c>
      <c r="DJ122" t="s">
        <v>1663</v>
      </c>
      <c r="DK122" t="s">
        <v>458</v>
      </c>
      <c r="DL122">
        <v>12</v>
      </c>
      <c r="DM122">
        <v>12</v>
      </c>
      <c r="DN122">
        <v>97.8</v>
      </c>
      <c r="DP122" s="86" t="str">
        <f t="shared" si="16"/>
        <v>73922Share Sub Loc Pao Quente SC Johnson</v>
      </c>
      <c r="DQ122">
        <v>73922</v>
      </c>
      <c r="DR122" t="s">
        <v>358</v>
      </c>
      <c r="DS122" t="s">
        <v>482</v>
      </c>
      <c r="DT122" t="s">
        <v>103</v>
      </c>
      <c r="DU122" t="s">
        <v>1770</v>
      </c>
      <c r="DV122" t="s">
        <v>1771</v>
      </c>
      <c r="DW122" t="s">
        <v>458</v>
      </c>
      <c r="DX122">
        <v>12</v>
      </c>
      <c r="DY122">
        <v>12</v>
      </c>
      <c r="DZ122">
        <v>96.2</v>
      </c>
      <c r="EB122" s="86" t="str">
        <f t="shared" si="17"/>
        <v>152753Share Sub Loc Pao Quente SC Johnson</v>
      </c>
      <c r="EC122">
        <v>152753</v>
      </c>
      <c r="ED122" t="s">
        <v>393</v>
      </c>
      <c r="EE122" t="s">
        <v>482</v>
      </c>
      <c r="EF122" t="s">
        <v>103</v>
      </c>
      <c r="EG122" t="s">
        <v>1896</v>
      </c>
      <c r="EH122" t="s">
        <v>1897</v>
      </c>
      <c r="EI122" t="s">
        <v>458</v>
      </c>
      <c r="EJ122">
        <v>6</v>
      </c>
      <c r="EK122">
        <v>12</v>
      </c>
      <c r="EL122">
        <v>83.42</v>
      </c>
    </row>
    <row r="123" spans="1:142" x14ac:dyDescent="0.35">
      <c r="A123" s="86" t="str">
        <f t="shared" si="18"/>
        <v>124155Mix + Intocáveis SC Johnson</v>
      </c>
      <c r="B123">
        <v>124155</v>
      </c>
      <c r="C123" t="s">
        <v>336</v>
      </c>
      <c r="D123" t="s">
        <v>103</v>
      </c>
      <c r="E123" t="s">
        <v>523</v>
      </c>
      <c r="F123" t="s">
        <v>524</v>
      </c>
      <c r="G123" t="s">
        <v>459</v>
      </c>
      <c r="H123">
        <v>82.16</v>
      </c>
      <c r="I123">
        <v>38.25</v>
      </c>
      <c r="J123">
        <v>45</v>
      </c>
      <c r="L123" s="86" t="str">
        <f t="shared" si="19"/>
        <v>124155Share Sub Category SC Johnson</v>
      </c>
      <c r="M123">
        <v>124155</v>
      </c>
      <c r="N123" t="s">
        <v>336</v>
      </c>
      <c r="O123" t="s">
        <v>36</v>
      </c>
      <c r="P123" t="s">
        <v>103</v>
      </c>
      <c r="Q123" t="s">
        <v>676</v>
      </c>
      <c r="R123" t="s">
        <v>677</v>
      </c>
      <c r="S123" t="s">
        <v>457</v>
      </c>
      <c r="T123">
        <v>30</v>
      </c>
      <c r="U123">
        <v>30</v>
      </c>
      <c r="V123">
        <v>68.75</v>
      </c>
      <c r="X123" s="86" t="str">
        <f t="shared" si="20"/>
        <v>132039Share Sub Category SC Johnson</v>
      </c>
      <c r="Y123">
        <v>132039</v>
      </c>
      <c r="Z123" t="s">
        <v>337</v>
      </c>
      <c r="AA123" t="s">
        <v>460</v>
      </c>
      <c r="AB123" t="s">
        <v>103</v>
      </c>
      <c r="AC123" t="s">
        <v>855</v>
      </c>
      <c r="AD123" t="s">
        <v>856</v>
      </c>
      <c r="AE123" t="s">
        <v>457</v>
      </c>
      <c r="AF123">
        <v>30</v>
      </c>
      <c r="AG123">
        <v>30</v>
      </c>
      <c r="AH123">
        <v>81.13</v>
      </c>
      <c r="AJ123" s="86" t="str">
        <f t="shared" si="21"/>
        <v>134214Share Sub Category SC Johnson</v>
      </c>
      <c r="AK123">
        <v>134214</v>
      </c>
      <c r="AL123" t="s">
        <v>360</v>
      </c>
      <c r="AM123" t="s">
        <v>477</v>
      </c>
      <c r="AN123" t="s">
        <v>103</v>
      </c>
      <c r="AO123" t="s">
        <v>1015</v>
      </c>
      <c r="AP123" t="s">
        <v>1016</v>
      </c>
      <c r="AQ123" t="s">
        <v>457</v>
      </c>
      <c r="AR123">
        <v>17.850000000000001</v>
      </c>
      <c r="AS123">
        <v>25</v>
      </c>
      <c r="AT123">
        <v>39.97</v>
      </c>
      <c r="AV123" s="86" t="str">
        <f t="shared" si="22"/>
        <v>132039Share Sub Category SC Johnson</v>
      </c>
      <c r="AW123">
        <v>132039</v>
      </c>
      <c r="AX123" t="s">
        <v>337</v>
      </c>
      <c r="AY123" t="s">
        <v>460</v>
      </c>
      <c r="AZ123" t="s">
        <v>103</v>
      </c>
      <c r="BA123" t="s">
        <v>1037</v>
      </c>
      <c r="BB123" t="s">
        <v>1038</v>
      </c>
      <c r="BC123" t="s">
        <v>457</v>
      </c>
      <c r="BD123">
        <v>25</v>
      </c>
      <c r="BE123">
        <v>25</v>
      </c>
      <c r="BF123">
        <v>64.34</v>
      </c>
      <c r="BH123" s="86" t="str">
        <f t="shared" si="23"/>
        <v>107838Share Sub Category SC Johnson</v>
      </c>
      <c r="BI123">
        <v>107838</v>
      </c>
      <c r="BJ123" t="s">
        <v>378</v>
      </c>
      <c r="BK123" t="s">
        <v>36</v>
      </c>
      <c r="BL123" t="s">
        <v>103</v>
      </c>
      <c r="BM123" t="s">
        <v>1191</v>
      </c>
      <c r="BN123" t="s">
        <v>1192</v>
      </c>
      <c r="BO123" t="s">
        <v>457</v>
      </c>
      <c r="BP123">
        <v>25</v>
      </c>
      <c r="BQ123">
        <v>25</v>
      </c>
      <c r="BR123">
        <v>90.49</v>
      </c>
      <c r="BT123" s="86" t="str">
        <f t="shared" si="12"/>
        <v>74744Lancamentos</v>
      </c>
      <c r="BU123">
        <v>74744</v>
      </c>
      <c r="BV123" t="s">
        <v>359</v>
      </c>
      <c r="BW123" t="s">
        <v>477</v>
      </c>
      <c r="BX123" t="s">
        <v>103</v>
      </c>
      <c r="BY123" t="s">
        <v>1304</v>
      </c>
      <c r="BZ123" t="s">
        <v>1305</v>
      </c>
      <c r="CA123" t="s">
        <v>953</v>
      </c>
      <c r="CB123">
        <v>0</v>
      </c>
      <c r="CC123">
        <v>18</v>
      </c>
      <c r="CD123">
        <v>48.45</v>
      </c>
      <c r="CF123" s="86" t="str">
        <f t="shared" si="13"/>
        <v>102953Lancamentos</v>
      </c>
      <c r="CG123">
        <v>102953</v>
      </c>
      <c r="CH123" t="s">
        <v>388</v>
      </c>
      <c r="CI123" t="s">
        <v>482</v>
      </c>
      <c r="CJ123" t="s">
        <v>103</v>
      </c>
      <c r="CK123" t="s">
        <v>1495</v>
      </c>
      <c r="CL123" t="s">
        <v>1496</v>
      </c>
      <c r="CM123" t="s">
        <v>953</v>
      </c>
      <c r="CN123">
        <v>18</v>
      </c>
      <c r="CO123">
        <v>18</v>
      </c>
      <c r="CP123">
        <v>94</v>
      </c>
      <c r="CR123" s="86" t="str">
        <f t="shared" si="14"/>
        <v>102953Lancamentos</v>
      </c>
      <c r="CS123">
        <v>102953</v>
      </c>
      <c r="CT123" t="s">
        <v>388</v>
      </c>
      <c r="CU123" t="s">
        <v>482</v>
      </c>
      <c r="CV123" t="s">
        <v>103</v>
      </c>
      <c r="CW123" t="s">
        <v>1588</v>
      </c>
      <c r="CX123" t="s">
        <v>1589</v>
      </c>
      <c r="CY123" t="s">
        <v>953</v>
      </c>
      <c r="CZ123">
        <v>18</v>
      </c>
      <c r="DA123">
        <v>18</v>
      </c>
      <c r="DB123">
        <v>94.6</v>
      </c>
      <c r="DD123" s="86" t="str">
        <f t="shared" si="15"/>
        <v>107838Mix + Intocáveis SC Johnson</v>
      </c>
      <c r="DE123">
        <v>107838</v>
      </c>
      <c r="DF123" t="s">
        <v>378</v>
      </c>
      <c r="DG123" t="s">
        <v>1306</v>
      </c>
      <c r="DH123" t="s">
        <v>103</v>
      </c>
      <c r="DI123" t="s">
        <v>1692</v>
      </c>
      <c r="DJ123" t="s">
        <v>1693</v>
      </c>
      <c r="DK123" t="s">
        <v>459</v>
      </c>
      <c r="DL123">
        <v>38.4</v>
      </c>
      <c r="DM123">
        <v>40</v>
      </c>
      <c r="DN123">
        <v>94.4</v>
      </c>
      <c r="DP123" s="86" t="str">
        <f t="shared" si="16"/>
        <v>74369Mix + Intocáveis SC Johnson</v>
      </c>
      <c r="DQ123">
        <v>74369</v>
      </c>
      <c r="DR123" t="s">
        <v>377</v>
      </c>
      <c r="DS123" t="s">
        <v>489</v>
      </c>
      <c r="DT123" t="s">
        <v>103</v>
      </c>
      <c r="DU123" t="s">
        <v>1772</v>
      </c>
      <c r="DV123" t="s">
        <v>1773</v>
      </c>
      <c r="DW123" t="s">
        <v>459</v>
      </c>
      <c r="DX123">
        <v>34.4</v>
      </c>
      <c r="DY123">
        <v>40</v>
      </c>
      <c r="DZ123">
        <v>96.4</v>
      </c>
      <c r="EB123" s="86" t="str">
        <f t="shared" si="17"/>
        <v>157153Mix + Intocáveis SC Johnson</v>
      </c>
      <c r="EC123">
        <v>157153</v>
      </c>
      <c r="ED123" t="s">
        <v>364</v>
      </c>
      <c r="EE123" t="s">
        <v>1306</v>
      </c>
      <c r="EF123" t="s">
        <v>103</v>
      </c>
      <c r="EG123" t="s">
        <v>1898</v>
      </c>
      <c r="EH123" t="s">
        <v>1899</v>
      </c>
      <c r="EI123" t="s">
        <v>459</v>
      </c>
      <c r="EJ123">
        <v>36</v>
      </c>
      <c r="EK123">
        <v>40</v>
      </c>
      <c r="EL123">
        <v>92</v>
      </c>
    </row>
    <row r="124" spans="1:142" x14ac:dyDescent="0.35">
      <c r="A124" s="86" t="str">
        <f t="shared" si="18"/>
        <v>131538Share Sub Category SC Johnson</v>
      </c>
      <c r="B124">
        <v>131538</v>
      </c>
      <c r="C124" t="s">
        <v>390</v>
      </c>
      <c r="D124" t="s">
        <v>103</v>
      </c>
      <c r="E124" t="s">
        <v>525</v>
      </c>
      <c r="F124" t="s">
        <v>526</v>
      </c>
      <c r="G124" t="s">
        <v>457</v>
      </c>
      <c r="H124">
        <v>62.86</v>
      </c>
      <c r="I124">
        <v>25.71</v>
      </c>
      <c r="J124">
        <v>30</v>
      </c>
      <c r="L124" s="86" t="str">
        <f t="shared" si="19"/>
        <v>124155Cross Merchan SC Johnson</v>
      </c>
      <c r="M124">
        <v>124155</v>
      </c>
      <c r="N124" t="s">
        <v>336</v>
      </c>
      <c r="O124" t="s">
        <v>36</v>
      </c>
      <c r="P124" t="s">
        <v>103</v>
      </c>
      <c r="Q124" t="s">
        <v>676</v>
      </c>
      <c r="R124" t="s">
        <v>677</v>
      </c>
      <c r="S124" t="s">
        <v>111</v>
      </c>
      <c r="T124">
        <v>8</v>
      </c>
      <c r="U124">
        <v>8</v>
      </c>
      <c r="V124">
        <v>68.75</v>
      </c>
      <c r="X124" s="86" t="str">
        <f t="shared" si="20"/>
        <v>132039Cross Merchan SC Johnson</v>
      </c>
      <c r="Y124">
        <v>132039</v>
      </c>
      <c r="Z124" t="s">
        <v>337</v>
      </c>
      <c r="AA124" t="s">
        <v>460</v>
      </c>
      <c r="AB124" t="s">
        <v>103</v>
      </c>
      <c r="AC124" t="s">
        <v>855</v>
      </c>
      <c r="AD124" t="s">
        <v>856</v>
      </c>
      <c r="AE124" t="s">
        <v>111</v>
      </c>
      <c r="AF124">
        <v>8</v>
      </c>
      <c r="AG124">
        <v>8</v>
      </c>
      <c r="AH124">
        <v>81.13</v>
      </c>
      <c r="AJ124" s="86" t="str">
        <f t="shared" si="21"/>
        <v>134214Cross Merchan SC Johnson</v>
      </c>
      <c r="AK124">
        <v>134214</v>
      </c>
      <c r="AL124" t="s">
        <v>360</v>
      </c>
      <c r="AM124" t="s">
        <v>477</v>
      </c>
      <c r="AN124" t="s">
        <v>103</v>
      </c>
      <c r="AO124" t="s">
        <v>1015</v>
      </c>
      <c r="AP124" t="s">
        <v>1016</v>
      </c>
      <c r="AQ124" t="s">
        <v>111</v>
      </c>
      <c r="AR124">
        <v>0</v>
      </c>
      <c r="AS124">
        <v>5</v>
      </c>
      <c r="AT124">
        <v>39.97</v>
      </c>
      <c r="AV124" s="86" t="str">
        <f t="shared" si="22"/>
        <v>132039Cross Merchan SC Johnson</v>
      </c>
      <c r="AW124">
        <v>132039</v>
      </c>
      <c r="AX124" t="s">
        <v>337</v>
      </c>
      <c r="AY124" t="s">
        <v>460</v>
      </c>
      <c r="AZ124" t="s">
        <v>103</v>
      </c>
      <c r="BA124" t="s">
        <v>1037</v>
      </c>
      <c r="BB124" t="s">
        <v>1038</v>
      </c>
      <c r="BC124" t="s">
        <v>111</v>
      </c>
      <c r="BD124">
        <v>1.665</v>
      </c>
      <c r="BE124">
        <v>5</v>
      </c>
      <c r="BF124">
        <v>64.34</v>
      </c>
      <c r="BH124" s="86" t="str">
        <f t="shared" si="23"/>
        <v>107838Cross Merchan SC Johnson</v>
      </c>
      <c r="BI124">
        <v>107838</v>
      </c>
      <c r="BJ124" t="s">
        <v>378</v>
      </c>
      <c r="BK124" t="s">
        <v>36</v>
      </c>
      <c r="BL124" t="s">
        <v>103</v>
      </c>
      <c r="BM124" t="s">
        <v>1191</v>
      </c>
      <c r="BN124" t="s">
        <v>1192</v>
      </c>
      <c r="BO124" t="s">
        <v>111</v>
      </c>
      <c r="BP124">
        <v>3.335</v>
      </c>
      <c r="BQ124">
        <v>5</v>
      </c>
      <c r="BR124">
        <v>90.49</v>
      </c>
      <c r="BT124" s="86" t="str">
        <f t="shared" si="12"/>
        <v>74744Mix + Intocáveis SC Johnson</v>
      </c>
      <c r="BU124">
        <v>74744</v>
      </c>
      <c r="BV124" t="s">
        <v>359</v>
      </c>
      <c r="BW124" t="s">
        <v>477</v>
      </c>
      <c r="BX124" t="s">
        <v>103</v>
      </c>
      <c r="BY124" t="s">
        <v>1304</v>
      </c>
      <c r="BZ124" t="s">
        <v>1305</v>
      </c>
      <c r="CA124" t="s">
        <v>459</v>
      </c>
      <c r="CB124">
        <v>21.6</v>
      </c>
      <c r="CC124">
        <v>40</v>
      </c>
      <c r="CD124">
        <v>48.45</v>
      </c>
      <c r="CF124" s="86" t="str">
        <f t="shared" si="13"/>
        <v>102953Mix + Intocáveis SC Johnson</v>
      </c>
      <c r="CG124">
        <v>102953</v>
      </c>
      <c r="CH124" t="s">
        <v>388</v>
      </c>
      <c r="CI124" t="s">
        <v>482</v>
      </c>
      <c r="CJ124" t="s">
        <v>103</v>
      </c>
      <c r="CK124" t="s">
        <v>1495</v>
      </c>
      <c r="CL124" t="s">
        <v>1496</v>
      </c>
      <c r="CM124" t="s">
        <v>459</v>
      </c>
      <c r="CN124">
        <v>32</v>
      </c>
      <c r="CO124">
        <v>40</v>
      </c>
      <c r="CP124">
        <v>94</v>
      </c>
      <c r="CR124" s="86" t="str">
        <f t="shared" si="14"/>
        <v>102953Mix + Intocáveis SC Johnson</v>
      </c>
      <c r="CS124">
        <v>102953</v>
      </c>
      <c r="CT124" t="s">
        <v>388</v>
      </c>
      <c r="CU124" t="s">
        <v>482</v>
      </c>
      <c r="CV124" t="s">
        <v>103</v>
      </c>
      <c r="CW124" t="s">
        <v>1588</v>
      </c>
      <c r="CX124" t="s">
        <v>1589</v>
      </c>
      <c r="CY124" t="s">
        <v>459</v>
      </c>
      <c r="CZ124">
        <v>29.6</v>
      </c>
      <c r="DA124">
        <v>40</v>
      </c>
      <c r="DB124">
        <v>94.6</v>
      </c>
      <c r="DD124" s="86" t="str">
        <f t="shared" si="15"/>
        <v>107838Execucao Bonus</v>
      </c>
      <c r="DE124">
        <v>107838</v>
      </c>
      <c r="DF124" t="s">
        <v>378</v>
      </c>
      <c r="DG124" t="s">
        <v>1306</v>
      </c>
      <c r="DH124" t="s">
        <v>103</v>
      </c>
      <c r="DI124" t="s">
        <v>1692</v>
      </c>
      <c r="DJ124" t="s">
        <v>1693</v>
      </c>
      <c r="DK124" t="s">
        <v>1291</v>
      </c>
      <c r="DL124">
        <v>5</v>
      </c>
      <c r="DM124">
        <v>5</v>
      </c>
      <c r="DN124">
        <v>94.4</v>
      </c>
      <c r="DP124" s="86" t="str">
        <f t="shared" si="16"/>
        <v>74369Execucao Bonus</v>
      </c>
      <c r="DQ124">
        <v>74369</v>
      </c>
      <c r="DR124" t="s">
        <v>377</v>
      </c>
      <c r="DS124" t="s">
        <v>489</v>
      </c>
      <c r="DT124" t="s">
        <v>103</v>
      </c>
      <c r="DU124" t="s">
        <v>1772</v>
      </c>
      <c r="DV124" t="s">
        <v>1773</v>
      </c>
      <c r="DW124" t="s">
        <v>1291</v>
      </c>
      <c r="DX124">
        <v>5</v>
      </c>
      <c r="DY124">
        <v>5</v>
      </c>
      <c r="DZ124">
        <v>96.4</v>
      </c>
      <c r="EB124" s="86" t="str">
        <f t="shared" si="17"/>
        <v>157153Execucao Bonus</v>
      </c>
      <c r="EC124">
        <v>157153</v>
      </c>
      <c r="ED124" t="s">
        <v>364</v>
      </c>
      <c r="EE124" t="s">
        <v>1306</v>
      </c>
      <c r="EF124" t="s">
        <v>103</v>
      </c>
      <c r="EG124" t="s">
        <v>1898</v>
      </c>
      <c r="EH124" t="s">
        <v>1899</v>
      </c>
      <c r="EI124" t="s">
        <v>1291</v>
      </c>
      <c r="EJ124">
        <v>5</v>
      </c>
      <c r="EK124">
        <v>5</v>
      </c>
      <c r="EL124">
        <v>92</v>
      </c>
    </row>
    <row r="125" spans="1:142" x14ac:dyDescent="0.35">
      <c r="A125" s="86" t="str">
        <f t="shared" si="18"/>
        <v>131538Cross Merchan SC Johnson</v>
      </c>
      <c r="B125">
        <v>131538</v>
      </c>
      <c r="C125" t="s">
        <v>390</v>
      </c>
      <c r="D125" t="s">
        <v>103</v>
      </c>
      <c r="E125" t="s">
        <v>525</v>
      </c>
      <c r="F125" t="s">
        <v>526</v>
      </c>
      <c r="G125" t="s">
        <v>111</v>
      </c>
      <c r="H125">
        <v>62.86</v>
      </c>
      <c r="I125">
        <v>0</v>
      </c>
      <c r="J125">
        <v>8</v>
      </c>
      <c r="L125" s="86" t="str">
        <f t="shared" si="19"/>
        <v>124155Share Sub Loc Pao Quente SC Johnson</v>
      </c>
      <c r="M125">
        <v>124155</v>
      </c>
      <c r="N125" t="s">
        <v>336</v>
      </c>
      <c r="O125" t="s">
        <v>36</v>
      </c>
      <c r="P125" t="s">
        <v>103</v>
      </c>
      <c r="Q125" t="s">
        <v>676</v>
      </c>
      <c r="R125" t="s">
        <v>677</v>
      </c>
      <c r="S125" t="s">
        <v>458</v>
      </c>
      <c r="T125">
        <v>12.75</v>
      </c>
      <c r="U125">
        <v>17</v>
      </c>
      <c r="V125">
        <v>68.75</v>
      </c>
      <c r="X125" s="86" t="str">
        <f t="shared" si="20"/>
        <v>132039Share Sub Loc Pao Quente SC Johnson</v>
      </c>
      <c r="Y125">
        <v>132039</v>
      </c>
      <c r="Z125" t="s">
        <v>337</v>
      </c>
      <c r="AA125" t="s">
        <v>460</v>
      </c>
      <c r="AB125" t="s">
        <v>103</v>
      </c>
      <c r="AC125" t="s">
        <v>855</v>
      </c>
      <c r="AD125" t="s">
        <v>856</v>
      </c>
      <c r="AE125" t="s">
        <v>458</v>
      </c>
      <c r="AF125">
        <v>12.75</v>
      </c>
      <c r="AG125">
        <v>17</v>
      </c>
      <c r="AH125">
        <v>81.13</v>
      </c>
      <c r="AJ125" s="86" t="str">
        <f t="shared" si="21"/>
        <v>134214Share Sub Loc Pao Quente SC Johnson</v>
      </c>
      <c r="AK125">
        <v>134214</v>
      </c>
      <c r="AL125" t="s">
        <v>360</v>
      </c>
      <c r="AM125" t="s">
        <v>477</v>
      </c>
      <c r="AN125" t="s">
        <v>103</v>
      </c>
      <c r="AO125" t="s">
        <v>1015</v>
      </c>
      <c r="AP125" t="s">
        <v>1016</v>
      </c>
      <c r="AQ125" t="s">
        <v>458</v>
      </c>
      <c r="AR125">
        <v>3</v>
      </c>
      <c r="AS125">
        <v>12</v>
      </c>
      <c r="AT125">
        <v>39.97</v>
      </c>
      <c r="AV125" s="86" t="str">
        <f t="shared" si="22"/>
        <v>132039Share Sub Loc Pao Quente SC Johnson</v>
      </c>
      <c r="AW125">
        <v>132039</v>
      </c>
      <c r="AX125" t="s">
        <v>337</v>
      </c>
      <c r="AY125" t="s">
        <v>460</v>
      </c>
      <c r="AZ125" t="s">
        <v>103</v>
      </c>
      <c r="BA125" t="s">
        <v>1037</v>
      </c>
      <c r="BB125" t="s">
        <v>1038</v>
      </c>
      <c r="BC125" t="s">
        <v>458</v>
      </c>
      <c r="BD125">
        <v>9</v>
      </c>
      <c r="BE125">
        <v>12</v>
      </c>
      <c r="BF125">
        <v>64.34</v>
      </c>
      <c r="BH125" s="86" t="str">
        <f t="shared" si="23"/>
        <v>107838Share Sub Loc Pao Quente SC Johnson</v>
      </c>
      <c r="BI125">
        <v>107838</v>
      </c>
      <c r="BJ125" t="s">
        <v>378</v>
      </c>
      <c r="BK125" t="s">
        <v>36</v>
      </c>
      <c r="BL125" t="s">
        <v>103</v>
      </c>
      <c r="BM125" t="s">
        <v>1191</v>
      </c>
      <c r="BN125" t="s">
        <v>1192</v>
      </c>
      <c r="BO125" t="s">
        <v>458</v>
      </c>
      <c r="BP125">
        <v>12</v>
      </c>
      <c r="BQ125">
        <v>12</v>
      </c>
      <c r="BR125">
        <v>90.49</v>
      </c>
      <c r="BT125" s="86" t="str">
        <f t="shared" si="12"/>
        <v>74744Share Sub Category SC Johnson</v>
      </c>
      <c r="BU125">
        <v>74744</v>
      </c>
      <c r="BV125" t="s">
        <v>359</v>
      </c>
      <c r="BW125" t="s">
        <v>477</v>
      </c>
      <c r="BX125" t="s">
        <v>103</v>
      </c>
      <c r="BY125" t="s">
        <v>1304</v>
      </c>
      <c r="BZ125" t="s">
        <v>1305</v>
      </c>
      <c r="CA125" t="s">
        <v>457</v>
      </c>
      <c r="CB125">
        <v>17.850000000000001</v>
      </c>
      <c r="CC125">
        <v>25</v>
      </c>
      <c r="CD125">
        <v>48.45</v>
      </c>
      <c r="CF125" s="86" t="str">
        <f t="shared" si="13"/>
        <v>102953Share Sub Category SC Johnson</v>
      </c>
      <c r="CG125">
        <v>102953</v>
      </c>
      <c r="CH125" t="s">
        <v>388</v>
      </c>
      <c r="CI125" t="s">
        <v>482</v>
      </c>
      <c r="CJ125" t="s">
        <v>103</v>
      </c>
      <c r="CK125" t="s">
        <v>1495</v>
      </c>
      <c r="CL125" t="s">
        <v>1496</v>
      </c>
      <c r="CM125" t="s">
        <v>457</v>
      </c>
      <c r="CN125">
        <v>25</v>
      </c>
      <c r="CO125">
        <v>25</v>
      </c>
      <c r="CP125">
        <v>94</v>
      </c>
      <c r="CR125" s="86" t="str">
        <f t="shared" si="14"/>
        <v>102953Share Sub Category SC Johnson</v>
      </c>
      <c r="CS125">
        <v>102953</v>
      </c>
      <c r="CT125" t="s">
        <v>388</v>
      </c>
      <c r="CU125" t="s">
        <v>482</v>
      </c>
      <c r="CV125" t="s">
        <v>103</v>
      </c>
      <c r="CW125" t="s">
        <v>1588</v>
      </c>
      <c r="CX125" t="s">
        <v>1589</v>
      </c>
      <c r="CY125" t="s">
        <v>457</v>
      </c>
      <c r="CZ125">
        <v>25</v>
      </c>
      <c r="DA125">
        <v>25</v>
      </c>
      <c r="DB125">
        <v>94.6</v>
      </c>
      <c r="DD125" s="86" t="str">
        <f t="shared" si="15"/>
        <v>107838Cross Merchan SC Johnson</v>
      </c>
      <c r="DE125">
        <v>107838</v>
      </c>
      <c r="DF125" t="s">
        <v>378</v>
      </c>
      <c r="DG125" t="s">
        <v>1306</v>
      </c>
      <c r="DH125" t="s">
        <v>103</v>
      </c>
      <c r="DI125" t="s">
        <v>1692</v>
      </c>
      <c r="DJ125" t="s">
        <v>1693</v>
      </c>
      <c r="DK125" t="s">
        <v>111</v>
      </c>
      <c r="DL125">
        <v>5</v>
      </c>
      <c r="DM125">
        <v>5</v>
      </c>
      <c r="DN125">
        <v>94.4</v>
      </c>
      <c r="DP125" s="86" t="str">
        <f t="shared" si="16"/>
        <v>74369Cross Merchan SC Johnson</v>
      </c>
      <c r="DQ125">
        <v>74369</v>
      </c>
      <c r="DR125" t="s">
        <v>377</v>
      </c>
      <c r="DS125" t="s">
        <v>489</v>
      </c>
      <c r="DT125" t="s">
        <v>103</v>
      </c>
      <c r="DU125" t="s">
        <v>1772</v>
      </c>
      <c r="DV125" t="s">
        <v>1773</v>
      </c>
      <c r="DW125" t="s">
        <v>111</v>
      </c>
      <c r="DX125">
        <v>5</v>
      </c>
      <c r="DY125">
        <v>5</v>
      </c>
      <c r="DZ125">
        <v>96.4</v>
      </c>
      <c r="EB125" s="86" t="str">
        <f t="shared" si="17"/>
        <v>157153Cross Merchan SC Johnson</v>
      </c>
      <c r="EC125">
        <v>157153</v>
      </c>
      <c r="ED125" t="s">
        <v>364</v>
      </c>
      <c r="EE125" t="s">
        <v>1306</v>
      </c>
      <c r="EF125" t="s">
        <v>103</v>
      </c>
      <c r="EG125" t="s">
        <v>1898</v>
      </c>
      <c r="EH125" t="s">
        <v>1899</v>
      </c>
      <c r="EI125" t="s">
        <v>111</v>
      </c>
      <c r="EJ125">
        <v>5</v>
      </c>
      <c r="EK125">
        <v>5</v>
      </c>
      <c r="EL125">
        <v>92</v>
      </c>
    </row>
    <row r="126" spans="1:142" x14ac:dyDescent="0.35">
      <c r="A126" s="86" t="str">
        <f t="shared" si="18"/>
        <v>131538Share Sub Loc Pao Quente SC Johnson</v>
      </c>
      <c r="B126">
        <v>131538</v>
      </c>
      <c r="C126" t="s">
        <v>390</v>
      </c>
      <c r="D126" t="s">
        <v>103</v>
      </c>
      <c r="E126" t="s">
        <v>525</v>
      </c>
      <c r="F126" t="s">
        <v>526</v>
      </c>
      <c r="G126" t="s">
        <v>458</v>
      </c>
      <c r="H126">
        <v>62.86</v>
      </c>
      <c r="I126">
        <v>3.4</v>
      </c>
      <c r="J126">
        <v>17</v>
      </c>
      <c r="L126" s="86" t="str">
        <f t="shared" si="19"/>
        <v>124155Mix + Intocáveis SC Johnson</v>
      </c>
      <c r="M126">
        <v>124155</v>
      </c>
      <c r="N126" t="s">
        <v>336</v>
      </c>
      <c r="O126" t="s">
        <v>36</v>
      </c>
      <c r="P126" t="s">
        <v>103</v>
      </c>
      <c r="Q126" t="s">
        <v>676</v>
      </c>
      <c r="R126" t="s">
        <v>677</v>
      </c>
      <c r="S126" t="s">
        <v>459</v>
      </c>
      <c r="T126">
        <v>18</v>
      </c>
      <c r="U126">
        <v>45</v>
      </c>
      <c r="V126">
        <v>68.75</v>
      </c>
      <c r="X126" s="86" t="str">
        <f t="shared" si="20"/>
        <v>132039Mix + Intocáveis SC Johnson</v>
      </c>
      <c r="Y126">
        <v>132039</v>
      </c>
      <c r="Z126" t="s">
        <v>337</v>
      </c>
      <c r="AA126" t="s">
        <v>460</v>
      </c>
      <c r="AB126" t="s">
        <v>103</v>
      </c>
      <c r="AC126" t="s">
        <v>855</v>
      </c>
      <c r="AD126" t="s">
        <v>856</v>
      </c>
      <c r="AE126" t="s">
        <v>459</v>
      </c>
      <c r="AF126">
        <v>30.375</v>
      </c>
      <c r="AG126">
        <v>45</v>
      </c>
      <c r="AH126">
        <v>81.13</v>
      </c>
      <c r="AJ126" s="86" t="str">
        <f t="shared" si="21"/>
        <v>134214Mix + Intocáveis SC Johnson</v>
      </c>
      <c r="AK126">
        <v>134214</v>
      </c>
      <c r="AL126" t="s">
        <v>360</v>
      </c>
      <c r="AM126" t="s">
        <v>477</v>
      </c>
      <c r="AN126" t="s">
        <v>103</v>
      </c>
      <c r="AO126" t="s">
        <v>1015</v>
      </c>
      <c r="AP126" t="s">
        <v>1016</v>
      </c>
      <c r="AQ126" t="s">
        <v>459</v>
      </c>
      <c r="AR126">
        <v>19.12</v>
      </c>
      <c r="AS126">
        <v>40</v>
      </c>
      <c r="AT126">
        <v>39.97</v>
      </c>
      <c r="AV126" s="86" t="str">
        <f t="shared" si="22"/>
        <v>132039Mix + Intocáveis SC Johnson</v>
      </c>
      <c r="AW126">
        <v>132039</v>
      </c>
      <c r="AX126" t="s">
        <v>337</v>
      </c>
      <c r="AY126" t="s">
        <v>460</v>
      </c>
      <c r="AZ126" t="s">
        <v>103</v>
      </c>
      <c r="BA126" t="s">
        <v>1037</v>
      </c>
      <c r="BB126" t="s">
        <v>1038</v>
      </c>
      <c r="BC126" t="s">
        <v>459</v>
      </c>
      <c r="BD126">
        <v>28.68</v>
      </c>
      <c r="BE126">
        <v>40</v>
      </c>
      <c r="BF126">
        <v>64.34</v>
      </c>
      <c r="BH126" s="86" t="str">
        <f t="shared" si="23"/>
        <v>107838Mix + Intocáveis SC Johnson</v>
      </c>
      <c r="BI126">
        <v>107838</v>
      </c>
      <c r="BJ126" t="s">
        <v>378</v>
      </c>
      <c r="BK126" t="s">
        <v>36</v>
      </c>
      <c r="BL126" t="s">
        <v>103</v>
      </c>
      <c r="BM126" t="s">
        <v>1191</v>
      </c>
      <c r="BN126" t="s">
        <v>1192</v>
      </c>
      <c r="BO126" t="s">
        <v>459</v>
      </c>
      <c r="BP126">
        <v>32.159999999999997</v>
      </c>
      <c r="BQ126">
        <v>40</v>
      </c>
      <c r="BR126">
        <v>90.49</v>
      </c>
      <c r="BT126" s="86" t="str">
        <f t="shared" si="12"/>
        <v>74744Share Sub Loc Pao Quente SC Johnson</v>
      </c>
      <c r="BU126">
        <v>74744</v>
      </c>
      <c r="BV126" t="s">
        <v>359</v>
      </c>
      <c r="BW126" t="s">
        <v>477</v>
      </c>
      <c r="BX126" t="s">
        <v>103</v>
      </c>
      <c r="BY126" t="s">
        <v>1304</v>
      </c>
      <c r="BZ126" t="s">
        <v>1305</v>
      </c>
      <c r="CA126" t="s">
        <v>458</v>
      </c>
      <c r="CB126">
        <v>9</v>
      </c>
      <c r="CC126">
        <v>12</v>
      </c>
      <c r="CD126">
        <v>48.45</v>
      </c>
      <c r="CF126" s="86" t="str">
        <f t="shared" si="13"/>
        <v>102953Share Sub Loc Pao Quente SC Johnson</v>
      </c>
      <c r="CG126">
        <v>102953</v>
      </c>
      <c r="CH126" t="s">
        <v>388</v>
      </c>
      <c r="CI126" t="s">
        <v>482</v>
      </c>
      <c r="CJ126" t="s">
        <v>103</v>
      </c>
      <c r="CK126" t="s">
        <v>1495</v>
      </c>
      <c r="CL126" t="s">
        <v>1496</v>
      </c>
      <c r="CM126" t="s">
        <v>458</v>
      </c>
      <c r="CN126">
        <v>9</v>
      </c>
      <c r="CO126">
        <v>12</v>
      </c>
      <c r="CP126">
        <v>94</v>
      </c>
      <c r="CR126" s="86" t="str">
        <f t="shared" si="14"/>
        <v>102953Share Sub Loc Pao Quente SC Johnson</v>
      </c>
      <c r="CS126">
        <v>102953</v>
      </c>
      <c r="CT126" t="s">
        <v>388</v>
      </c>
      <c r="CU126" t="s">
        <v>482</v>
      </c>
      <c r="CV126" t="s">
        <v>103</v>
      </c>
      <c r="CW126" t="s">
        <v>1588</v>
      </c>
      <c r="CX126" t="s">
        <v>1589</v>
      </c>
      <c r="CY126" t="s">
        <v>458</v>
      </c>
      <c r="CZ126">
        <v>12</v>
      </c>
      <c r="DA126">
        <v>12</v>
      </c>
      <c r="DB126">
        <v>94.6</v>
      </c>
      <c r="DD126" s="86" t="str">
        <f t="shared" si="15"/>
        <v>107838Lancamentos</v>
      </c>
      <c r="DE126">
        <v>107838</v>
      </c>
      <c r="DF126" t="s">
        <v>378</v>
      </c>
      <c r="DG126" t="s">
        <v>1306</v>
      </c>
      <c r="DH126" t="s">
        <v>103</v>
      </c>
      <c r="DI126" t="s">
        <v>1692</v>
      </c>
      <c r="DJ126" t="s">
        <v>1693</v>
      </c>
      <c r="DK126" t="s">
        <v>953</v>
      </c>
      <c r="DL126">
        <v>9</v>
      </c>
      <c r="DM126">
        <v>18</v>
      </c>
      <c r="DN126">
        <v>94.4</v>
      </c>
      <c r="DP126" s="86" t="str">
        <f t="shared" si="16"/>
        <v>74369Lancamentos</v>
      </c>
      <c r="DQ126">
        <v>74369</v>
      </c>
      <c r="DR126" t="s">
        <v>377</v>
      </c>
      <c r="DS126" t="s">
        <v>489</v>
      </c>
      <c r="DT126" t="s">
        <v>103</v>
      </c>
      <c r="DU126" t="s">
        <v>1772</v>
      </c>
      <c r="DV126" t="s">
        <v>1773</v>
      </c>
      <c r="DW126" t="s">
        <v>953</v>
      </c>
      <c r="DX126">
        <v>18</v>
      </c>
      <c r="DY126">
        <v>18</v>
      </c>
      <c r="DZ126">
        <v>96.4</v>
      </c>
      <c r="EB126" s="86" t="str">
        <f t="shared" si="17"/>
        <v>157153Lancamentos</v>
      </c>
      <c r="EC126">
        <v>157153</v>
      </c>
      <c r="ED126" t="s">
        <v>364</v>
      </c>
      <c r="EE126" t="s">
        <v>1306</v>
      </c>
      <c r="EF126" t="s">
        <v>103</v>
      </c>
      <c r="EG126" t="s">
        <v>1898</v>
      </c>
      <c r="EH126" t="s">
        <v>1899</v>
      </c>
      <c r="EI126" t="s">
        <v>953</v>
      </c>
      <c r="EJ126">
        <v>9</v>
      </c>
      <c r="EK126">
        <v>18</v>
      </c>
      <c r="EL126">
        <v>92</v>
      </c>
    </row>
    <row r="127" spans="1:142" x14ac:dyDescent="0.35">
      <c r="A127" s="86" t="str">
        <f t="shared" si="18"/>
        <v>131538Mix + Intocáveis SC Johnson</v>
      </c>
      <c r="B127">
        <v>131538</v>
      </c>
      <c r="C127" t="s">
        <v>390</v>
      </c>
      <c r="D127" t="s">
        <v>103</v>
      </c>
      <c r="E127" t="s">
        <v>525</v>
      </c>
      <c r="F127" t="s">
        <v>526</v>
      </c>
      <c r="G127" t="s">
        <v>459</v>
      </c>
      <c r="H127">
        <v>62.86</v>
      </c>
      <c r="I127">
        <v>33.75</v>
      </c>
      <c r="J127">
        <v>45</v>
      </c>
      <c r="L127" s="86" t="str">
        <f t="shared" si="19"/>
        <v>131538Share Sub Category SC Johnson</v>
      </c>
      <c r="M127">
        <v>131538</v>
      </c>
      <c r="N127" t="s">
        <v>390</v>
      </c>
      <c r="O127" t="s">
        <v>482</v>
      </c>
      <c r="P127" t="s">
        <v>103</v>
      </c>
      <c r="Q127" t="s">
        <v>678</v>
      </c>
      <c r="R127" t="s">
        <v>679</v>
      </c>
      <c r="S127" t="s">
        <v>457</v>
      </c>
      <c r="T127">
        <v>21.42</v>
      </c>
      <c r="U127">
        <v>30</v>
      </c>
      <c r="V127">
        <v>70.55</v>
      </c>
      <c r="X127" s="86" t="str">
        <f t="shared" si="20"/>
        <v>133136Share Sub Category SC Johnson</v>
      </c>
      <c r="Y127">
        <v>133136</v>
      </c>
      <c r="Z127" t="s">
        <v>338</v>
      </c>
      <c r="AA127" t="s">
        <v>36</v>
      </c>
      <c r="AB127" t="s">
        <v>103</v>
      </c>
      <c r="AC127" t="s">
        <v>857</v>
      </c>
      <c r="AD127" t="s">
        <v>858</v>
      </c>
      <c r="AE127" t="s">
        <v>457</v>
      </c>
      <c r="AF127">
        <v>25.71</v>
      </c>
      <c r="AG127">
        <v>30</v>
      </c>
      <c r="AH127">
        <v>81.09</v>
      </c>
      <c r="AJ127" s="86" t="str">
        <f t="shared" si="21"/>
        <v>134214Lancamentos</v>
      </c>
      <c r="AK127">
        <v>134214</v>
      </c>
      <c r="AL127" t="s">
        <v>360</v>
      </c>
      <c r="AM127" t="s">
        <v>477</v>
      </c>
      <c r="AN127" t="s">
        <v>103</v>
      </c>
      <c r="AO127" t="s">
        <v>1015</v>
      </c>
      <c r="AP127" t="s">
        <v>1016</v>
      </c>
      <c r="AQ127" t="s">
        <v>953</v>
      </c>
      <c r="AR127">
        <v>0</v>
      </c>
      <c r="AS127">
        <v>18</v>
      </c>
      <c r="AT127">
        <v>39.97</v>
      </c>
      <c r="AV127" s="86" t="str">
        <f t="shared" si="22"/>
        <v>132039Lancamentos</v>
      </c>
      <c r="AW127">
        <v>132039</v>
      </c>
      <c r="AX127" t="s">
        <v>337</v>
      </c>
      <c r="AY127" t="s">
        <v>460</v>
      </c>
      <c r="AZ127" t="s">
        <v>103</v>
      </c>
      <c r="BA127" t="s">
        <v>1037</v>
      </c>
      <c r="BB127" t="s">
        <v>1038</v>
      </c>
      <c r="BC127" t="s">
        <v>953</v>
      </c>
      <c r="BD127">
        <v>0</v>
      </c>
      <c r="BE127">
        <v>18</v>
      </c>
      <c r="BF127">
        <v>64.34</v>
      </c>
      <c r="BH127" s="86" t="str">
        <f t="shared" si="23"/>
        <v>107838Lancamentos</v>
      </c>
      <c r="BI127">
        <v>107838</v>
      </c>
      <c r="BJ127" t="s">
        <v>378</v>
      </c>
      <c r="BK127" t="s">
        <v>36</v>
      </c>
      <c r="BL127" t="s">
        <v>103</v>
      </c>
      <c r="BM127" t="s">
        <v>1191</v>
      </c>
      <c r="BN127" t="s">
        <v>1192</v>
      </c>
      <c r="BO127" t="s">
        <v>953</v>
      </c>
      <c r="BP127">
        <v>18</v>
      </c>
      <c r="BQ127">
        <v>18</v>
      </c>
      <c r="BR127">
        <v>90.49</v>
      </c>
      <c r="BT127" s="86" t="str">
        <f t="shared" si="12"/>
        <v>74744Cross Merchan SC Johnson</v>
      </c>
      <c r="BU127">
        <v>74744</v>
      </c>
      <c r="BV127" t="s">
        <v>359</v>
      </c>
      <c r="BW127" t="s">
        <v>477</v>
      </c>
      <c r="BX127" t="s">
        <v>103</v>
      </c>
      <c r="BY127" t="s">
        <v>1304</v>
      </c>
      <c r="BZ127" t="s">
        <v>1305</v>
      </c>
      <c r="CA127" t="s">
        <v>111</v>
      </c>
      <c r="CB127">
        <v>0</v>
      </c>
      <c r="CC127">
        <v>5</v>
      </c>
      <c r="CD127">
        <v>48.45</v>
      </c>
      <c r="CF127" s="86" t="str">
        <f t="shared" si="13"/>
        <v>102953Cross Merchan SC Johnson</v>
      </c>
      <c r="CG127">
        <v>102953</v>
      </c>
      <c r="CH127" t="s">
        <v>388</v>
      </c>
      <c r="CI127" t="s">
        <v>482</v>
      </c>
      <c r="CJ127" t="s">
        <v>103</v>
      </c>
      <c r="CK127" t="s">
        <v>1495</v>
      </c>
      <c r="CL127" t="s">
        <v>1496</v>
      </c>
      <c r="CM127" t="s">
        <v>111</v>
      </c>
      <c r="CN127">
        <v>5</v>
      </c>
      <c r="CO127">
        <v>5</v>
      </c>
      <c r="CP127">
        <v>94</v>
      </c>
      <c r="CR127" s="86" t="str">
        <f t="shared" si="14"/>
        <v>102953Cross Merchan SC Johnson</v>
      </c>
      <c r="CS127">
        <v>102953</v>
      </c>
      <c r="CT127" t="s">
        <v>388</v>
      </c>
      <c r="CU127" t="s">
        <v>482</v>
      </c>
      <c r="CV127" t="s">
        <v>103</v>
      </c>
      <c r="CW127" t="s">
        <v>1588</v>
      </c>
      <c r="CX127" t="s">
        <v>1589</v>
      </c>
      <c r="CY127" t="s">
        <v>111</v>
      </c>
      <c r="CZ127">
        <v>5</v>
      </c>
      <c r="DA127">
        <v>5</v>
      </c>
      <c r="DB127">
        <v>94.6</v>
      </c>
      <c r="DD127" s="86" t="str">
        <f t="shared" si="15"/>
        <v>107838Share Sub Category SC Johnson</v>
      </c>
      <c r="DE127">
        <v>107838</v>
      </c>
      <c r="DF127" t="s">
        <v>378</v>
      </c>
      <c r="DG127" t="s">
        <v>1306</v>
      </c>
      <c r="DH127" t="s">
        <v>103</v>
      </c>
      <c r="DI127" t="s">
        <v>1692</v>
      </c>
      <c r="DJ127" t="s">
        <v>1693</v>
      </c>
      <c r="DK127" t="s">
        <v>457</v>
      </c>
      <c r="DL127">
        <v>25</v>
      </c>
      <c r="DM127">
        <v>25</v>
      </c>
      <c r="DN127">
        <v>94.4</v>
      </c>
      <c r="DP127" s="86" t="str">
        <f t="shared" si="16"/>
        <v>74369Share Sub Category SC Johnson</v>
      </c>
      <c r="DQ127">
        <v>74369</v>
      </c>
      <c r="DR127" t="s">
        <v>377</v>
      </c>
      <c r="DS127" t="s">
        <v>489</v>
      </c>
      <c r="DT127" t="s">
        <v>103</v>
      </c>
      <c r="DU127" t="s">
        <v>1772</v>
      </c>
      <c r="DV127" t="s">
        <v>1773</v>
      </c>
      <c r="DW127" t="s">
        <v>457</v>
      </c>
      <c r="DX127">
        <v>25</v>
      </c>
      <c r="DY127">
        <v>25</v>
      </c>
      <c r="DZ127">
        <v>96.4</v>
      </c>
      <c r="EB127" s="86" t="str">
        <f t="shared" si="17"/>
        <v>157153Share Sub Category SC Johnson</v>
      </c>
      <c r="EC127">
        <v>157153</v>
      </c>
      <c r="ED127" t="s">
        <v>364</v>
      </c>
      <c r="EE127" t="s">
        <v>1306</v>
      </c>
      <c r="EF127" t="s">
        <v>103</v>
      </c>
      <c r="EG127" t="s">
        <v>1898</v>
      </c>
      <c r="EH127" t="s">
        <v>1899</v>
      </c>
      <c r="EI127" t="s">
        <v>457</v>
      </c>
      <c r="EJ127">
        <v>25</v>
      </c>
      <c r="EK127">
        <v>25</v>
      </c>
      <c r="EL127">
        <v>92</v>
      </c>
    </row>
    <row r="128" spans="1:142" x14ac:dyDescent="0.35">
      <c r="A128" s="86" t="str">
        <f t="shared" si="18"/>
        <v>132039Share Sub Category SC Johnson</v>
      </c>
      <c r="B128">
        <v>132039</v>
      </c>
      <c r="C128" t="s">
        <v>337</v>
      </c>
      <c r="D128" t="s">
        <v>103</v>
      </c>
      <c r="E128" t="s">
        <v>527</v>
      </c>
      <c r="F128" t="s">
        <v>528</v>
      </c>
      <c r="G128" t="s">
        <v>457</v>
      </c>
      <c r="H128">
        <v>76.33</v>
      </c>
      <c r="I128">
        <v>30</v>
      </c>
      <c r="J128">
        <v>30</v>
      </c>
      <c r="L128" s="86" t="str">
        <f t="shared" si="19"/>
        <v>131538Cross Merchan SC Johnson</v>
      </c>
      <c r="M128">
        <v>131538</v>
      </c>
      <c r="N128" t="s">
        <v>390</v>
      </c>
      <c r="O128" t="s">
        <v>482</v>
      </c>
      <c r="P128" t="s">
        <v>103</v>
      </c>
      <c r="Q128" t="s">
        <v>678</v>
      </c>
      <c r="R128" t="s">
        <v>679</v>
      </c>
      <c r="S128" t="s">
        <v>111</v>
      </c>
      <c r="T128">
        <v>8</v>
      </c>
      <c r="U128">
        <v>8</v>
      </c>
      <c r="V128">
        <v>70.55</v>
      </c>
      <c r="X128" s="86" t="str">
        <f t="shared" si="20"/>
        <v>133136Cross Merchan SC Johnson</v>
      </c>
      <c r="Y128">
        <v>133136</v>
      </c>
      <c r="Z128" t="s">
        <v>338</v>
      </c>
      <c r="AA128" t="s">
        <v>36</v>
      </c>
      <c r="AB128" t="s">
        <v>103</v>
      </c>
      <c r="AC128" t="s">
        <v>857</v>
      </c>
      <c r="AD128" t="s">
        <v>858</v>
      </c>
      <c r="AE128" t="s">
        <v>111</v>
      </c>
      <c r="AF128">
        <v>8</v>
      </c>
      <c r="AG128">
        <v>8</v>
      </c>
      <c r="AH128">
        <v>81.09</v>
      </c>
      <c r="AJ128" s="86" t="str">
        <f t="shared" si="21"/>
        <v>135870Share Sub Category SC Johnson</v>
      </c>
      <c r="AK128">
        <v>135870</v>
      </c>
      <c r="AL128" t="s">
        <v>339</v>
      </c>
      <c r="AM128" t="s">
        <v>36</v>
      </c>
      <c r="AN128" t="s">
        <v>103</v>
      </c>
      <c r="AO128" t="s">
        <v>927</v>
      </c>
      <c r="AP128" t="s">
        <v>928</v>
      </c>
      <c r="AQ128" t="s">
        <v>457</v>
      </c>
      <c r="AR128">
        <v>21.425000000000001</v>
      </c>
      <c r="AS128">
        <v>25</v>
      </c>
      <c r="AT128">
        <v>69.84</v>
      </c>
      <c r="AV128" s="86" t="str">
        <f t="shared" si="22"/>
        <v>133136Share Sub Category SC Johnson</v>
      </c>
      <c r="AW128">
        <v>133136</v>
      </c>
      <c r="AX128" t="s">
        <v>338</v>
      </c>
      <c r="AY128" t="s">
        <v>36</v>
      </c>
      <c r="AZ128" t="s">
        <v>103</v>
      </c>
      <c r="BA128" t="s">
        <v>1075</v>
      </c>
      <c r="BB128" t="s">
        <v>1076</v>
      </c>
      <c r="BC128" t="s">
        <v>457</v>
      </c>
      <c r="BD128">
        <v>25</v>
      </c>
      <c r="BE128">
        <v>25</v>
      </c>
      <c r="BF128">
        <v>48.74</v>
      </c>
      <c r="BH128" s="86" t="str">
        <f t="shared" si="23"/>
        <v>119456Share Sub Category SC Johnson</v>
      </c>
      <c r="BI128">
        <v>119456</v>
      </c>
      <c r="BJ128" t="s">
        <v>389</v>
      </c>
      <c r="BK128" t="s">
        <v>482</v>
      </c>
      <c r="BL128" t="s">
        <v>103</v>
      </c>
      <c r="BM128" t="s">
        <v>1193</v>
      </c>
      <c r="BN128" t="s">
        <v>1194</v>
      </c>
      <c r="BO128" t="s">
        <v>457</v>
      </c>
      <c r="BP128">
        <v>7.15</v>
      </c>
      <c r="BQ128">
        <v>25</v>
      </c>
      <c r="BR128">
        <v>7.15</v>
      </c>
      <c r="BT128" s="86" t="str">
        <f t="shared" si="12"/>
        <v>74744Execucao Bonus</v>
      </c>
      <c r="BU128">
        <v>74744</v>
      </c>
      <c r="BV128" t="s">
        <v>359</v>
      </c>
      <c r="BW128" t="s">
        <v>477</v>
      </c>
      <c r="BX128" t="s">
        <v>103</v>
      </c>
      <c r="BY128" t="s">
        <v>1304</v>
      </c>
      <c r="BZ128" t="s">
        <v>1305</v>
      </c>
      <c r="CA128" t="s">
        <v>1291</v>
      </c>
      <c r="CB128">
        <v>0</v>
      </c>
      <c r="CC128">
        <v>5</v>
      </c>
      <c r="CD128">
        <v>48.45</v>
      </c>
      <c r="CF128" s="86" t="str">
        <f t="shared" si="13"/>
        <v>102953Execucao Bonus</v>
      </c>
      <c r="CG128">
        <v>102953</v>
      </c>
      <c r="CH128" t="s">
        <v>388</v>
      </c>
      <c r="CI128" t="s">
        <v>482</v>
      </c>
      <c r="CJ128" t="s">
        <v>103</v>
      </c>
      <c r="CK128" t="s">
        <v>1495</v>
      </c>
      <c r="CL128" t="s">
        <v>1496</v>
      </c>
      <c r="CM128" t="s">
        <v>1291</v>
      </c>
      <c r="CN128">
        <v>5</v>
      </c>
      <c r="CO128">
        <v>5</v>
      </c>
      <c r="CP128">
        <v>94</v>
      </c>
      <c r="CR128" s="86" t="str">
        <f t="shared" si="14"/>
        <v>102953Execucao Bonus</v>
      </c>
      <c r="CS128">
        <v>102953</v>
      </c>
      <c r="CT128" t="s">
        <v>388</v>
      </c>
      <c r="CU128" t="s">
        <v>482</v>
      </c>
      <c r="CV128" t="s">
        <v>103</v>
      </c>
      <c r="CW128" t="s">
        <v>1588</v>
      </c>
      <c r="CX128" t="s">
        <v>1589</v>
      </c>
      <c r="CY128" t="s">
        <v>1291</v>
      </c>
      <c r="CZ128">
        <v>5</v>
      </c>
      <c r="DA128">
        <v>5</v>
      </c>
      <c r="DB128">
        <v>94.6</v>
      </c>
      <c r="DD128" s="86" t="str">
        <f t="shared" si="15"/>
        <v>107838Share Sub Loc Pao Quente SC Johnson</v>
      </c>
      <c r="DE128">
        <v>107838</v>
      </c>
      <c r="DF128" t="s">
        <v>378</v>
      </c>
      <c r="DG128" t="s">
        <v>1306</v>
      </c>
      <c r="DH128" t="s">
        <v>103</v>
      </c>
      <c r="DI128" t="s">
        <v>1692</v>
      </c>
      <c r="DJ128" t="s">
        <v>1693</v>
      </c>
      <c r="DK128" t="s">
        <v>458</v>
      </c>
      <c r="DL128">
        <v>12</v>
      </c>
      <c r="DM128">
        <v>12</v>
      </c>
      <c r="DN128">
        <v>94.4</v>
      </c>
      <c r="DP128" s="86" t="str">
        <f t="shared" si="16"/>
        <v>74369Share Sub Loc Pao Quente SC Johnson</v>
      </c>
      <c r="DQ128">
        <v>74369</v>
      </c>
      <c r="DR128" t="s">
        <v>377</v>
      </c>
      <c r="DS128" t="s">
        <v>489</v>
      </c>
      <c r="DT128" t="s">
        <v>103</v>
      </c>
      <c r="DU128" t="s">
        <v>1772</v>
      </c>
      <c r="DV128" t="s">
        <v>1773</v>
      </c>
      <c r="DW128" t="s">
        <v>458</v>
      </c>
      <c r="DX128">
        <v>9</v>
      </c>
      <c r="DY128">
        <v>12</v>
      </c>
      <c r="DZ128">
        <v>96.4</v>
      </c>
      <c r="EB128" s="86" t="str">
        <f t="shared" si="17"/>
        <v>157153Share Sub Loc Pao Quente SC Johnson</v>
      </c>
      <c r="EC128">
        <v>157153</v>
      </c>
      <c r="ED128" t="s">
        <v>364</v>
      </c>
      <c r="EE128" t="s">
        <v>1306</v>
      </c>
      <c r="EF128" t="s">
        <v>103</v>
      </c>
      <c r="EG128" t="s">
        <v>1898</v>
      </c>
      <c r="EH128" t="s">
        <v>1899</v>
      </c>
      <c r="EI128" t="s">
        <v>458</v>
      </c>
      <c r="EJ128">
        <v>12</v>
      </c>
      <c r="EK128">
        <v>12</v>
      </c>
      <c r="EL128">
        <v>92</v>
      </c>
    </row>
    <row r="129" spans="1:142" x14ac:dyDescent="0.35">
      <c r="A129" s="86" t="str">
        <f t="shared" si="18"/>
        <v>132039Cross Merchan SC Johnson</v>
      </c>
      <c r="B129">
        <v>132039</v>
      </c>
      <c r="C129" t="s">
        <v>337</v>
      </c>
      <c r="D129" t="s">
        <v>103</v>
      </c>
      <c r="E129" t="s">
        <v>527</v>
      </c>
      <c r="F129" t="s">
        <v>528</v>
      </c>
      <c r="G129" t="s">
        <v>111</v>
      </c>
      <c r="H129">
        <v>76.33</v>
      </c>
      <c r="I129">
        <v>8</v>
      </c>
      <c r="J129">
        <v>8</v>
      </c>
      <c r="L129" s="86" t="str">
        <f t="shared" si="19"/>
        <v>131538Share Sub Loc Pao Quente SC Johnson</v>
      </c>
      <c r="M129">
        <v>131538</v>
      </c>
      <c r="N129" t="s">
        <v>390</v>
      </c>
      <c r="O129" t="s">
        <v>482</v>
      </c>
      <c r="P129" t="s">
        <v>103</v>
      </c>
      <c r="Q129" t="s">
        <v>678</v>
      </c>
      <c r="R129" t="s">
        <v>679</v>
      </c>
      <c r="S129" t="s">
        <v>458</v>
      </c>
      <c r="T129">
        <v>8.5</v>
      </c>
      <c r="U129">
        <v>17</v>
      </c>
      <c r="V129">
        <v>70.55</v>
      </c>
      <c r="X129" s="86" t="str">
        <f t="shared" si="20"/>
        <v>133136Share Sub Loc Pao Quente SC Johnson</v>
      </c>
      <c r="Y129">
        <v>133136</v>
      </c>
      <c r="Z129" t="s">
        <v>338</v>
      </c>
      <c r="AA129" t="s">
        <v>36</v>
      </c>
      <c r="AB129" t="s">
        <v>103</v>
      </c>
      <c r="AC129" t="s">
        <v>857</v>
      </c>
      <c r="AD129" t="s">
        <v>858</v>
      </c>
      <c r="AE129" t="s">
        <v>458</v>
      </c>
      <c r="AF129">
        <v>17</v>
      </c>
      <c r="AG129">
        <v>17</v>
      </c>
      <c r="AH129">
        <v>81.09</v>
      </c>
      <c r="AJ129" s="86" t="str">
        <f t="shared" si="21"/>
        <v>135870Cross Merchan SC Johnson</v>
      </c>
      <c r="AK129">
        <v>135870</v>
      </c>
      <c r="AL129" t="s">
        <v>339</v>
      </c>
      <c r="AM129" t="s">
        <v>36</v>
      </c>
      <c r="AN129" t="s">
        <v>103</v>
      </c>
      <c r="AO129" t="s">
        <v>927</v>
      </c>
      <c r="AP129" t="s">
        <v>928</v>
      </c>
      <c r="AQ129" t="s">
        <v>111</v>
      </c>
      <c r="AR129">
        <v>2.5</v>
      </c>
      <c r="AS129">
        <v>5</v>
      </c>
      <c r="AT129">
        <v>69.84</v>
      </c>
      <c r="AV129" s="86" t="str">
        <f t="shared" si="22"/>
        <v>133136Cross Merchan SC Johnson</v>
      </c>
      <c r="AW129">
        <v>133136</v>
      </c>
      <c r="AX129" t="s">
        <v>338</v>
      </c>
      <c r="AY129" t="s">
        <v>36</v>
      </c>
      <c r="AZ129" t="s">
        <v>103</v>
      </c>
      <c r="BA129" t="s">
        <v>1075</v>
      </c>
      <c r="BB129" t="s">
        <v>1076</v>
      </c>
      <c r="BC129" t="s">
        <v>111</v>
      </c>
      <c r="BD129">
        <v>1.665</v>
      </c>
      <c r="BE129">
        <v>5</v>
      </c>
      <c r="BF129">
        <v>48.74</v>
      </c>
      <c r="BH129" s="86" t="str">
        <f t="shared" si="23"/>
        <v>119456Cross Merchan SC Johnson</v>
      </c>
      <c r="BI129">
        <v>119456</v>
      </c>
      <c r="BJ129" t="s">
        <v>389</v>
      </c>
      <c r="BK129" t="s">
        <v>482</v>
      </c>
      <c r="BL129" t="s">
        <v>103</v>
      </c>
      <c r="BM129" t="s">
        <v>1193</v>
      </c>
      <c r="BN129" t="s">
        <v>1194</v>
      </c>
      <c r="BO129" t="s">
        <v>111</v>
      </c>
      <c r="BP129">
        <v>0</v>
      </c>
      <c r="BQ129">
        <v>5</v>
      </c>
      <c r="BR129">
        <v>7.15</v>
      </c>
      <c r="BT129" s="86" t="str">
        <f t="shared" si="12"/>
        <v>102953Lancamentos</v>
      </c>
      <c r="BU129">
        <v>102953</v>
      </c>
      <c r="BV129" t="s">
        <v>388</v>
      </c>
      <c r="BW129" t="s">
        <v>482</v>
      </c>
      <c r="BX129" t="s">
        <v>103</v>
      </c>
      <c r="BY129" t="s">
        <v>1325</v>
      </c>
      <c r="BZ129" t="s">
        <v>1326</v>
      </c>
      <c r="CA129" t="s">
        <v>953</v>
      </c>
      <c r="CB129">
        <v>9</v>
      </c>
      <c r="CC129">
        <v>18</v>
      </c>
      <c r="CD129">
        <v>88</v>
      </c>
      <c r="CF129" s="86" t="str">
        <f t="shared" si="13"/>
        <v>107838Lancamentos</v>
      </c>
      <c r="CG129">
        <v>107838</v>
      </c>
      <c r="CH129" t="s">
        <v>378</v>
      </c>
      <c r="CI129" t="s">
        <v>1306</v>
      </c>
      <c r="CJ129" t="s">
        <v>103</v>
      </c>
      <c r="CK129" t="s">
        <v>1461</v>
      </c>
      <c r="CL129" t="s">
        <v>1462</v>
      </c>
      <c r="CM129" t="s">
        <v>953</v>
      </c>
      <c r="CN129">
        <v>0</v>
      </c>
      <c r="CO129">
        <v>18</v>
      </c>
      <c r="CP129">
        <v>82.2</v>
      </c>
      <c r="CR129" s="86" t="str">
        <f t="shared" si="14"/>
        <v>107838Lancamentos</v>
      </c>
      <c r="CS129">
        <v>107838</v>
      </c>
      <c r="CT129" t="s">
        <v>378</v>
      </c>
      <c r="CU129" t="s">
        <v>1306</v>
      </c>
      <c r="CV129" t="s">
        <v>103</v>
      </c>
      <c r="CW129" t="s">
        <v>1548</v>
      </c>
      <c r="CX129" t="s">
        <v>1549</v>
      </c>
      <c r="CY129" t="s">
        <v>953</v>
      </c>
      <c r="CZ129">
        <v>9</v>
      </c>
      <c r="DA129">
        <v>18</v>
      </c>
      <c r="DB129">
        <v>94.4</v>
      </c>
      <c r="DD129" s="86" t="str">
        <f t="shared" si="15"/>
        <v>119456Mix + Intocáveis SC Johnson</v>
      </c>
      <c r="DE129">
        <v>119456</v>
      </c>
      <c r="DF129" t="s">
        <v>389</v>
      </c>
      <c r="DG129" t="s">
        <v>482</v>
      </c>
      <c r="DH129" t="s">
        <v>103</v>
      </c>
      <c r="DI129" t="s">
        <v>1694</v>
      </c>
      <c r="DJ129" t="s">
        <v>1695</v>
      </c>
      <c r="DK129" t="s">
        <v>459</v>
      </c>
      <c r="DL129">
        <v>34.4</v>
      </c>
      <c r="DM129">
        <v>40</v>
      </c>
      <c r="DN129">
        <v>99.4</v>
      </c>
      <c r="DP129" s="86" t="str">
        <f t="shared" si="16"/>
        <v>102953Mix + Intocáveis SC Johnson</v>
      </c>
      <c r="DQ129">
        <v>102953</v>
      </c>
      <c r="DR129" t="s">
        <v>388</v>
      </c>
      <c r="DS129" t="s">
        <v>482</v>
      </c>
      <c r="DT129" t="s">
        <v>103</v>
      </c>
      <c r="DU129" t="s">
        <v>1844</v>
      </c>
      <c r="DV129" t="s">
        <v>1845</v>
      </c>
      <c r="DW129" t="s">
        <v>459</v>
      </c>
      <c r="DX129">
        <v>30.4</v>
      </c>
      <c r="DY129">
        <v>40</v>
      </c>
      <c r="DZ129">
        <v>95.4</v>
      </c>
      <c r="EB129" s="86" t="str">
        <f t="shared" si="17"/>
        <v>157637Mix + Intocáveis SC Johnson</v>
      </c>
      <c r="EC129">
        <v>157637</v>
      </c>
      <c r="ED129" t="s">
        <v>365</v>
      </c>
      <c r="EE129" t="s">
        <v>1306</v>
      </c>
      <c r="EF129" t="s">
        <v>103</v>
      </c>
      <c r="EG129" t="s">
        <v>1900</v>
      </c>
      <c r="EH129" t="s">
        <v>1901</v>
      </c>
      <c r="EI129" t="s">
        <v>459</v>
      </c>
      <c r="EJ129">
        <v>37.6</v>
      </c>
      <c r="EK129">
        <v>40</v>
      </c>
      <c r="EL129">
        <v>100</v>
      </c>
    </row>
    <row r="130" spans="1:142" x14ac:dyDescent="0.35">
      <c r="A130" s="86" t="str">
        <f t="shared" si="18"/>
        <v>132039Share Sub Loc Pao Quente SC Johnson</v>
      </c>
      <c r="B130">
        <v>132039</v>
      </c>
      <c r="C130" t="s">
        <v>337</v>
      </c>
      <c r="D130" t="s">
        <v>103</v>
      </c>
      <c r="E130" t="s">
        <v>527</v>
      </c>
      <c r="F130" t="s">
        <v>528</v>
      </c>
      <c r="G130" t="s">
        <v>458</v>
      </c>
      <c r="H130">
        <v>76.33</v>
      </c>
      <c r="I130">
        <v>10.199999999999999</v>
      </c>
      <c r="J130">
        <v>17</v>
      </c>
      <c r="L130" s="86" t="str">
        <f t="shared" si="19"/>
        <v>131538Mix + Intocáveis SC Johnson</v>
      </c>
      <c r="M130">
        <v>131538</v>
      </c>
      <c r="N130" t="s">
        <v>390</v>
      </c>
      <c r="O130" t="s">
        <v>482</v>
      </c>
      <c r="P130" t="s">
        <v>103</v>
      </c>
      <c r="Q130" t="s">
        <v>678</v>
      </c>
      <c r="R130" t="s">
        <v>679</v>
      </c>
      <c r="S130" t="s">
        <v>459</v>
      </c>
      <c r="T130">
        <v>32.625</v>
      </c>
      <c r="U130">
        <v>45</v>
      </c>
      <c r="V130">
        <v>70.55</v>
      </c>
      <c r="X130" s="86" t="str">
        <f t="shared" si="20"/>
        <v>133136Mix + Intocáveis SC Johnson</v>
      </c>
      <c r="Y130">
        <v>133136</v>
      </c>
      <c r="Z130" t="s">
        <v>338</v>
      </c>
      <c r="AA130" t="s">
        <v>36</v>
      </c>
      <c r="AB130" t="s">
        <v>103</v>
      </c>
      <c r="AC130" t="s">
        <v>857</v>
      </c>
      <c r="AD130" t="s">
        <v>858</v>
      </c>
      <c r="AE130" t="s">
        <v>459</v>
      </c>
      <c r="AF130">
        <v>30.375</v>
      </c>
      <c r="AG130">
        <v>45</v>
      </c>
      <c r="AH130">
        <v>81.09</v>
      </c>
      <c r="AJ130" s="86" t="str">
        <f t="shared" si="21"/>
        <v>135870Share Sub Loc Pao Quente SC Johnson</v>
      </c>
      <c r="AK130">
        <v>135870</v>
      </c>
      <c r="AL130" t="s">
        <v>339</v>
      </c>
      <c r="AM130" t="s">
        <v>36</v>
      </c>
      <c r="AN130" t="s">
        <v>103</v>
      </c>
      <c r="AO130" t="s">
        <v>927</v>
      </c>
      <c r="AP130" t="s">
        <v>928</v>
      </c>
      <c r="AQ130" t="s">
        <v>458</v>
      </c>
      <c r="AR130">
        <v>12</v>
      </c>
      <c r="AS130">
        <v>12</v>
      </c>
      <c r="AT130">
        <v>69.84</v>
      </c>
      <c r="AV130" s="86" t="str">
        <f t="shared" si="22"/>
        <v>133136Share Sub Loc Pao Quente SC Johnson</v>
      </c>
      <c r="AW130">
        <v>133136</v>
      </c>
      <c r="AX130" t="s">
        <v>338</v>
      </c>
      <c r="AY130" t="s">
        <v>36</v>
      </c>
      <c r="AZ130" t="s">
        <v>103</v>
      </c>
      <c r="BA130" t="s">
        <v>1075</v>
      </c>
      <c r="BB130" t="s">
        <v>1076</v>
      </c>
      <c r="BC130" t="s">
        <v>458</v>
      </c>
      <c r="BD130">
        <v>6</v>
      </c>
      <c r="BE130">
        <v>12</v>
      </c>
      <c r="BF130">
        <v>48.74</v>
      </c>
      <c r="BH130" s="86" t="str">
        <f t="shared" si="23"/>
        <v>119456Share Sub Loc Pao Quente SC Johnson</v>
      </c>
      <c r="BI130">
        <v>119456</v>
      </c>
      <c r="BJ130" t="s">
        <v>389</v>
      </c>
      <c r="BK130" t="s">
        <v>482</v>
      </c>
      <c r="BL130" t="s">
        <v>103</v>
      </c>
      <c r="BM130" t="s">
        <v>1193</v>
      </c>
      <c r="BN130" t="s">
        <v>1194</v>
      </c>
      <c r="BO130" t="s">
        <v>458</v>
      </c>
      <c r="BP130">
        <v>0</v>
      </c>
      <c r="BQ130">
        <v>12</v>
      </c>
      <c r="BR130">
        <v>7.15</v>
      </c>
      <c r="BT130" s="86" t="str">
        <f t="shared" si="12"/>
        <v>102953Mix + Intocáveis SC Johnson</v>
      </c>
      <c r="BU130">
        <v>102953</v>
      </c>
      <c r="BV130" t="s">
        <v>388</v>
      </c>
      <c r="BW130" t="s">
        <v>482</v>
      </c>
      <c r="BX130" t="s">
        <v>103</v>
      </c>
      <c r="BY130" t="s">
        <v>1325</v>
      </c>
      <c r="BZ130" t="s">
        <v>1326</v>
      </c>
      <c r="CA130" t="s">
        <v>459</v>
      </c>
      <c r="CB130">
        <v>32</v>
      </c>
      <c r="CC130">
        <v>40</v>
      </c>
      <c r="CD130">
        <v>88</v>
      </c>
      <c r="CF130" s="86" t="str">
        <f t="shared" si="13"/>
        <v>107838Mix + Intocáveis SC Johnson</v>
      </c>
      <c r="CG130">
        <v>107838</v>
      </c>
      <c r="CH130" t="s">
        <v>378</v>
      </c>
      <c r="CI130" t="s">
        <v>1306</v>
      </c>
      <c r="CJ130" t="s">
        <v>103</v>
      </c>
      <c r="CK130" t="s">
        <v>1461</v>
      </c>
      <c r="CL130" t="s">
        <v>1462</v>
      </c>
      <c r="CM130" t="s">
        <v>459</v>
      </c>
      <c r="CN130">
        <v>35.200000000000003</v>
      </c>
      <c r="CO130">
        <v>40</v>
      </c>
      <c r="CP130">
        <v>82.2</v>
      </c>
      <c r="CR130" s="86" t="str">
        <f t="shared" si="14"/>
        <v>107838Mix + Intocáveis SC Johnson</v>
      </c>
      <c r="CS130">
        <v>107838</v>
      </c>
      <c r="CT130" t="s">
        <v>378</v>
      </c>
      <c r="CU130" t="s">
        <v>1306</v>
      </c>
      <c r="CV130" t="s">
        <v>103</v>
      </c>
      <c r="CW130" t="s">
        <v>1548</v>
      </c>
      <c r="CX130" t="s">
        <v>1549</v>
      </c>
      <c r="CY130" t="s">
        <v>459</v>
      </c>
      <c r="CZ130">
        <v>38.4</v>
      </c>
      <c r="DA130">
        <v>40</v>
      </c>
      <c r="DB130">
        <v>94.4</v>
      </c>
      <c r="DD130" s="86" t="str">
        <f t="shared" si="15"/>
        <v>119456Execucao Bonus</v>
      </c>
      <c r="DE130">
        <v>119456</v>
      </c>
      <c r="DF130" t="s">
        <v>389</v>
      </c>
      <c r="DG130" t="s">
        <v>482</v>
      </c>
      <c r="DH130" t="s">
        <v>103</v>
      </c>
      <c r="DI130" t="s">
        <v>1694</v>
      </c>
      <c r="DJ130" t="s">
        <v>1695</v>
      </c>
      <c r="DK130" t="s">
        <v>1291</v>
      </c>
      <c r="DL130">
        <v>5</v>
      </c>
      <c r="DM130">
        <v>5</v>
      </c>
      <c r="DN130">
        <v>99.4</v>
      </c>
      <c r="DP130" s="86" t="str">
        <f t="shared" si="16"/>
        <v>102953Execucao Bonus</v>
      </c>
      <c r="DQ130">
        <v>102953</v>
      </c>
      <c r="DR130" t="s">
        <v>388</v>
      </c>
      <c r="DS130" t="s">
        <v>482</v>
      </c>
      <c r="DT130" t="s">
        <v>103</v>
      </c>
      <c r="DU130" t="s">
        <v>1844</v>
      </c>
      <c r="DV130" t="s">
        <v>1845</v>
      </c>
      <c r="DW130" t="s">
        <v>1291</v>
      </c>
      <c r="DX130">
        <v>5</v>
      </c>
      <c r="DY130">
        <v>5</v>
      </c>
      <c r="DZ130">
        <v>95.4</v>
      </c>
      <c r="EB130" s="86" t="str">
        <f t="shared" si="17"/>
        <v>157637Execucao Bonus</v>
      </c>
      <c r="EC130">
        <v>157637</v>
      </c>
      <c r="ED130" t="s">
        <v>365</v>
      </c>
      <c r="EE130" t="s">
        <v>1306</v>
      </c>
      <c r="EF130" t="s">
        <v>103</v>
      </c>
      <c r="EG130" t="s">
        <v>1900</v>
      </c>
      <c r="EH130" t="s">
        <v>1901</v>
      </c>
      <c r="EI130" t="s">
        <v>1291</v>
      </c>
      <c r="EJ130">
        <v>2.4</v>
      </c>
      <c r="EK130">
        <v>5</v>
      </c>
      <c r="EL130">
        <v>100</v>
      </c>
    </row>
    <row r="131" spans="1:142" x14ac:dyDescent="0.35">
      <c r="A131" s="86" t="str">
        <f t="shared" si="18"/>
        <v>132039Mix + Intocáveis SC Johnson</v>
      </c>
      <c r="B131">
        <v>132039</v>
      </c>
      <c r="C131" t="s">
        <v>337</v>
      </c>
      <c r="D131" t="s">
        <v>103</v>
      </c>
      <c r="E131" t="s">
        <v>527</v>
      </c>
      <c r="F131" t="s">
        <v>528</v>
      </c>
      <c r="G131" t="s">
        <v>459</v>
      </c>
      <c r="H131">
        <v>76.33</v>
      </c>
      <c r="I131">
        <v>28.125</v>
      </c>
      <c r="J131">
        <v>45</v>
      </c>
      <c r="L131" s="86" t="str">
        <f t="shared" si="19"/>
        <v>132039Share Sub Category SC Johnson</v>
      </c>
      <c r="M131">
        <v>132039</v>
      </c>
      <c r="N131" t="s">
        <v>337</v>
      </c>
      <c r="O131" t="s">
        <v>104</v>
      </c>
      <c r="P131" t="s">
        <v>103</v>
      </c>
      <c r="Q131" t="s">
        <v>680</v>
      </c>
      <c r="R131" t="s">
        <v>681</v>
      </c>
      <c r="S131" t="s">
        <v>457</v>
      </c>
      <c r="T131">
        <v>25.71</v>
      </c>
      <c r="U131">
        <v>30</v>
      </c>
      <c r="V131">
        <v>73.459999999999994</v>
      </c>
      <c r="X131" s="86" t="str">
        <f t="shared" si="20"/>
        <v>134214Share Sub Category SC Johnson</v>
      </c>
      <c r="Y131">
        <v>134214</v>
      </c>
      <c r="Z131" t="s">
        <v>360</v>
      </c>
      <c r="AA131" t="s">
        <v>477</v>
      </c>
      <c r="AB131" t="s">
        <v>103</v>
      </c>
      <c r="AC131" t="s">
        <v>859</v>
      </c>
      <c r="AD131" t="s">
        <v>860</v>
      </c>
      <c r="AE131" t="s">
        <v>457</v>
      </c>
      <c r="AF131">
        <v>21.42</v>
      </c>
      <c r="AG131">
        <v>30</v>
      </c>
      <c r="AH131">
        <v>49.42</v>
      </c>
      <c r="AJ131" s="86" t="str">
        <f t="shared" si="21"/>
        <v>135870Mix + Intocáveis SC Johnson</v>
      </c>
      <c r="AK131">
        <v>135870</v>
      </c>
      <c r="AL131" t="s">
        <v>339</v>
      </c>
      <c r="AM131" t="s">
        <v>36</v>
      </c>
      <c r="AN131" t="s">
        <v>103</v>
      </c>
      <c r="AO131" t="s">
        <v>927</v>
      </c>
      <c r="AP131" t="s">
        <v>928</v>
      </c>
      <c r="AQ131" t="s">
        <v>459</v>
      </c>
      <c r="AR131">
        <v>33.92</v>
      </c>
      <c r="AS131">
        <v>40</v>
      </c>
      <c r="AT131">
        <v>69.84</v>
      </c>
      <c r="AV131" s="86" t="str">
        <f t="shared" si="22"/>
        <v>133136Mix + Intocáveis SC Johnson</v>
      </c>
      <c r="AW131">
        <v>133136</v>
      </c>
      <c r="AX131" t="s">
        <v>338</v>
      </c>
      <c r="AY131" t="s">
        <v>36</v>
      </c>
      <c r="AZ131" t="s">
        <v>103</v>
      </c>
      <c r="BA131" t="s">
        <v>1075</v>
      </c>
      <c r="BB131" t="s">
        <v>1076</v>
      </c>
      <c r="BC131" t="s">
        <v>459</v>
      </c>
      <c r="BD131">
        <v>16.079999999999998</v>
      </c>
      <c r="BE131">
        <v>40</v>
      </c>
      <c r="BF131">
        <v>48.74</v>
      </c>
      <c r="BH131" s="86" t="str">
        <f t="shared" si="23"/>
        <v>119456Mix + Intocáveis SC Johnson</v>
      </c>
      <c r="BI131">
        <v>119456</v>
      </c>
      <c r="BJ131" t="s">
        <v>389</v>
      </c>
      <c r="BK131" t="s">
        <v>482</v>
      </c>
      <c r="BL131" t="s">
        <v>103</v>
      </c>
      <c r="BM131" t="s">
        <v>1193</v>
      </c>
      <c r="BN131" t="s">
        <v>1194</v>
      </c>
      <c r="BO131" t="s">
        <v>459</v>
      </c>
      <c r="BP131">
        <v>0</v>
      </c>
      <c r="BQ131">
        <v>40</v>
      </c>
      <c r="BR131">
        <v>7.15</v>
      </c>
      <c r="BT131" s="86" t="str">
        <f t="shared" ref="BT131:BT194" si="24">BU131&amp;CA131</f>
        <v>102953Share Sub Category SC Johnson</v>
      </c>
      <c r="BU131">
        <v>102953</v>
      </c>
      <c r="BV131" t="s">
        <v>388</v>
      </c>
      <c r="BW131" t="s">
        <v>482</v>
      </c>
      <c r="BX131" t="s">
        <v>103</v>
      </c>
      <c r="BY131" t="s">
        <v>1325</v>
      </c>
      <c r="BZ131" t="s">
        <v>1326</v>
      </c>
      <c r="CA131" t="s">
        <v>457</v>
      </c>
      <c r="CB131">
        <v>25</v>
      </c>
      <c r="CC131">
        <v>25</v>
      </c>
      <c r="CD131">
        <v>88</v>
      </c>
      <c r="CF131" s="86" t="str">
        <f t="shared" ref="CF131:CF194" si="25">CG131&amp;CM131</f>
        <v>107838Share Sub Category SC Johnson</v>
      </c>
      <c r="CG131">
        <v>107838</v>
      </c>
      <c r="CH131" t="s">
        <v>378</v>
      </c>
      <c r="CI131" t="s">
        <v>1306</v>
      </c>
      <c r="CJ131" t="s">
        <v>103</v>
      </c>
      <c r="CK131" t="s">
        <v>1461</v>
      </c>
      <c r="CL131" t="s">
        <v>1462</v>
      </c>
      <c r="CM131" t="s">
        <v>457</v>
      </c>
      <c r="CN131">
        <v>25</v>
      </c>
      <c r="CO131">
        <v>25</v>
      </c>
      <c r="CP131">
        <v>82.2</v>
      </c>
      <c r="CR131" s="86" t="str">
        <f t="shared" ref="CR131:CR194" si="26">CS131&amp;CY131</f>
        <v>107838Share Sub Category SC Johnson</v>
      </c>
      <c r="CS131">
        <v>107838</v>
      </c>
      <c r="CT131" t="s">
        <v>378</v>
      </c>
      <c r="CU131" t="s">
        <v>1306</v>
      </c>
      <c r="CV131" t="s">
        <v>103</v>
      </c>
      <c r="CW131" t="s">
        <v>1548</v>
      </c>
      <c r="CX131" t="s">
        <v>1549</v>
      </c>
      <c r="CY131" t="s">
        <v>457</v>
      </c>
      <c r="CZ131">
        <v>25</v>
      </c>
      <c r="DA131">
        <v>25</v>
      </c>
      <c r="DB131">
        <v>94.4</v>
      </c>
      <c r="DD131" s="86" t="str">
        <f t="shared" ref="DD131:DD194" si="27">DE131&amp;DK131</f>
        <v>119456Cross Merchan SC Johnson</v>
      </c>
      <c r="DE131">
        <v>119456</v>
      </c>
      <c r="DF131" t="s">
        <v>389</v>
      </c>
      <c r="DG131" t="s">
        <v>482</v>
      </c>
      <c r="DH131" t="s">
        <v>103</v>
      </c>
      <c r="DI131" t="s">
        <v>1694</v>
      </c>
      <c r="DJ131" t="s">
        <v>1695</v>
      </c>
      <c r="DK131" t="s">
        <v>111</v>
      </c>
      <c r="DL131">
        <v>5</v>
      </c>
      <c r="DM131">
        <v>5</v>
      </c>
      <c r="DN131">
        <v>99.4</v>
      </c>
      <c r="DP131" s="86" t="str">
        <f t="shared" ref="DP131:DP194" si="28">DQ131&amp;DW131</f>
        <v>102953Cross Merchan SC Johnson</v>
      </c>
      <c r="DQ131">
        <v>102953</v>
      </c>
      <c r="DR131" t="s">
        <v>388</v>
      </c>
      <c r="DS131" t="s">
        <v>482</v>
      </c>
      <c r="DT131" t="s">
        <v>103</v>
      </c>
      <c r="DU131" t="s">
        <v>1844</v>
      </c>
      <c r="DV131" t="s">
        <v>1845</v>
      </c>
      <c r="DW131" t="s">
        <v>111</v>
      </c>
      <c r="DX131">
        <v>5</v>
      </c>
      <c r="DY131">
        <v>5</v>
      </c>
      <c r="DZ131">
        <v>95.4</v>
      </c>
      <c r="EB131" s="86" t="str">
        <f t="shared" ref="EB131:EB194" si="29">EC131&amp;EI131</f>
        <v>157637Cross Merchan SC Johnson</v>
      </c>
      <c r="EC131">
        <v>157637</v>
      </c>
      <c r="ED131" t="s">
        <v>365</v>
      </c>
      <c r="EE131" t="s">
        <v>1306</v>
      </c>
      <c r="EF131" t="s">
        <v>103</v>
      </c>
      <c r="EG131" t="s">
        <v>1900</v>
      </c>
      <c r="EH131" t="s">
        <v>1901</v>
      </c>
      <c r="EI131" t="s">
        <v>111</v>
      </c>
      <c r="EJ131">
        <v>5</v>
      </c>
      <c r="EK131">
        <v>5</v>
      </c>
      <c r="EL131">
        <v>100</v>
      </c>
    </row>
    <row r="132" spans="1:142" x14ac:dyDescent="0.35">
      <c r="A132" s="86" t="str">
        <f t="shared" ref="A132:A195" si="30">B132&amp;G132</f>
        <v>133136Share Sub Category SC Johnson</v>
      </c>
      <c r="B132">
        <v>133136</v>
      </c>
      <c r="C132" t="s">
        <v>338</v>
      </c>
      <c r="D132" t="s">
        <v>103</v>
      </c>
      <c r="E132" t="s">
        <v>529</v>
      </c>
      <c r="F132" t="s">
        <v>530</v>
      </c>
      <c r="G132" t="s">
        <v>457</v>
      </c>
      <c r="H132">
        <v>54.59</v>
      </c>
      <c r="I132">
        <v>12.87</v>
      </c>
      <c r="J132">
        <v>30</v>
      </c>
      <c r="L132" s="86" t="str">
        <f t="shared" ref="L132:L195" si="31">M132&amp;S132</f>
        <v>132039Cross Merchan SC Johnson</v>
      </c>
      <c r="M132">
        <v>132039</v>
      </c>
      <c r="N132" t="s">
        <v>337</v>
      </c>
      <c r="O132" t="s">
        <v>104</v>
      </c>
      <c r="P132" t="s">
        <v>103</v>
      </c>
      <c r="Q132" t="s">
        <v>680</v>
      </c>
      <c r="R132" t="s">
        <v>681</v>
      </c>
      <c r="S132" t="s">
        <v>111</v>
      </c>
      <c r="T132">
        <v>8</v>
      </c>
      <c r="U132">
        <v>8</v>
      </c>
      <c r="V132">
        <v>73.459999999999994</v>
      </c>
      <c r="X132" s="86" t="str">
        <f t="shared" ref="X132:X195" si="32">Y132&amp;AE132</f>
        <v>134214Cross Merchan SC Johnson</v>
      </c>
      <c r="Y132">
        <v>134214</v>
      </c>
      <c r="Z132" t="s">
        <v>360</v>
      </c>
      <c r="AA132" t="s">
        <v>477</v>
      </c>
      <c r="AB132" t="s">
        <v>103</v>
      </c>
      <c r="AC132" t="s">
        <v>859</v>
      </c>
      <c r="AD132" t="s">
        <v>860</v>
      </c>
      <c r="AE132" t="s">
        <v>111</v>
      </c>
      <c r="AF132">
        <v>8</v>
      </c>
      <c r="AG132">
        <v>8</v>
      </c>
      <c r="AH132">
        <v>49.42</v>
      </c>
      <c r="AJ132" s="86" t="str">
        <f t="shared" ref="AJ132:AJ195" si="33">AK132&amp;AQ132</f>
        <v>135870Lancamentos</v>
      </c>
      <c r="AK132">
        <v>135870</v>
      </c>
      <c r="AL132" t="s">
        <v>339</v>
      </c>
      <c r="AM132" t="s">
        <v>36</v>
      </c>
      <c r="AN132" t="s">
        <v>103</v>
      </c>
      <c r="AO132" t="s">
        <v>927</v>
      </c>
      <c r="AP132" t="s">
        <v>928</v>
      </c>
      <c r="AQ132" t="s">
        <v>953</v>
      </c>
      <c r="AR132">
        <v>0</v>
      </c>
      <c r="AS132">
        <v>18</v>
      </c>
      <c r="AT132">
        <v>69.84</v>
      </c>
      <c r="AV132" s="86" t="str">
        <f t="shared" ref="AV132:AV195" si="34">AW132&amp;BC132</f>
        <v>133136Lancamentos</v>
      </c>
      <c r="AW132">
        <v>133136</v>
      </c>
      <c r="AX132" t="s">
        <v>338</v>
      </c>
      <c r="AY132" t="s">
        <v>36</v>
      </c>
      <c r="AZ132" t="s">
        <v>103</v>
      </c>
      <c r="BA132" t="s">
        <v>1075</v>
      </c>
      <c r="BB132" t="s">
        <v>1076</v>
      </c>
      <c r="BC132" t="s">
        <v>953</v>
      </c>
      <c r="BD132">
        <v>0</v>
      </c>
      <c r="BE132">
        <v>18</v>
      </c>
      <c r="BF132">
        <v>48.74</v>
      </c>
      <c r="BH132" s="86" t="str">
        <f t="shared" ref="BH132:BH195" si="35">BI132&amp;BO132</f>
        <v>119456Lancamentos</v>
      </c>
      <c r="BI132">
        <v>119456</v>
      </c>
      <c r="BJ132" t="s">
        <v>389</v>
      </c>
      <c r="BK132" t="s">
        <v>482</v>
      </c>
      <c r="BL132" t="s">
        <v>103</v>
      </c>
      <c r="BM132" t="s">
        <v>1193</v>
      </c>
      <c r="BN132" t="s">
        <v>1194</v>
      </c>
      <c r="BO132" t="s">
        <v>953</v>
      </c>
      <c r="BP132">
        <v>0</v>
      </c>
      <c r="BQ132">
        <v>18</v>
      </c>
      <c r="BR132">
        <v>7.15</v>
      </c>
      <c r="BT132" s="86" t="str">
        <f t="shared" si="24"/>
        <v>102953Share Sub Loc Pao Quente SC Johnson</v>
      </c>
      <c r="BU132">
        <v>102953</v>
      </c>
      <c r="BV132" t="s">
        <v>388</v>
      </c>
      <c r="BW132" t="s">
        <v>482</v>
      </c>
      <c r="BX132" t="s">
        <v>103</v>
      </c>
      <c r="BY132" t="s">
        <v>1325</v>
      </c>
      <c r="BZ132" t="s">
        <v>1326</v>
      </c>
      <c r="CA132" t="s">
        <v>458</v>
      </c>
      <c r="CB132">
        <v>12</v>
      </c>
      <c r="CC132">
        <v>12</v>
      </c>
      <c r="CD132">
        <v>88</v>
      </c>
      <c r="CF132" s="86" t="str">
        <f t="shared" si="25"/>
        <v>107838Share Sub Loc Pao Quente SC Johnson</v>
      </c>
      <c r="CG132">
        <v>107838</v>
      </c>
      <c r="CH132" t="s">
        <v>378</v>
      </c>
      <c r="CI132" t="s">
        <v>1306</v>
      </c>
      <c r="CJ132" t="s">
        <v>103</v>
      </c>
      <c r="CK132" t="s">
        <v>1461</v>
      </c>
      <c r="CL132" t="s">
        <v>1462</v>
      </c>
      <c r="CM132" t="s">
        <v>458</v>
      </c>
      <c r="CN132">
        <v>12</v>
      </c>
      <c r="CO132">
        <v>12</v>
      </c>
      <c r="CP132">
        <v>82.2</v>
      </c>
      <c r="CR132" s="86" t="str">
        <f t="shared" si="26"/>
        <v>107838Share Sub Loc Pao Quente SC Johnson</v>
      </c>
      <c r="CS132">
        <v>107838</v>
      </c>
      <c r="CT132" t="s">
        <v>378</v>
      </c>
      <c r="CU132" t="s">
        <v>1306</v>
      </c>
      <c r="CV132" t="s">
        <v>103</v>
      </c>
      <c r="CW132" t="s">
        <v>1548</v>
      </c>
      <c r="CX132" t="s">
        <v>1549</v>
      </c>
      <c r="CY132" t="s">
        <v>458</v>
      </c>
      <c r="CZ132">
        <v>12</v>
      </c>
      <c r="DA132">
        <v>12</v>
      </c>
      <c r="DB132">
        <v>94.4</v>
      </c>
      <c r="DD132" s="86" t="str">
        <f t="shared" si="27"/>
        <v>119456Lancamentos</v>
      </c>
      <c r="DE132">
        <v>119456</v>
      </c>
      <c r="DF132" t="s">
        <v>389</v>
      </c>
      <c r="DG132" t="s">
        <v>482</v>
      </c>
      <c r="DH132" t="s">
        <v>103</v>
      </c>
      <c r="DI132" t="s">
        <v>1694</v>
      </c>
      <c r="DJ132" t="s">
        <v>1695</v>
      </c>
      <c r="DK132" t="s">
        <v>953</v>
      </c>
      <c r="DL132">
        <v>18</v>
      </c>
      <c r="DM132">
        <v>18</v>
      </c>
      <c r="DN132">
        <v>99.4</v>
      </c>
      <c r="DP132" s="86" t="str">
        <f t="shared" si="28"/>
        <v>102953Lancamentos</v>
      </c>
      <c r="DQ132">
        <v>102953</v>
      </c>
      <c r="DR132" t="s">
        <v>388</v>
      </c>
      <c r="DS132" t="s">
        <v>482</v>
      </c>
      <c r="DT132" t="s">
        <v>103</v>
      </c>
      <c r="DU132" t="s">
        <v>1844</v>
      </c>
      <c r="DV132" t="s">
        <v>1845</v>
      </c>
      <c r="DW132" t="s">
        <v>953</v>
      </c>
      <c r="DX132">
        <v>18</v>
      </c>
      <c r="DY132">
        <v>18</v>
      </c>
      <c r="DZ132">
        <v>95.4</v>
      </c>
      <c r="EB132" s="86" t="str">
        <f t="shared" si="29"/>
        <v>157637Lancamentos</v>
      </c>
      <c r="EC132">
        <v>157637</v>
      </c>
      <c r="ED132" t="s">
        <v>365</v>
      </c>
      <c r="EE132" t="s">
        <v>1306</v>
      </c>
      <c r="EF132" t="s">
        <v>103</v>
      </c>
      <c r="EG132" t="s">
        <v>1900</v>
      </c>
      <c r="EH132" t="s">
        <v>1901</v>
      </c>
      <c r="EI132" t="s">
        <v>953</v>
      </c>
      <c r="EJ132">
        <v>18</v>
      </c>
      <c r="EK132">
        <v>18</v>
      </c>
      <c r="EL132">
        <v>100</v>
      </c>
    </row>
    <row r="133" spans="1:142" x14ac:dyDescent="0.35">
      <c r="A133" s="86" t="str">
        <f t="shared" si="30"/>
        <v>133136Cross Merchan SC Johnson</v>
      </c>
      <c r="B133">
        <v>133136</v>
      </c>
      <c r="C133" t="s">
        <v>338</v>
      </c>
      <c r="D133" t="s">
        <v>103</v>
      </c>
      <c r="E133" t="s">
        <v>529</v>
      </c>
      <c r="F133" t="s">
        <v>530</v>
      </c>
      <c r="G133" t="s">
        <v>111</v>
      </c>
      <c r="H133">
        <v>54.59</v>
      </c>
      <c r="I133">
        <v>0</v>
      </c>
      <c r="J133">
        <v>8</v>
      </c>
      <c r="L133" s="86" t="str">
        <f t="shared" si="31"/>
        <v>132039Share Sub Loc Pao Quente SC Johnson</v>
      </c>
      <c r="M133">
        <v>132039</v>
      </c>
      <c r="N133" t="s">
        <v>337</v>
      </c>
      <c r="O133" t="s">
        <v>104</v>
      </c>
      <c r="P133" t="s">
        <v>103</v>
      </c>
      <c r="Q133" t="s">
        <v>680</v>
      </c>
      <c r="R133" t="s">
        <v>681</v>
      </c>
      <c r="S133" t="s">
        <v>458</v>
      </c>
      <c r="T133">
        <v>12.75</v>
      </c>
      <c r="U133">
        <v>17</v>
      </c>
      <c r="V133">
        <v>73.459999999999994</v>
      </c>
      <c r="X133" s="86" t="str">
        <f t="shared" si="32"/>
        <v>134214Share Sub Loc Pao Quente SC Johnson</v>
      </c>
      <c r="Y133">
        <v>134214</v>
      </c>
      <c r="Z133" t="s">
        <v>360</v>
      </c>
      <c r="AA133" t="s">
        <v>477</v>
      </c>
      <c r="AB133" t="s">
        <v>103</v>
      </c>
      <c r="AC133" t="s">
        <v>859</v>
      </c>
      <c r="AD133" t="s">
        <v>860</v>
      </c>
      <c r="AE133" t="s">
        <v>458</v>
      </c>
      <c r="AF133">
        <v>4.25</v>
      </c>
      <c r="AG133">
        <v>17</v>
      </c>
      <c r="AH133">
        <v>49.42</v>
      </c>
      <c r="AJ133" s="86" t="str">
        <f t="shared" si="33"/>
        <v>136856Share Sub Category SC Johnson</v>
      </c>
      <c r="AK133">
        <v>136856</v>
      </c>
      <c r="AL133" t="s">
        <v>379</v>
      </c>
      <c r="AM133" t="s">
        <v>104</v>
      </c>
      <c r="AN133" t="s">
        <v>103</v>
      </c>
      <c r="AO133" t="s">
        <v>929</v>
      </c>
      <c r="AP133" t="s">
        <v>930</v>
      </c>
      <c r="AQ133" t="s">
        <v>457</v>
      </c>
      <c r="AR133">
        <v>25</v>
      </c>
      <c r="AS133">
        <v>25</v>
      </c>
      <c r="AT133">
        <v>73.02</v>
      </c>
      <c r="AV133" s="86" t="str">
        <f t="shared" si="34"/>
        <v>135870Share Sub Category SC Johnson</v>
      </c>
      <c r="AW133">
        <v>135870</v>
      </c>
      <c r="AX133" t="s">
        <v>339</v>
      </c>
      <c r="AY133" t="s">
        <v>36</v>
      </c>
      <c r="AZ133" t="s">
        <v>103</v>
      </c>
      <c r="BA133" t="s">
        <v>1077</v>
      </c>
      <c r="BB133" t="s">
        <v>1078</v>
      </c>
      <c r="BC133" t="s">
        <v>457</v>
      </c>
      <c r="BD133">
        <v>25</v>
      </c>
      <c r="BE133">
        <v>25</v>
      </c>
      <c r="BF133">
        <v>68.23</v>
      </c>
      <c r="BH133" s="86" t="str">
        <f t="shared" si="35"/>
        <v>124155Share Sub Category SC Johnson</v>
      </c>
      <c r="BI133">
        <v>124155</v>
      </c>
      <c r="BJ133" t="s">
        <v>336</v>
      </c>
      <c r="BK133" t="s">
        <v>36</v>
      </c>
      <c r="BL133" t="s">
        <v>103</v>
      </c>
      <c r="BM133" t="s">
        <v>1195</v>
      </c>
      <c r="BN133" t="s">
        <v>1196</v>
      </c>
      <c r="BO133" t="s">
        <v>457</v>
      </c>
      <c r="BP133">
        <v>21.425000000000001</v>
      </c>
      <c r="BQ133">
        <v>25</v>
      </c>
      <c r="BR133">
        <v>62.53</v>
      </c>
      <c r="BT133" s="86" t="str">
        <f t="shared" si="24"/>
        <v>102953Cross Merchan SC Johnson</v>
      </c>
      <c r="BU133">
        <v>102953</v>
      </c>
      <c r="BV133" t="s">
        <v>388</v>
      </c>
      <c r="BW133" t="s">
        <v>482</v>
      </c>
      <c r="BX133" t="s">
        <v>103</v>
      </c>
      <c r="BY133" t="s">
        <v>1325</v>
      </c>
      <c r="BZ133" t="s">
        <v>1326</v>
      </c>
      <c r="CA133" t="s">
        <v>111</v>
      </c>
      <c r="CB133">
        <v>5</v>
      </c>
      <c r="CC133">
        <v>5</v>
      </c>
      <c r="CD133">
        <v>88</v>
      </c>
      <c r="CF133" s="86" t="str">
        <f t="shared" si="25"/>
        <v>107838Cross Merchan SC Johnson</v>
      </c>
      <c r="CG133">
        <v>107838</v>
      </c>
      <c r="CH133" t="s">
        <v>378</v>
      </c>
      <c r="CI133" t="s">
        <v>1306</v>
      </c>
      <c r="CJ133" t="s">
        <v>103</v>
      </c>
      <c r="CK133" t="s">
        <v>1461</v>
      </c>
      <c r="CL133" t="s">
        <v>1462</v>
      </c>
      <c r="CM133" t="s">
        <v>111</v>
      </c>
      <c r="CN133">
        <v>5</v>
      </c>
      <c r="CO133">
        <v>5</v>
      </c>
      <c r="CP133">
        <v>82.2</v>
      </c>
      <c r="CR133" s="86" t="str">
        <f t="shared" si="26"/>
        <v>107838Cross Merchan SC Johnson</v>
      </c>
      <c r="CS133">
        <v>107838</v>
      </c>
      <c r="CT133" t="s">
        <v>378</v>
      </c>
      <c r="CU133" t="s">
        <v>1306</v>
      </c>
      <c r="CV133" t="s">
        <v>103</v>
      </c>
      <c r="CW133" t="s">
        <v>1548</v>
      </c>
      <c r="CX133" t="s">
        <v>1549</v>
      </c>
      <c r="CY133" t="s">
        <v>111</v>
      </c>
      <c r="CZ133">
        <v>5</v>
      </c>
      <c r="DA133">
        <v>5</v>
      </c>
      <c r="DB133">
        <v>94.4</v>
      </c>
      <c r="DD133" s="86" t="str">
        <f t="shared" si="27"/>
        <v>119456Share Sub Category SC Johnson</v>
      </c>
      <c r="DE133">
        <v>119456</v>
      </c>
      <c r="DF133" t="s">
        <v>389</v>
      </c>
      <c r="DG133" t="s">
        <v>482</v>
      </c>
      <c r="DH133" t="s">
        <v>103</v>
      </c>
      <c r="DI133" t="s">
        <v>1694</v>
      </c>
      <c r="DJ133" t="s">
        <v>1695</v>
      </c>
      <c r="DK133" t="s">
        <v>457</v>
      </c>
      <c r="DL133">
        <v>25</v>
      </c>
      <c r="DM133">
        <v>25</v>
      </c>
      <c r="DN133">
        <v>99.4</v>
      </c>
      <c r="DP133" s="86" t="str">
        <f t="shared" si="28"/>
        <v>102953Share Sub Category SC Johnson</v>
      </c>
      <c r="DQ133">
        <v>102953</v>
      </c>
      <c r="DR133" t="s">
        <v>388</v>
      </c>
      <c r="DS133" t="s">
        <v>482</v>
      </c>
      <c r="DT133" t="s">
        <v>103</v>
      </c>
      <c r="DU133" t="s">
        <v>1844</v>
      </c>
      <c r="DV133" t="s">
        <v>1845</v>
      </c>
      <c r="DW133" t="s">
        <v>457</v>
      </c>
      <c r="DX133">
        <v>25</v>
      </c>
      <c r="DY133">
        <v>25</v>
      </c>
      <c r="DZ133">
        <v>95.4</v>
      </c>
      <c r="EB133" s="86" t="str">
        <f t="shared" si="29"/>
        <v>157637Share Sub Category SC Johnson</v>
      </c>
      <c r="EC133">
        <v>157637</v>
      </c>
      <c r="ED133" t="s">
        <v>365</v>
      </c>
      <c r="EE133" t="s">
        <v>1306</v>
      </c>
      <c r="EF133" t="s">
        <v>103</v>
      </c>
      <c r="EG133" t="s">
        <v>1900</v>
      </c>
      <c r="EH133" t="s">
        <v>1901</v>
      </c>
      <c r="EI133" t="s">
        <v>457</v>
      </c>
      <c r="EJ133">
        <v>25</v>
      </c>
      <c r="EK133">
        <v>25</v>
      </c>
      <c r="EL133">
        <v>100</v>
      </c>
    </row>
    <row r="134" spans="1:142" x14ac:dyDescent="0.35">
      <c r="A134" s="86" t="str">
        <f t="shared" si="30"/>
        <v>133136Share Sub Loc Pao Quente SC Johnson</v>
      </c>
      <c r="B134">
        <v>133136</v>
      </c>
      <c r="C134" t="s">
        <v>338</v>
      </c>
      <c r="D134" t="s">
        <v>103</v>
      </c>
      <c r="E134" t="s">
        <v>529</v>
      </c>
      <c r="F134" t="s">
        <v>530</v>
      </c>
      <c r="G134" t="s">
        <v>458</v>
      </c>
      <c r="H134">
        <v>54.59</v>
      </c>
      <c r="I134">
        <v>13.6</v>
      </c>
      <c r="J134">
        <v>17</v>
      </c>
      <c r="L134" s="86" t="str">
        <f t="shared" si="31"/>
        <v>132039Mix + Intocáveis SC Johnson</v>
      </c>
      <c r="M134">
        <v>132039</v>
      </c>
      <c r="N134" t="s">
        <v>337</v>
      </c>
      <c r="O134" t="s">
        <v>104</v>
      </c>
      <c r="P134" t="s">
        <v>103</v>
      </c>
      <c r="Q134" t="s">
        <v>680</v>
      </c>
      <c r="R134" t="s">
        <v>681</v>
      </c>
      <c r="S134" t="s">
        <v>459</v>
      </c>
      <c r="T134">
        <v>27</v>
      </c>
      <c r="U134">
        <v>45</v>
      </c>
      <c r="V134">
        <v>73.459999999999994</v>
      </c>
      <c r="X134" s="86" t="str">
        <f t="shared" si="32"/>
        <v>134214Mix + Intocáveis SC Johnson</v>
      </c>
      <c r="Y134">
        <v>134214</v>
      </c>
      <c r="Z134" t="s">
        <v>360</v>
      </c>
      <c r="AA134" t="s">
        <v>477</v>
      </c>
      <c r="AB134" t="s">
        <v>103</v>
      </c>
      <c r="AC134" t="s">
        <v>859</v>
      </c>
      <c r="AD134" t="s">
        <v>860</v>
      </c>
      <c r="AE134" t="s">
        <v>459</v>
      </c>
      <c r="AF134">
        <v>15.75</v>
      </c>
      <c r="AG134">
        <v>45</v>
      </c>
      <c r="AH134">
        <v>49.42</v>
      </c>
      <c r="AJ134" s="86" t="str">
        <f t="shared" si="33"/>
        <v>136856Cross Merchan SC Johnson</v>
      </c>
      <c r="AK134">
        <v>136856</v>
      </c>
      <c r="AL134" t="s">
        <v>379</v>
      </c>
      <c r="AM134" t="s">
        <v>104</v>
      </c>
      <c r="AN134" t="s">
        <v>103</v>
      </c>
      <c r="AO134" t="s">
        <v>929</v>
      </c>
      <c r="AP134" t="s">
        <v>930</v>
      </c>
      <c r="AQ134" t="s">
        <v>111</v>
      </c>
      <c r="AR134">
        <v>2.5</v>
      </c>
      <c r="AS134">
        <v>5</v>
      </c>
      <c r="AT134">
        <v>73.02</v>
      </c>
      <c r="AV134" s="86" t="str">
        <f t="shared" si="34"/>
        <v>135870Cross Merchan SC Johnson</v>
      </c>
      <c r="AW134">
        <v>135870</v>
      </c>
      <c r="AX134" t="s">
        <v>339</v>
      </c>
      <c r="AY134" t="s">
        <v>36</v>
      </c>
      <c r="AZ134" t="s">
        <v>103</v>
      </c>
      <c r="BA134" t="s">
        <v>1077</v>
      </c>
      <c r="BB134" t="s">
        <v>1078</v>
      </c>
      <c r="BC134" t="s">
        <v>111</v>
      </c>
      <c r="BD134">
        <v>1.665</v>
      </c>
      <c r="BE134">
        <v>5</v>
      </c>
      <c r="BF134">
        <v>68.23</v>
      </c>
      <c r="BH134" s="86" t="str">
        <f t="shared" si="35"/>
        <v>124155Cross Merchan SC Johnson</v>
      </c>
      <c r="BI134">
        <v>124155</v>
      </c>
      <c r="BJ134" t="s">
        <v>336</v>
      </c>
      <c r="BK134" t="s">
        <v>36</v>
      </c>
      <c r="BL134" t="s">
        <v>103</v>
      </c>
      <c r="BM134" t="s">
        <v>1195</v>
      </c>
      <c r="BN134" t="s">
        <v>1196</v>
      </c>
      <c r="BO134" t="s">
        <v>111</v>
      </c>
      <c r="BP134">
        <v>1.665</v>
      </c>
      <c r="BQ134">
        <v>5</v>
      </c>
      <c r="BR134">
        <v>62.53</v>
      </c>
      <c r="BT134" s="86" t="str">
        <f t="shared" si="24"/>
        <v>102953Execucao Bonus</v>
      </c>
      <c r="BU134">
        <v>102953</v>
      </c>
      <c r="BV134" t="s">
        <v>388</v>
      </c>
      <c r="BW134" t="s">
        <v>482</v>
      </c>
      <c r="BX134" t="s">
        <v>103</v>
      </c>
      <c r="BY134" t="s">
        <v>1325</v>
      </c>
      <c r="BZ134" t="s">
        <v>1326</v>
      </c>
      <c r="CA134" t="s">
        <v>1291</v>
      </c>
      <c r="CB134">
        <v>5</v>
      </c>
      <c r="CC134">
        <v>5</v>
      </c>
      <c r="CD134">
        <v>88</v>
      </c>
      <c r="CF134" s="86" t="str">
        <f t="shared" si="25"/>
        <v>107838Execucao Bonus</v>
      </c>
      <c r="CG134">
        <v>107838</v>
      </c>
      <c r="CH134" t="s">
        <v>378</v>
      </c>
      <c r="CI134" t="s">
        <v>1306</v>
      </c>
      <c r="CJ134" t="s">
        <v>103</v>
      </c>
      <c r="CK134" t="s">
        <v>1461</v>
      </c>
      <c r="CL134" t="s">
        <v>1462</v>
      </c>
      <c r="CM134" t="s">
        <v>1291</v>
      </c>
      <c r="CN134">
        <v>5</v>
      </c>
      <c r="CO134">
        <v>5</v>
      </c>
      <c r="CP134">
        <v>82.2</v>
      </c>
      <c r="CR134" s="86" t="str">
        <f t="shared" si="26"/>
        <v>107838Execucao Bonus</v>
      </c>
      <c r="CS134">
        <v>107838</v>
      </c>
      <c r="CT134" t="s">
        <v>378</v>
      </c>
      <c r="CU134" t="s">
        <v>1306</v>
      </c>
      <c r="CV134" t="s">
        <v>103</v>
      </c>
      <c r="CW134" t="s">
        <v>1548</v>
      </c>
      <c r="CX134" t="s">
        <v>1549</v>
      </c>
      <c r="CY134" t="s">
        <v>1291</v>
      </c>
      <c r="CZ134">
        <v>5</v>
      </c>
      <c r="DA134">
        <v>5</v>
      </c>
      <c r="DB134">
        <v>94.4</v>
      </c>
      <c r="DD134" s="86" t="str">
        <f t="shared" si="27"/>
        <v>119456Share Sub Loc Pao Quente SC Johnson</v>
      </c>
      <c r="DE134">
        <v>119456</v>
      </c>
      <c r="DF134" t="s">
        <v>389</v>
      </c>
      <c r="DG134" t="s">
        <v>482</v>
      </c>
      <c r="DH134" t="s">
        <v>103</v>
      </c>
      <c r="DI134" t="s">
        <v>1694</v>
      </c>
      <c r="DJ134" t="s">
        <v>1695</v>
      </c>
      <c r="DK134" t="s">
        <v>458</v>
      </c>
      <c r="DL134">
        <v>12</v>
      </c>
      <c r="DM134">
        <v>12</v>
      </c>
      <c r="DN134">
        <v>99.4</v>
      </c>
      <c r="DP134" s="86" t="str">
        <f t="shared" si="28"/>
        <v>102953Share Sub Loc Pao Quente SC Johnson</v>
      </c>
      <c r="DQ134">
        <v>102953</v>
      </c>
      <c r="DR134" t="s">
        <v>388</v>
      </c>
      <c r="DS134" t="s">
        <v>482</v>
      </c>
      <c r="DT134" t="s">
        <v>103</v>
      </c>
      <c r="DU134" t="s">
        <v>1844</v>
      </c>
      <c r="DV134" t="s">
        <v>1845</v>
      </c>
      <c r="DW134" t="s">
        <v>458</v>
      </c>
      <c r="DX134">
        <v>12</v>
      </c>
      <c r="DY134">
        <v>12</v>
      </c>
      <c r="DZ134">
        <v>95.4</v>
      </c>
      <c r="EB134" s="86" t="str">
        <f t="shared" si="29"/>
        <v>157637Share Sub Loc Pao Quente SC Johnson</v>
      </c>
      <c r="EC134">
        <v>157637</v>
      </c>
      <c r="ED134" t="s">
        <v>365</v>
      </c>
      <c r="EE134" t="s">
        <v>1306</v>
      </c>
      <c r="EF134" t="s">
        <v>103</v>
      </c>
      <c r="EG134" t="s">
        <v>1900</v>
      </c>
      <c r="EH134" t="s">
        <v>1901</v>
      </c>
      <c r="EI134" t="s">
        <v>458</v>
      </c>
      <c r="EJ134">
        <v>12</v>
      </c>
      <c r="EK134">
        <v>12</v>
      </c>
      <c r="EL134">
        <v>100</v>
      </c>
    </row>
    <row r="135" spans="1:142" x14ac:dyDescent="0.35">
      <c r="A135" s="86" t="str">
        <f t="shared" si="30"/>
        <v>133136Mix + Intocáveis SC Johnson</v>
      </c>
      <c r="B135">
        <v>133136</v>
      </c>
      <c r="C135" t="s">
        <v>338</v>
      </c>
      <c r="D135" t="s">
        <v>103</v>
      </c>
      <c r="E135" t="s">
        <v>529</v>
      </c>
      <c r="F135" t="s">
        <v>530</v>
      </c>
      <c r="G135" t="s">
        <v>459</v>
      </c>
      <c r="H135">
        <v>54.59</v>
      </c>
      <c r="I135">
        <v>28.125</v>
      </c>
      <c r="J135">
        <v>45</v>
      </c>
      <c r="L135" s="86" t="str">
        <f t="shared" si="31"/>
        <v>133136Share Sub Category SC Johnson</v>
      </c>
      <c r="M135">
        <v>133136</v>
      </c>
      <c r="N135" t="s">
        <v>338</v>
      </c>
      <c r="O135" t="s">
        <v>36</v>
      </c>
      <c r="P135" t="s">
        <v>103</v>
      </c>
      <c r="Q135" t="s">
        <v>682</v>
      </c>
      <c r="R135" t="s">
        <v>683</v>
      </c>
      <c r="S135" t="s">
        <v>457</v>
      </c>
      <c r="T135">
        <v>17.13</v>
      </c>
      <c r="U135">
        <v>30</v>
      </c>
      <c r="V135">
        <v>66.88</v>
      </c>
      <c r="X135" s="86" t="str">
        <f t="shared" si="32"/>
        <v>135870Share Sub Category SC Johnson</v>
      </c>
      <c r="Y135">
        <v>135870</v>
      </c>
      <c r="Z135" t="s">
        <v>339</v>
      </c>
      <c r="AA135" t="s">
        <v>36</v>
      </c>
      <c r="AB135" t="s">
        <v>103</v>
      </c>
      <c r="AC135" t="s">
        <v>803</v>
      </c>
      <c r="AD135" t="s">
        <v>804</v>
      </c>
      <c r="AE135" t="s">
        <v>457</v>
      </c>
      <c r="AF135">
        <v>21.42</v>
      </c>
      <c r="AG135">
        <v>30</v>
      </c>
      <c r="AH135">
        <v>69.42</v>
      </c>
      <c r="AJ135" s="86" t="str">
        <f t="shared" si="33"/>
        <v>136856Share Sub Loc Pao Quente SC Johnson</v>
      </c>
      <c r="AK135">
        <v>136856</v>
      </c>
      <c r="AL135" t="s">
        <v>379</v>
      </c>
      <c r="AM135" t="s">
        <v>104</v>
      </c>
      <c r="AN135" t="s">
        <v>103</v>
      </c>
      <c r="AO135" t="s">
        <v>929</v>
      </c>
      <c r="AP135" t="s">
        <v>930</v>
      </c>
      <c r="AQ135" t="s">
        <v>458</v>
      </c>
      <c r="AR135">
        <v>9</v>
      </c>
      <c r="AS135">
        <v>12</v>
      </c>
      <c r="AT135">
        <v>73.02</v>
      </c>
      <c r="AV135" s="86" t="str">
        <f t="shared" si="34"/>
        <v>135870Share Sub Loc Pao Quente SC Johnson</v>
      </c>
      <c r="AW135">
        <v>135870</v>
      </c>
      <c r="AX135" t="s">
        <v>339</v>
      </c>
      <c r="AY135" t="s">
        <v>36</v>
      </c>
      <c r="AZ135" t="s">
        <v>103</v>
      </c>
      <c r="BA135" t="s">
        <v>1077</v>
      </c>
      <c r="BB135" t="s">
        <v>1078</v>
      </c>
      <c r="BC135" t="s">
        <v>458</v>
      </c>
      <c r="BD135">
        <v>12</v>
      </c>
      <c r="BE135">
        <v>12</v>
      </c>
      <c r="BF135">
        <v>68.23</v>
      </c>
      <c r="BH135" s="86" t="str">
        <f t="shared" si="35"/>
        <v>124155Share Sub Loc Pao Quente SC Johnson</v>
      </c>
      <c r="BI135">
        <v>124155</v>
      </c>
      <c r="BJ135" t="s">
        <v>336</v>
      </c>
      <c r="BK135" t="s">
        <v>36</v>
      </c>
      <c r="BL135" t="s">
        <v>103</v>
      </c>
      <c r="BM135" t="s">
        <v>1195</v>
      </c>
      <c r="BN135" t="s">
        <v>1196</v>
      </c>
      <c r="BO135" t="s">
        <v>458</v>
      </c>
      <c r="BP135">
        <v>9</v>
      </c>
      <c r="BQ135">
        <v>12</v>
      </c>
      <c r="BR135">
        <v>62.53</v>
      </c>
      <c r="BT135" s="86" t="str">
        <f t="shared" si="24"/>
        <v>107838Lancamentos</v>
      </c>
      <c r="BU135">
        <v>107838</v>
      </c>
      <c r="BV135" t="s">
        <v>378</v>
      </c>
      <c r="BW135" t="s">
        <v>1306</v>
      </c>
      <c r="BX135" t="s">
        <v>103</v>
      </c>
      <c r="BY135" t="s">
        <v>1327</v>
      </c>
      <c r="BZ135" t="s">
        <v>1328</v>
      </c>
      <c r="CA135" t="s">
        <v>953</v>
      </c>
      <c r="CB135">
        <v>9</v>
      </c>
      <c r="CC135">
        <v>18</v>
      </c>
      <c r="CD135">
        <v>70.56</v>
      </c>
      <c r="CF135" s="86" t="str">
        <f t="shared" si="25"/>
        <v>119456Lancamentos</v>
      </c>
      <c r="CG135">
        <v>119456</v>
      </c>
      <c r="CH135" t="s">
        <v>389</v>
      </c>
      <c r="CI135" t="s">
        <v>482</v>
      </c>
      <c r="CJ135" t="s">
        <v>103</v>
      </c>
      <c r="CK135" t="s">
        <v>1442</v>
      </c>
      <c r="CL135" t="s">
        <v>1443</v>
      </c>
      <c r="CM135" t="s">
        <v>953</v>
      </c>
      <c r="CN135">
        <v>9</v>
      </c>
      <c r="CO135">
        <v>18</v>
      </c>
      <c r="CP135">
        <v>91.2</v>
      </c>
      <c r="CR135" s="86" t="str">
        <f t="shared" si="26"/>
        <v>119456Lancamentos</v>
      </c>
      <c r="CS135">
        <v>119456</v>
      </c>
      <c r="CT135" t="s">
        <v>389</v>
      </c>
      <c r="CU135" t="s">
        <v>482</v>
      </c>
      <c r="CV135" t="s">
        <v>103</v>
      </c>
      <c r="CW135" t="s">
        <v>1590</v>
      </c>
      <c r="CX135" t="s">
        <v>1591</v>
      </c>
      <c r="CY135" t="s">
        <v>953</v>
      </c>
      <c r="CZ135">
        <v>9</v>
      </c>
      <c r="DA135">
        <v>18</v>
      </c>
      <c r="DB135">
        <v>91.2</v>
      </c>
      <c r="DD135" s="86" t="str">
        <f t="shared" si="27"/>
        <v>132039Mix + Intocáveis SC Johnson</v>
      </c>
      <c r="DE135">
        <v>132039</v>
      </c>
      <c r="DF135" t="s">
        <v>337</v>
      </c>
      <c r="DG135" t="s">
        <v>1345</v>
      </c>
      <c r="DH135" t="s">
        <v>103</v>
      </c>
      <c r="DI135" t="s">
        <v>1642</v>
      </c>
      <c r="DJ135" t="s">
        <v>1643</v>
      </c>
      <c r="DK135" t="s">
        <v>459</v>
      </c>
      <c r="DL135">
        <v>37.6</v>
      </c>
      <c r="DM135">
        <v>40</v>
      </c>
      <c r="DN135">
        <v>93.6</v>
      </c>
      <c r="DP135" s="86" t="str">
        <f t="shared" si="28"/>
        <v>107838Mix + Intocáveis SC Johnson</v>
      </c>
      <c r="DQ135">
        <v>107838</v>
      </c>
      <c r="DR135" t="s">
        <v>378</v>
      </c>
      <c r="DS135" t="s">
        <v>1306</v>
      </c>
      <c r="DT135" t="s">
        <v>103</v>
      </c>
      <c r="DU135" t="s">
        <v>1846</v>
      </c>
      <c r="DV135" t="s">
        <v>1847</v>
      </c>
      <c r="DW135" t="s">
        <v>459</v>
      </c>
      <c r="DX135">
        <v>38.4</v>
      </c>
      <c r="DY135">
        <v>40</v>
      </c>
      <c r="DZ135">
        <v>94.4</v>
      </c>
      <c r="EB135" s="86" t="str">
        <f t="shared" si="29"/>
        <v>159620Mix + Intocáveis SC Johnson</v>
      </c>
      <c r="EC135">
        <v>159620</v>
      </c>
      <c r="ED135" t="s">
        <v>394</v>
      </c>
      <c r="EE135" t="s">
        <v>482</v>
      </c>
      <c r="EF135" t="s">
        <v>103</v>
      </c>
      <c r="EG135" t="s">
        <v>1880</v>
      </c>
      <c r="EH135" t="s">
        <v>1881</v>
      </c>
      <c r="EI135" t="s">
        <v>459</v>
      </c>
      <c r="EJ135">
        <v>31.2</v>
      </c>
      <c r="EK135">
        <v>40</v>
      </c>
      <c r="EL135">
        <v>83.62</v>
      </c>
    </row>
    <row r="136" spans="1:142" x14ac:dyDescent="0.35">
      <c r="A136" s="86" t="str">
        <f t="shared" si="30"/>
        <v>134214Share Sub Category SC Johnson</v>
      </c>
      <c r="B136">
        <v>134214</v>
      </c>
      <c r="C136" t="s">
        <v>360</v>
      </c>
      <c r="D136" t="s">
        <v>103</v>
      </c>
      <c r="E136" t="s">
        <v>531</v>
      </c>
      <c r="F136" t="s">
        <v>532</v>
      </c>
      <c r="G136" t="s">
        <v>457</v>
      </c>
      <c r="H136">
        <v>61.73</v>
      </c>
      <c r="I136">
        <v>25.71</v>
      </c>
      <c r="J136">
        <v>30</v>
      </c>
      <c r="L136" s="86" t="str">
        <f t="shared" si="31"/>
        <v>133136Cross Merchan SC Johnson</v>
      </c>
      <c r="M136">
        <v>133136</v>
      </c>
      <c r="N136" t="s">
        <v>338</v>
      </c>
      <c r="O136" t="s">
        <v>36</v>
      </c>
      <c r="P136" t="s">
        <v>103</v>
      </c>
      <c r="Q136" t="s">
        <v>682</v>
      </c>
      <c r="R136" t="s">
        <v>683</v>
      </c>
      <c r="S136" t="s">
        <v>111</v>
      </c>
      <c r="T136">
        <v>8</v>
      </c>
      <c r="U136">
        <v>8</v>
      </c>
      <c r="V136">
        <v>66.88</v>
      </c>
      <c r="X136" s="86" t="str">
        <f t="shared" si="32"/>
        <v>135870Cross Merchan SC Johnson</v>
      </c>
      <c r="Y136">
        <v>135870</v>
      </c>
      <c r="Z136" t="s">
        <v>339</v>
      </c>
      <c r="AA136" t="s">
        <v>36</v>
      </c>
      <c r="AB136" t="s">
        <v>103</v>
      </c>
      <c r="AC136" t="s">
        <v>803</v>
      </c>
      <c r="AD136" t="s">
        <v>804</v>
      </c>
      <c r="AE136" t="s">
        <v>111</v>
      </c>
      <c r="AF136">
        <v>8</v>
      </c>
      <c r="AG136">
        <v>8</v>
      </c>
      <c r="AH136">
        <v>69.42</v>
      </c>
      <c r="AJ136" s="86" t="str">
        <f t="shared" si="33"/>
        <v>136856Mix + Intocáveis SC Johnson</v>
      </c>
      <c r="AK136">
        <v>136856</v>
      </c>
      <c r="AL136" t="s">
        <v>379</v>
      </c>
      <c r="AM136" t="s">
        <v>104</v>
      </c>
      <c r="AN136" t="s">
        <v>103</v>
      </c>
      <c r="AO136" t="s">
        <v>929</v>
      </c>
      <c r="AP136" t="s">
        <v>930</v>
      </c>
      <c r="AQ136" t="s">
        <v>459</v>
      </c>
      <c r="AR136">
        <v>36.520000000000003</v>
      </c>
      <c r="AS136">
        <v>40</v>
      </c>
      <c r="AT136">
        <v>73.02</v>
      </c>
      <c r="AV136" s="86" t="str">
        <f t="shared" si="34"/>
        <v>135870Mix + Intocáveis SC Johnson</v>
      </c>
      <c r="AW136">
        <v>135870</v>
      </c>
      <c r="AX136" t="s">
        <v>339</v>
      </c>
      <c r="AY136" t="s">
        <v>36</v>
      </c>
      <c r="AZ136" t="s">
        <v>103</v>
      </c>
      <c r="BA136" t="s">
        <v>1077</v>
      </c>
      <c r="BB136" t="s">
        <v>1078</v>
      </c>
      <c r="BC136" t="s">
        <v>459</v>
      </c>
      <c r="BD136">
        <v>29.56</v>
      </c>
      <c r="BE136">
        <v>40</v>
      </c>
      <c r="BF136">
        <v>68.23</v>
      </c>
      <c r="BH136" s="86" t="str">
        <f t="shared" si="35"/>
        <v>124155Mix + Intocáveis SC Johnson</v>
      </c>
      <c r="BI136">
        <v>124155</v>
      </c>
      <c r="BJ136" t="s">
        <v>336</v>
      </c>
      <c r="BK136" t="s">
        <v>36</v>
      </c>
      <c r="BL136" t="s">
        <v>103</v>
      </c>
      <c r="BM136" t="s">
        <v>1195</v>
      </c>
      <c r="BN136" t="s">
        <v>1196</v>
      </c>
      <c r="BO136" t="s">
        <v>459</v>
      </c>
      <c r="BP136">
        <v>30.44</v>
      </c>
      <c r="BQ136">
        <v>40</v>
      </c>
      <c r="BR136">
        <v>62.53</v>
      </c>
      <c r="BT136" s="86" t="str">
        <f t="shared" si="24"/>
        <v>107838Mix + Intocáveis SC Johnson</v>
      </c>
      <c r="BU136">
        <v>107838</v>
      </c>
      <c r="BV136" t="s">
        <v>378</v>
      </c>
      <c r="BW136" t="s">
        <v>1306</v>
      </c>
      <c r="BX136" t="s">
        <v>103</v>
      </c>
      <c r="BY136" t="s">
        <v>1327</v>
      </c>
      <c r="BZ136" t="s">
        <v>1328</v>
      </c>
      <c r="CA136" t="s">
        <v>459</v>
      </c>
      <c r="CB136">
        <v>24.8</v>
      </c>
      <c r="CC136">
        <v>40</v>
      </c>
      <c r="CD136">
        <v>70.56</v>
      </c>
      <c r="CF136" s="86" t="str">
        <f t="shared" si="25"/>
        <v>119456Mix + Intocáveis SC Johnson</v>
      </c>
      <c r="CG136">
        <v>119456</v>
      </c>
      <c r="CH136" t="s">
        <v>389</v>
      </c>
      <c r="CI136" t="s">
        <v>482</v>
      </c>
      <c r="CJ136" t="s">
        <v>103</v>
      </c>
      <c r="CK136" t="s">
        <v>1442</v>
      </c>
      <c r="CL136" t="s">
        <v>1443</v>
      </c>
      <c r="CM136" t="s">
        <v>459</v>
      </c>
      <c r="CN136">
        <v>35.200000000000003</v>
      </c>
      <c r="CO136">
        <v>40</v>
      </c>
      <c r="CP136">
        <v>91.2</v>
      </c>
      <c r="CR136" s="86" t="str">
        <f t="shared" si="26"/>
        <v>119456Mix + Intocáveis SC Johnson</v>
      </c>
      <c r="CS136">
        <v>119456</v>
      </c>
      <c r="CT136" t="s">
        <v>389</v>
      </c>
      <c r="CU136" t="s">
        <v>482</v>
      </c>
      <c r="CV136" t="s">
        <v>103</v>
      </c>
      <c r="CW136" t="s">
        <v>1590</v>
      </c>
      <c r="CX136" t="s">
        <v>1591</v>
      </c>
      <c r="CY136" t="s">
        <v>459</v>
      </c>
      <c r="CZ136">
        <v>35.200000000000003</v>
      </c>
      <c r="DA136">
        <v>40</v>
      </c>
      <c r="DB136">
        <v>91.2</v>
      </c>
      <c r="DD136" s="86" t="str">
        <f t="shared" si="27"/>
        <v>132039Execucao Bonus</v>
      </c>
      <c r="DE136">
        <v>132039</v>
      </c>
      <c r="DF136" t="s">
        <v>337</v>
      </c>
      <c r="DG136" t="s">
        <v>1345</v>
      </c>
      <c r="DH136" t="s">
        <v>103</v>
      </c>
      <c r="DI136" t="s">
        <v>1642</v>
      </c>
      <c r="DJ136" t="s">
        <v>1643</v>
      </c>
      <c r="DK136" t="s">
        <v>1291</v>
      </c>
      <c r="DL136">
        <v>5</v>
      </c>
      <c r="DM136">
        <v>5</v>
      </c>
      <c r="DN136">
        <v>93.6</v>
      </c>
      <c r="DP136" s="86" t="str">
        <f t="shared" si="28"/>
        <v>107838Execucao Bonus</v>
      </c>
      <c r="DQ136">
        <v>107838</v>
      </c>
      <c r="DR136" t="s">
        <v>378</v>
      </c>
      <c r="DS136" t="s">
        <v>1306</v>
      </c>
      <c r="DT136" t="s">
        <v>103</v>
      </c>
      <c r="DU136" t="s">
        <v>1846</v>
      </c>
      <c r="DV136" t="s">
        <v>1847</v>
      </c>
      <c r="DW136" t="s">
        <v>1291</v>
      </c>
      <c r="DX136">
        <v>5</v>
      </c>
      <c r="DY136">
        <v>5</v>
      </c>
      <c r="DZ136">
        <v>94.4</v>
      </c>
      <c r="EB136" s="86" t="str">
        <f t="shared" si="29"/>
        <v>159620Execucao Bonus</v>
      </c>
      <c r="EC136">
        <v>159620</v>
      </c>
      <c r="ED136" t="s">
        <v>394</v>
      </c>
      <c r="EE136" t="s">
        <v>482</v>
      </c>
      <c r="EF136" t="s">
        <v>103</v>
      </c>
      <c r="EG136" t="s">
        <v>1880</v>
      </c>
      <c r="EH136" t="s">
        <v>1881</v>
      </c>
      <c r="EI136" t="s">
        <v>1291</v>
      </c>
      <c r="EJ136">
        <v>5</v>
      </c>
      <c r="EK136">
        <v>5</v>
      </c>
      <c r="EL136">
        <v>83.62</v>
      </c>
    </row>
    <row r="137" spans="1:142" x14ac:dyDescent="0.35">
      <c r="A137" s="86" t="str">
        <f t="shared" si="30"/>
        <v>134214Cross Merchan SC Johnson</v>
      </c>
      <c r="B137">
        <v>134214</v>
      </c>
      <c r="C137" t="s">
        <v>360</v>
      </c>
      <c r="D137" t="s">
        <v>103</v>
      </c>
      <c r="E137" t="s">
        <v>531</v>
      </c>
      <c r="F137" t="s">
        <v>532</v>
      </c>
      <c r="G137" t="s">
        <v>111</v>
      </c>
      <c r="H137">
        <v>61.73</v>
      </c>
      <c r="I137">
        <v>0</v>
      </c>
      <c r="J137">
        <v>8</v>
      </c>
      <c r="L137" s="86" t="str">
        <f t="shared" si="31"/>
        <v>133136Share Sub Loc Pao Quente SC Johnson</v>
      </c>
      <c r="M137">
        <v>133136</v>
      </c>
      <c r="N137" t="s">
        <v>338</v>
      </c>
      <c r="O137" t="s">
        <v>36</v>
      </c>
      <c r="P137" t="s">
        <v>103</v>
      </c>
      <c r="Q137" t="s">
        <v>682</v>
      </c>
      <c r="R137" t="s">
        <v>683</v>
      </c>
      <c r="S137" t="s">
        <v>458</v>
      </c>
      <c r="T137">
        <v>17</v>
      </c>
      <c r="U137">
        <v>17</v>
      </c>
      <c r="V137">
        <v>66.88</v>
      </c>
      <c r="X137" s="86" t="str">
        <f t="shared" si="32"/>
        <v>135870Share Sub Loc Pao Quente SC Johnson</v>
      </c>
      <c r="Y137">
        <v>135870</v>
      </c>
      <c r="Z137" t="s">
        <v>339</v>
      </c>
      <c r="AA137" t="s">
        <v>36</v>
      </c>
      <c r="AB137" t="s">
        <v>103</v>
      </c>
      <c r="AC137" t="s">
        <v>803</v>
      </c>
      <c r="AD137" t="s">
        <v>804</v>
      </c>
      <c r="AE137" t="s">
        <v>458</v>
      </c>
      <c r="AF137">
        <v>8.5</v>
      </c>
      <c r="AG137">
        <v>17</v>
      </c>
      <c r="AH137">
        <v>69.42</v>
      </c>
      <c r="AJ137" s="86" t="str">
        <f t="shared" si="33"/>
        <v>136856Lancamentos</v>
      </c>
      <c r="AK137">
        <v>136856</v>
      </c>
      <c r="AL137" t="s">
        <v>379</v>
      </c>
      <c r="AM137" t="s">
        <v>104</v>
      </c>
      <c r="AN137" t="s">
        <v>103</v>
      </c>
      <c r="AO137" t="s">
        <v>929</v>
      </c>
      <c r="AP137" t="s">
        <v>930</v>
      </c>
      <c r="AQ137" t="s">
        <v>953</v>
      </c>
      <c r="AR137">
        <v>0</v>
      </c>
      <c r="AS137">
        <v>18</v>
      </c>
      <c r="AT137">
        <v>73.02</v>
      </c>
      <c r="AV137" s="86" t="str">
        <f t="shared" si="34"/>
        <v>135870Lancamentos</v>
      </c>
      <c r="AW137">
        <v>135870</v>
      </c>
      <c r="AX137" t="s">
        <v>339</v>
      </c>
      <c r="AY137" t="s">
        <v>36</v>
      </c>
      <c r="AZ137" t="s">
        <v>103</v>
      </c>
      <c r="BA137" t="s">
        <v>1077</v>
      </c>
      <c r="BB137" t="s">
        <v>1078</v>
      </c>
      <c r="BC137" t="s">
        <v>953</v>
      </c>
      <c r="BD137">
        <v>0</v>
      </c>
      <c r="BE137">
        <v>18</v>
      </c>
      <c r="BF137">
        <v>68.23</v>
      </c>
      <c r="BH137" s="86" t="str">
        <f t="shared" si="35"/>
        <v>124155Lancamentos</v>
      </c>
      <c r="BI137">
        <v>124155</v>
      </c>
      <c r="BJ137" t="s">
        <v>336</v>
      </c>
      <c r="BK137" t="s">
        <v>36</v>
      </c>
      <c r="BL137" t="s">
        <v>103</v>
      </c>
      <c r="BM137" t="s">
        <v>1195</v>
      </c>
      <c r="BN137" t="s">
        <v>1196</v>
      </c>
      <c r="BO137" t="s">
        <v>953</v>
      </c>
      <c r="BP137">
        <v>0</v>
      </c>
      <c r="BQ137">
        <v>18</v>
      </c>
      <c r="BR137">
        <v>62.53</v>
      </c>
      <c r="BT137" s="86" t="str">
        <f t="shared" si="24"/>
        <v>107838Share Sub Category SC Johnson</v>
      </c>
      <c r="BU137">
        <v>107838</v>
      </c>
      <c r="BV137" t="s">
        <v>378</v>
      </c>
      <c r="BW137" t="s">
        <v>1306</v>
      </c>
      <c r="BX137" t="s">
        <v>103</v>
      </c>
      <c r="BY137" t="s">
        <v>1327</v>
      </c>
      <c r="BZ137" t="s">
        <v>1328</v>
      </c>
      <c r="CA137" t="s">
        <v>457</v>
      </c>
      <c r="CB137">
        <v>21.425000000000001</v>
      </c>
      <c r="CC137">
        <v>25</v>
      </c>
      <c r="CD137">
        <v>70.56</v>
      </c>
      <c r="CF137" s="86" t="str">
        <f t="shared" si="25"/>
        <v>119456Share Sub Category SC Johnson</v>
      </c>
      <c r="CG137">
        <v>119456</v>
      </c>
      <c r="CH137" t="s">
        <v>389</v>
      </c>
      <c r="CI137" t="s">
        <v>482</v>
      </c>
      <c r="CJ137" t="s">
        <v>103</v>
      </c>
      <c r="CK137" t="s">
        <v>1442</v>
      </c>
      <c r="CL137" t="s">
        <v>1443</v>
      </c>
      <c r="CM137" t="s">
        <v>457</v>
      </c>
      <c r="CN137">
        <v>25</v>
      </c>
      <c r="CO137">
        <v>25</v>
      </c>
      <c r="CP137">
        <v>91.2</v>
      </c>
      <c r="CR137" s="86" t="str">
        <f t="shared" si="26"/>
        <v>119456Share Sub Category SC Johnson</v>
      </c>
      <c r="CS137">
        <v>119456</v>
      </c>
      <c r="CT137" t="s">
        <v>389</v>
      </c>
      <c r="CU137" t="s">
        <v>482</v>
      </c>
      <c r="CV137" t="s">
        <v>103</v>
      </c>
      <c r="CW137" t="s">
        <v>1590</v>
      </c>
      <c r="CX137" t="s">
        <v>1591</v>
      </c>
      <c r="CY137" t="s">
        <v>457</v>
      </c>
      <c r="CZ137">
        <v>25</v>
      </c>
      <c r="DA137">
        <v>25</v>
      </c>
      <c r="DB137">
        <v>91.2</v>
      </c>
      <c r="DD137" s="86" t="str">
        <f t="shared" si="27"/>
        <v>132039Cross Merchan SC Johnson</v>
      </c>
      <c r="DE137">
        <v>132039</v>
      </c>
      <c r="DF137" t="s">
        <v>337</v>
      </c>
      <c r="DG137" t="s">
        <v>1345</v>
      </c>
      <c r="DH137" t="s">
        <v>103</v>
      </c>
      <c r="DI137" t="s">
        <v>1642</v>
      </c>
      <c r="DJ137" t="s">
        <v>1643</v>
      </c>
      <c r="DK137" t="s">
        <v>111</v>
      </c>
      <c r="DL137">
        <v>5</v>
      </c>
      <c r="DM137">
        <v>5</v>
      </c>
      <c r="DN137">
        <v>93.6</v>
      </c>
      <c r="DP137" s="86" t="str">
        <f t="shared" si="28"/>
        <v>107838Cross Merchan SC Johnson</v>
      </c>
      <c r="DQ137">
        <v>107838</v>
      </c>
      <c r="DR137" t="s">
        <v>378</v>
      </c>
      <c r="DS137" t="s">
        <v>1306</v>
      </c>
      <c r="DT137" t="s">
        <v>103</v>
      </c>
      <c r="DU137" t="s">
        <v>1846</v>
      </c>
      <c r="DV137" t="s">
        <v>1847</v>
      </c>
      <c r="DW137" t="s">
        <v>111</v>
      </c>
      <c r="DX137">
        <v>5</v>
      </c>
      <c r="DY137">
        <v>5</v>
      </c>
      <c r="DZ137">
        <v>94.4</v>
      </c>
      <c r="EB137" s="86" t="str">
        <f t="shared" si="29"/>
        <v>159620Cross Merchan SC Johnson</v>
      </c>
      <c r="EC137">
        <v>159620</v>
      </c>
      <c r="ED137" t="s">
        <v>394</v>
      </c>
      <c r="EE137" t="s">
        <v>482</v>
      </c>
      <c r="EF137" t="s">
        <v>103</v>
      </c>
      <c r="EG137" t="s">
        <v>1880</v>
      </c>
      <c r="EH137" t="s">
        <v>1881</v>
      </c>
      <c r="EI137" t="s">
        <v>111</v>
      </c>
      <c r="EJ137">
        <v>5</v>
      </c>
      <c r="EK137">
        <v>5</v>
      </c>
      <c r="EL137">
        <v>83.62</v>
      </c>
    </row>
    <row r="138" spans="1:142" x14ac:dyDescent="0.35">
      <c r="A138" s="86" t="str">
        <f t="shared" si="30"/>
        <v>134214Share Sub Loc Pao Quente SC Johnson</v>
      </c>
      <c r="B138">
        <v>134214</v>
      </c>
      <c r="C138" t="s">
        <v>360</v>
      </c>
      <c r="D138" t="s">
        <v>103</v>
      </c>
      <c r="E138" t="s">
        <v>531</v>
      </c>
      <c r="F138" t="s">
        <v>532</v>
      </c>
      <c r="G138" t="s">
        <v>458</v>
      </c>
      <c r="H138">
        <v>61.73</v>
      </c>
      <c r="I138">
        <v>3.4</v>
      </c>
      <c r="J138">
        <v>17</v>
      </c>
      <c r="L138" s="86" t="str">
        <f t="shared" si="31"/>
        <v>133136Mix + Intocáveis SC Johnson</v>
      </c>
      <c r="M138">
        <v>133136</v>
      </c>
      <c r="N138" t="s">
        <v>338</v>
      </c>
      <c r="O138" t="s">
        <v>36</v>
      </c>
      <c r="P138" t="s">
        <v>103</v>
      </c>
      <c r="Q138" t="s">
        <v>682</v>
      </c>
      <c r="R138" t="s">
        <v>683</v>
      </c>
      <c r="S138" t="s">
        <v>459</v>
      </c>
      <c r="T138">
        <v>24.75</v>
      </c>
      <c r="U138">
        <v>45</v>
      </c>
      <c r="V138">
        <v>66.88</v>
      </c>
      <c r="X138" s="86" t="str">
        <f t="shared" si="32"/>
        <v>135870Mix + Intocáveis SC Johnson</v>
      </c>
      <c r="Y138">
        <v>135870</v>
      </c>
      <c r="Z138" t="s">
        <v>339</v>
      </c>
      <c r="AA138" t="s">
        <v>36</v>
      </c>
      <c r="AB138" t="s">
        <v>103</v>
      </c>
      <c r="AC138" t="s">
        <v>803</v>
      </c>
      <c r="AD138" t="s">
        <v>804</v>
      </c>
      <c r="AE138" t="s">
        <v>459</v>
      </c>
      <c r="AF138">
        <v>31.5</v>
      </c>
      <c r="AG138">
        <v>45</v>
      </c>
      <c r="AH138">
        <v>69.42</v>
      </c>
      <c r="AJ138" s="86" t="str">
        <f t="shared" si="33"/>
        <v>143128Share Sub Category SC Johnson</v>
      </c>
      <c r="AK138">
        <v>143128</v>
      </c>
      <c r="AL138" t="s">
        <v>391</v>
      </c>
      <c r="AM138" t="s">
        <v>539</v>
      </c>
      <c r="AN138" t="s">
        <v>103</v>
      </c>
      <c r="AO138" t="s">
        <v>998</v>
      </c>
      <c r="AP138" t="s">
        <v>999</v>
      </c>
      <c r="AQ138" t="s">
        <v>457</v>
      </c>
      <c r="AR138">
        <v>21.425000000000001</v>
      </c>
      <c r="AS138">
        <v>25</v>
      </c>
      <c r="AT138">
        <v>54.87</v>
      </c>
      <c r="AV138" s="86" t="str">
        <f t="shared" si="34"/>
        <v>136856Share Sub Category SC Johnson</v>
      </c>
      <c r="AW138">
        <v>136856</v>
      </c>
      <c r="AX138" t="s">
        <v>379</v>
      </c>
      <c r="AY138" t="s">
        <v>489</v>
      </c>
      <c r="AZ138" t="s">
        <v>103</v>
      </c>
      <c r="BA138" t="s">
        <v>1133</v>
      </c>
      <c r="BB138" t="s">
        <v>1134</v>
      </c>
      <c r="BC138" t="s">
        <v>457</v>
      </c>
      <c r="BD138">
        <v>25</v>
      </c>
      <c r="BE138">
        <v>25</v>
      </c>
      <c r="BF138">
        <v>77.73</v>
      </c>
      <c r="BH138" s="86" t="str">
        <f t="shared" si="35"/>
        <v>132039Share Sub Category SC Johnson</v>
      </c>
      <c r="BI138">
        <v>132039</v>
      </c>
      <c r="BJ138" t="s">
        <v>337</v>
      </c>
      <c r="BK138" t="s">
        <v>460</v>
      </c>
      <c r="BL138" t="s">
        <v>103</v>
      </c>
      <c r="BM138" t="s">
        <v>1147</v>
      </c>
      <c r="BN138" t="s">
        <v>1148</v>
      </c>
      <c r="BO138" t="s">
        <v>457</v>
      </c>
      <c r="BP138">
        <v>25</v>
      </c>
      <c r="BQ138">
        <v>25</v>
      </c>
      <c r="BR138">
        <v>87.92</v>
      </c>
      <c r="BT138" s="86" t="str">
        <f t="shared" si="24"/>
        <v>107838Share Sub Loc Pao Quente SC Johnson</v>
      </c>
      <c r="BU138">
        <v>107838</v>
      </c>
      <c r="BV138" t="s">
        <v>378</v>
      </c>
      <c r="BW138" t="s">
        <v>1306</v>
      </c>
      <c r="BX138" t="s">
        <v>103</v>
      </c>
      <c r="BY138" t="s">
        <v>1327</v>
      </c>
      <c r="BZ138" t="s">
        <v>1328</v>
      </c>
      <c r="CA138" t="s">
        <v>458</v>
      </c>
      <c r="CB138">
        <v>12</v>
      </c>
      <c r="CC138">
        <v>12</v>
      </c>
      <c r="CD138">
        <v>70.56</v>
      </c>
      <c r="CF138" s="86" t="str">
        <f t="shared" si="25"/>
        <v>119456Share Sub Loc Pao Quente SC Johnson</v>
      </c>
      <c r="CG138">
        <v>119456</v>
      </c>
      <c r="CH138" t="s">
        <v>389</v>
      </c>
      <c r="CI138" t="s">
        <v>482</v>
      </c>
      <c r="CJ138" t="s">
        <v>103</v>
      </c>
      <c r="CK138" t="s">
        <v>1442</v>
      </c>
      <c r="CL138" t="s">
        <v>1443</v>
      </c>
      <c r="CM138" t="s">
        <v>458</v>
      </c>
      <c r="CN138">
        <v>12</v>
      </c>
      <c r="CO138">
        <v>12</v>
      </c>
      <c r="CP138">
        <v>91.2</v>
      </c>
      <c r="CR138" s="86" t="str">
        <f t="shared" si="26"/>
        <v>119456Share Sub Loc Pao Quente SC Johnson</v>
      </c>
      <c r="CS138">
        <v>119456</v>
      </c>
      <c r="CT138" t="s">
        <v>389</v>
      </c>
      <c r="CU138" t="s">
        <v>482</v>
      </c>
      <c r="CV138" t="s">
        <v>103</v>
      </c>
      <c r="CW138" t="s">
        <v>1590</v>
      </c>
      <c r="CX138" t="s">
        <v>1591</v>
      </c>
      <c r="CY138" t="s">
        <v>458</v>
      </c>
      <c r="CZ138">
        <v>12</v>
      </c>
      <c r="DA138">
        <v>12</v>
      </c>
      <c r="DB138">
        <v>91.2</v>
      </c>
      <c r="DD138" s="86" t="str">
        <f t="shared" si="27"/>
        <v>132039Lancamentos</v>
      </c>
      <c r="DE138">
        <v>132039</v>
      </c>
      <c r="DF138" t="s">
        <v>337</v>
      </c>
      <c r="DG138" t="s">
        <v>1345</v>
      </c>
      <c r="DH138" t="s">
        <v>103</v>
      </c>
      <c r="DI138" t="s">
        <v>1642</v>
      </c>
      <c r="DJ138" t="s">
        <v>1643</v>
      </c>
      <c r="DK138" t="s">
        <v>953</v>
      </c>
      <c r="DL138">
        <v>9</v>
      </c>
      <c r="DM138">
        <v>18</v>
      </c>
      <c r="DN138">
        <v>93.6</v>
      </c>
      <c r="DP138" s="86" t="str">
        <f t="shared" si="28"/>
        <v>107838Lancamentos</v>
      </c>
      <c r="DQ138">
        <v>107838</v>
      </c>
      <c r="DR138" t="s">
        <v>378</v>
      </c>
      <c r="DS138" t="s">
        <v>1306</v>
      </c>
      <c r="DT138" t="s">
        <v>103</v>
      </c>
      <c r="DU138" t="s">
        <v>1846</v>
      </c>
      <c r="DV138" t="s">
        <v>1847</v>
      </c>
      <c r="DW138" t="s">
        <v>953</v>
      </c>
      <c r="DX138">
        <v>9</v>
      </c>
      <c r="DY138">
        <v>18</v>
      </c>
      <c r="DZ138">
        <v>94.4</v>
      </c>
      <c r="EB138" s="86" t="str">
        <f t="shared" si="29"/>
        <v>159620Lancamentos</v>
      </c>
      <c r="EC138">
        <v>159620</v>
      </c>
      <c r="ED138" t="s">
        <v>394</v>
      </c>
      <c r="EE138" t="s">
        <v>482</v>
      </c>
      <c r="EF138" t="s">
        <v>103</v>
      </c>
      <c r="EG138" t="s">
        <v>1880</v>
      </c>
      <c r="EH138" t="s">
        <v>1881</v>
      </c>
      <c r="EI138" t="s">
        <v>953</v>
      </c>
      <c r="EJ138">
        <v>9</v>
      </c>
      <c r="EK138">
        <v>18</v>
      </c>
      <c r="EL138">
        <v>83.62</v>
      </c>
    </row>
    <row r="139" spans="1:142" x14ac:dyDescent="0.35">
      <c r="A139" s="86" t="str">
        <f t="shared" si="30"/>
        <v>134214Mix + Intocáveis SC Johnson</v>
      </c>
      <c r="B139">
        <v>134214</v>
      </c>
      <c r="C139" t="s">
        <v>360</v>
      </c>
      <c r="D139" t="s">
        <v>103</v>
      </c>
      <c r="E139" t="s">
        <v>531</v>
      </c>
      <c r="F139" t="s">
        <v>532</v>
      </c>
      <c r="G139" t="s">
        <v>459</v>
      </c>
      <c r="H139">
        <v>61.73</v>
      </c>
      <c r="I139">
        <v>32.625</v>
      </c>
      <c r="J139">
        <v>45</v>
      </c>
      <c r="L139" s="86" t="str">
        <f t="shared" si="31"/>
        <v>134214Share Sub Category SC Johnson</v>
      </c>
      <c r="M139">
        <v>134214</v>
      </c>
      <c r="N139" t="s">
        <v>360</v>
      </c>
      <c r="O139" t="s">
        <v>477</v>
      </c>
      <c r="P139" t="s">
        <v>103</v>
      </c>
      <c r="Q139" t="s">
        <v>684</v>
      </c>
      <c r="R139" t="s">
        <v>685</v>
      </c>
      <c r="S139" t="s">
        <v>457</v>
      </c>
      <c r="T139">
        <v>17.13</v>
      </c>
      <c r="U139">
        <v>30</v>
      </c>
      <c r="V139">
        <v>51.76</v>
      </c>
      <c r="X139" s="86" t="str">
        <f t="shared" si="32"/>
        <v>136856Share Sub Category SC Johnson</v>
      </c>
      <c r="Y139">
        <v>136856</v>
      </c>
      <c r="Z139" t="s">
        <v>379</v>
      </c>
      <c r="AA139" t="s">
        <v>104</v>
      </c>
      <c r="AB139" t="s">
        <v>103</v>
      </c>
      <c r="AC139" t="s">
        <v>791</v>
      </c>
      <c r="AD139" t="s">
        <v>792</v>
      </c>
      <c r="AE139" t="s">
        <v>457</v>
      </c>
      <c r="AF139">
        <v>30</v>
      </c>
      <c r="AG139">
        <v>30</v>
      </c>
      <c r="AH139">
        <v>94.38</v>
      </c>
      <c r="AJ139" s="86" t="str">
        <f t="shared" si="33"/>
        <v>143128Cross Merchan SC Johnson</v>
      </c>
      <c r="AK139">
        <v>143128</v>
      </c>
      <c r="AL139" t="s">
        <v>391</v>
      </c>
      <c r="AM139" t="s">
        <v>539</v>
      </c>
      <c r="AN139" t="s">
        <v>103</v>
      </c>
      <c r="AO139" t="s">
        <v>998</v>
      </c>
      <c r="AP139" t="s">
        <v>999</v>
      </c>
      <c r="AQ139" t="s">
        <v>111</v>
      </c>
      <c r="AR139">
        <v>0</v>
      </c>
      <c r="AS139">
        <v>5</v>
      </c>
      <c r="AT139">
        <v>54.87</v>
      </c>
      <c r="AV139" s="86" t="str">
        <f t="shared" si="34"/>
        <v>136856Cross Merchan SC Johnson</v>
      </c>
      <c r="AW139">
        <v>136856</v>
      </c>
      <c r="AX139" t="s">
        <v>379</v>
      </c>
      <c r="AY139" t="s">
        <v>489</v>
      </c>
      <c r="AZ139" t="s">
        <v>103</v>
      </c>
      <c r="BA139" t="s">
        <v>1133</v>
      </c>
      <c r="BB139" t="s">
        <v>1134</v>
      </c>
      <c r="BC139" t="s">
        <v>111</v>
      </c>
      <c r="BD139">
        <v>3.335</v>
      </c>
      <c r="BE139">
        <v>5</v>
      </c>
      <c r="BF139">
        <v>77.73</v>
      </c>
      <c r="BH139" s="86" t="str">
        <f t="shared" si="35"/>
        <v>132039Cross Merchan SC Johnson</v>
      </c>
      <c r="BI139">
        <v>132039</v>
      </c>
      <c r="BJ139" t="s">
        <v>337</v>
      </c>
      <c r="BK139" t="s">
        <v>460</v>
      </c>
      <c r="BL139" t="s">
        <v>103</v>
      </c>
      <c r="BM139" t="s">
        <v>1147</v>
      </c>
      <c r="BN139" t="s">
        <v>1148</v>
      </c>
      <c r="BO139" t="s">
        <v>111</v>
      </c>
      <c r="BP139">
        <v>5</v>
      </c>
      <c r="BQ139">
        <v>5</v>
      </c>
      <c r="BR139">
        <v>87.92</v>
      </c>
      <c r="BT139" s="86" t="str">
        <f t="shared" si="24"/>
        <v>107838Cross Merchan SC Johnson</v>
      </c>
      <c r="BU139">
        <v>107838</v>
      </c>
      <c r="BV139" t="s">
        <v>378</v>
      </c>
      <c r="BW139" t="s">
        <v>1306</v>
      </c>
      <c r="BX139" t="s">
        <v>103</v>
      </c>
      <c r="BY139" t="s">
        <v>1327</v>
      </c>
      <c r="BZ139" t="s">
        <v>1328</v>
      </c>
      <c r="CA139" t="s">
        <v>111</v>
      </c>
      <c r="CB139">
        <v>3.335</v>
      </c>
      <c r="CC139">
        <v>5</v>
      </c>
      <c r="CD139">
        <v>70.56</v>
      </c>
      <c r="CF139" s="86" t="str">
        <f t="shared" si="25"/>
        <v>119456Cross Merchan SC Johnson</v>
      </c>
      <c r="CG139">
        <v>119456</v>
      </c>
      <c r="CH139" t="s">
        <v>389</v>
      </c>
      <c r="CI139" t="s">
        <v>482</v>
      </c>
      <c r="CJ139" t="s">
        <v>103</v>
      </c>
      <c r="CK139" t="s">
        <v>1442</v>
      </c>
      <c r="CL139" t="s">
        <v>1443</v>
      </c>
      <c r="CM139" t="s">
        <v>111</v>
      </c>
      <c r="CN139">
        <v>5</v>
      </c>
      <c r="CO139">
        <v>5</v>
      </c>
      <c r="CP139">
        <v>91.2</v>
      </c>
      <c r="CR139" s="86" t="str">
        <f t="shared" si="26"/>
        <v>119456Cross Merchan SC Johnson</v>
      </c>
      <c r="CS139">
        <v>119456</v>
      </c>
      <c r="CT139" t="s">
        <v>389</v>
      </c>
      <c r="CU139" t="s">
        <v>482</v>
      </c>
      <c r="CV139" t="s">
        <v>103</v>
      </c>
      <c r="CW139" t="s">
        <v>1590</v>
      </c>
      <c r="CX139" t="s">
        <v>1591</v>
      </c>
      <c r="CY139" t="s">
        <v>111</v>
      </c>
      <c r="CZ139">
        <v>5</v>
      </c>
      <c r="DA139">
        <v>5</v>
      </c>
      <c r="DB139">
        <v>91.2</v>
      </c>
      <c r="DD139" s="86" t="str">
        <f t="shared" si="27"/>
        <v>132039Share Sub Category SC Johnson</v>
      </c>
      <c r="DE139">
        <v>132039</v>
      </c>
      <c r="DF139" t="s">
        <v>337</v>
      </c>
      <c r="DG139" t="s">
        <v>1345</v>
      </c>
      <c r="DH139" t="s">
        <v>103</v>
      </c>
      <c r="DI139" t="s">
        <v>1642</v>
      </c>
      <c r="DJ139" t="s">
        <v>1643</v>
      </c>
      <c r="DK139" t="s">
        <v>457</v>
      </c>
      <c r="DL139">
        <v>25</v>
      </c>
      <c r="DM139">
        <v>25</v>
      </c>
      <c r="DN139">
        <v>93.6</v>
      </c>
      <c r="DP139" s="86" t="str">
        <f t="shared" si="28"/>
        <v>107838Share Sub Category SC Johnson</v>
      </c>
      <c r="DQ139">
        <v>107838</v>
      </c>
      <c r="DR139" t="s">
        <v>378</v>
      </c>
      <c r="DS139" t="s">
        <v>1306</v>
      </c>
      <c r="DT139" t="s">
        <v>103</v>
      </c>
      <c r="DU139" t="s">
        <v>1846</v>
      </c>
      <c r="DV139" t="s">
        <v>1847</v>
      </c>
      <c r="DW139" t="s">
        <v>457</v>
      </c>
      <c r="DX139">
        <v>25</v>
      </c>
      <c r="DY139">
        <v>25</v>
      </c>
      <c r="DZ139">
        <v>94.4</v>
      </c>
      <c r="EB139" s="86" t="str">
        <f t="shared" si="29"/>
        <v>159620Share Sub Category SC Johnson</v>
      </c>
      <c r="EC139">
        <v>159620</v>
      </c>
      <c r="ED139" t="s">
        <v>394</v>
      </c>
      <c r="EE139" t="s">
        <v>482</v>
      </c>
      <c r="EF139" t="s">
        <v>103</v>
      </c>
      <c r="EG139" t="s">
        <v>1880</v>
      </c>
      <c r="EH139" t="s">
        <v>1881</v>
      </c>
      <c r="EI139" t="s">
        <v>457</v>
      </c>
      <c r="EJ139">
        <v>21.425000000000001</v>
      </c>
      <c r="EK139">
        <v>25</v>
      </c>
      <c r="EL139">
        <v>83.62</v>
      </c>
    </row>
    <row r="140" spans="1:142" x14ac:dyDescent="0.35">
      <c r="A140" s="86" t="str">
        <f t="shared" si="30"/>
        <v>135870Share Sub Category SC Johnson</v>
      </c>
      <c r="B140">
        <v>135870</v>
      </c>
      <c r="C140" t="s">
        <v>339</v>
      </c>
      <c r="D140" t="s">
        <v>103</v>
      </c>
      <c r="E140" t="s">
        <v>533</v>
      </c>
      <c r="F140" t="s">
        <v>534</v>
      </c>
      <c r="G140" t="s">
        <v>457</v>
      </c>
      <c r="H140">
        <v>63.39</v>
      </c>
      <c r="I140">
        <v>30</v>
      </c>
      <c r="J140">
        <v>30</v>
      </c>
      <c r="L140" s="86" t="str">
        <f t="shared" si="31"/>
        <v>134214Cross Merchan SC Johnson</v>
      </c>
      <c r="M140">
        <v>134214</v>
      </c>
      <c r="N140" t="s">
        <v>360</v>
      </c>
      <c r="O140" t="s">
        <v>477</v>
      </c>
      <c r="P140" t="s">
        <v>103</v>
      </c>
      <c r="Q140" t="s">
        <v>684</v>
      </c>
      <c r="R140" t="s">
        <v>685</v>
      </c>
      <c r="S140" t="s">
        <v>111</v>
      </c>
      <c r="T140">
        <v>0</v>
      </c>
      <c r="U140">
        <v>8</v>
      </c>
      <c r="V140">
        <v>51.76</v>
      </c>
      <c r="X140" s="86" t="str">
        <f t="shared" si="32"/>
        <v>136856Cross Merchan SC Johnson</v>
      </c>
      <c r="Y140">
        <v>136856</v>
      </c>
      <c r="Z140" t="s">
        <v>379</v>
      </c>
      <c r="AA140" t="s">
        <v>104</v>
      </c>
      <c r="AB140" t="s">
        <v>103</v>
      </c>
      <c r="AC140" t="s">
        <v>791</v>
      </c>
      <c r="AD140" t="s">
        <v>792</v>
      </c>
      <c r="AE140" t="s">
        <v>111</v>
      </c>
      <c r="AF140">
        <v>8</v>
      </c>
      <c r="AG140">
        <v>8</v>
      </c>
      <c r="AH140">
        <v>94.38</v>
      </c>
      <c r="AJ140" s="86" t="str">
        <f t="shared" si="33"/>
        <v>143128Share Sub Loc Pao Quente SC Johnson</v>
      </c>
      <c r="AK140">
        <v>143128</v>
      </c>
      <c r="AL140" t="s">
        <v>391</v>
      </c>
      <c r="AM140" t="s">
        <v>539</v>
      </c>
      <c r="AN140" t="s">
        <v>103</v>
      </c>
      <c r="AO140" t="s">
        <v>998</v>
      </c>
      <c r="AP140" t="s">
        <v>999</v>
      </c>
      <c r="AQ140" t="s">
        <v>458</v>
      </c>
      <c r="AR140">
        <v>3</v>
      </c>
      <c r="AS140">
        <v>12</v>
      </c>
      <c r="AT140">
        <v>54.87</v>
      </c>
      <c r="AV140" s="86" t="str">
        <f t="shared" si="34"/>
        <v>136856Share Sub Loc Pao Quente SC Johnson</v>
      </c>
      <c r="AW140">
        <v>136856</v>
      </c>
      <c r="AX140" t="s">
        <v>379</v>
      </c>
      <c r="AY140" t="s">
        <v>489</v>
      </c>
      <c r="AZ140" t="s">
        <v>103</v>
      </c>
      <c r="BA140" t="s">
        <v>1133</v>
      </c>
      <c r="BB140" t="s">
        <v>1134</v>
      </c>
      <c r="BC140" t="s">
        <v>458</v>
      </c>
      <c r="BD140">
        <v>12</v>
      </c>
      <c r="BE140">
        <v>12</v>
      </c>
      <c r="BF140">
        <v>77.73</v>
      </c>
      <c r="BH140" s="86" t="str">
        <f t="shared" si="35"/>
        <v>132039Share Sub Loc Pao Quente SC Johnson</v>
      </c>
      <c r="BI140">
        <v>132039</v>
      </c>
      <c r="BJ140" t="s">
        <v>337</v>
      </c>
      <c r="BK140" t="s">
        <v>460</v>
      </c>
      <c r="BL140" t="s">
        <v>103</v>
      </c>
      <c r="BM140" t="s">
        <v>1147</v>
      </c>
      <c r="BN140" t="s">
        <v>1148</v>
      </c>
      <c r="BO140" t="s">
        <v>458</v>
      </c>
      <c r="BP140">
        <v>6</v>
      </c>
      <c r="BQ140">
        <v>12</v>
      </c>
      <c r="BR140">
        <v>87.92</v>
      </c>
      <c r="BT140" s="86" t="str">
        <f t="shared" si="24"/>
        <v>107838Execucao Bonus</v>
      </c>
      <c r="BU140">
        <v>107838</v>
      </c>
      <c r="BV140" t="s">
        <v>378</v>
      </c>
      <c r="BW140" t="s">
        <v>1306</v>
      </c>
      <c r="BX140" t="s">
        <v>103</v>
      </c>
      <c r="BY140" t="s">
        <v>1327</v>
      </c>
      <c r="BZ140" t="s">
        <v>1328</v>
      </c>
      <c r="CA140" t="s">
        <v>1291</v>
      </c>
      <c r="CB140">
        <v>0</v>
      </c>
      <c r="CC140">
        <v>5</v>
      </c>
      <c r="CD140">
        <v>70.56</v>
      </c>
      <c r="CF140" s="86" t="str">
        <f t="shared" si="25"/>
        <v>119456Execucao Bonus</v>
      </c>
      <c r="CG140">
        <v>119456</v>
      </c>
      <c r="CH140" t="s">
        <v>389</v>
      </c>
      <c r="CI140" t="s">
        <v>482</v>
      </c>
      <c r="CJ140" t="s">
        <v>103</v>
      </c>
      <c r="CK140" t="s">
        <v>1442</v>
      </c>
      <c r="CL140" t="s">
        <v>1443</v>
      </c>
      <c r="CM140" t="s">
        <v>1291</v>
      </c>
      <c r="CN140">
        <v>5</v>
      </c>
      <c r="CO140">
        <v>5</v>
      </c>
      <c r="CP140">
        <v>91.2</v>
      </c>
      <c r="CR140" s="86" t="str">
        <f t="shared" si="26"/>
        <v>119456Execucao Bonus</v>
      </c>
      <c r="CS140">
        <v>119456</v>
      </c>
      <c r="CT140" t="s">
        <v>389</v>
      </c>
      <c r="CU140" t="s">
        <v>482</v>
      </c>
      <c r="CV140" t="s">
        <v>103</v>
      </c>
      <c r="CW140" t="s">
        <v>1590</v>
      </c>
      <c r="CX140" t="s">
        <v>1591</v>
      </c>
      <c r="CY140" t="s">
        <v>1291</v>
      </c>
      <c r="CZ140">
        <v>5</v>
      </c>
      <c r="DA140">
        <v>5</v>
      </c>
      <c r="DB140">
        <v>91.2</v>
      </c>
      <c r="DD140" s="86" t="str">
        <f t="shared" si="27"/>
        <v>132039Share Sub Loc Pao Quente SC Johnson</v>
      </c>
      <c r="DE140">
        <v>132039</v>
      </c>
      <c r="DF140" t="s">
        <v>337</v>
      </c>
      <c r="DG140" t="s">
        <v>1345</v>
      </c>
      <c r="DH140" t="s">
        <v>103</v>
      </c>
      <c r="DI140" t="s">
        <v>1642</v>
      </c>
      <c r="DJ140" t="s">
        <v>1643</v>
      </c>
      <c r="DK140" t="s">
        <v>458</v>
      </c>
      <c r="DL140">
        <v>12</v>
      </c>
      <c r="DM140">
        <v>12</v>
      </c>
      <c r="DN140">
        <v>93.6</v>
      </c>
      <c r="DP140" s="86" t="str">
        <f t="shared" si="28"/>
        <v>107838Share Sub Loc Pao Quente SC Johnson</v>
      </c>
      <c r="DQ140">
        <v>107838</v>
      </c>
      <c r="DR140" t="s">
        <v>378</v>
      </c>
      <c r="DS140" t="s">
        <v>1306</v>
      </c>
      <c r="DT140" t="s">
        <v>103</v>
      </c>
      <c r="DU140" t="s">
        <v>1846</v>
      </c>
      <c r="DV140" t="s">
        <v>1847</v>
      </c>
      <c r="DW140" t="s">
        <v>458</v>
      </c>
      <c r="DX140">
        <v>12</v>
      </c>
      <c r="DY140">
        <v>12</v>
      </c>
      <c r="DZ140">
        <v>94.4</v>
      </c>
      <c r="EB140" s="86" t="str">
        <f t="shared" si="29"/>
        <v>159620Share Sub Loc Pao Quente SC Johnson</v>
      </c>
      <c r="EC140">
        <v>159620</v>
      </c>
      <c r="ED140" t="s">
        <v>394</v>
      </c>
      <c r="EE140" t="s">
        <v>482</v>
      </c>
      <c r="EF140" t="s">
        <v>103</v>
      </c>
      <c r="EG140" t="s">
        <v>1880</v>
      </c>
      <c r="EH140" t="s">
        <v>1881</v>
      </c>
      <c r="EI140" t="s">
        <v>458</v>
      </c>
      <c r="EJ140">
        <v>12</v>
      </c>
      <c r="EK140">
        <v>12</v>
      </c>
      <c r="EL140">
        <v>83.62</v>
      </c>
    </row>
    <row r="141" spans="1:142" x14ac:dyDescent="0.35">
      <c r="A141" s="86" t="str">
        <f t="shared" si="30"/>
        <v>135870Cross Merchan SC Johnson</v>
      </c>
      <c r="B141">
        <v>135870</v>
      </c>
      <c r="C141" t="s">
        <v>339</v>
      </c>
      <c r="D141" t="s">
        <v>103</v>
      </c>
      <c r="E141" t="s">
        <v>533</v>
      </c>
      <c r="F141" t="s">
        <v>534</v>
      </c>
      <c r="G141" t="s">
        <v>111</v>
      </c>
      <c r="H141">
        <v>63.39</v>
      </c>
      <c r="I141">
        <v>8</v>
      </c>
      <c r="J141">
        <v>8</v>
      </c>
      <c r="L141" s="86" t="str">
        <f t="shared" si="31"/>
        <v>134214Share Sub Loc Pao Quente SC Johnson</v>
      </c>
      <c r="M141">
        <v>134214</v>
      </c>
      <c r="N141" t="s">
        <v>360</v>
      </c>
      <c r="O141" t="s">
        <v>477</v>
      </c>
      <c r="P141" t="s">
        <v>103</v>
      </c>
      <c r="Q141" t="s">
        <v>684</v>
      </c>
      <c r="R141" t="s">
        <v>685</v>
      </c>
      <c r="S141" t="s">
        <v>458</v>
      </c>
      <c r="T141">
        <v>4.25</v>
      </c>
      <c r="U141">
        <v>17</v>
      </c>
      <c r="V141">
        <v>51.76</v>
      </c>
      <c r="X141" s="86" t="str">
        <f t="shared" si="32"/>
        <v>136856Share Sub Loc Pao Quente SC Johnson</v>
      </c>
      <c r="Y141">
        <v>136856</v>
      </c>
      <c r="Z141" t="s">
        <v>379</v>
      </c>
      <c r="AA141" t="s">
        <v>104</v>
      </c>
      <c r="AB141" t="s">
        <v>103</v>
      </c>
      <c r="AC141" t="s">
        <v>791</v>
      </c>
      <c r="AD141" t="s">
        <v>792</v>
      </c>
      <c r="AE141" t="s">
        <v>458</v>
      </c>
      <c r="AF141">
        <v>17</v>
      </c>
      <c r="AG141">
        <v>17</v>
      </c>
      <c r="AH141">
        <v>94.38</v>
      </c>
      <c r="AJ141" s="86" t="str">
        <f t="shared" si="33"/>
        <v>143128Mix + Intocáveis SC Johnson</v>
      </c>
      <c r="AK141">
        <v>143128</v>
      </c>
      <c r="AL141" t="s">
        <v>391</v>
      </c>
      <c r="AM141" t="s">
        <v>539</v>
      </c>
      <c r="AN141" t="s">
        <v>103</v>
      </c>
      <c r="AO141" t="s">
        <v>998</v>
      </c>
      <c r="AP141" t="s">
        <v>999</v>
      </c>
      <c r="AQ141" t="s">
        <v>459</v>
      </c>
      <c r="AR141">
        <v>30.44</v>
      </c>
      <c r="AS141">
        <v>40</v>
      </c>
      <c r="AT141">
        <v>54.87</v>
      </c>
      <c r="AV141" s="86" t="str">
        <f t="shared" si="34"/>
        <v>136856Mix + Intocáveis SC Johnson</v>
      </c>
      <c r="AW141">
        <v>136856</v>
      </c>
      <c r="AX141" t="s">
        <v>379</v>
      </c>
      <c r="AY141" t="s">
        <v>489</v>
      </c>
      <c r="AZ141" t="s">
        <v>103</v>
      </c>
      <c r="BA141" t="s">
        <v>1133</v>
      </c>
      <c r="BB141" t="s">
        <v>1134</v>
      </c>
      <c r="BC141" t="s">
        <v>459</v>
      </c>
      <c r="BD141">
        <v>37.4</v>
      </c>
      <c r="BE141">
        <v>40</v>
      </c>
      <c r="BF141">
        <v>77.73</v>
      </c>
      <c r="BH141" s="86" t="str">
        <f t="shared" si="35"/>
        <v>132039Mix + Intocáveis SC Johnson</v>
      </c>
      <c r="BI141">
        <v>132039</v>
      </c>
      <c r="BJ141" t="s">
        <v>337</v>
      </c>
      <c r="BK141" t="s">
        <v>460</v>
      </c>
      <c r="BL141" t="s">
        <v>103</v>
      </c>
      <c r="BM141" t="s">
        <v>1147</v>
      </c>
      <c r="BN141" t="s">
        <v>1148</v>
      </c>
      <c r="BO141" t="s">
        <v>459</v>
      </c>
      <c r="BP141">
        <v>33.92</v>
      </c>
      <c r="BQ141">
        <v>40</v>
      </c>
      <c r="BR141">
        <v>87.92</v>
      </c>
      <c r="BT141" s="86" t="str">
        <f t="shared" si="24"/>
        <v>119456Lancamentos</v>
      </c>
      <c r="BU141">
        <v>119456</v>
      </c>
      <c r="BV141" t="s">
        <v>389</v>
      </c>
      <c r="BW141" t="s">
        <v>482</v>
      </c>
      <c r="BX141" t="s">
        <v>103</v>
      </c>
      <c r="BY141" t="s">
        <v>1329</v>
      </c>
      <c r="BZ141" t="s">
        <v>1330</v>
      </c>
      <c r="CA141" t="s">
        <v>953</v>
      </c>
      <c r="CB141">
        <v>9</v>
      </c>
      <c r="CC141">
        <v>18</v>
      </c>
      <c r="CD141">
        <v>88.8</v>
      </c>
      <c r="CF141" s="86" t="str">
        <f t="shared" si="25"/>
        <v>132039Lancamentos</v>
      </c>
      <c r="CG141">
        <v>132039</v>
      </c>
      <c r="CH141" t="s">
        <v>337</v>
      </c>
      <c r="CI141" t="s">
        <v>1345</v>
      </c>
      <c r="CJ141" t="s">
        <v>103</v>
      </c>
      <c r="CK141" t="s">
        <v>1402</v>
      </c>
      <c r="CL141" t="s">
        <v>1403</v>
      </c>
      <c r="CM141" t="s">
        <v>953</v>
      </c>
      <c r="CN141">
        <v>18</v>
      </c>
      <c r="CO141">
        <v>18</v>
      </c>
      <c r="CP141">
        <v>100.2</v>
      </c>
      <c r="CR141" s="86" t="str">
        <f t="shared" si="26"/>
        <v>124155Lancamentos</v>
      </c>
      <c r="CS141">
        <v>124155</v>
      </c>
      <c r="CT141" t="s">
        <v>336</v>
      </c>
      <c r="CU141" t="s">
        <v>1306</v>
      </c>
      <c r="CV141" t="s">
        <v>103</v>
      </c>
      <c r="CW141" t="s">
        <v>1538</v>
      </c>
      <c r="CX141" t="s">
        <v>1539</v>
      </c>
      <c r="CY141" t="s">
        <v>953</v>
      </c>
      <c r="CZ141">
        <v>18</v>
      </c>
      <c r="DA141">
        <v>18</v>
      </c>
      <c r="DB141">
        <v>100.2</v>
      </c>
      <c r="DD141" s="86" t="str">
        <f t="shared" si="27"/>
        <v>133136Mix + Intocáveis SC Johnson</v>
      </c>
      <c r="DE141">
        <v>133136</v>
      </c>
      <c r="DF141" t="s">
        <v>338</v>
      </c>
      <c r="DG141" t="s">
        <v>1306</v>
      </c>
      <c r="DH141" t="s">
        <v>103</v>
      </c>
      <c r="DI141" t="s">
        <v>1696</v>
      </c>
      <c r="DJ141" t="s">
        <v>1697</v>
      </c>
      <c r="DK141" t="s">
        <v>459</v>
      </c>
      <c r="DL141">
        <v>34.4</v>
      </c>
      <c r="DM141">
        <v>40</v>
      </c>
      <c r="DN141">
        <v>84.4</v>
      </c>
      <c r="DP141" s="86" t="str">
        <f t="shared" si="28"/>
        <v>119456Mix + Intocáveis SC Johnson</v>
      </c>
      <c r="DQ141">
        <v>119456</v>
      </c>
      <c r="DR141" t="s">
        <v>389</v>
      </c>
      <c r="DS141" t="s">
        <v>482</v>
      </c>
      <c r="DT141" t="s">
        <v>103</v>
      </c>
      <c r="DU141" t="s">
        <v>1752</v>
      </c>
      <c r="DV141" t="s">
        <v>1753</v>
      </c>
      <c r="DW141" t="s">
        <v>459</v>
      </c>
      <c r="DX141">
        <v>35.200000000000003</v>
      </c>
      <c r="DY141">
        <v>40</v>
      </c>
      <c r="DZ141">
        <v>96.62</v>
      </c>
      <c r="EB141" s="86" t="str">
        <f t="shared" si="29"/>
        <v>164006Mix + Intocáveis SC Johnson</v>
      </c>
      <c r="EC141">
        <v>164006</v>
      </c>
      <c r="ED141" t="s">
        <v>395</v>
      </c>
      <c r="EE141" t="s">
        <v>482</v>
      </c>
      <c r="EF141" t="s">
        <v>103</v>
      </c>
      <c r="EG141" t="s">
        <v>1924</v>
      </c>
      <c r="EH141" t="s">
        <v>1925</v>
      </c>
      <c r="EI141" t="s">
        <v>459</v>
      </c>
      <c r="EJ141">
        <v>24.8</v>
      </c>
      <c r="EK141">
        <v>40</v>
      </c>
      <c r="EL141">
        <v>89.8</v>
      </c>
    </row>
    <row r="142" spans="1:142" x14ac:dyDescent="0.35">
      <c r="A142" s="86" t="str">
        <f t="shared" si="30"/>
        <v>135870Share Sub Loc Pao Quente SC Johnson</v>
      </c>
      <c r="B142">
        <v>135870</v>
      </c>
      <c r="C142" t="s">
        <v>339</v>
      </c>
      <c r="D142" t="s">
        <v>103</v>
      </c>
      <c r="E142" t="s">
        <v>533</v>
      </c>
      <c r="F142" t="s">
        <v>534</v>
      </c>
      <c r="G142" t="s">
        <v>458</v>
      </c>
      <c r="H142">
        <v>63.39</v>
      </c>
      <c r="I142">
        <v>10.199999999999999</v>
      </c>
      <c r="J142">
        <v>17</v>
      </c>
      <c r="L142" s="86" t="str">
        <f t="shared" si="31"/>
        <v>134214Mix + Intocáveis SC Johnson</v>
      </c>
      <c r="M142">
        <v>134214</v>
      </c>
      <c r="N142" t="s">
        <v>360</v>
      </c>
      <c r="O142" t="s">
        <v>477</v>
      </c>
      <c r="P142" t="s">
        <v>103</v>
      </c>
      <c r="Q142" t="s">
        <v>684</v>
      </c>
      <c r="R142" t="s">
        <v>685</v>
      </c>
      <c r="S142" t="s">
        <v>459</v>
      </c>
      <c r="T142">
        <v>30.375</v>
      </c>
      <c r="U142">
        <v>45</v>
      </c>
      <c r="V142">
        <v>51.76</v>
      </c>
      <c r="X142" s="86" t="str">
        <f t="shared" si="32"/>
        <v>136856Mix + Intocáveis SC Johnson</v>
      </c>
      <c r="Y142">
        <v>136856</v>
      </c>
      <c r="Z142" t="s">
        <v>379</v>
      </c>
      <c r="AA142" t="s">
        <v>104</v>
      </c>
      <c r="AB142" t="s">
        <v>103</v>
      </c>
      <c r="AC142" t="s">
        <v>791</v>
      </c>
      <c r="AD142" t="s">
        <v>792</v>
      </c>
      <c r="AE142" t="s">
        <v>459</v>
      </c>
      <c r="AF142">
        <v>39.375</v>
      </c>
      <c r="AG142">
        <v>45</v>
      </c>
      <c r="AH142">
        <v>94.38</v>
      </c>
      <c r="AJ142" s="86" t="str">
        <f t="shared" si="33"/>
        <v>143128Lancamentos</v>
      </c>
      <c r="AK142">
        <v>143128</v>
      </c>
      <c r="AL142" t="s">
        <v>391</v>
      </c>
      <c r="AM142" t="s">
        <v>539</v>
      </c>
      <c r="AN142" t="s">
        <v>103</v>
      </c>
      <c r="AO142" t="s">
        <v>998</v>
      </c>
      <c r="AP142" t="s">
        <v>999</v>
      </c>
      <c r="AQ142" t="s">
        <v>953</v>
      </c>
      <c r="AR142">
        <v>0</v>
      </c>
      <c r="AS142">
        <v>18</v>
      </c>
      <c r="AT142">
        <v>54.87</v>
      </c>
      <c r="AV142" s="86" t="str">
        <f t="shared" si="34"/>
        <v>136856Lancamentos</v>
      </c>
      <c r="AW142">
        <v>136856</v>
      </c>
      <c r="AX142" t="s">
        <v>379</v>
      </c>
      <c r="AY142" t="s">
        <v>489</v>
      </c>
      <c r="AZ142" t="s">
        <v>103</v>
      </c>
      <c r="BA142" t="s">
        <v>1133</v>
      </c>
      <c r="BB142" t="s">
        <v>1134</v>
      </c>
      <c r="BC142" t="s">
        <v>953</v>
      </c>
      <c r="BD142">
        <v>0</v>
      </c>
      <c r="BE142">
        <v>18</v>
      </c>
      <c r="BF142">
        <v>77.73</v>
      </c>
      <c r="BH142" s="86" t="str">
        <f t="shared" si="35"/>
        <v>132039Lancamentos</v>
      </c>
      <c r="BI142">
        <v>132039</v>
      </c>
      <c r="BJ142" t="s">
        <v>337</v>
      </c>
      <c r="BK142" t="s">
        <v>460</v>
      </c>
      <c r="BL142" t="s">
        <v>103</v>
      </c>
      <c r="BM142" t="s">
        <v>1147</v>
      </c>
      <c r="BN142" t="s">
        <v>1148</v>
      </c>
      <c r="BO142" t="s">
        <v>953</v>
      </c>
      <c r="BP142">
        <v>18</v>
      </c>
      <c r="BQ142">
        <v>18</v>
      </c>
      <c r="BR142">
        <v>87.92</v>
      </c>
      <c r="BT142" s="86" t="str">
        <f t="shared" si="24"/>
        <v>119456Mix + Intocáveis SC Johnson</v>
      </c>
      <c r="BU142">
        <v>119456</v>
      </c>
      <c r="BV142" t="s">
        <v>389</v>
      </c>
      <c r="BW142" t="s">
        <v>482</v>
      </c>
      <c r="BX142" t="s">
        <v>103</v>
      </c>
      <c r="BY142" t="s">
        <v>1329</v>
      </c>
      <c r="BZ142" t="s">
        <v>1330</v>
      </c>
      <c r="CA142" t="s">
        <v>459</v>
      </c>
      <c r="CB142">
        <v>32.799999999999997</v>
      </c>
      <c r="CC142">
        <v>40</v>
      </c>
      <c r="CD142">
        <v>88.8</v>
      </c>
      <c r="CF142" s="86" t="str">
        <f t="shared" si="25"/>
        <v>132039Mix + Intocáveis SC Johnson</v>
      </c>
      <c r="CG142">
        <v>132039</v>
      </c>
      <c r="CH142" t="s">
        <v>337</v>
      </c>
      <c r="CI142" t="s">
        <v>1345</v>
      </c>
      <c r="CJ142" t="s">
        <v>103</v>
      </c>
      <c r="CK142" t="s">
        <v>1402</v>
      </c>
      <c r="CL142" t="s">
        <v>1403</v>
      </c>
      <c r="CM142" t="s">
        <v>459</v>
      </c>
      <c r="CN142">
        <v>35.200000000000003</v>
      </c>
      <c r="CO142">
        <v>40</v>
      </c>
      <c r="CP142">
        <v>100.2</v>
      </c>
      <c r="CR142" s="86" t="str">
        <f t="shared" si="26"/>
        <v>124155Mix + Intocáveis SC Johnson</v>
      </c>
      <c r="CS142">
        <v>124155</v>
      </c>
      <c r="CT142" t="s">
        <v>336</v>
      </c>
      <c r="CU142" t="s">
        <v>1306</v>
      </c>
      <c r="CV142" t="s">
        <v>103</v>
      </c>
      <c r="CW142" t="s">
        <v>1538</v>
      </c>
      <c r="CX142" t="s">
        <v>1539</v>
      </c>
      <c r="CY142" t="s">
        <v>459</v>
      </c>
      <c r="CZ142">
        <v>35.200000000000003</v>
      </c>
      <c r="DA142">
        <v>40</v>
      </c>
      <c r="DB142">
        <v>100.2</v>
      </c>
      <c r="DD142" s="86" t="str">
        <f t="shared" si="27"/>
        <v>133136Execucao Bonus</v>
      </c>
      <c r="DE142">
        <v>133136</v>
      </c>
      <c r="DF142" t="s">
        <v>338</v>
      </c>
      <c r="DG142" t="s">
        <v>1306</v>
      </c>
      <c r="DH142" t="s">
        <v>103</v>
      </c>
      <c r="DI142" t="s">
        <v>1696</v>
      </c>
      <c r="DJ142" t="s">
        <v>1697</v>
      </c>
      <c r="DK142" t="s">
        <v>1291</v>
      </c>
      <c r="DL142">
        <v>5</v>
      </c>
      <c r="DM142">
        <v>5</v>
      </c>
      <c r="DN142">
        <v>84.4</v>
      </c>
      <c r="DP142" s="86" t="str">
        <f t="shared" si="28"/>
        <v>119456Execucao Bonus</v>
      </c>
      <c r="DQ142">
        <v>119456</v>
      </c>
      <c r="DR142" t="s">
        <v>389</v>
      </c>
      <c r="DS142" t="s">
        <v>482</v>
      </c>
      <c r="DT142" t="s">
        <v>103</v>
      </c>
      <c r="DU142" t="s">
        <v>1752</v>
      </c>
      <c r="DV142" t="s">
        <v>1753</v>
      </c>
      <c r="DW142" t="s">
        <v>1291</v>
      </c>
      <c r="DX142">
        <v>5</v>
      </c>
      <c r="DY142">
        <v>5</v>
      </c>
      <c r="DZ142">
        <v>96.62</v>
      </c>
      <c r="EB142" s="86" t="str">
        <f t="shared" si="29"/>
        <v>164006Execucao Bonus</v>
      </c>
      <c r="EC142">
        <v>164006</v>
      </c>
      <c r="ED142" t="s">
        <v>395</v>
      </c>
      <c r="EE142" t="s">
        <v>482</v>
      </c>
      <c r="EF142" t="s">
        <v>103</v>
      </c>
      <c r="EG142" t="s">
        <v>1924</v>
      </c>
      <c r="EH142" t="s">
        <v>1925</v>
      </c>
      <c r="EI142" t="s">
        <v>1291</v>
      </c>
      <c r="EJ142">
        <v>5</v>
      </c>
      <c r="EK142">
        <v>5</v>
      </c>
      <c r="EL142">
        <v>89.8</v>
      </c>
    </row>
    <row r="143" spans="1:142" x14ac:dyDescent="0.35">
      <c r="A143" s="86" t="str">
        <f t="shared" si="30"/>
        <v>135870Mix + Intocáveis SC Johnson</v>
      </c>
      <c r="B143">
        <v>135870</v>
      </c>
      <c r="C143" t="s">
        <v>339</v>
      </c>
      <c r="D143" t="s">
        <v>103</v>
      </c>
      <c r="E143" t="s">
        <v>533</v>
      </c>
      <c r="F143" t="s">
        <v>534</v>
      </c>
      <c r="G143" t="s">
        <v>459</v>
      </c>
      <c r="H143">
        <v>63.39</v>
      </c>
      <c r="I143">
        <v>15.1875</v>
      </c>
      <c r="J143">
        <v>45</v>
      </c>
      <c r="L143" s="86" t="str">
        <f t="shared" si="31"/>
        <v>135870Share Sub Category SC Johnson</v>
      </c>
      <c r="M143">
        <v>135870</v>
      </c>
      <c r="N143" t="s">
        <v>339</v>
      </c>
      <c r="O143" t="s">
        <v>36</v>
      </c>
      <c r="P143" t="s">
        <v>103</v>
      </c>
      <c r="Q143" t="s">
        <v>686</v>
      </c>
      <c r="R143" t="s">
        <v>687</v>
      </c>
      <c r="S143" t="s">
        <v>457</v>
      </c>
      <c r="T143">
        <v>21.42</v>
      </c>
      <c r="U143">
        <v>30</v>
      </c>
      <c r="V143">
        <v>43.42</v>
      </c>
      <c r="X143" s="86" t="str">
        <f t="shared" si="32"/>
        <v>143032Share Sub Category SC Johnson</v>
      </c>
      <c r="Y143">
        <v>143032</v>
      </c>
      <c r="Z143" t="s">
        <v>340</v>
      </c>
      <c r="AA143" t="s">
        <v>36</v>
      </c>
      <c r="AB143" t="s">
        <v>103</v>
      </c>
      <c r="AC143" t="s">
        <v>837</v>
      </c>
      <c r="AD143" t="s">
        <v>838</v>
      </c>
      <c r="AE143" t="s">
        <v>457</v>
      </c>
      <c r="AF143">
        <v>25.71</v>
      </c>
      <c r="AG143">
        <v>30</v>
      </c>
      <c r="AH143">
        <v>60.52</v>
      </c>
      <c r="AJ143" s="86" t="str">
        <f t="shared" si="33"/>
        <v>144056Share Sub Category SC Johnson</v>
      </c>
      <c r="AK143">
        <v>144056</v>
      </c>
      <c r="AL143" t="s">
        <v>392</v>
      </c>
      <c r="AM143" t="s">
        <v>36</v>
      </c>
      <c r="AN143" t="s">
        <v>103</v>
      </c>
      <c r="AO143" t="s">
        <v>956</v>
      </c>
      <c r="AP143" t="s">
        <v>957</v>
      </c>
      <c r="AQ143" t="s">
        <v>457</v>
      </c>
      <c r="AR143">
        <v>17.850000000000001</v>
      </c>
      <c r="AS143">
        <v>25</v>
      </c>
      <c r="AT143">
        <v>57.19</v>
      </c>
      <c r="AV143" s="86" t="str">
        <f t="shared" si="34"/>
        <v>144056Share Sub Category SC Johnson</v>
      </c>
      <c r="AW143">
        <v>144056</v>
      </c>
      <c r="AX143" t="s">
        <v>392</v>
      </c>
      <c r="AY143" t="s">
        <v>36</v>
      </c>
      <c r="AZ143" t="s">
        <v>103</v>
      </c>
      <c r="BA143" t="s">
        <v>1079</v>
      </c>
      <c r="BB143" t="s">
        <v>1080</v>
      </c>
      <c r="BC143" t="s">
        <v>457</v>
      </c>
      <c r="BD143">
        <v>25</v>
      </c>
      <c r="BE143">
        <v>25</v>
      </c>
      <c r="BF143">
        <v>66.11</v>
      </c>
      <c r="BH143" s="86" t="str">
        <f t="shared" si="35"/>
        <v>133136Share Sub Category SC Johnson</v>
      </c>
      <c r="BI143">
        <v>133136</v>
      </c>
      <c r="BJ143" t="s">
        <v>338</v>
      </c>
      <c r="BK143" t="s">
        <v>36</v>
      </c>
      <c r="BL143" t="s">
        <v>103</v>
      </c>
      <c r="BM143" t="s">
        <v>1169</v>
      </c>
      <c r="BN143" t="s">
        <v>1170</v>
      </c>
      <c r="BO143" t="s">
        <v>457</v>
      </c>
      <c r="BP143">
        <v>25</v>
      </c>
      <c r="BQ143">
        <v>25</v>
      </c>
      <c r="BR143">
        <v>50.38</v>
      </c>
      <c r="BT143" s="86" t="str">
        <f t="shared" si="24"/>
        <v>119456Share Sub Category SC Johnson</v>
      </c>
      <c r="BU143">
        <v>119456</v>
      </c>
      <c r="BV143" t="s">
        <v>389</v>
      </c>
      <c r="BW143" t="s">
        <v>482</v>
      </c>
      <c r="BX143" t="s">
        <v>103</v>
      </c>
      <c r="BY143" t="s">
        <v>1329</v>
      </c>
      <c r="BZ143" t="s">
        <v>1330</v>
      </c>
      <c r="CA143" t="s">
        <v>457</v>
      </c>
      <c r="CB143">
        <v>25</v>
      </c>
      <c r="CC143">
        <v>25</v>
      </c>
      <c r="CD143">
        <v>88.8</v>
      </c>
      <c r="CF143" s="86" t="str">
        <f t="shared" si="25"/>
        <v>132039Share Sub Category SC Johnson</v>
      </c>
      <c r="CG143">
        <v>132039</v>
      </c>
      <c r="CH143" t="s">
        <v>337</v>
      </c>
      <c r="CI143" t="s">
        <v>1345</v>
      </c>
      <c r="CJ143" t="s">
        <v>103</v>
      </c>
      <c r="CK143" t="s">
        <v>1402</v>
      </c>
      <c r="CL143" t="s">
        <v>1403</v>
      </c>
      <c r="CM143" t="s">
        <v>457</v>
      </c>
      <c r="CN143">
        <v>25</v>
      </c>
      <c r="CO143">
        <v>25</v>
      </c>
      <c r="CP143">
        <v>100.2</v>
      </c>
      <c r="CR143" s="86" t="str">
        <f t="shared" si="26"/>
        <v>124155Share Sub Category SC Johnson</v>
      </c>
      <c r="CS143">
        <v>124155</v>
      </c>
      <c r="CT143" t="s">
        <v>336</v>
      </c>
      <c r="CU143" t="s">
        <v>1306</v>
      </c>
      <c r="CV143" t="s">
        <v>103</v>
      </c>
      <c r="CW143" t="s">
        <v>1538</v>
      </c>
      <c r="CX143" t="s">
        <v>1539</v>
      </c>
      <c r="CY143" t="s">
        <v>457</v>
      </c>
      <c r="CZ143">
        <v>25</v>
      </c>
      <c r="DA143">
        <v>25</v>
      </c>
      <c r="DB143">
        <v>100.2</v>
      </c>
      <c r="DD143" s="86" t="str">
        <f t="shared" si="27"/>
        <v>133136Cross Merchan SC Johnson</v>
      </c>
      <c r="DE143">
        <v>133136</v>
      </c>
      <c r="DF143" t="s">
        <v>338</v>
      </c>
      <c r="DG143" t="s">
        <v>1306</v>
      </c>
      <c r="DH143" t="s">
        <v>103</v>
      </c>
      <c r="DI143" t="s">
        <v>1696</v>
      </c>
      <c r="DJ143" t="s">
        <v>1697</v>
      </c>
      <c r="DK143" t="s">
        <v>111</v>
      </c>
      <c r="DL143">
        <v>5</v>
      </c>
      <c r="DM143">
        <v>5</v>
      </c>
      <c r="DN143">
        <v>84.4</v>
      </c>
      <c r="DP143" s="86" t="str">
        <f t="shared" si="28"/>
        <v>119456Cross Merchan SC Johnson</v>
      </c>
      <c r="DQ143">
        <v>119456</v>
      </c>
      <c r="DR143" t="s">
        <v>389</v>
      </c>
      <c r="DS143" t="s">
        <v>482</v>
      </c>
      <c r="DT143" t="s">
        <v>103</v>
      </c>
      <c r="DU143" t="s">
        <v>1752</v>
      </c>
      <c r="DV143" t="s">
        <v>1753</v>
      </c>
      <c r="DW143" t="s">
        <v>111</v>
      </c>
      <c r="DX143">
        <v>5</v>
      </c>
      <c r="DY143">
        <v>5</v>
      </c>
      <c r="DZ143">
        <v>96.62</v>
      </c>
      <c r="EB143" s="86" t="str">
        <f t="shared" si="29"/>
        <v>164006Cross Merchan SC Johnson</v>
      </c>
      <c r="EC143">
        <v>164006</v>
      </c>
      <c r="ED143" t="s">
        <v>395</v>
      </c>
      <c r="EE143" t="s">
        <v>482</v>
      </c>
      <c r="EF143" t="s">
        <v>103</v>
      </c>
      <c r="EG143" t="s">
        <v>1924</v>
      </c>
      <c r="EH143" t="s">
        <v>1925</v>
      </c>
      <c r="EI143" t="s">
        <v>111</v>
      </c>
      <c r="EJ143">
        <v>5</v>
      </c>
      <c r="EK143">
        <v>5</v>
      </c>
      <c r="EL143">
        <v>89.8</v>
      </c>
    </row>
    <row r="144" spans="1:142" x14ac:dyDescent="0.35">
      <c r="A144" s="86" t="str">
        <f t="shared" si="30"/>
        <v>136856Share Sub Category SC Johnson</v>
      </c>
      <c r="B144">
        <v>136856</v>
      </c>
      <c r="C144" t="s">
        <v>379</v>
      </c>
      <c r="D144" t="s">
        <v>103</v>
      </c>
      <c r="E144" t="s">
        <v>535</v>
      </c>
      <c r="F144" t="s">
        <v>536</v>
      </c>
      <c r="G144" t="s">
        <v>457</v>
      </c>
      <c r="H144">
        <v>68.489999999999995</v>
      </c>
      <c r="I144">
        <v>25.71</v>
      </c>
      <c r="J144">
        <v>30</v>
      </c>
      <c r="L144" s="86" t="str">
        <f t="shared" si="31"/>
        <v>135870Cross Merchan SC Johnson</v>
      </c>
      <c r="M144">
        <v>135870</v>
      </c>
      <c r="N144" t="s">
        <v>339</v>
      </c>
      <c r="O144" t="s">
        <v>36</v>
      </c>
      <c r="P144" t="s">
        <v>103</v>
      </c>
      <c r="Q144" t="s">
        <v>686</v>
      </c>
      <c r="R144" t="s">
        <v>687</v>
      </c>
      <c r="S144" t="s">
        <v>111</v>
      </c>
      <c r="T144">
        <v>0</v>
      </c>
      <c r="U144">
        <v>8</v>
      </c>
      <c r="V144">
        <v>43.42</v>
      </c>
      <c r="X144" s="86" t="str">
        <f t="shared" si="32"/>
        <v>143032Cross Merchan SC Johnson</v>
      </c>
      <c r="Y144">
        <v>143032</v>
      </c>
      <c r="Z144" t="s">
        <v>340</v>
      </c>
      <c r="AA144" t="s">
        <v>36</v>
      </c>
      <c r="AB144" t="s">
        <v>103</v>
      </c>
      <c r="AC144" t="s">
        <v>837</v>
      </c>
      <c r="AD144" t="s">
        <v>838</v>
      </c>
      <c r="AE144" t="s">
        <v>111</v>
      </c>
      <c r="AF144">
        <v>8</v>
      </c>
      <c r="AG144">
        <v>8</v>
      </c>
      <c r="AH144">
        <v>60.52</v>
      </c>
      <c r="AJ144" s="86" t="str">
        <f t="shared" si="33"/>
        <v>144056Cross Merchan SC Johnson</v>
      </c>
      <c r="AK144">
        <v>144056</v>
      </c>
      <c r="AL144" t="s">
        <v>392</v>
      </c>
      <c r="AM144" t="s">
        <v>36</v>
      </c>
      <c r="AN144" t="s">
        <v>103</v>
      </c>
      <c r="AO144" t="s">
        <v>956</v>
      </c>
      <c r="AP144" t="s">
        <v>957</v>
      </c>
      <c r="AQ144" t="s">
        <v>111</v>
      </c>
      <c r="AR144">
        <v>2.5</v>
      </c>
      <c r="AS144">
        <v>5</v>
      </c>
      <c r="AT144">
        <v>57.19</v>
      </c>
      <c r="AV144" s="86" t="str">
        <f t="shared" si="34"/>
        <v>144056Cross Merchan SC Johnson</v>
      </c>
      <c r="AW144">
        <v>144056</v>
      </c>
      <c r="AX144" t="s">
        <v>392</v>
      </c>
      <c r="AY144" t="s">
        <v>36</v>
      </c>
      <c r="AZ144" t="s">
        <v>103</v>
      </c>
      <c r="BA144" t="s">
        <v>1079</v>
      </c>
      <c r="BB144" t="s">
        <v>1080</v>
      </c>
      <c r="BC144" t="s">
        <v>111</v>
      </c>
      <c r="BD144">
        <v>1.665</v>
      </c>
      <c r="BE144">
        <v>5</v>
      </c>
      <c r="BF144">
        <v>66.11</v>
      </c>
      <c r="BH144" s="86" t="str">
        <f t="shared" si="35"/>
        <v>133136Cross Merchan SC Johnson</v>
      </c>
      <c r="BI144">
        <v>133136</v>
      </c>
      <c r="BJ144" t="s">
        <v>338</v>
      </c>
      <c r="BK144" t="s">
        <v>36</v>
      </c>
      <c r="BL144" t="s">
        <v>103</v>
      </c>
      <c r="BM144" t="s">
        <v>1169</v>
      </c>
      <c r="BN144" t="s">
        <v>1170</v>
      </c>
      <c r="BO144" t="s">
        <v>111</v>
      </c>
      <c r="BP144">
        <v>3.335</v>
      </c>
      <c r="BQ144">
        <v>5</v>
      </c>
      <c r="BR144">
        <v>50.38</v>
      </c>
      <c r="BT144" s="86" t="str">
        <f t="shared" si="24"/>
        <v>119456Share Sub Loc Pao Quente SC Johnson</v>
      </c>
      <c r="BU144">
        <v>119456</v>
      </c>
      <c r="BV144" t="s">
        <v>389</v>
      </c>
      <c r="BW144" t="s">
        <v>482</v>
      </c>
      <c r="BX144" t="s">
        <v>103</v>
      </c>
      <c r="BY144" t="s">
        <v>1329</v>
      </c>
      <c r="BZ144" t="s">
        <v>1330</v>
      </c>
      <c r="CA144" t="s">
        <v>458</v>
      </c>
      <c r="CB144">
        <v>12</v>
      </c>
      <c r="CC144">
        <v>12</v>
      </c>
      <c r="CD144">
        <v>88.8</v>
      </c>
      <c r="CF144" s="86" t="str">
        <f t="shared" si="25"/>
        <v>132039Share Sub Loc Pao Quente SC Johnson</v>
      </c>
      <c r="CG144">
        <v>132039</v>
      </c>
      <c r="CH144" t="s">
        <v>337</v>
      </c>
      <c r="CI144" t="s">
        <v>1345</v>
      </c>
      <c r="CJ144" t="s">
        <v>103</v>
      </c>
      <c r="CK144" t="s">
        <v>1402</v>
      </c>
      <c r="CL144" t="s">
        <v>1403</v>
      </c>
      <c r="CM144" t="s">
        <v>458</v>
      </c>
      <c r="CN144">
        <v>12</v>
      </c>
      <c r="CO144">
        <v>12</v>
      </c>
      <c r="CP144">
        <v>100.2</v>
      </c>
      <c r="CR144" s="86" t="str">
        <f t="shared" si="26"/>
        <v>124155Share Sub Loc Pao Quente SC Johnson</v>
      </c>
      <c r="CS144">
        <v>124155</v>
      </c>
      <c r="CT144" t="s">
        <v>336</v>
      </c>
      <c r="CU144" t="s">
        <v>1306</v>
      </c>
      <c r="CV144" t="s">
        <v>103</v>
      </c>
      <c r="CW144" t="s">
        <v>1538</v>
      </c>
      <c r="CX144" t="s">
        <v>1539</v>
      </c>
      <c r="CY144" t="s">
        <v>458</v>
      </c>
      <c r="CZ144">
        <v>12</v>
      </c>
      <c r="DA144">
        <v>12</v>
      </c>
      <c r="DB144">
        <v>100.2</v>
      </c>
      <c r="DD144" s="86" t="str">
        <f t="shared" si="27"/>
        <v>133136Lancamentos</v>
      </c>
      <c r="DE144">
        <v>133136</v>
      </c>
      <c r="DF144" t="s">
        <v>338</v>
      </c>
      <c r="DG144" t="s">
        <v>1306</v>
      </c>
      <c r="DH144" t="s">
        <v>103</v>
      </c>
      <c r="DI144" t="s">
        <v>1696</v>
      </c>
      <c r="DJ144" t="s">
        <v>1697</v>
      </c>
      <c r="DK144" t="s">
        <v>953</v>
      </c>
      <c r="DL144">
        <v>9</v>
      </c>
      <c r="DM144">
        <v>18</v>
      </c>
      <c r="DN144">
        <v>84.4</v>
      </c>
      <c r="DP144" s="86" t="str">
        <f t="shared" si="28"/>
        <v>119456Lancamentos</v>
      </c>
      <c r="DQ144">
        <v>119456</v>
      </c>
      <c r="DR144" t="s">
        <v>389</v>
      </c>
      <c r="DS144" t="s">
        <v>482</v>
      </c>
      <c r="DT144" t="s">
        <v>103</v>
      </c>
      <c r="DU144" t="s">
        <v>1752</v>
      </c>
      <c r="DV144" t="s">
        <v>1753</v>
      </c>
      <c r="DW144" t="s">
        <v>953</v>
      </c>
      <c r="DX144">
        <v>18</v>
      </c>
      <c r="DY144">
        <v>18</v>
      </c>
      <c r="DZ144">
        <v>96.62</v>
      </c>
      <c r="EB144" s="86" t="str">
        <f t="shared" si="29"/>
        <v>164006Lancamentos</v>
      </c>
      <c r="EC144">
        <v>164006</v>
      </c>
      <c r="ED144" t="s">
        <v>395</v>
      </c>
      <c r="EE144" t="s">
        <v>482</v>
      </c>
      <c r="EF144" t="s">
        <v>103</v>
      </c>
      <c r="EG144" t="s">
        <v>1924</v>
      </c>
      <c r="EH144" t="s">
        <v>1925</v>
      </c>
      <c r="EI144" t="s">
        <v>953</v>
      </c>
      <c r="EJ144">
        <v>18</v>
      </c>
      <c r="EK144">
        <v>18</v>
      </c>
      <c r="EL144">
        <v>89.8</v>
      </c>
    </row>
    <row r="145" spans="1:142" x14ac:dyDescent="0.35">
      <c r="A145" s="86" t="str">
        <f t="shared" si="30"/>
        <v>136856Cross Merchan SC Johnson</v>
      </c>
      <c r="B145">
        <v>136856</v>
      </c>
      <c r="C145" t="s">
        <v>379</v>
      </c>
      <c r="D145" t="s">
        <v>103</v>
      </c>
      <c r="E145" t="s">
        <v>535</v>
      </c>
      <c r="F145" t="s">
        <v>536</v>
      </c>
      <c r="G145" t="s">
        <v>111</v>
      </c>
      <c r="H145">
        <v>68.489999999999995</v>
      </c>
      <c r="I145">
        <v>0</v>
      </c>
      <c r="J145">
        <v>8</v>
      </c>
      <c r="L145" s="86" t="str">
        <f t="shared" si="31"/>
        <v>135870Share Sub Loc Pao Quente SC Johnson</v>
      </c>
      <c r="M145">
        <v>135870</v>
      </c>
      <c r="N145" t="s">
        <v>339</v>
      </c>
      <c r="O145" t="s">
        <v>36</v>
      </c>
      <c r="P145" t="s">
        <v>103</v>
      </c>
      <c r="Q145" t="s">
        <v>686</v>
      </c>
      <c r="R145" t="s">
        <v>687</v>
      </c>
      <c r="S145" t="s">
        <v>458</v>
      </c>
      <c r="T145">
        <v>8.5</v>
      </c>
      <c r="U145">
        <v>17</v>
      </c>
      <c r="V145">
        <v>43.42</v>
      </c>
      <c r="X145" s="86" t="str">
        <f t="shared" si="32"/>
        <v>143032Share Sub Loc Pao Quente SC Johnson</v>
      </c>
      <c r="Y145">
        <v>143032</v>
      </c>
      <c r="Z145" t="s">
        <v>340</v>
      </c>
      <c r="AA145" t="s">
        <v>36</v>
      </c>
      <c r="AB145" t="s">
        <v>103</v>
      </c>
      <c r="AC145" t="s">
        <v>837</v>
      </c>
      <c r="AD145" t="s">
        <v>838</v>
      </c>
      <c r="AE145" t="s">
        <v>458</v>
      </c>
      <c r="AF145">
        <v>12.75</v>
      </c>
      <c r="AG145">
        <v>17</v>
      </c>
      <c r="AH145">
        <v>60.52</v>
      </c>
      <c r="AJ145" s="86" t="str">
        <f t="shared" si="33"/>
        <v>144056Share Sub Loc Pao Quente SC Johnson</v>
      </c>
      <c r="AK145">
        <v>144056</v>
      </c>
      <c r="AL145" t="s">
        <v>392</v>
      </c>
      <c r="AM145" t="s">
        <v>36</v>
      </c>
      <c r="AN145" t="s">
        <v>103</v>
      </c>
      <c r="AO145" t="s">
        <v>956</v>
      </c>
      <c r="AP145" t="s">
        <v>957</v>
      </c>
      <c r="AQ145" t="s">
        <v>458</v>
      </c>
      <c r="AR145">
        <v>9</v>
      </c>
      <c r="AS145">
        <v>12</v>
      </c>
      <c r="AT145">
        <v>57.19</v>
      </c>
      <c r="AV145" s="86" t="str">
        <f t="shared" si="34"/>
        <v>144056Share Sub Loc Pao Quente SC Johnson</v>
      </c>
      <c r="AW145">
        <v>144056</v>
      </c>
      <c r="AX145" t="s">
        <v>392</v>
      </c>
      <c r="AY145" t="s">
        <v>36</v>
      </c>
      <c r="AZ145" t="s">
        <v>103</v>
      </c>
      <c r="BA145" t="s">
        <v>1079</v>
      </c>
      <c r="BB145" t="s">
        <v>1080</v>
      </c>
      <c r="BC145" t="s">
        <v>458</v>
      </c>
      <c r="BD145">
        <v>9</v>
      </c>
      <c r="BE145">
        <v>12</v>
      </c>
      <c r="BF145">
        <v>66.11</v>
      </c>
      <c r="BH145" s="86" t="str">
        <f t="shared" si="35"/>
        <v>133136Share Sub Loc Pao Quente SC Johnson</v>
      </c>
      <c r="BI145">
        <v>133136</v>
      </c>
      <c r="BJ145" t="s">
        <v>338</v>
      </c>
      <c r="BK145" t="s">
        <v>36</v>
      </c>
      <c r="BL145" t="s">
        <v>103</v>
      </c>
      <c r="BM145" t="s">
        <v>1169</v>
      </c>
      <c r="BN145" t="s">
        <v>1170</v>
      </c>
      <c r="BO145" t="s">
        <v>458</v>
      </c>
      <c r="BP145">
        <v>9</v>
      </c>
      <c r="BQ145">
        <v>12</v>
      </c>
      <c r="BR145">
        <v>50.38</v>
      </c>
      <c r="BT145" s="86" t="str">
        <f t="shared" si="24"/>
        <v>119456Cross Merchan SC Johnson</v>
      </c>
      <c r="BU145">
        <v>119456</v>
      </c>
      <c r="BV145" t="s">
        <v>389</v>
      </c>
      <c r="BW145" t="s">
        <v>482</v>
      </c>
      <c r="BX145" t="s">
        <v>103</v>
      </c>
      <c r="BY145" t="s">
        <v>1329</v>
      </c>
      <c r="BZ145" t="s">
        <v>1330</v>
      </c>
      <c r="CA145" t="s">
        <v>111</v>
      </c>
      <c r="CB145">
        <v>5</v>
      </c>
      <c r="CC145">
        <v>5</v>
      </c>
      <c r="CD145">
        <v>88.8</v>
      </c>
      <c r="CF145" s="86" t="str">
        <f t="shared" si="25"/>
        <v>132039Cross Merchan SC Johnson</v>
      </c>
      <c r="CG145">
        <v>132039</v>
      </c>
      <c r="CH145" t="s">
        <v>337</v>
      </c>
      <c r="CI145" t="s">
        <v>1345</v>
      </c>
      <c r="CJ145" t="s">
        <v>103</v>
      </c>
      <c r="CK145" t="s">
        <v>1402</v>
      </c>
      <c r="CL145" t="s">
        <v>1403</v>
      </c>
      <c r="CM145" t="s">
        <v>111</v>
      </c>
      <c r="CN145">
        <v>5</v>
      </c>
      <c r="CO145">
        <v>5</v>
      </c>
      <c r="CP145">
        <v>100.2</v>
      </c>
      <c r="CR145" s="86" t="str">
        <f t="shared" si="26"/>
        <v>124155Cross Merchan SC Johnson</v>
      </c>
      <c r="CS145">
        <v>124155</v>
      </c>
      <c r="CT145" t="s">
        <v>336</v>
      </c>
      <c r="CU145" t="s">
        <v>1306</v>
      </c>
      <c r="CV145" t="s">
        <v>103</v>
      </c>
      <c r="CW145" t="s">
        <v>1538</v>
      </c>
      <c r="CX145" t="s">
        <v>1539</v>
      </c>
      <c r="CY145" t="s">
        <v>111</v>
      </c>
      <c r="CZ145">
        <v>5</v>
      </c>
      <c r="DA145">
        <v>5</v>
      </c>
      <c r="DB145">
        <v>100.2</v>
      </c>
      <c r="DD145" s="86" t="str">
        <f t="shared" si="27"/>
        <v>133136Share Sub Category SC Johnson</v>
      </c>
      <c r="DE145">
        <v>133136</v>
      </c>
      <c r="DF145" t="s">
        <v>338</v>
      </c>
      <c r="DG145" t="s">
        <v>1306</v>
      </c>
      <c r="DH145" t="s">
        <v>103</v>
      </c>
      <c r="DI145" t="s">
        <v>1696</v>
      </c>
      <c r="DJ145" t="s">
        <v>1697</v>
      </c>
      <c r="DK145" t="s">
        <v>457</v>
      </c>
      <c r="DL145">
        <v>25</v>
      </c>
      <c r="DM145">
        <v>25</v>
      </c>
      <c r="DN145">
        <v>84.4</v>
      </c>
      <c r="DP145" s="86" t="str">
        <f t="shared" si="28"/>
        <v>119456Share Sub Category SC Johnson</v>
      </c>
      <c r="DQ145">
        <v>119456</v>
      </c>
      <c r="DR145" t="s">
        <v>389</v>
      </c>
      <c r="DS145" t="s">
        <v>482</v>
      </c>
      <c r="DT145" t="s">
        <v>103</v>
      </c>
      <c r="DU145" t="s">
        <v>1752</v>
      </c>
      <c r="DV145" t="s">
        <v>1753</v>
      </c>
      <c r="DW145" t="s">
        <v>457</v>
      </c>
      <c r="DX145">
        <v>21.425000000000001</v>
      </c>
      <c r="DY145">
        <v>25</v>
      </c>
      <c r="DZ145">
        <v>96.62</v>
      </c>
      <c r="EB145" s="86" t="str">
        <f t="shared" si="29"/>
        <v>164006Share Sub Category SC Johnson</v>
      </c>
      <c r="EC145">
        <v>164006</v>
      </c>
      <c r="ED145" t="s">
        <v>395</v>
      </c>
      <c r="EE145" t="s">
        <v>482</v>
      </c>
      <c r="EF145" t="s">
        <v>103</v>
      </c>
      <c r="EG145" t="s">
        <v>1924</v>
      </c>
      <c r="EH145" t="s">
        <v>1925</v>
      </c>
      <c r="EI145" t="s">
        <v>457</v>
      </c>
      <c r="EJ145">
        <v>25</v>
      </c>
      <c r="EK145">
        <v>25</v>
      </c>
      <c r="EL145">
        <v>89.8</v>
      </c>
    </row>
    <row r="146" spans="1:142" x14ac:dyDescent="0.35">
      <c r="A146" s="86" t="str">
        <f t="shared" si="30"/>
        <v>136856Share Sub Loc Pao Quente SC Johnson</v>
      </c>
      <c r="B146">
        <v>136856</v>
      </c>
      <c r="C146" t="s">
        <v>379</v>
      </c>
      <c r="D146" t="s">
        <v>103</v>
      </c>
      <c r="E146" t="s">
        <v>535</v>
      </c>
      <c r="F146" t="s">
        <v>536</v>
      </c>
      <c r="G146" t="s">
        <v>458</v>
      </c>
      <c r="H146">
        <v>68.489999999999995</v>
      </c>
      <c r="I146">
        <v>3.4</v>
      </c>
      <c r="J146">
        <v>17</v>
      </c>
      <c r="L146" s="86" t="str">
        <f t="shared" si="31"/>
        <v>135870Mix + Intocáveis SC Johnson</v>
      </c>
      <c r="M146">
        <v>135870</v>
      </c>
      <c r="N146" t="s">
        <v>339</v>
      </c>
      <c r="O146" t="s">
        <v>36</v>
      </c>
      <c r="P146" t="s">
        <v>103</v>
      </c>
      <c r="Q146" t="s">
        <v>686</v>
      </c>
      <c r="R146" t="s">
        <v>687</v>
      </c>
      <c r="S146" t="s">
        <v>459</v>
      </c>
      <c r="T146">
        <v>13.5</v>
      </c>
      <c r="U146">
        <v>45</v>
      </c>
      <c r="V146">
        <v>43.42</v>
      </c>
      <c r="X146" s="86" t="str">
        <f t="shared" si="32"/>
        <v>143032Mix + Intocáveis SC Johnson</v>
      </c>
      <c r="Y146">
        <v>143032</v>
      </c>
      <c r="Z146" t="s">
        <v>340</v>
      </c>
      <c r="AA146" t="s">
        <v>36</v>
      </c>
      <c r="AB146" t="s">
        <v>103</v>
      </c>
      <c r="AC146" t="s">
        <v>837</v>
      </c>
      <c r="AD146" t="s">
        <v>838</v>
      </c>
      <c r="AE146" t="s">
        <v>459</v>
      </c>
      <c r="AF146">
        <v>14.0625</v>
      </c>
      <c r="AG146">
        <v>45</v>
      </c>
      <c r="AH146">
        <v>60.52</v>
      </c>
      <c r="AJ146" s="86" t="str">
        <f t="shared" si="33"/>
        <v>144056Mix + Intocáveis SC Johnson</v>
      </c>
      <c r="AK146">
        <v>144056</v>
      </c>
      <c r="AL146" t="s">
        <v>392</v>
      </c>
      <c r="AM146" t="s">
        <v>36</v>
      </c>
      <c r="AN146" t="s">
        <v>103</v>
      </c>
      <c r="AO146" t="s">
        <v>956</v>
      </c>
      <c r="AP146" t="s">
        <v>957</v>
      </c>
      <c r="AQ146" t="s">
        <v>459</v>
      </c>
      <c r="AR146">
        <v>27.84</v>
      </c>
      <c r="AS146">
        <v>40</v>
      </c>
      <c r="AT146">
        <v>57.19</v>
      </c>
      <c r="AV146" s="86" t="str">
        <f t="shared" si="34"/>
        <v>144056Mix + Intocáveis SC Johnson</v>
      </c>
      <c r="AW146">
        <v>144056</v>
      </c>
      <c r="AX146" t="s">
        <v>392</v>
      </c>
      <c r="AY146" t="s">
        <v>36</v>
      </c>
      <c r="AZ146" t="s">
        <v>103</v>
      </c>
      <c r="BA146" t="s">
        <v>1079</v>
      </c>
      <c r="BB146" t="s">
        <v>1080</v>
      </c>
      <c r="BC146" t="s">
        <v>459</v>
      </c>
      <c r="BD146">
        <v>30.44</v>
      </c>
      <c r="BE146">
        <v>40</v>
      </c>
      <c r="BF146">
        <v>66.11</v>
      </c>
      <c r="BH146" s="86" t="str">
        <f t="shared" si="35"/>
        <v>133136Mix + Intocáveis SC Johnson</v>
      </c>
      <c r="BI146">
        <v>133136</v>
      </c>
      <c r="BJ146" t="s">
        <v>338</v>
      </c>
      <c r="BK146" t="s">
        <v>36</v>
      </c>
      <c r="BL146" t="s">
        <v>103</v>
      </c>
      <c r="BM146" t="s">
        <v>1169</v>
      </c>
      <c r="BN146" t="s">
        <v>1170</v>
      </c>
      <c r="BO146" t="s">
        <v>459</v>
      </c>
      <c r="BP146">
        <v>13.04</v>
      </c>
      <c r="BQ146">
        <v>40</v>
      </c>
      <c r="BR146">
        <v>50.38</v>
      </c>
      <c r="BT146" s="86" t="str">
        <f t="shared" si="24"/>
        <v>119456Execucao Bonus</v>
      </c>
      <c r="BU146">
        <v>119456</v>
      </c>
      <c r="BV146" t="s">
        <v>389</v>
      </c>
      <c r="BW146" t="s">
        <v>482</v>
      </c>
      <c r="BX146" t="s">
        <v>103</v>
      </c>
      <c r="BY146" t="s">
        <v>1329</v>
      </c>
      <c r="BZ146" t="s">
        <v>1330</v>
      </c>
      <c r="CA146" t="s">
        <v>1291</v>
      </c>
      <c r="CB146">
        <v>5</v>
      </c>
      <c r="CC146">
        <v>5</v>
      </c>
      <c r="CD146">
        <v>88.8</v>
      </c>
      <c r="CF146" s="86" t="str">
        <f t="shared" si="25"/>
        <v>132039Execucao Bonus</v>
      </c>
      <c r="CG146">
        <v>132039</v>
      </c>
      <c r="CH146" t="s">
        <v>337</v>
      </c>
      <c r="CI146" t="s">
        <v>1345</v>
      </c>
      <c r="CJ146" t="s">
        <v>103</v>
      </c>
      <c r="CK146" t="s">
        <v>1402</v>
      </c>
      <c r="CL146" t="s">
        <v>1403</v>
      </c>
      <c r="CM146" t="s">
        <v>1291</v>
      </c>
      <c r="CN146">
        <v>4.8</v>
      </c>
      <c r="CO146">
        <v>5</v>
      </c>
      <c r="CP146">
        <v>100.2</v>
      </c>
      <c r="CR146" s="86" t="str">
        <f t="shared" si="26"/>
        <v>124155Execucao Bonus</v>
      </c>
      <c r="CS146">
        <v>124155</v>
      </c>
      <c r="CT146" t="s">
        <v>336</v>
      </c>
      <c r="CU146" t="s">
        <v>1306</v>
      </c>
      <c r="CV146" t="s">
        <v>103</v>
      </c>
      <c r="CW146" t="s">
        <v>1538</v>
      </c>
      <c r="CX146" t="s">
        <v>1539</v>
      </c>
      <c r="CY146" t="s">
        <v>1291</v>
      </c>
      <c r="CZ146">
        <v>4.8</v>
      </c>
      <c r="DA146">
        <v>5</v>
      </c>
      <c r="DB146">
        <v>100.2</v>
      </c>
      <c r="DD146" s="86" t="str">
        <f t="shared" si="27"/>
        <v>133136Share Sub Loc Pao Quente SC Johnson</v>
      </c>
      <c r="DE146">
        <v>133136</v>
      </c>
      <c r="DF146" t="s">
        <v>338</v>
      </c>
      <c r="DG146" t="s">
        <v>1306</v>
      </c>
      <c r="DH146" t="s">
        <v>103</v>
      </c>
      <c r="DI146" t="s">
        <v>1696</v>
      </c>
      <c r="DJ146" t="s">
        <v>1697</v>
      </c>
      <c r="DK146" t="s">
        <v>458</v>
      </c>
      <c r="DL146">
        <v>6</v>
      </c>
      <c r="DM146">
        <v>12</v>
      </c>
      <c r="DN146">
        <v>84.4</v>
      </c>
      <c r="DP146" s="86" t="str">
        <f t="shared" si="28"/>
        <v>119456Share Sub Loc Pao Quente SC Johnson</v>
      </c>
      <c r="DQ146">
        <v>119456</v>
      </c>
      <c r="DR146" t="s">
        <v>389</v>
      </c>
      <c r="DS146" t="s">
        <v>482</v>
      </c>
      <c r="DT146" t="s">
        <v>103</v>
      </c>
      <c r="DU146" t="s">
        <v>1752</v>
      </c>
      <c r="DV146" t="s">
        <v>1753</v>
      </c>
      <c r="DW146" t="s">
        <v>458</v>
      </c>
      <c r="DX146">
        <v>12</v>
      </c>
      <c r="DY146">
        <v>12</v>
      </c>
      <c r="DZ146">
        <v>96.62</v>
      </c>
      <c r="EB146" s="86" t="str">
        <f t="shared" si="29"/>
        <v>164006Share Sub Loc Pao Quente SC Johnson</v>
      </c>
      <c r="EC146">
        <v>164006</v>
      </c>
      <c r="ED146" t="s">
        <v>395</v>
      </c>
      <c r="EE146" t="s">
        <v>482</v>
      </c>
      <c r="EF146" t="s">
        <v>103</v>
      </c>
      <c r="EG146" t="s">
        <v>1924</v>
      </c>
      <c r="EH146" t="s">
        <v>1925</v>
      </c>
      <c r="EI146" t="s">
        <v>458</v>
      </c>
      <c r="EJ146">
        <v>12</v>
      </c>
      <c r="EK146">
        <v>12</v>
      </c>
      <c r="EL146">
        <v>89.8</v>
      </c>
    </row>
    <row r="147" spans="1:142" x14ac:dyDescent="0.35">
      <c r="A147" s="86" t="str">
        <f t="shared" si="30"/>
        <v>136856Mix + Intocáveis SC Johnson</v>
      </c>
      <c r="B147">
        <v>136856</v>
      </c>
      <c r="C147" t="s">
        <v>379</v>
      </c>
      <c r="D147" t="s">
        <v>103</v>
      </c>
      <c r="E147" t="s">
        <v>535</v>
      </c>
      <c r="F147" t="s">
        <v>536</v>
      </c>
      <c r="G147" t="s">
        <v>459</v>
      </c>
      <c r="H147">
        <v>68.489999999999995</v>
      </c>
      <c r="I147">
        <v>39.375</v>
      </c>
      <c r="J147">
        <v>45</v>
      </c>
      <c r="L147" s="86" t="str">
        <f t="shared" si="31"/>
        <v>143032Share Sub Category SC Johnson</v>
      </c>
      <c r="M147">
        <v>143032</v>
      </c>
      <c r="N147" t="s">
        <v>340</v>
      </c>
      <c r="O147" t="s">
        <v>36</v>
      </c>
      <c r="P147" t="s">
        <v>103</v>
      </c>
      <c r="Q147" t="s">
        <v>688</v>
      </c>
      <c r="R147" t="s">
        <v>689</v>
      </c>
      <c r="S147" t="s">
        <v>457</v>
      </c>
      <c r="T147">
        <v>21.42</v>
      </c>
      <c r="U147">
        <v>30</v>
      </c>
      <c r="V147">
        <v>75.92</v>
      </c>
      <c r="X147" s="86" t="str">
        <f t="shared" si="32"/>
        <v>143128Share Sub Category SC Johnson</v>
      </c>
      <c r="Y147">
        <v>143128</v>
      </c>
      <c r="Z147" t="s">
        <v>391</v>
      </c>
      <c r="AA147" t="s">
        <v>104</v>
      </c>
      <c r="AB147" t="s">
        <v>103</v>
      </c>
      <c r="AC147" t="s">
        <v>763</v>
      </c>
      <c r="AD147" t="s">
        <v>764</v>
      </c>
      <c r="AE147" t="s">
        <v>457</v>
      </c>
      <c r="AF147">
        <v>21.42</v>
      </c>
      <c r="AG147">
        <v>30</v>
      </c>
      <c r="AH147">
        <v>73.92</v>
      </c>
      <c r="AJ147" s="86" t="str">
        <f t="shared" si="33"/>
        <v>144056Lancamentos</v>
      </c>
      <c r="AK147">
        <v>144056</v>
      </c>
      <c r="AL147" t="s">
        <v>392</v>
      </c>
      <c r="AM147" t="s">
        <v>36</v>
      </c>
      <c r="AN147" t="s">
        <v>103</v>
      </c>
      <c r="AO147" t="s">
        <v>956</v>
      </c>
      <c r="AP147" t="s">
        <v>957</v>
      </c>
      <c r="AQ147" t="s">
        <v>953</v>
      </c>
      <c r="AR147">
        <v>0</v>
      </c>
      <c r="AS147">
        <v>18</v>
      </c>
      <c r="AT147">
        <v>57.19</v>
      </c>
      <c r="AV147" s="86" t="str">
        <f t="shared" si="34"/>
        <v>144056Lancamentos</v>
      </c>
      <c r="AW147">
        <v>144056</v>
      </c>
      <c r="AX147" t="s">
        <v>392</v>
      </c>
      <c r="AY147" t="s">
        <v>36</v>
      </c>
      <c r="AZ147" t="s">
        <v>103</v>
      </c>
      <c r="BA147" t="s">
        <v>1079</v>
      </c>
      <c r="BB147" t="s">
        <v>1080</v>
      </c>
      <c r="BC147" t="s">
        <v>953</v>
      </c>
      <c r="BD147">
        <v>0</v>
      </c>
      <c r="BE147">
        <v>18</v>
      </c>
      <c r="BF147">
        <v>66.11</v>
      </c>
      <c r="BH147" s="86" t="str">
        <f t="shared" si="35"/>
        <v>133136Lancamentos</v>
      </c>
      <c r="BI147">
        <v>133136</v>
      </c>
      <c r="BJ147" t="s">
        <v>338</v>
      </c>
      <c r="BK147" t="s">
        <v>36</v>
      </c>
      <c r="BL147" t="s">
        <v>103</v>
      </c>
      <c r="BM147" t="s">
        <v>1169</v>
      </c>
      <c r="BN147" t="s">
        <v>1170</v>
      </c>
      <c r="BO147" t="s">
        <v>953</v>
      </c>
      <c r="BP147">
        <v>0</v>
      </c>
      <c r="BQ147">
        <v>18</v>
      </c>
      <c r="BR147">
        <v>50.38</v>
      </c>
      <c r="BT147" s="86" t="str">
        <f t="shared" si="24"/>
        <v>124155Lancamentos</v>
      </c>
      <c r="BU147">
        <v>124155</v>
      </c>
      <c r="BV147" t="s">
        <v>336</v>
      </c>
      <c r="BW147" t="s">
        <v>1306</v>
      </c>
      <c r="BX147" t="s">
        <v>103</v>
      </c>
      <c r="BY147" t="s">
        <v>1376</v>
      </c>
      <c r="BZ147" t="s">
        <v>1377</v>
      </c>
      <c r="CA147" t="s">
        <v>953</v>
      </c>
      <c r="CB147">
        <v>9</v>
      </c>
      <c r="CC147">
        <v>18</v>
      </c>
      <c r="CD147">
        <v>81.03</v>
      </c>
      <c r="CF147" s="86" t="str">
        <f t="shared" si="25"/>
        <v>133136Lancamentos</v>
      </c>
      <c r="CG147">
        <v>133136</v>
      </c>
      <c r="CH147" t="s">
        <v>338</v>
      </c>
      <c r="CI147" t="s">
        <v>1306</v>
      </c>
      <c r="CJ147" t="s">
        <v>103</v>
      </c>
      <c r="CK147" t="s">
        <v>1444</v>
      </c>
      <c r="CL147" t="s">
        <v>1441</v>
      </c>
      <c r="CM147" t="s">
        <v>953</v>
      </c>
      <c r="CN147">
        <v>18</v>
      </c>
      <c r="CO147">
        <v>18</v>
      </c>
      <c r="CP147">
        <v>94.02</v>
      </c>
      <c r="CR147" s="86" t="str">
        <f t="shared" si="26"/>
        <v>132039Lancamentos</v>
      </c>
      <c r="CS147">
        <v>132039</v>
      </c>
      <c r="CT147" t="s">
        <v>337</v>
      </c>
      <c r="CU147" t="s">
        <v>1345</v>
      </c>
      <c r="CV147" t="s">
        <v>103</v>
      </c>
      <c r="CW147" t="s">
        <v>1521</v>
      </c>
      <c r="CX147" t="s">
        <v>1522</v>
      </c>
      <c r="CY147" t="s">
        <v>953</v>
      </c>
      <c r="CZ147">
        <v>9</v>
      </c>
      <c r="DA147">
        <v>18</v>
      </c>
      <c r="DB147">
        <v>92.8</v>
      </c>
      <c r="DD147" s="86" t="str">
        <f t="shared" si="27"/>
        <v>135870Mix + Intocáveis SC Johnson</v>
      </c>
      <c r="DE147">
        <v>135870</v>
      </c>
      <c r="DF147" t="s">
        <v>339</v>
      </c>
      <c r="DG147" t="s">
        <v>1306</v>
      </c>
      <c r="DH147" t="s">
        <v>103</v>
      </c>
      <c r="DI147" t="s">
        <v>1698</v>
      </c>
      <c r="DJ147" t="s">
        <v>1699</v>
      </c>
      <c r="DK147" t="s">
        <v>459</v>
      </c>
      <c r="DL147">
        <v>38.4</v>
      </c>
      <c r="DM147">
        <v>40</v>
      </c>
      <c r="DN147">
        <v>90.83</v>
      </c>
      <c r="DP147" s="86" t="str">
        <f t="shared" si="28"/>
        <v>132039Mix + Intocáveis SC Johnson</v>
      </c>
      <c r="DQ147">
        <v>132039</v>
      </c>
      <c r="DR147" t="s">
        <v>337</v>
      </c>
      <c r="DS147" t="s">
        <v>1345</v>
      </c>
      <c r="DT147" t="s">
        <v>103</v>
      </c>
      <c r="DU147" t="s">
        <v>1806</v>
      </c>
      <c r="DV147" t="s">
        <v>1807</v>
      </c>
      <c r="DW147" t="s">
        <v>459</v>
      </c>
      <c r="DX147">
        <v>35.200000000000003</v>
      </c>
      <c r="DY147">
        <v>40</v>
      </c>
      <c r="DZ147">
        <v>100</v>
      </c>
      <c r="EB147" s="86" t="str">
        <f t="shared" si="29"/>
        <v>167265Mix + Intocáveis SC Johnson</v>
      </c>
      <c r="EC147">
        <v>167265</v>
      </c>
      <c r="ED147" t="s">
        <v>346</v>
      </c>
      <c r="EE147" t="s">
        <v>482</v>
      </c>
      <c r="EF147" t="s">
        <v>103</v>
      </c>
      <c r="EG147" t="s">
        <v>1926</v>
      </c>
      <c r="EH147" t="s">
        <v>1927</v>
      </c>
      <c r="EI147" t="s">
        <v>459</v>
      </c>
      <c r="EJ147">
        <v>26.4</v>
      </c>
      <c r="EK147">
        <v>40</v>
      </c>
      <c r="EL147">
        <v>87.83</v>
      </c>
    </row>
    <row r="148" spans="1:142" x14ac:dyDescent="0.35">
      <c r="A148" s="86" t="str">
        <f t="shared" si="30"/>
        <v>143032Share Sub Category SC Johnson</v>
      </c>
      <c r="B148">
        <v>143032</v>
      </c>
      <c r="C148" t="s">
        <v>340</v>
      </c>
      <c r="D148" t="s">
        <v>103</v>
      </c>
      <c r="E148" t="s">
        <v>537</v>
      </c>
      <c r="F148" t="s">
        <v>538</v>
      </c>
      <c r="G148" t="s">
        <v>457</v>
      </c>
      <c r="H148">
        <v>72.010000000000005</v>
      </c>
      <c r="I148">
        <v>25.71</v>
      </c>
      <c r="J148">
        <v>30</v>
      </c>
      <c r="L148" s="86" t="str">
        <f t="shared" si="31"/>
        <v>143032Cross Merchan SC Johnson</v>
      </c>
      <c r="M148">
        <v>143032</v>
      </c>
      <c r="N148" t="s">
        <v>340</v>
      </c>
      <c r="O148" t="s">
        <v>36</v>
      </c>
      <c r="P148" t="s">
        <v>103</v>
      </c>
      <c r="Q148" t="s">
        <v>688</v>
      </c>
      <c r="R148" t="s">
        <v>689</v>
      </c>
      <c r="S148" t="s">
        <v>111</v>
      </c>
      <c r="T148">
        <v>8</v>
      </c>
      <c r="U148">
        <v>8</v>
      </c>
      <c r="V148">
        <v>75.92</v>
      </c>
      <c r="X148" s="86" t="str">
        <f t="shared" si="32"/>
        <v>143128Cross Merchan SC Johnson</v>
      </c>
      <c r="Y148">
        <v>143128</v>
      </c>
      <c r="Z148" t="s">
        <v>391</v>
      </c>
      <c r="AA148" t="s">
        <v>104</v>
      </c>
      <c r="AB148" t="s">
        <v>103</v>
      </c>
      <c r="AC148" t="s">
        <v>763</v>
      </c>
      <c r="AD148" t="s">
        <v>764</v>
      </c>
      <c r="AE148" t="s">
        <v>111</v>
      </c>
      <c r="AF148">
        <v>8</v>
      </c>
      <c r="AG148">
        <v>8</v>
      </c>
      <c r="AH148">
        <v>73.92</v>
      </c>
      <c r="AJ148" s="86" t="str">
        <f t="shared" si="33"/>
        <v>150368Share Sub Category SC Johnson</v>
      </c>
      <c r="AK148">
        <v>150368</v>
      </c>
      <c r="AL148" t="s">
        <v>341</v>
      </c>
      <c r="AM148" t="s">
        <v>104</v>
      </c>
      <c r="AN148" t="s">
        <v>103</v>
      </c>
      <c r="AO148" t="s">
        <v>1017</v>
      </c>
      <c r="AP148" t="s">
        <v>1018</v>
      </c>
      <c r="AQ148" t="s">
        <v>457</v>
      </c>
      <c r="AR148">
        <v>25</v>
      </c>
      <c r="AS148">
        <v>25</v>
      </c>
      <c r="AT148">
        <v>71.66</v>
      </c>
      <c r="AV148" s="86" t="str">
        <f t="shared" si="34"/>
        <v>152153Share Sub Category SC Johnson</v>
      </c>
      <c r="AW148">
        <v>152153</v>
      </c>
      <c r="AX148" t="s">
        <v>342</v>
      </c>
      <c r="AY148" t="s">
        <v>36</v>
      </c>
      <c r="AZ148" t="s">
        <v>103</v>
      </c>
      <c r="BA148" t="s">
        <v>1081</v>
      </c>
      <c r="BB148" t="s">
        <v>1082</v>
      </c>
      <c r="BC148" t="s">
        <v>457</v>
      </c>
      <c r="BD148">
        <v>25</v>
      </c>
      <c r="BE148">
        <v>25</v>
      </c>
      <c r="BF148">
        <v>84.98</v>
      </c>
      <c r="BH148" s="86" t="str">
        <f t="shared" si="35"/>
        <v>135870Share Sub Category SC Johnson</v>
      </c>
      <c r="BI148">
        <v>135870</v>
      </c>
      <c r="BJ148" t="s">
        <v>339</v>
      </c>
      <c r="BK148" t="s">
        <v>36</v>
      </c>
      <c r="BL148" t="s">
        <v>103</v>
      </c>
      <c r="BM148" t="s">
        <v>1197</v>
      </c>
      <c r="BN148" t="s">
        <v>1198</v>
      </c>
      <c r="BO148" t="s">
        <v>457</v>
      </c>
      <c r="BP148">
        <v>25</v>
      </c>
      <c r="BQ148">
        <v>25</v>
      </c>
      <c r="BR148">
        <v>81.41</v>
      </c>
      <c r="BT148" s="86" t="str">
        <f t="shared" si="24"/>
        <v>124155Mix + Intocáveis SC Johnson</v>
      </c>
      <c r="BU148">
        <v>124155</v>
      </c>
      <c r="BV148" t="s">
        <v>336</v>
      </c>
      <c r="BW148" t="s">
        <v>1306</v>
      </c>
      <c r="BX148" t="s">
        <v>103</v>
      </c>
      <c r="BY148" t="s">
        <v>1376</v>
      </c>
      <c r="BZ148" t="s">
        <v>1377</v>
      </c>
      <c r="CA148" t="s">
        <v>459</v>
      </c>
      <c r="CB148">
        <v>33.6</v>
      </c>
      <c r="CC148">
        <v>40</v>
      </c>
      <c r="CD148">
        <v>81.03</v>
      </c>
      <c r="CF148" s="86" t="str">
        <f t="shared" si="25"/>
        <v>133136Mix + Intocáveis SC Johnson</v>
      </c>
      <c r="CG148">
        <v>133136</v>
      </c>
      <c r="CH148" t="s">
        <v>338</v>
      </c>
      <c r="CI148" t="s">
        <v>1306</v>
      </c>
      <c r="CJ148" t="s">
        <v>103</v>
      </c>
      <c r="CK148" t="s">
        <v>1444</v>
      </c>
      <c r="CL148" t="s">
        <v>1441</v>
      </c>
      <c r="CM148" t="s">
        <v>459</v>
      </c>
      <c r="CN148">
        <v>37.6</v>
      </c>
      <c r="CO148">
        <v>40</v>
      </c>
      <c r="CP148">
        <v>94.02</v>
      </c>
      <c r="CR148" s="86" t="str">
        <f t="shared" si="26"/>
        <v>132039Mix + Intocáveis SC Johnson</v>
      </c>
      <c r="CS148">
        <v>132039</v>
      </c>
      <c r="CT148" t="s">
        <v>337</v>
      </c>
      <c r="CU148" t="s">
        <v>1345</v>
      </c>
      <c r="CV148" t="s">
        <v>103</v>
      </c>
      <c r="CW148" t="s">
        <v>1521</v>
      </c>
      <c r="CX148" t="s">
        <v>1522</v>
      </c>
      <c r="CY148" t="s">
        <v>459</v>
      </c>
      <c r="CZ148">
        <v>36.799999999999997</v>
      </c>
      <c r="DA148">
        <v>40</v>
      </c>
      <c r="DB148">
        <v>92.8</v>
      </c>
      <c r="DD148" s="86" t="str">
        <f t="shared" si="27"/>
        <v>135870Execucao Bonus</v>
      </c>
      <c r="DE148">
        <v>135870</v>
      </c>
      <c r="DF148" t="s">
        <v>339</v>
      </c>
      <c r="DG148" t="s">
        <v>1306</v>
      </c>
      <c r="DH148" t="s">
        <v>103</v>
      </c>
      <c r="DI148" t="s">
        <v>1698</v>
      </c>
      <c r="DJ148" t="s">
        <v>1699</v>
      </c>
      <c r="DK148" t="s">
        <v>1291</v>
      </c>
      <c r="DL148">
        <v>5</v>
      </c>
      <c r="DM148">
        <v>5</v>
      </c>
      <c r="DN148">
        <v>90.83</v>
      </c>
      <c r="DP148" s="86" t="str">
        <f t="shared" si="28"/>
        <v>132039Execucao Bonus</v>
      </c>
      <c r="DQ148">
        <v>132039</v>
      </c>
      <c r="DR148" t="s">
        <v>337</v>
      </c>
      <c r="DS148" t="s">
        <v>1345</v>
      </c>
      <c r="DT148" t="s">
        <v>103</v>
      </c>
      <c r="DU148" t="s">
        <v>1806</v>
      </c>
      <c r="DV148" t="s">
        <v>1807</v>
      </c>
      <c r="DW148" t="s">
        <v>1291</v>
      </c>
      <c r="DX148">
        <v>4.8</v>
      </c>
      <c r="DY148">
        <v>5</v>
      </c>
      <c r="DZ148">
        <v>100</v>
      </c>
      <c r="EB148" s="86" t="str">
        <f t="shared" si="29"/>
        <v>167265Execucao Bonus</v>
      </c>
      <c r="EC148">
        <v>167265</v>
      </c>
      <c r="ED148" t="s">
        <v>346</v>
      </c>
      <c r="EE148" t="s">
        <v>482</v>
      </c>
      <c r="EF148" t="s">
        <v>103</v>
      </c>
      <c r="EG148" t="s">
        <v>1926</v>
      </c>
      <c r="EH148" t="s">
        <v>1927</v>
      </c>
      <c r="EI148" t="s">
        <v>1291</v>
      </c>
      <c r="EJ148">
        <v>5</v>
      </c>
      <c r="EK148">
        <v>5</v>
      </c>
      <c r="EL148">
        <v>87.83</v>
      </c>
    </row>
    <row r="149" spans="1:142" x14ac:dyDescent="0.35">
      <c r="A149" s="86" t="str">
        <f t="shared" si="30"/>
        <v>143032Cross Merchan SC Johnson</v>
      </c>
      <c r="B149">
        <v>143032</v>
      </c>
      <c r="C149" t="s">
        <v>340</v>
      </c>
      <c r="D149" t="s">
        <v>103</v>
      </c>
      <c r="E149" t="s">
        <v>537</v>
      </c>
      <c r="F149" t="s">
        <v>538</v>
      </c>
      <c r="G149" t="s">
        <v>111</v>
      </c>
      <c r="H149">
        <v>72.010000000000005</v>
      </c>
      <c r="I149">
        <v>8</v>
      </c>
      <c r="J149">
        <v>8</v>
      </c>
      <c r="L149" s="86" t="str">
        <f t="shared" si="31"/>
        <v>143032Share Sub Loc Pao Quente SC Johnson</v>
      </c>
      <c r="M149">
        <v>143032</v>
      </c>
      <c r="N149" t="s">
        <v>340</v>
      </c>
      <c r="O149" t="s">
        <v>36</v>
      </c>
      <c r="P149" t="s">
        <v>103</v>
      </c>
      <c r="Q149" t="s">
        <v>688</v>
      </c>
      <c r="R149" t="s">
        <v>689</v>
      </c>
      <c r="S149" t="s">
        <v>458</v>
      </c>
      <c r="T149">
        <v>12.75</v>
      </c>
      <c r="U149">
        <v>17</v>
      </c>
      <c r="V149">
        <v>75.92</v>
      </c>
      <c r="X149" s="86" t="str">
        <f t="shared" si="32"/>
        <v>143128Share Sub Loc Pao Quente SC Johnson</v>
      </c>
      <c r="Y149">
        <v>143128</v>
      </c>
      <c r="Z149" t="s">
        <v>391</v>
      </c>
      <c r="AA149" t="s">
        <v>104</v>
      </c>
      <c r="AB149" t="s">
        <v>103</v>
      </c>
      <c r="AC149" t="s">
        <v>763</v>
      </c>
      <c r="AD149" t="s">
        <v>764</v>
      </c>
      <c r="AE149" t="s">
        <v>458</v>
      </c>
      <c r="AF149">
        <v>8.5</v>
      </c>
      <c r="AG149">
        <v>17</v>
      </c>
      <c r="AH149">
        <v>73.92</v>
      </c>
      <c r="AJ149" s="86" t="str">
        <f t="shared" si="33"/>
        <v>150368Cross Merchan SC Johnson</v>
      </c>
      <c r="AK149">
        <v>150368</v>
      </c>
      <c r="AL149" t="s">
        <v>341</v>
      </c>
      <c r="AM149" t="s">
        <v>104</v>
      </c>
      <c r="AN149" t="s">
        <v>103</v>
      </c>
      <c r="AO149" t="s">
        <v>1017</v>
      </c>
      <c r="AP149" t="s">
        <v>1018</v>
      </c>
      <c r="AQ149" t="s">
        <v>111</v>
      </c>
      <c r="AR149">
        <v>2.5</v>
      </c>
      <c r="AS149">
        <v>5</v>
      </c>
      <c r="AT149">
        <v>71.66</v>
      </c>
      <c r="AV149" s="86" t="str">
        <f t="shared" si="34"/>
        <v>152153Cross Merchan SC Johnson</v>
      </c>
      <c r="AW149">
        <v>152153</v>
      </c>
      <c r="AX149" t="s">
        <v>342</v>
      </c>
      <c r="AY149" t="s">
        <v>36</v>
      </c>
      <c r="AZ149" t="s">
        <v>103</v>
      </c>
      <c r="BA149" t="s">
        <v>1081</v>
      </c>
      <c r="BB149" t="s">
        <v>1082</v>
      </c>
      <c r="BC149" t="s">
        <v>111</v>
      </c>
      <c r="BD149">
        <v>1.665</v>
      </c>
      <c r="BE149">
        <v>5</v>
      </c>
      <c r="BF149">
        <v>84.98</v>
      </c>
      <c r="BH149" s="86" t="str">
        <f t="shared" si="35"/>
        <v>135870Cross Merchan SC Johnson</v>
      </c>
      <c r="BI149">
        <v>135870</v>
      </c>
      <c r="BJ149" t="s">
        <v>339</v>
      </c>
      <c r="BK149" t="s">
        <v>36</v>
      </c>
      <c r="BL149" t="s">
        <v>103</v>
      </c>
      <c r="BM149" t="s">
        <v>1197</v>
      </c>
      <c r="BN149" t="s">
        <v>1198</v>
      </c>
      <c r="BO149" t="s">
        <v>111</v>
      </c>
      <c r="BP149">
        <v>3.335</v>
      </c>
      <c r="BQ149">
        <v>5</v>
      </c>
      <c r="BR149">
        <v>81.41</v>
      </c>
      <c r="BT149" s="86" t="str">
        <f t="shared" si="24"/>
        <v>124155Share Sub Category SC Johnson</v>
      </c>
      <c r="BU149">
        <v>124155</v>
      </c>
      <c r="BV149" t="s">
        <v>336</v>
      </c>
      <c r="BW149" t="s">
        <v>1306</v>
      </c>
      <c r="BX149" t="s">
        <v>103</v>
      </c>
      <c r="BY149" t="s">
        <v>1376</v>
      </c>
      <c r="BZ149" t="s">
        <v>1377</v>
      </c>
      <c r="CA149" t="s">
        <v>457</v>
      </c>
      <c r="CB149">
        <v>21.425000000000001</v>
      </c>
      <c r="CC149">
        <v>25</v>
      </c>
      <c r="CD149">
        <v>81.03</v>
      </c>
      <c r="CF149" s="86" t="str">
        <f t="shared" si="25"/>
        <v>133136Share Sub Category SC Johnson</v>
      </c>
      <c r="CG149">
        <v>133136</v>
      </c>
      <c r="CH149" t="s">
        <v>338</v>
      </c>
      <c r="CI149" t="s">
        <v>1306</v>
      </c>
      <c r="CJ149" t="s">
        <v>103</v>
      </c>
      <c r="CK149" t="s">
        <v>1444</v>
      </c>
      <c r="CL149" t="s">
        <v>1441</v>
      </c>
      <c r="CM149" t="s">
        <v>457</v>
      </c>
      <c r="CN149">
        <v>21.425000000000001</v>
      </c>
      <c r="CO149">
        <v>25</v>
      </c>
      <c r="CP149">
        <v>94.02</v>
      </c>
      <c r="CR149" s="86" t="str">
        <f t="shared" si="26"/>
        <v>132039Share Sub Category SC Johnson</v>
      </c>
      <c r="CS149">
        <v>132039</v>
      </c>
      <c r="CT149" t="s">
        <v>337</v>
      </c>
      <c r="CU149" t="s">
        <v>1345</v>
      </c>
      <c r="CV149" t="s">
        <v>103</v>
      </c>
      <c r="CW149" t="s">
        <v>1521</v>
      </c>
      <c r="CX149" t="s">
        <v>1522</v>
      </c>
      <c r="CY149" t="s">
        <v>457</v>
      </c>
      <c r="CZ149">
        <v>25</v>
      </c>
      <c r="DA149">
        <v>25</v>
      </c>
      <c r="DB149">
        <v>92.8</v>
      </c>
      <c r="DD149" s="86" t="str">
        <f t="shared" si="27"/>
        <v>135870Cross Merchan SC Johnson</v>
      </c>
      <c r="DE149">
        <v>135870</v>
      </c>
      <c r="DF149" t="s">
        <v>339</v>
      </c>
      <c r="DG149" t="s">
        <v>1306</v>
      </c>
      <c r="DH149" t="s">
        <v>103</v>
      </c>
      <c r="DI149" t="s">
        <v>1698</v>
      </c>
      <c r="DJ149" t="s">
        <v>1699</v>
      </c>
      <c r="DK149" t="s">
        <v>111</v>
      </c>
      <c r="DL149">
        <v>5</v>
      </c>
      <c r="DM149">
        <v>5</v>
      </c>
      <c r="DN149">
        <v>90.83</v>
      </c>
      <c r="DP149" s="86" t="str">
        <f t="shared" si="28"/>
        <v>132039Cross Merchan SC Johnson</v>
      </c>
      <c r="DQ149">
        <v>132039</v>
      </c>
      <c r="DR149" t="s">
        <v>337</v>
      </c>
      <c r="DS149" t="s">
        <v>1345</v>
      </c>
      <c r="DT149" t="s">
        <v>103</v>
      </c>
      <c r="DU149" t="s">
        <v>1806</v>
      </c>
      <c r="DV149" t="s">
        <v>1807</v>
      </c>
      <c r="DW149" t="s">
        <v>111</v>
      </c>
      <c r="DX149">
        <v>5</v>
      </c>
      <c r="DY149">
        <v>5</v>
      </c>
      <c r="DZ149">
        <v>100</v>
      </c>
      <c r="EB149" s="86" t="str">
        <f t="shared" si="29"/>
        <v>167265Cross Merchan SC Johnson</v>
      </c>
      <c r="EC149">
        <v>167265</v>
      </c>
      <c r="ED149" t="s">
        <v>346</v>
      </c>
      <c r="EE149" t="s">
        <v>482</v>
      </c>
      <c r="EF149" t="s">
        <v>103</v>
      </c>
      <c r="EG149" t="s">
        <v>1926</v>
      </c>
      <c r="EH149" t="s">
        <v>1927</v>
      </c>
      <c r="EI149" t="s">
        <v>111</v>
      </c>
      <c r="EJ149">
        <v>5</v>
      </c>
      <c r="EK149">
        <v>5</v>
      </c>
      <c r="EL149">
        <v>87.83</v>
      </c>
    </row>
    <row r="150" spans="1:142" x14ac:dyDescent="0.35">
      <c r="A150" s="86" t="str">
        <f t="shared" si="30"/>
        <v>143032Share Sub Loc Pao Quente SC Johnson</v>
      </c>
      <c r="B150">
        <v>143032</v>
      </c>
      <c r="C150" t="s">
        <v>340</v>
      </c>
      <c r="D150" t="s">
        <v>103</v>
      </c>
      <c r="E150" t="s">
        <v>537</v>
      </c>
      <c r="F150" t="s">
        <v>538</v>
      </c>
      <c r="G150" t="s">
        <v>458</v>
      </c>
      <c r="H150">
        <v>72.010000000000005</v>
      </c>
      <c r="I150">
        <v>6.8</v>
      </c>
      <c r="J150">
        <v>17</v>
      </c>
      <c r="L150" s="86" t="str">
        <f t="shared" si="31"/>
        <v>143032Mix + Intocáveis SC Johnson</v>
      </c>
      <c r="M150">
        <v>143032</v>
      </c>
      <c r="N150" t="s">
        <v>340</v>
      </c>
      <c r="O150" t="s">
        <v>36</v>
      </c>
      <c r="P150" t="s">
        <v>103</v>
      </c>
      <c r="Q150" t="s">
        <v>688</v>
      </c>
      <c r="R150" t="s">
        <v>689</v>
      </c>
      <c r="S150" t="s">
        <v>459</v>
      </c>
      <c r="T150">
        <v>33.75</v>
      </c>
      <c r="U150">
        <v>45</v>
      </c>
      <c r="V150">
        <v>75.92</v>
      </c>
      <c r="X150" s="86" t="str">
        <f t="shared" si="32"/>
        <v>143128Mix + Intocáveis SC Johnson</v>
      </c>
      <c r="Y150">
        <v>143128</v>
      </c>
      <c r="Z150" t="s">
        <v>391</v>
      </c>
      <c r="AA150" t="s">
        <v>104</v>
      </c>
      <c r="AB150" t="s">
        <v>103</v>
      </c>
      <c r="AC150" t="s">
        <v>763</v>
      </c>
      <c r="AD150" t="s">
        <v>764</v>
      </c>
      <c r="AE150" t="s">
        <v>459</v>
      </c>
      <c r="AF150">
        <v>36</v>
      </c>
      <c r="AG150">
        <v>45</v>
      </c>
      <c r="AH150">
        <v>73.92</v>
      </c>
      <c r="AJ150" s="86" t="str">
        <f t="shared" si="33"/>
        <v>150368Share Sub Loc Pao Quente SC Johnson</v>
      </c>
      <c r="AK150">
        <v>150368</v>
      </c>
      <c r="AL150" t="s">
        <v>341</v>
      </c>
      <c r="AM150" t="s">
        <v>104</v>
      </c>
      <c r="AN150" t="s">
        <v>103</v>
      </c>
      <c r="AO150" t="s">
        <v>1017</v>
      </c>
      <c r="AP150" t="s">
        <v>1018</v>
      </c>
      <c r="AQ150" t="s">
        <v>458</v>
      </c>
      <c r="AR150">
        <v>12</v>
      </c>
      <c r="AS150">
        <v>12</v>
      </c>
      <c r="AT150">
        <v>71.66</v>
      </c>
      <c r="AV150" s="86" t="str">
        <f t="shared" si="34"/>
        <v>152153Share Sub Loc Pao Quente SC Johnson</v>
      </c>
      <c r="AW150">
        <v>152153</v>
      </c>
      <c r="AX150" t="s">
        <v>342</v>
      </c>
      <c r="AY150" t="s">
        <v>36</v>
      </c>
      <c r="AZ150" t="s">
        <v>103</v>
      </c>
      <c r="BA150" t="s">
        <v>1081</v>
      </c>
      <c r="BB150" t="s">
        <v>1082</v>
      </c>
      <c r="BC150" t="s">
        <v>458</v>
      </c>
      <c r="BD150">
        <v>9</v>
      </c>
      <c r="BE150">
        <v>12</v>
      </c>
      <c r="BF150">
        <v>84.98</v>
      </c>
      <c r="BH150" s="86" t="str">
        <f t="shared" si="35"/>
        <v>135870Share Sub Loc Pao Quente SC Johnson</v>
      </c>
      <c r="BI150">
        <v>135870</v>
      </c>
      <c r="BJ150" t="s">
        <v>339</v>
      </c>
      <c r="BK150" t="s">
        <v>36</v>
      </c>
      <c r="BL150" t="s">
        <v>103</v>
      </c>
      <c r="BM150" t="s">
        <v>1197</v>
      </c>
      <c r="BN150" t="s">
        <v>1198</v>
      </c>
      <c r="BO150" t="s">
        <v>458</v>
      </c>
      <c r="BP150">
        <v>9</v>
      </c>
      <c r="BQ150">
        <v>12</v>
      </c>
      <c r="BR150">
        <v>81.41</v>
      </c>
      <c r="BT150" s="86" t="str">
        <f t="shared" si="24"/>
        <v>124155Share Sub Loc Pao Quente SC Johnson</v>
      </c>
      <c r="BU150">
        <v>124155</v>
      </c>
      <c r="BV150" t="s">
        <v>336</v>
      </c>
      <c r="BW150" t="s">
        <v>1306</v>
      </c>
      <c r="BX150" t="s">
        <v>103</v>
      </c>
      <c r="BY150" t="s">
        <v>1376</v>
      </c>
      <c r="BZ150" t="s">
        <v>1377</v>
      </c>
      <c r="CA150" t="s">
        <v>458</v>
      </c>
      <c r="CB150">
        <v>12</v>
      </c>
      <c r="CC150">
        <v>12</v>
      </c>
      <c r="CD150">
        <v>81.03</v>
      </c>
      <c r="CF150" s="86" t="str">
        <f t="shared" si="25"/>
        <v>133136Share Sub Loc Pao Quente SC Johnson</v>
      </c>
      <c r="CG150">
        <v>133136</v>
      </c>
      <c r="CH150" t="s">
        <v>338</v>
      </c>
      <c r="CI150" t="s">
        <v>1306</v>
      </c>
      <c r="CJ150" t="s">
        <v>103</v>
      </c>
      <c r="CK150" t="s">
        <v>1444</v>
      </c>
      <c r="CL150" t="s">
        <v>1441</v>
      </c>
      <c r="CM150" t="s">
        <v>458</v>
      </c>
      <c r="CN150">
        <v>12</v>
      </c>
      <c r="CO150">
        <v>12</v>
      </c>
      <c r="CP150">
        <v>94.02</v>
      </c>
      <c r="CR150" s="86" t="str">
        <f t="shared" si="26"/>
        <v>132039Share Sub Loc Pao Quente SC Johnson</v>
      </c>
      <c r="CS150">
        <v>132039</v>
      </c>
      <c r="CT150" t="s">
        <v>337</v>
      </c>
      <c r="CU150" t="s">
        <v>1345</v>
      </c>
      <c r="CV150" t="s">
        <v>103</v>
      </c>
      <c r="CW150" t="s">
        <v>1521</v>
      </c>
      <c r="CX150" t="s">
        <v>1522</v>
      </c>
      <c r="CY150" t="s">
        <v>458</v>
      </c>
      <c r="CZ150">
        <v>12</v>
      </c>
      <c r="DA150">
        <v>12</v>
      </c>
      <c r="DB150">
        <v>92.8</v>
      </c>
      <c r="DD150" s="86" t="str">
        <f t="shared" si="27"/>
        <v>135870Lancamentos</v>
      </c>
      <c r="DE150">
        <v>135870</v>
      </c>
      <c r="DF150" t="s">
        <v>339</v>
      </c>
      <c r="DG150" t="s">
        <v>1306</v>
      </c>
      <c r="DH150" t="s">
        <v>103</v>
      </c>
      <c r="DI150" t="s">
        <v>1698</v>
      </c>
      <c r="DJ150" t="s">
        <v>1699</v>
      </c>
      <c r="DK150" t="s">
        <v>953</v>
      </c>
      <c r="DL150">
        <v>9</v>
      </c>
      <c r="DM150">
        <v>18</v>
      </c>
      <c r="DN150">
        <v>90.83</v>
      </c>
      <c r="DP150" s="86" t="str">
        <f t="shared" si="28"/>
        <v>132039Lancamentos</v>
      </c>
      <c r="DQ150">
        <v>132039</v>
      </c>
      <c r="DR150" t="s">
        <v>337</v>
      </c>
      <c r="DS150" t="s">
        <v>1345</v>
      </c>
      <c r="DT150" t="s">
        <v>103</v>
      </c>
      <c r="DU150" t="s">
        <v>1806</v>
      </c>
      <c r="DV150" t="s">
        <v>1807</v>
      </c>
      <c r="DW150" t="s">
        <v>953</v>
      </c>
      <c r="DX150">
        <v>18</v>
      </c>
      <c r="DY150">
        <v>18</v>
      </c>
      <c r="DZ150">
        <v>100</v>
      </c>
      <c r="EB150" s="86" t="str">
        <f t="shared" si="29"/>
        <v>167265Lancamentos</v>
      </c>
      <c r="EC150">
        <v>167265</v>
      </c>
      <c r="ED150" t="s">
        <v>346</v>
      </c>
      <c r="EE150" t="s">
        <v>482</v>
      </c>
      <c r="EF150" t="s">
        <v>103</v>
      </c>
      <c r="EG150" t="s">
        <v>1926</v>
      </c>
      <c r="EH150" t="s">
        <v>1927</v>
      </c>
      <c r="EI150" t="s">
        <v>953</v>
      </c>
      <c r="EJ150">
        <v>18</v>
      </c>
      <c r="EK150">
        <v>18</v>
      </c>
      <c r="EL150">
        <v>87.83</v>
      </c>
    </row>
    <row r="151" spans="1:142" x14ac:dyDescent="0.35">
      <c r="A151" s="86" t="str">
        <f t="shared" si="30"/>
        <v>143032Mix + Intocáveis SC Johnson</v>
      </c>
      <c r="B151">
        <v>143032</v>
      </c>
      <c r="C151" t="s">
        <v>340</v>
      </c>
      <c r="D151" t="s">
        <v>103</v>
      </c>
      <c r="E151" t="s">
        <v>537</v>
      </c>
      <c r="F151" t="s">
        <v>538</v>
      </c>
      <c r="G151" t="s">
        <v>459</v>
      </c>
      <c r="H151">
        <v>72.010000000000005</v>
      </c>
      <c r="I151">
        <v>31.5</v>
      </c>
      <c r="J151">
        <v>45</v>
      </c>
      <c r="L151" s="86" t="str">
        <f t="shared" si="31"/>
        <v>143128Share Sub Category SC Johnson</v>
      </c>
      <c r="M151">
        <v>143128</v>
      </c>
      <c r="N151" t="s">
        <v>391</v>
      </c>
      <c r="O151" t="s">
        <v>539</v>
      </c>
      <c r="P151" t="s">
        <v>103</v>
      </c>
      <c r="Q151" t="s">
        <v>690</v>
      </c>
      <c r="R151" t="s">
        <v>691</v>
      </c>
      <c r="S151" t="s">
        <v>457</v>
      </c>
      <c r="T151">
        <v>17.13</v>
      </c>
      <c r="U151">
        <v>30</v>
      </c>
      <c r="V151">
        <v>54.88</v>
      </c>
      <c r="X151" s="86" t="str">
        <f t="shared" si="32"/>
        <v>144056Share Sub Category SC Johnson</v>
      </c>
      <c r="Y151">
        <v>144056</v>
      </c>
      <c r="Z151" t="s">
        <v>392</v>
      </c>
      <c r="AA151" t="s">
        <v>36</v>
      </c>
      <c r="AB151" t="s">
        <v>103</v>
      </c>
      <c r="AC151" t="s">
        <v>839</v>
      </c>
      <c r="AD151" t="s">
        <v>840</v>
      </c>
      <c r="AE151" t="s">
        <v>457</v>
      </c>
      <c r="AF151">
        <v>21.42</v>
      </c>
      <c r="AG151">
        <v>30</v>
      </c>
      <c r="AH151">
        <v>71.42</v>
      </c>
      <c r="AJ151" s="86" t="str">
        <f t="shared" si="33"/>
        <v>150368Mix + Intocáveis SC Johnson</v>
      </c>
      <c r="AK151">
        <v>150368</v>
      </c>
      <c r="AL151" t="s">
        <v>341</v>
      </c>
      <c r="AM151" t="s">
        <v>104</v>
      </c>
      <c r="AN151" t="s">
        <v>103</v>
      </c>
      <c r="AO151" t="s">
        <v>1017</v>
      </c>
      <c r="AP151" t="s">
        <v>1018</v>
      </c>
      <c r="AQ151" t="s">
        <v>459</v>
      </c>
      <c r="AR151">
        <v>32.159999999999997</v>
      </c>
      <c r="AS151">
        <v>40</v>
      </c>
      <c r="AT151">
        <v>71.66</v>
      </c>
      <c r="AV151" s="86" t="str">
        <f t="shared" si="34"/>
        <v>152153Mix + Intocáveis SC Johnson</v>
      </c>
      <c r="AW151">
        <v>152153</v>
      </c>
      <c r="AX151" t="s">
        <v>342</v>
      </c>
      <c r="AY151" t="s">
        <v>36</v>
      </c>
      <c r="AZ151" t="s">
        <v>103</v>
      </c>
      <c r="BA151" t="s">
        <v>1081</v>
      </c>
      <c r="BB151" t="s">
        <v>1082</v>
      </c>
      <c r="BC151" t="s">
        <v>459</v>
      </c>
      <c r="BD151">
        <v>31.32</v>
      </c>
      <c r="BE151">
        <v>40</v>
      </c>
      <c r="BF151">
        <v>84.98</v>
      </c>
      <c r="BH151" s="86" t="str">
        <f t="shared" si="35"/>
        <v>135870Mix + Intocáveis SC Johnson</v>
      </c>
      <c r="BI151">
        <v>135870</v>
      </c>
      <c r="BJ151" t="s">
        <v>339</v>
      </c>
      <c r="BK151" t="s">
        <v>36</v>
      </c>
      <c r="BL151" t="s">
        <v>103</v>
      </c>
      <c r="BM151" t="s">
        <v>1197</v>
      </c>
      <c r="BN151" t="s">
        <v>1198</v>
      </c>
      <c r="BO151" t="s">
        <v>459</v>
      </c>
      <c r="BP151">
        <v>26.08</v>
      </c>
      <c r="BQ151">
        <v>40</v>
      </c>
      <c r="BR151">
        <v>81.41</v>
      </c>
      <c r="BT151" s="86" t="str">
        <f t="shared" si="24"/>
        <v>124155Cross Merchan SC Johnson</v>
      </c>
      <c r="BU151">
        <v>124155</v>
      </c>
      <c r="BV151" t="s">
        <v>336</v>
      </c>
      <c r="BW151" t="s">
        <v>1306</v>
      </c>
      <c r="BX151" t="s">
        <v>103</v>
      </c>
      <c r="BY151" t="s">
        <v>1376</v>
      </c>
      <c r="BZ151" t="s">
        <v>1377</v>
      </c>
      <c r="CA151" t="s">
        <v>111</v>
      </c>
      <c r="CB151">
        <v>5</v>
      </c>
      <c r="CC151">
        <v>5</v>
      </c>
      <c r="CD151">
        <v>81.03</v>
      </c>
      <c r="CF151" s="86" t="str">
        <f t="shared" si="25"/>
        <v>133136Cross Merchan SC Johnson</v>
      </c>
      <c r="CG151">
        <v>133136</v>
      </c>
      <c r="CH151" t="s">
        <v>338</v>
      </c>
      <c r="CI151" t="s">
        <v>1306</v>
      </c>
      <c r="CJ151" t="s">
        <v>103</v>
      </c>
      <c r="CK151" t="s">
        <v>1444</v>
      </c>
      <c r="CL151" t="s">
        <v>1441</v>
      </c>
      <c r="CM151" t="s">
        <v>111</v>
      </c>
      <c r="CN151">
        <v>5</v>
      </c>
      <c r="CO151">
        <v>5</v>
      </c>
      <c r="CP151">
        <v>94.02</v>
      </c>
      <c r="CR151" s="86" t="str">
        <f t="shared" si="26"/>
        <v>132039Cross Merchan SC Johnson</v>
      </c>
      <c r="CS151">
        <v>132039</v>
      </c>
      <c r="CT151" t="s">
        <v>337</v>
      </c>
      <c r="CU151" t="s">
        <v>1345</v>
      </c>
      <c r="CV151" t="s">
        <v>103</v>
      </c>
      <c r="CW151" t="s">
        <v>1521</v>
      </c>
      <c r="CX151" t="s">
        <v>1522</v>
      </c>
      <c r="CY151" t="s">
        <v>111</v>
      </c>
      <c r="CZ151">
        <v>5</v>
      </c>
      <c r="DA151">
        <v>5</v>
      </c>
      <c r="DB151">
        <v>92.8</v>
      </c>
      <c r="DD151" s="86" t="str">
        <f t="shared" si="27"/>
        <v>135870Share Sub Category SC Johnson</v>
      </c>
      <c r="DE151">
        <v>135870</v>
      </c>
      <c r="DF151" t="s">
        <v>339</v>
      </c>
      <c r="DG151" t="s">
        <v>1306</v>
      </c>
      <c r="DH151" t="s">
        <v>103</v>
      </c>
      <c r="DI151" t="s">
        <v>1698</v>
      </c>
      <c r="DJ151" t="s">
        <v>1699</v>
      </c>
      <c r="DK151" t="s">
        <v>457</v>
      </c>
      <c r="DL151">
        <v>21.425000000000001</v>
      </c>
      <c r="DM151">
        <v>25</v>
      </c>
      <c r="DN151">
        <v>90.83</v>
      </c>
      <c r="DP151" s="86" t="str">
        <f t="shared" si="28"/>
        <v>132039Share Sub Category SC Johnson</v>
      </c>
      <c r="DQ151">
        <v>132039</v>
      </c>
      <c r="DR151" t="s">
        <v>337</v>
      </c>
      <c r="DS151" t="s">
        <v>1345</v>
      </c>
      <c r="DT151" t="s">
        <v>103</v>
      </c>
      <c r="DU151" t="s">
        <v>1806</v>
      </c>
      <c r="DV151" t="s">
        <v>1807</v>
      </c>
      <c r="DW151" t="s">
        <v>457</v>
      </c>
      <c r="DX151">
        <v>25</v>
      </c>
      <c r="DY151">
        <v>25</v>
      </c>
      <c r="DZ151">
        <v>100</v>
      </c>
      <c r="EB151" s="86" t="str">
        <f t="shared" si="29"/>
        <v>167265Share Sub Category SC Johnson</v>
      </c>
      <c r="EC151">
        <v>167265</v>
      </c>
      <c r="ED151" t="s">
        <v>346</v>
      </c>
      <c r="EE151" t="s">
        <v>482</v>
      </c>
      <c r="EF151" t="s">
        <v>103</v>
      </c>
      <c r="EG151" t="s">
        <v>1926</v>
      </c>
      <c r="EH151" t="s">
        <v>1927</v>
      </c>
      <c r="EI151" t="s">
        <v>457</v>
      </c>
      <c r="EJ151">
        <v>21.425000000000001</v>
      </c>
      <c r="EK151">
        <v>25</v>
      </c>
      <c r="EL151">
        <v>87.83</v>
      </c>
    </row>
    <row r="152" spans="1:142" x14ac:dyDescent="0.35">
      <c r="A152" s="86" t="str">
        <f t="shared" si="30"/>
        <v>143128Share Sub Category SC Johnson</v>
      </c>
      <c r="B152">
        <v>143128</v>
      </c>
      <c r="C152" t="s">
        <v>391</v>
      </c>
      <c r="D152" t="s">
        <v>103</v>
      </c>
      <c r="E152" t="s">
        <v>540</v>
      </c>
      <c r="F152" t="s">
        <v>541</v>
      </c>
      <c r="G152" t="s">
        <v>457</v>
      </c>
      <c r="H152">
        <v>29.77</v>
      </c>
      <c r="I152">
        <v>12.87</v>
      </c>
      <c r="J152">
        <v>30</v>
      </c>
      <c r="L152" s="86" t="str">
        <f t="shared" si="31"/>
        <v>143128Cross Merchan SC Johnson</v>
      </c>
      <c r="M152">
        <v>143128</v>
      </c>
      <c r="N152" t="s">
        <v>391</v>
      </c>
      <c r="O152" t="s">
        <v>539</v>
      </c>
      <c r="P152" t="s">
        <v>103</v>
      </c>
      <c r="Q152" t="s">
        <v>690</v>
      </c>
      <c r="R152" t="s">
        <v>691</v>
      </c>
      <c r="S152" t="s">
        <v>111</v>
      </c>
      <c r="T152">
        <v>0</v>
      </c>
      <c r="U152">
        <v>8</v>
      </c>
      <c r="V152">
        <v>54.88</v>
      </c>
      <c r="X152" s="86" t="str">
        <f t="shared" si="32"/>
        <v>144056Cross Merchan SC Johnson</v>
      </c>
      <c r="Y152">
        <v>144056</v>
      </c>
      <c r="Z152" t="s">
        <v>392</v>
      </c>
      <c r="AA152" t="s">
        <v>36</v>
      </c>
      <c r="AB152" t="s">
        <v>103</v>
      </c>
      <c r="AC152" t="s">
        <v>839</v>
      </c>
      <c r="AD152" t="s">
        <v>840</v>
      </c>
      <c r="AE152" t="s">
        <v>111</v>
      </c>
      <c r="AF152">
        <v>8</v>
      </c>
      <c r="AG152">
        <v>8</v>
      </c>
      <c r="AH152">
        <v>71.42</v>
      </c>
      <c r="AJ152" s="86" t="str">
        <f t="shared" si="33"/>
        <v>150368Lancamentos</v>
      </c>
      <c r="AK152">
        <v>150368</v>
      </c>
      <c r="AL152" t="s">
        <v>341</v>
      </c>
      <c r="AM152" t="s">
        <v>104</v>
      </c>
      <c r="AN152" t="s">
        <v>103</v>
      </c>
      <c r="AO152" t="s">
        <v>1017</v>
      </c>
      <c r="AP152" t="s">
        <v>1018</v>
      </c>
      <c r="AQ152" t="s">
        <v>953</v>
      </c>
      <c r="AR152">
        <v>0</v>
      </c>
      <c r="AS152">
        <v>18</v>
      </c>
      <c r="AT152">
        <v>71.66</v>
      </c>
      <c r="AV152" s="86" t="str">
        <f t="shared" si="34"/>
        <v>152153Lancamentos</v>
      </c>
      <c r="AW152">
        <v>152153</v>
      </c>
      <c r="AX152" t="s">
        <v>342</v>
      </c>
      <c r="AY152" t="s">
        <v>36</v>
      </c>
      <c r="AZ152" t="s">
        <v>103</v>
      </c>
      <c r="BA152" t="s">
        <v>1081</v>
      </c>
      <c r="BB152" t="s">
        <v>1082</v>
      </c>
      <c r="BC152" t="s">
        <v>953</v>
      </c>
      <c r="BD152">
        <v>18</v>
      </c>
      <c r="BE152">
        <v>18</v>
      </c>
      <c r="BF152">
        <v>84.98</v>
      </c>
      <c r="BH152" s="86" t="str">
        <f t="shared" si="35"/>
        <v>135870Lancamentos</v>
      </c>
      <c r="BI152">
        <v>135870</v>
      </c>
      <c r="BJ152" t="s">
        <v>339</v>
      </c>
      <c r="BK152" t="s">
        <v>36</v>
      </c>
      <c r="BL152" t="s">
        <v>103</v>
      </c>
      <c r="BM152" t="s">
        <v>1197</v>
      </c>
      <c r="BN152" t="s">
        <v>1198</v>
      </c>
      <c r="BO152" t="s">
        <v>953</v>
      </c>
      <c r="BP152">
        <v>18</v>
      </c>
      <c r="BQ152">
        <v>18</v>
      </c>
      <c r="BR152">
        <v>81.41</v>
      </c>
      <c r="BT152" s="86" t="str">
        <f t="shared" si="24"/>
        <v>124155Execucao Bonus</v>
      </c>
      <c r="BU152">
        <v>124155</v>
      </c>
      <c r="BV152" t="s">
        <v>336</v>
      </c>
      <c r="BW152" t="s">
        <v>1306</v>
      </c>
      <c r="BX152" t="s">
        <v>103</v>
      </c>
      <c r="BY152" t="s">
        <v>1376</v>
      </c>
      <c r="BZ152" t="s">
        <v>1377</v>
      </c>
      <c r="CA152" t="s">
        <v>1291</v>
      </c>
      <c r="CB152">
        <v>0</v>
      </c>
      <c r="CC152">
        <v>5</v>
      </c>
      <c r="CD152">
        <v>81.03</v>
      </c>
      <c r="CF152" s="86" t="str">
        <f t="shared" si="25"/>
        <v>133136Execucao Bonus</v>
      </c>
      <c r="CG152">
        <v>133136</v>
      </c>
      <c r="CH152" t="s">
        <v>338</v>
      </c>
      <c r="CI152" t="s">
        <v>1306</v>
      </c>
      <c r="CJ152" t="s">
        <v>103</v>
      </c>
      <c r="CK152" t="s">
        <v>1444</v>
      </c>
      <c r="CL152" t="s">
        <v>1441</v>
      </c>
      <c r="CM152" t="s">
        <v>1291</v>
      </c>
      <c r="CN152">
        <v>0</v>
      </c>
      <c r="CO152">
        <v>5</v>
      </c>
      <c r="CP152">
        <v>94.02</v>
      </c>
      <c r="CR152" s="86" t="str">
        <f t="shared" si="26"/>
        <v>132039Execucao Bonus</v>
      </c>
      <c r="CS152">
        <v>132039</v>
      </c>
      <c r="CT152" t="s">
        <v>337</v>
      </c>
      <c r="CU152" t="s">
        <v>1345</v>
      </c>
      <c r="CV152" t="s">
        <v>103</v>
      </c>
      <c r="CW152" t="s">
        <v>1521</v>
      </c>
      <c r="CX152" t="s">
        <v>1522</v>
      </c>
      <c r="CY152" t="s">
        <v>1291</v>
      </c>
      <c r="CZ152">
        <v>5</v>
      </c>
      <c r="DA152">
        <v>5</v>
      </c>
      <c r="DB152">
        <v>92.8</v>
      </c>
      <c r="DD152" s="86" t="str">
        <f t="shared" si="27"/>
        <v>135870Share Sub Loc Pao Quente SC Johnson</v>
      </c>
      <c r="DE152">
        <v>135870</v>
      </c>
      <c r="DF152" t="s">
        <v>339</v>
      </c>
      <c r="DG152" t="s">
        <v>1306</v>
      </c>
      <c r="DH152" t="s">
        <v>103</v>
      </c>
      <c r="DI152" t="s">
        <v>1698</v>
      </c>
      <c r="DJ152" t="s">
        <v>1699</v>
      </c>
      <c r="DK152" t="s">
        <v>458</v>
      </c>
      <c r="DL152">
        <v>12</v>
      </c>
      <c r="DM152">
        <v>12</v>
      </c>
      <c r="DN152">
        <v>90.83</v>
      </c>
      <c r="DP152" s="86" t="str">
        <f t="shared" si="28"/>
        <v>132039Share Sub Loc Pao Quente SC Johnson</v>
      </c>
      <c r="DQ152">
        <v>132039</v>
      </c>
      <c r="DR152" t="s">
        <v>337</v>
      </c>
      <c r="DS152" t="s">
        <v>1345</v>
      </c>
      <c r="DT152" t="s">
        <v>103</v>
      </c>
      <c r="DU152" t="s">
        <v>1806</v>
      </c>
      <c r="DV152" t="s">
        <v>1807</v>
      </c>
      <c r="DW152" t="s">
        <v>458</v>
      </c>
      <c r="DX152">
        <v>12</v>
      </c>
      <c r="DY152">
        <v>12</v>
      </c>
      <c r="DZ152">
        <v>100</v>
      </c>
      <c r="EB152" s="86" t="str">
        <f t="shared" si="29"/>
        <v>167265Share Sub Loc Pao Quente SC Johnson</v>
      </c>
      <c r="EC152">
        <v>167265</v>
      </c>
      <c r="ED152" t="s">
        <v>346</v>
      </c>
      <c r="EE152" t="s">
        <v>482</v>
      </c>
      <c r="EF152" t="s">
        <v>103</v>
      </c>
      <c r="EG152" t="s">
        <v>1926</v>
      </c>
      <c r="EH152" t="s">
        <v>1927</v>
      </c>
      <c r="EI152" t="s">
        <v>458</v>
      </c>
      <c r="EJ152">
        <v>12</v>
      </c>
      <c r="EK152">
        <v>12</v>
      </c>
      <c r="EL152">
        <v>87.83</v>
      </c>
    </row>
    <row r="153" spans="1:142" x14ac:dyDescent="0.35">
      <c r="A153" s="86" t="str">
        <f t="shared" si="30"/>
        <v>143128Cross Merchan SC Johnson</v>
      </c>
      <c r="B153">
        <v>143128</v>
      </c>
      <c r="C153" t="s">
        <v>391</v>
      </c>
      <c r="D153" t="s">
        <v>103</v>
      </c>
      <c r="E153" t="s">
        <v>540</v>
      </c>
      <c r="F153" t="s">
        <v>541</v>
      </c>
      <c r="G153" t="s">
        <v>111</v>
      </c>
      <c r="H153">
        <v>29.77</v>
      </c>
      <c r="I153">
        <v>0</v>
      </c>
      <c r="J153">
        <v>8</v>
      </c>
      <c r="L153" s="86" t="str">
        <f t="shared" si="31"/>
        <v>143128Share Sub Loc Pao Quente SC Johnson</v>
      </c>
      <c r="M153">
        <v>143128</v>
      </c>
      <c r="N153" t="s">
        <v>391</v>
      </c>
      <c r="O153" t="s">
        <v>539</v>
      </c>
      <c r="P153" t="s">
        <v>103</v>
      </c>
      <c r="Q153" t="s">
        <v>690</v>
      </c>
      <c r="R153" t="s">
        <v>691</v>
      </c>
      <c r="S153" t="s">
        <v>458</v>
      </c>
      <c r="T153">
        <v>8.5</v>
      </c>
      <c r="U153">
        <v>17</v>
      </c>
      <c r="V153">
        <v>54.88</v>
      </c>
      <c r="X153" s="86" t="str">
        <f t="shared" si="32"/>
        <v>144056Share Sub Loc Pao Quente SC Johnson</v>
      </c>
      <c r="Y153">
        <v>144056</v>
      </c>
      <c r="Z153" t="s">
        <v>392</v>
      </c>
      <c r="AA153" t="s">
        <v>36</v>
      </c>
      <c r="AB153" t="s">
        <v>103</v>
      </c>
      <c r="AC153" t="s">
        <v>839</v>
      </c>
      <c r="AD153" t="s">
        <v>840</v>
      </c>
      <c r="AE153" t="s">
        <v>458</v>
      </c>
      <c r="AF153">
        <v>12.75</v>
      </c>
      <c r="AG153">
        <v>17</v>
      </c>
      <c r="AH153">
        <v>71.42</v>
      </c>
      <c r="AJ153" s="86" t="str">
        <f t="shared" si="33"/>
        <v>152153Share Sub Category SC Johnson</v>
      </c>
      <c r="AK153">
        <v>152153</v>
      </c>
      <c r="AL153" t="s">
        <v>342</v>
      </c>
      <c r="AM153" t="s">
        <v>36</v>
      </c>
      <c r="AN153" t="s">
        <v>103</v>
      </c>
      <c r="AO153" t="s">
        <v>958</v>
      </c>
      <c r="AP153" t="s">
        <v>959</v>
      </c>
      <c r="AQ153" t="s">
        <v>457</v>
      </c>
      <c r="AR153">
        <v>21.425000000000001</v>
      </c>
      <c r="AS153">
        <v>25</v>
      </c>
      <c r="AT153">
        <v>65.48</v>
      </c>
      <c r="AV153" s="86" t="str">
        <f t="shared" si="34"/>
        <v>152696Share Sub Category SC Johnson</v>
      </c>
      <c r="AW153">
        <v>152696</v>
      </c>
      <c r="AX153" t="s">
        <v>363</v>
      </c>
      <c r="AY153" t="s">
        <v>36</v>
      </c>
      <c r="AZ153" t="s">
        <v>103</v>
      </c>
      <c r="BA153" t="s">
        <v>1083</v>
      </c>
      <c r="BB153" t="s">
        <v>1084</v>
      </c>
      <c r="BC153" t="s">
        <v>457</v>
      </c>
      <c r="BD153">
        <v>25</v>
      </c>
      <c r="BE153">
        <v>25</v>
      </c>
      <c r="BF153">
        <v>62.62</v>
      </c>
      <c r="BH153" s="86" t="str">
        <f t="shared" si="35"/>
        <v>136856Share Sub Category SC Johnson</v>
      </c>
      <c r="BI153">
        <v>136856</v>
      </c>
      <c r="BJ153" t="s">
        <v>379</v>
      </c>
      <c r="BK153" t="s">
        <v>489</v>
      </c>
      <c r="BL153" t="s">
        <v>103</v>
      </c>
      <c r="BM153" t="s">
        <v>1149</v>
      </c>
      <c r="BN153" t="s">
        <v>1150</v>
      </c>
      <c r="BO153" t="s">
        <v>457</v>
      </c>
      <c r="BP153">
        <v>25</v>
      </c>
      <c r="BQ153">
        <v>25</v>
      </c>
      <c r="BR153">
        <v>95.73</v>
      </c>
      <c r="BT153" s="86" t="str">
        <f t="shared" si="24"/>
        <v>132039Lancamentos</v>
      </c>
      <c r="BU153">
        <v>132039</v>
      </c>
      <c r="BV153" t="s">
        <v>337</v>
      </c>
      <c r="BW153" t="s">
        <v>1345</v>
      </c>
      <c r="BX153" t="s">
        <v>103</v>
      </c>
      <c r="BY153" t="s">
        <v>1394</v>
      </c>
      <c r="BZ153" t="s">
        <v>1395</v>
      </c>
      <c r="CA153" t="s">
        <v>953</v>
      </c>
      <c r="CB153">
        <v>18</v>
      </c>
      <c r="CC153">
        <v>18</v>
      </c>
      <c r="CD153">
        <v>91.42</v>
      </c>
      <c r="CF153" s="86" t="str">
        <f t="shared" si="25"/>
        <v>135870Lancamentos</v>
      </c>
      <c r="CG153">
        <v>135870</v>
      </c>
      <c r="CH153" t="s">
        <v>339</v>
      </c>
      <c r="CI153" t="s">
        <v>1306</v>
      </c>
      <c r="CJ153" t="s">
        <v>103</v>
      </c>
      <c r="CK153" t="s">
        <v>1445</v>
      </c>
      <c r="CL153" t="s">
        <v>1446</v>
      </c>
      <c r="CM153" t="s">
        <v>953</v>
      </c>
      <c r="CN153">
        <v>18</v>
      </c>
      <c r="CO153">
        <v>18</v>
      </c>
      <c r="CP153">
        <v>94.83</v>
      </c>
      <c r="CR153" s="86" t="str">
        <f t="shared" si="26"/>
        <v>133136Lancamentos</v>
      </c>
      <c r="CS153">
        <v>133136</v>
      </c>
      <c r="CT153" t="s">
        <v>338</v>
      </c>
      <c r="CU153" t="s">
        <v>1306</v>
      </c>
      <c r="CV153" t="s">
        <v>103</v>
      </c>
      <c r="CW153" t="s">
        <v>1592</v>
      </c>
      <c r="CX153" t="s">
        <v>1593</v>
      </c>
      <c r="CY153" t="s">
        <v>953</v>
      </c>
      <c r="CZ153">
        <v>18</v>
      </c>
      <c r="DA153">
        <v>18</v>
      </c>
      <c r="DB153">
        <v>97.8</v>
      </c>
      <c r="DD153" s="86" t="str">
        <f t="shared" si="27"/>
        <v>136856Mix + Intocáveis SC Johnson</v>
      </c>
      <c r="DE153">
        <v>136856</v>
      </c>
      <c r="DF153" t="s">
        <v>379</v>
      </c>
      <c r="DG153" t="s">
        <v>489</v>
      </c>
      <c r="DH153" t="s">
        <v>103</v>
      </c>
      <c r="DI153" t="s">
        <v>1650</v>
      </c>
      <c r="DJ153" t="s">
        <v>1651</v>
      </c>
      <c r="DK153" t="s">
        <v>459</v>
      </c>
      <c r="DL153">
        <v>33.6</v>
      </c>
      <c r="DM153">
        <v>40</v>
      </c>
      <c r="DN153">
        <v>92.6</v>
      </c>
      <c r="DP153" s="86" t="str">
        <f t="shared" si="28"/>
        <v>133136Mix + Intocáveis SC Johnson</v>
      </c>
      <c r="DQ153">
        <v>133136</v>
      </c>
      <c r="DR153" t="s">
        <v>338</v>
      </c>
      <c r="DS153" t="s">
        <v>1306</v>
      </c>
      <c r="DT153" t="s">
        <v>103</v>
      </c>
      <c r="DU153" t="s">
        <v>1808</v>
      </c>
      <c r="DV153" t="s">
        <v>1809</v>
      </c>
      <c r="DW153" t="s">
        <v>459</v>
      </c>
      <c r="DX153">
        <v>36</v>
      </c>
      <c r="DY153">
        <v>40</v>
      </c>
      <c r="DZ153">
        <v>92</v>
      </c>
      <c r="EB153" s="86" t="str">
        <f t="shared" si="29"/>
        <v>168551Mix + Intocáveis SC Johnson</v>
      </c>
      <c r="EC153">
        <v>168551</v>
      </c>
      <c r="ED153" t="s">
        <v>380</v>
      </c>
      <c r="EE153" t="s">
        <v>1345</v>
      </c>
      <c r="EF153" t="s">
        <v>103</v>
      </c>
      <c r="EG153" t="s">
        <v>1868</v>
      </c>
      <c r="EH153" t="s">
        <v>1869</v>
      </c>
      <c r="EI153" t="s">
        <v>459</v>
      </c>
      <c r="EJ153">
        <v>36</v>
      </c>
      <c r="EK153">
        <v>40</v>
      </c>
      <c r="EL153">
        <v>100</v>
      </c>
    </row>
    <row r="154" spans="1:142" x14ac:dyDescent="0.35">
      <c r="A154" s="86" t="str">
        <f t="shared" si="30"/>
        <v>143128Share Sub Loc Pao Quente SC Johnson</v>
      </c>
      <c r="B154">
        <v>143128</v>
      </c>
      <c r="C154" t="s">
        <v>391</v>
      </c>
      <c r="D154" t="s">
        <v>103</v>
      </c>
      <c r="E154" t="s">
        <v>540</v>
      </c>
      <c r="F154" t="s">
        <v>541</v>
      </c>
      <c r="G154" t="s">
        <v>458</v>
      </c>
      <c r="H154">
        <v>29.77</v>
      </c>
      <c r="I154">
        <v>3.4</v>
      </c>
      <c r="J154">
        <v>17</v>
      </c>
      <c r="L154" s="86" t="str">
        <f t="shared" si="31"/>
        <v>143128Mix + Intocáveis SC Johnson</v>
      </c>
      <c r="M154">
        <v>143128</v>
      </c>
      <c r="N154" t="s">
        <v>391</v>
      </c>
      <c r="O154" t="s">
        <v>539</v>
      </c>
      <c r="P154" t="s">
        <v>103</v>
      </c>
      <c r="Q154" t="s">
        <v>690</v>
      </c>
      <c r="R154" t="s">
        <v>691</v>
      </c>
      <c r="S154" t="s">
        <v>459</v>
      </c>
      <c r="T154">
        <v>29.25</v>
      </c>
      <c r="U154">
        <v>45</v>
      </c>
      <c r="V154">
        <v>54.88</v>
      </c>
      <c r="X154" s="86" t="str">
        <f t="shared" si="32"/>
        <v>144056Mix + Intocáveis SC Johnson</v>
      </c>
      <c r="Y154">
        <v>144056</v>
      </c>
      <c r="Z154" t="s">
        <v>392</v>
      </c>
      <c r="AA154" t="s">
        <v>36</v>
      </c>
      <c r="AB154" t="s">
        <v>103</v>
      </c>
      <c r="AC154" t="s">
        <v>839</v>
      </c>
      <c r="AD154" t="s">
        <v>840</v>
      </c>
      <c r="AE154" t="s">
        <v>459</v>
      </c>
      <c r="AF154">
        <v>29.25</v>
      </c>
      <c r="AG154">
        <v>45</v>
      </c>
      <c r="AH154">
        <v>71.42</v>
      </c>
      <c r="AJ154" s="86" t="str">
        <f t="shared" si="33"/>
        <v>152153Cross Merchan SC Johnson</v>
      </c>
      <c r="AK154">
        <v>152153</v>
      </c>
      <c r="AL154" t="s">
        <v>342</v>
      </c>
      <c r="AM154" t="s">
        <v>36</v>
      </c>
      <c r="AN154" t="s">
        <v>103</v>
      </c>
      <c r="AO154" t="s">
        <v>958</v>
      </c>
      <c r="AP154" t="s">
        <v>959</v>
      </c>
      <c r="AQ154" t="s">
        <v>111</v>
      </c>
      <c r="AR154">
        <v>2.5</v>
      </c>
      <c r="AS154">
        <v>5</v>
      </c>
      <c r="AT154">
        <v>65.48</v>
      </c>
      <c r="AV154" s="86" t="str">
        <f t="shared" si="34"/>
        <v>152696Cross Merchan SC Johnson</v>
      </c>
      <c r="AW154">
        <v>152696</v>
      </c>
      <c r="AX154" t="s">
        <v>363</v>
      </c>
      <c r="AY154" t="s">
        <v>36</v>
      </c>
      <c r="AZ154" t="s">
        <v>103</v>
      </c>
      <c r="BA154" t="s">
        <v>1083</v>
      </c>
      <c r="BB154" t="s">
        <v>1084</v>
      </c>
      <c r="BC154" t="s">
        <v>111</v>
      </c>
      <c r="BD154">
        <v>1.665</v>
      </c>
      <c r="BE154">
        <v>5</v>
      </c>
      <c r="BF154">
        <v>62.62</v>
      </c>
      <c r="BH154" s="86" t="str">
        <f t="shared" si="35"/>
        <v>136856Cross Merchan SC Johnson</v>
      </c>
      <c r="BI154">
        <v>136856</v>
      </c>
      <c r="BJ154" t="s">
        <v>379</v>
      </c>
      <c r="BK154" t="s">
        <v>489</v>
      </c>
      <c r="BL154" t="s">
        <v>103</v>
      </c>
      <c r="BM154" t="s">
        <v>1149</v>
      </c>
      <c r="BN154" t="s">
        <v>1150</v>
      </c>
      <c r="BO154" t="s">
        <v>111</v>
      </c>
      <c r="BP154">
        <v>3.335</v>
      </c>
      <c r="BQ154">
        <v>5</v>
      </c>
      <c r="BR154">
        <v>95.73</v>
      </c>
      <c r="BT154" s="86" t="str">
        <f t="shared" si="24"/>
        <v>132039Mix + Intocáveis SC Johnson</v>
      </c>
      <c r="BU154">
        <v>132039</v>
      </c>
      <c r="BV154" t="s">
        <v>337</v>
      </c>
      <c r="BW154" t="s">
        <v>1345</v>
      </c>
      <c r="BX154" t="s">
        <v>103</v>
      </c>
      <c r="BY154" t="s">
        <v>1394</v>
      </c>
      <c r="BZ154" t="s">
        <v>1395</v>
      </c>
      <c r="CA154" t="s">
        <v>459</v>
      </c>
      <c r="CB154">
        <v>36</v>
      </c>
      <c r="CC154">
        <v>40</v>
      </c>
      <c r="CD154">
        <v>91.42</v>
      </c>
      <c r="CF154" s="86" t="str">
        <f t="shared" si="25"/>
        <v>135870Mix + Intocáveis SC Johnson</v>
      </c>
      <c r="CG154">
        <v>135870</v>
      </c>
      <c r="CH154" t="s">
        <v>339</v>
      </c>
      <c r="CI154" t="s">
        <v>1306</v>
      </c>
      <c r="CJ154" t="s">
        <v>103</v>
      </c>
      <c r="CK154" t="s">
        <v>1445</v>
      </c>
      <c r="CL154" t="s">
        <v>1446</v>
      </c>
      <c r="CM154" t="s">
        <v>459</v>
      </c>
      <c r="CN154">
        <v>38.4</v>
      </c>
      <c r="CO154">
        <v>40</v>
      </c>
      <c r="CP154">
        <v>94.83</v>
      </c>
      <c r="CR154" s="86" t="str">
        <f t="shared" si="26"/>
        <v>133136Mix + Intocáveis SC Johnson</v>
      </c>
      <c r="CS154">
        <v>133136</v>
      </c>
      <c r="CT154" t="s">
        <v>338</v>
      </c>
      <c r="CU154" t="s">
        <v>1306</v>
      </c>
      <c r="CV154" t="s">
        <v>103</v>
      </c>
      <c r="CW154" t="s">
        <v>1592</v>
      </c>
      <c r="CX154" t="s">
        <v>1593</v>
      </c>
      <c r="CY154" t="s">
        <v>459</v>
      </c>
      <c r="CZ154">
        <v>32.799999999999997</v>
      </c>
      <c r="DA154">
        <v>40</v>
      </c>
      <c r="DB154">
        <v>97.8</v>
      </c>
      <c r="DD154" s="86" t="str">
        <f t="shared" si="27"/>
        <v>136856Execucao Bonus</v>
      </c>
      <c r="DE154">
        <v>136856</v>
      </c>
      <c r="DF154" t="s">
        <v>379</v>
      </c>
      <c r="DG154" t="s">
        <v>489</v>
      </c>
      <c r="DH154" t="s">
        <v>103</v>
      </c>
      <c r="DI154" t="s">
        <v>1650</v>
      </c>
      <c r="DJ154" t="s">
        <v>1651</v>
      </c>
      <c r="DK154" t="s">
        <v>1291</v>
      </c>
      <c r="DL154">
        <v>5</v>
      </c>
      <c r="DM154">
        <v>5</v>
      </c>
      <c r="DN154">
        <v>92.6</v>
      </c>
      <c r="DP154" s="86" t="str">
        <f t="shared" si="28"/>
        <v>133136Execucao Bonus</v>
      </c>
      <c r="DQ154">
        <v>133136</v>
      </c>
      <c r="DR154" t="s">
        <v>338</v>
      </c>
      <c r="DS154" t="s">
        <v>1306</v>
      </c>
      <c r="DT154" t="s">
        <v>103</v>
      </c>
      <c r="DU154" t="s">
        <v>1808</v>
      </c>
      <c r="DV154" t="s">
        <v>1809</v>
      </c>
      <c r="DW154" t="s">
        <v>1291</v>
      </c>
      <c r="DX154">
        <v>5</v>
      </c>
      <c r="DY154">
        <v>5</v>
      </c>
      <c r="DZ154">
        <v>92</v>
      </c>
      <c r="EB154" s="86" t="str">
        <f t="shared" si="29"/>
        <v>168551Execucao Bonus</v>
      </c>
      <c r="EC154">
        <v>168551</v>
      </c>
      <c r="ED154" t="s">
        <v>380</v>
      </c>
      <c r="EE154" t="s">
        <v>1345</v>
      </c>
      <c r="EF154" t="s">
        <v>103</v>
      </c>
      <c r="EG154" t="s">
        <v>1868</v>
      </c>
      <c r="EH154" t="s">
        <v>1869</v>
      </c>
      <c r="EI154" t="s">
        <v>1291</v>
      </c>
      <c r="EJ154">
        <v>4</v>
      </c>
      <c r="EK154">
        <v>5</v>
      </c>
      <c r="EL154">
        <v>100</v>
      </c>
    </row>
    <row r="155" spans="1:142" x14ac:dyDescent="0.35">
      <c r="A155" s="86" t="str">
        <f t="shared" si="30"/>
        <v>143128Mix + Intocáveis SC Johnson</v>
      </c>
      <c r="B155">
        <v>143128</v>
      </c>
      <c r="C155" t="s">
        <v>391</v>
      </c>
      <c r="D155" t="s">
        <v>103</v>
      </c>
      <c r="E155" t="s">
        <v>540</v>
      </c>
      <c r="F155" t="s">
        <v>541</v>
      </c>
      <c r="G155" t="s">
        <v>459</v>
      </c>
      <c r="H155">
        <v>29.77</v>
      </c>
      <c r="I155">
        <v>13.5</v>
      </c>
      <c r="J155">
        <v>45</v>
      </c>
      <c r="L155" s="86" t="str">
        <f t="shared" si="31"/>
        <v>150368Share Sub Category SC Johnson</v>
      </c>
      <c r="M155">
        <v>150368</v>
      </c>
      <c r="N155" t="s">
        <v>341</v>
      </c>
      <c r="O155" t="s">
        <v>482</v>
      </c>
      <c r="P155" t="s">
        <v>103</v>
      </c>
      <c r="Q155" t="s">
        <v>692</v>
      </c>
      <c r="R155" t="s">
        <v>693</v>
      </c>
      <c r="S155" t="s">
        <v>457</v>
      </c>
      <c r="T155">
        <v>25.71</v>
      </c>
      <c r="U155">
        <v>30</v>
      </c>
      <c r="V155">
        <v>82.46</v>
      </c>
      <c r="X155" s="86" t="str">
        <f t="shared" si="32"/>
        <v>150368Share Sub Category SC Johnson</v>
      </c>
      <c r="Y155">
        <v>150368</v>
      </c>
      <c r="Z155" t="s">
        <v>341</v>
      </c>
      <c r="AA155" t="s">
        <v>104</v>
      </c>
      <c r="AB155" t="s">
        <v>103</v>
      </c>
      <c r="AC155" t="s">
        <v>805</v>
      </c>
      <c r="AD155" t="s">
        <v>806</v>
      </c>
      <c r="AE155" t="s">
        <v>457</v>
      </c>
      <c r="AF155">
        <v>25.71</v>
      </c>
      <c r="AG155">
        <v>30</v>
      </c>
      <c r="AH155">
        <v>80.209999999999994</v>
      </c>
      <c r="AJ155" s="86" t="str">
        <f t="shared" si="33"/>
        <v>152153Share Sub Loc Pao Quente SC Johnson</v>
      </c>
      <c r="AK155">
        <v>152153</v>
      </c>
      <c r="AL155" t="s">
        <v>342</v>
      </c>
      <c r="AM155" t="s">
        <v>36</v>
      </c>
      <c r="AN155" t="s">
        <v>103</v>
      </c>
      <c r="AO155" t="s">
        <v>958</v>
      </c>
      <c r="AP155" t="s">
        <v>959</v>
      </c>
      <c r="AQ155" t="s">
        <v>458</v>
      </c>
      <c r="AR155">
        <v>12</v>
      </c>
      <c r="AS155">
        <v>12</v>
      </c>
      <c r="AT155">
        <v>65.48</v>
      </c>
      <c r="AV155" s="86" t="str">
        <f t="shared" si="34"/>
        <v>152696Share Sub Loc Pao Quente SC Johnson</v>
      </c>
      <c r="AW155">
        <v>152696</v>
      </c>
      <c r="AX155" t="s">
        <v>363</v>
      </c>
      <c r="AY155" t="s">
        <v>36</v>
      </c>
      <c r="AZ155" t="s">
        <v>103</v>
      </c>
      <c r="BA155" t="s">
        <v>1083</v>
      </c>
      <c r="BB155" t="s">
        <v>1084</v>
      </c>
      <c r="BC155" t="s">
        <v>458</v>
      </c>
      <c r="BD155">
        <v>9</v>
      </c>
      <c r="BE155">
        <v>12</v>
      </c>
      <c r="BF155">
        <v>62.62</v>
      </c>
      <c r="BH155" s="86" t="str">
        <f t="shared" si="35"/>
        <v>136856Share Sub Loc Pao Quente SC Johnson</v>
      </c>
      <c r="BI155">
        <v>136856</v>
      </c>
      <c r="BJ155" t="s">
        <v>379</v>
      </c>
      <c r="BK155" t="s">
        <v>489</v>
      </c>
      <c r="BL155" t="s">
        <v>103</v>
      </c>
      <c r="BM155" t="s">
        <v>1149</v>
      </c>
      <c r="BN155" t="s">
        <v>1150</v>
      </c>
      <c r="BO155" t="s">
        <v>458</v>
      </c>
      <c r="BP155">
        <v>12</v>
      </c>
      <c r="BQ155">
        <v>12</v>
      </c>
      <c r="BR155">
        <v>95.73</v>
      </c>
      <c r="BT155" s="86" t="str">
        <f t="shared" si="24"/>
        <v>132039Share Sub Category SC Johnson</v>
      </c>
      <c r="BU155">
        <v>132039</v>
      </c>
      <c r="BV155" t="s">
        <v>337</v>
      </c>
      <c r="BW155" t="s">
        <v>1345</v>
      </c>
      <c r="BX155" t="s">
        <v>103</v>
      </c>
      <c r="BY155" t="s">
        <v>1394</v>
      </c>
      <c r="BZ155" t="s">
        <v>1395</v>
      </c>
      <c r="CA155" t="s">
        <v>457</v>
      </c>
      <c r="CB155">
        <v>21.425000000000001</v>
      </c>
      <c r="CC155">
        <v>25</v>
      </c>
      <c r="CD155">
        <v>91.42</v>
      </c>
      <c r="CF155" s="86" t="str">
        <f t="shared" si="25"/>
        <v>135870Share Sub Category SC Johnson</v>
      </c>
      <c r="CG155">
        <v>135870</v>
      </c>
      <c r="CH155" t="s">
        <v>339</v>
      </c>
      <c r="CI155" t="s">
        <v>1306</v>
      </c>
      <c r="CJ155" t="s">
        <v>103</v>
      </c>
      <c r="CK155" t="s">
        <v>1445</v>
      </c>
      <c r="CL155" t="s">
        <v>1446</v>
      </c>
      <c r="CM155" t="s">
        <v>457</v>
      </c>
      <c r="CN155">
        <v>21.425000000000001</v>
      </c>
      <c r="CO155">
        <v>25</v>
      </c>
      <c r="CP155">
        <v>94.83</v>
      </c>
      <c r="CR155" s="86" t="str">
        <f t="shared" si="26"/>
        <v>133136Share Sub Category SC Johnson</v>
      </c>
      <c r="CS155">
        <v>133136</v>
      </c>
      <c r="CT155" t="s">
        <v>338</v>
      </c>
      <c r="CU155" t="s">
        <v>1306</v>
      </c>
      <c r="CV155" t="s">
        <v>103</v>
      </c>
      <c r="CW155" t="s">
        <v>1592</v>
      </c>
      <c r="CX155" t="s">
        <v>1593</v>
      </c>
      <c r="CY155" t="s">
        <v>457</v>
      </c>
      <c r="CZ155">
        <v>25</v>
      </c>
      <c r="DA155">
        <v>25</v>
      </c>
      <c r="DB155">
        <v>97.8</v>
      </c>
      <c r="DD155" s="86" t="str">
        <f t="shared" si="27"/>
        <v>136856Cross Merchan SC Johnson</v>
      </c>
      <c r="DE155">
        <v>136856</v>
      </c>
      <c r="DF155" t="s">
        <v>379</v>
      </c>
      <c r="DG155" t="s">
        <v>489</v>
      </c>
      <c r="DH155" t="s">
        <v>103</v>
      </c>
      <c r="DI155" t="s">
        <v>1650</v>
      </c>
      <c r="DJ155" t="s">
        <v>1651</v>
      </c>
      <c r="DK155" t="s">
        <v>111</v>
      </c>
      <c r="DL155">
        <v>5</v>
      </c>
      <c r="DM155">
        <v>5</v>
      </c>
      <c r="DN155">
        <v>92.6</v>
      </c>
      <c r="DP155" s="86" t="str">
        <f t="shared" si="28"/>
        <v>133136Cross Merchan SC Johnson</v>
      </c>
      <c r="DQ155">
        <v>133136</v>
      </c>
      <c r="DR155" t="s">
        <v>338</v>
      </c>
      <c r="DS155" t="s">
        <v>1306</v>
      </c>
      <c r="DT155" t="s">
        <v>103</v>
      </c>
      <c r="DU155" t="s">
        <v>1808</v>
      </c>
      <c r="DV155" t="s">
        <v>1809</v>
      </c>
      <c r="DW155" t="s">
        <v>111</v>
      </c>
      <c r="DX155">
        <v>5</v>
      </c>
      <c r="DY155">
        <v>5</v>
      </c>
      <c r="DZ155">
        <v>92</v>
      </c>
      <c r="EB155" s="86" t="str">
        <f t="shared" si="29"/>
        <v>168551Cross Merchan SC Johnson</v>
      </c>
      <c r="EC155">
        <v>168551</v>
      </c>
      <c r="ED155" t="s">
        <v>380</v>
      </c>
      <c r="EE155" t="s">
        <v>1345</v>
      </c>
      <c r="EF155" t="s">
        <v>103</v>
      </c>
      <c r="EG155" t="s">
        <v>1868</v>
      </c>
      <c r="EH155" t="s">
        <v>1869</v>
      </c>
      <c r="EI155" t="s">
        <v>111</v>
      </c>
      <c r="EJ155">
        <v>5</v>
      </c>
      <c r="EK155">
        <v>5</v>
      </c>
      <c r="EL155">
        <v>100</v>
      </c>
    </row>
    <row r="156" spans="1:142" x14ac:dyDescent="0.35">
      <c r="A156" s="86" t="str">
        <f t="shared" si="30"/>
        <v>144056Share Sub Category SC Johnson</v>
      </c>
      <c r="B156">
        <v>144056</v>
      </c>
      <c r="C156" t="s">
        <v>392</v>
      </c>
      <c r="D156" t="s">
        <v>103</v>
      </c>
      <c r="E156" t="s">
        <v>542</v>
      </c>
      <c r="F156" t="s">
        <v>543</v>
      </c>
      <c r="G156" t="s">
        <v>457</v>
      </c>
      <c r="H156">
        <v>69.69</v>
      </c>
      <c r="I156">
        <v>25.71</v>
      </c>
      <c r="J156">
        <v>30</v>
      </c>
      <c r="L156" s="86" t="str">
        <f t="shared" si="31"/>
        <v>150368Cross Merchan SC Johnson</v>
      </c>
      <c r="M156">
        <v>150368</v>
      </c>
      <c r="N156" t="s">
        <v>341</v>
      </c>
      <c r="O156" t="s">
        <v>482</v>
      </c>
      <c r="P156" t="s">
        <v>103</v>
      </c>
      <c r="Q156" t="s">
        <v>692</v>
      </c>
      <c r="R156" t="s">
        <v>693</v>
      </c>
      <c r="S156" t="s">
        <v>111</v>
      </c>
      <c r="T156">
        <v>8</v>
      </c>
      <c r="U156">
        <v>8</v>
      </c>
      <c r="V156">
        <v>82.46</v>
      </c>
      <c r="X156" s="86" t="str">
        <f t="shared" si="32"/>
        <v>150368Cross Merchan SC Johnson</v>
      </c>
      <c r="Y156">
        <v>150368</v>
      </c>
      <c r="Z156" t="s">
        <v>341</v>
      </c>
      <c r="AA156" t="s">
        <v>104</v>
      </c>
      <c r="AB156" t="s">
        <v>103</v>
      </c>
      <c r="AC156" t="s">
        <v>805</v>
      </c>
      <c r="AD156" t="s">
        <v>806</v>
      </c>
      <c r="AE156" t="s">
        <v>111</v>
      </c>
      <c r="AF156">
        <v>8</v>
      </c>
      <c r="AG156">
        <v>8</v>
      </c>
      <c r="AH156">
        <v>80.209999999999994</v>
      </c>
      <c r="AJ156" s="86" t="str">
        <f t="shared" si="33"/>
        <v>152153Mix + Intocáveis SC Johnson</v>
      </c>
      <c r="AK156">
        <v>152153</v>
      </c>
      <c r="AL156" t="s">
        <v>342</v>
      </c>
      <c r="AM156" t="s">
        <v>36</v>
      </c>
      <c r="AN156" t="s">
        <v>103</v>
      </c>
      <c r="AO156" t="s">
        <v>958</v>
      </c>
      <c r="AP156" t="s">
        <v>959</v>
      </c>
      <c r="AQ156" t="s">
        <v>459</v>
      </c>
      <c r="AR156">
        <v>29.56</v>
      </c>
      <c r="AS156">
        <v>40</v>
      </c>
      <c r="AT156">
        <v>65.48</v>
      </c>
      <c r="AV156" s="86" t="str">
        <f t="shared" si="34"/>
        <v>152696Mix + Intocáveis SC Johnson</v>
      </c>
      <c r="AW156">
        <v>152696</v>
      </c>
      <c r="AX156" t="s">
        <v>363</v>
      </c>
      <c r="AY156" t="s">
        <v>36</v>
      </c>
      <c r="AZ156" t="s">
        <v>103</v>
      </c>
      <c r="BA156" t="s">
        <v>1083</v>
      </c>
      <c r="BB156" t="s">
        <v>1084</v>
      </c>
      <c r="BC156" t="s">
        <v>459</v>
      </c>
      <c r="BD156">
        <v>26.96</v>
      </c>
      <c r="BE156">
        <v>40</v>
      </c>
      <c r="BF156">
        <v>62.62</v>
      </c>
      <c r="BH156" s="86" t="str">
        <f t="shared" si="35"/>
        <v>136856Mix + Intocáveis SC Johnson</v>
      </c>
      <c r="BI156">
        <v>136856</v>
      </c>
      <c r="BJ156" t="s">
        <v>379</v>
      </c>
      <c r="BK156" t="s">
        <v>489</v>
      </c>
      <c r="BL156" t="s">
        <v>103</v>
      </c>
      <c r="BM156" t="s">
        <v>1149</v>
      </c>
      <c r="BN156" t="s">
        <v>1150</v>
      </c>
      <c r="BO156" t="s">
        <v>459</v>
      </c>
      <c r="BP156">
        <v>37.4</v>
      </c>
      <c r="BQ156">
        <v>40</v>
      </c>
      <c r="BR156">
        <v>95.73</v>
      </c>
      <c r="BT156" s="86" t="str">
        <f t="shared" si="24"/>
        <v>132039Share Sub Loc Pao Quente SC Johnson</v>
      </c>
      <c r="BU156">
        <v>132039</v>
      </c>
      <c r="BV156" t="s">
        <v>337</v>
      </c>
      <c r="BW156" t="s">
        <v>1345</v>
      </c>
      <c r="BX156" t="s">
        <v>103</v>
      </c>
      <c r="BY156" t="s">
        <v>1394</v>
      </c>
      <c r="BZ156" t="s">
        <v>1395</v>
      </c>
      <c r="CA156" t="s">
        <v>458</v>
      </c>
      <c r="CB156">
        <v>6</v>
      </c>
      <c r="CC156">
        <v>12</v>
      </c>
      <c r="CD156">
        <v>91.42</v>
      </c>
      <c r="CF156" s="86" t="str">
        <f t="shared" si="25"/>
        <v>135870Share Sub Loc Pao Quente SC Johnson</v>
      </c>
      <c r="CG156">
        <v>135870</v>
      </c>
      <c r="CH156" t="s">
        <v>339</v>
      </c>
      <c r="CI156" t="s">
        <v>1306</v>
      </c>
      <c r="CJ156" t="s">
        <v>103</v>
      </c>
      <c r="CK156" t="s">
        <v>1445</v>
      </c>
      <c r="CL156" t="s">
        <v>1446</v>
      </c>
      <c r="CM156" t="s">
        <v>458</v>
      </c>
      <c r="CN156">
        <v>12</v>
      </c>
      <c r="CO156">
        <v>12</v>
      </c>
      <c r="CP156">
        <v>94.83</v>
      </c>
      <c r="CR156" s="86" t="str">
        <f t="shared" si="26"/>
        <v>133136Share Sub Loc Pao Quente SC Johnson</v>
      </c>
      <c r="CS156">
        <v>133136</v>
      </c>
      <c r="CT156" t="s">
        <v>338</v>
      </c>
      <c r="CU156" t="s">
        <v>1306</v>
      </c>
      <c r="CV156" t="s">
        <v>103</v>
      </c>
      <c r="CW156" t="s">
        <v>1592</v>
      </c>
      <c r="CX156" t="s">
        <v>1593</v>
      </c>
      <c r="CY156" t="s">
        <v>458</v>
      </c>
      <c r="CZ156">
        <v>12</v>
      </c>
      <c r="DA156">
        <v>12</v>
      </c>
      <c r="DB156">
        <v>97.8</v>
      </c>
      <c r="DD156" s="86" t="str">
        <f t="shared" si="27"/>
        <v>136856Lancamentos</v>
      </c>
      <c r="DE156">
        <v>136856</v>
      </c>
      <c r="DF156" t="s">
        <v>379</v>
      </c>
      <c r="DG156" t="s">
        <v>489</v>
      </c>
      <c r="DH156" t="s">
        <v>103</v>
      </c>
      <c r="DI156" t="s">
        <v>1650</v>
      </c>
      <c r="DJ156" t="s">
        <v>1651</v>
      </c>
      <c r="DK156" t="s">
        <v>953</v>
      </c>
      <c r="DL156">
        <v>18</v>
      </c>
      <c r="DM156">
        <v>18</v>
      </c>
      <c r="DN156">
        <v>92.6</v>
      </c>
      <c r="DP156" s="86" t="str">
        <f t="shared" si="28"/>
        <v>133136Lancamentos</v>
      </c>
      <c r="DQ156">
        <v>133136</v>
      </c>
      <c r="DR156" t="s">
        <v>338</v>
      </c>
      <c r="DS156" t="s">
        <v>1306</v>
      </c>
      <c r="DT156" t="s">
        <v>103</v>
      </c>
      <c r="DU156" t="s">
        <v>1808</v>
      </c>
      <c r="DV156" t="s">
        <v>1809</v>
      </c>
      <c r="DW156" t="s">
        <v>953</v>
      </c>
      <c r="DX156">
        <v>9</v>
      </c>
      <c r="DY156">
        <v>18</v>
      </c>
      <c r="DZ156">
        <v>92</v>
      </c>
      <c r="EB156" s="86" t="str">
        <f t="shared" si="29"/>
        <v>168551Lancamentos</v>
      </c>
      <c r="EC156">
        <v>168551</v>
      </c>
      <c r="ED156" t="s">
        <v>380</v>
      </c>
      <c r="EE156" t="s">
        <v>1345</v>
      </c>
      <c r="EF156" t="s">
        <v>103</v>
      </c>
      <c r="EG156" t="s">
        <v>1868</v>
      </c>
      <c r="EH156" t="s">
        <v>1869</v>
      </c>
      <c r="EI156" t="s">
        <v>953</v>
      </c>
      <c r="EJ156">
        <v>18</v>
      </c>
      <c r="EK156">
        <v>18</v>
      </c>
      <c r="EL156">
        <v>100</v>
      </c>
    </row>
    <row r="157" spans="1:142" x14ac:dyDescent="0.35">
      <c r="A157" s="86" t="str">
        <f t="shared" si="30"/>
        <v>144056Cross Merchan SC Johnson</v>
      </c>
      <c r="B157">
        <v>144056</v>
      </c>
      <c r="C157" t="s">
        <v>392</v>
      </c>
      <c r="D157" t="s">
        <v>103</v>
      </c>
      <c r="E157" t="s">
        <v>542</v>
      </c>
      <c r="F157" t="s">
        <v>543</v>
      </c>
      <c r="G157" t="s">
        <v>111</v>
      </c>
      <c r="H157">
        <v>69.69</v>
      </c>
      <c r="I157">
        <v>0</v>
      </c>
      <c r="J157">
        <v>8</v>
      </c>
      <c r="L157" s="86" t="str">
        <f t="shared" si="31"/>
        <v>150368Share Sub Loc Pao Quente SC Johnson</v>
      </c>
      <c r="M157">
        <v>150368</v>
      </c>
      <c r="N157" t="s">
        <v>341</v>
      </c>
      <c r="O157" t="s">
        <v>482</v>
      </c>
      <c r="P157" t="s">
        <v>103</v>
      </c>
      <c r="Q157" t="s">
        <v>692</v>
      </c>
      <c r="R157" t="s">
        <v>693</v>
      </c>
      <c r="S157" t="s">
        <v>458</v>
      </c>
      <c r="T157">
        <v>12.75</v>
      </c>
      <c r="U157">
        <v>17</v>
      </c>
      <c r="V157">
        <v>82.46</v>
      </c>
      <c r="X157" s="86" t="str">
        <f t="shared" si="32"/>
        <v>150368Share Sub Loc Pao Quente SC Johnson</v>
      </c>
      <c r="Y157">
        <v>150368</v>
      </c>
      <c r="Z157" t="s">
        <v>341</v>
      </c>
      <c r="AA157" t="s">
        <v>104</v>
      </c>
      <c r="AB157" t="s">
        <v>103</v>
      </c>
      <c r="AC157" t="s">
        <v>805</v>
      </c>
      <c r="AD157" t="s">
        <v>806</v>
      </c>
      <c r="AE157" t="s">
        <v>458</v>
      </c>
      <c r="AF157">
        <v>12.75</v>
      </c>
      <c r="AG157">
        <v>17</v>
      </c>
      <c r="AH157">
        <v>80.209999999999994</v>
      </c>
      <c r="AJ157" s="86" t="str">
        <f t="shared" si="33"/>
        <v>152153Lancamentos</v>
      </c>
      <c r="AK157">
        <v>152153</v>
      </c>
      <c r="AL157" t="s">
        <v>342</v>
      </c>
      <c r="AM157" t="s">
        <v>36</v>
      </c>
      <c r="AN157" t="s">
        <v>103</v>
      </c>
      <c r="AO157" t="s">
        <v>958</v>
      </c>
      <c r="AP157" t="s">
        <v>959</v>
      </c>
      <c r="AQ157" t="s">
        <v>953</v>
      </c>
      <c r="AR157">
        <v>0</v>
      </c>
      <c r="AS157">
        <v>18</v>
      </c>
      <c r="AT157">
        <v>65.48</v>
      </c>
      <c r="AV157" s="86" t="str">
        <f t="shared" si="34"/>
        <v>152696Lancamentos</v>
      </c>
      <c r="AW157">
        <v>152696</v>
      </c>
      <c r="AX157" t="s">
        <v>363</v>
      </c>
      <c r="AY157" t="s">
        <v>36</v>
      </c>
      <c r="AZ157" t="s">
        <v>103</v>
      </c>
      <c r="BA157" t="s">
        <v>1083</v>
      </c>
      <c r="BB157" t="s">
        <v>1084</v>
      </c>
      <c r="BC157" t="s">
        <v>953</v>
      </c>
      <c r="BD157">
        <v>0</v>
      </c>
      <c r="BE157">
        <v>18</v>
      </c>
      <c r="BF157">
        <v>62.62</v>
      </c>
      <c r="BH157" s="86" t="str">
        <f t="shared" si="35"/>
        <v>136856Lancamentos</v>
      </c>
      <c r="BI157">
        <v>136856</v>
      </c>
      <c r="BJ157" t="s">
        <v>379</v>
      </c>
      <c r="BK157" t="s">
        <v>489</v>
      </c>
      <c r="BL157" t="s">
        <v>103</v>
      </c>
      <c r="BM157" t="s">
        <v>1149</v>
      </c>
      <c r="BN157" t="s">
        <v>1150</v>
      </c>
      <c r="BO157" t="s">
        <v>953</v>
      </c>
      <c r="BP157">
        <v>18</v>
      </c>
      <c r="BQ157">
        <v>18</v>
      </c>
      <c r="BR157">
        <v>95.73</v>
      </c>
      <c r="BT157" s="86" t="str">
        <f t="shared" si="24"/>
        <v>132039Cross Merchan SC Johnson</v>
      </c>
      <c r="BU157">
        <v>132039</v>
      </c>
      <c r="BV157" t="s">
        <v>337</v>
      </c>
      <c r="BW157" t="s">
        <v>1345</v>
      </c>
      <c r="BX157" t="s">
        <v>103</v>
      </c>
      <c r="BY157" t="s">
        <v>1394</v>
      </c>
      <c r="BZ157" t="s">
        <v>1395</v>
      </c>
      <c r="CA157" t="s">
        <v>111</v>
      </c>
      <c r="CB157">
        <v>5</v>
      </c>
      <c r="CC157">
        <v>5</v>
      </c>
      <c r="CD157">
        <v>91.42</v>
      </c>
      <c r="CF157" s="86" t="str">
        <f t="shared" si="25"/>
        <v>135870Cross Merchan SC Johnson</v>
      </c>
      <c r="CG157">
        <v>135870</v>
      </c>
      <c r="CH157" t="s">
        <v>339</v>
      </c>
      <c r="CI157" t="s">
        <v>1306</v>
      </c>
      <c r="CJ157" t="s">
        <v>103</v>
      </c>
      <c r="CK157" t="s">
        <v>1445</v>
      </c>
      <c r="CL157" t="s">
        <v>1446</v>
      </c>
      <c r="CM157" t="s">
        <v>111</v>
      </c>
      <c r="CN157">
        <v>5</v>
      </c>
      <c r="CO157">
        <v>5</v>
      </c>
      <c r="CP157">
        <v>94.83</v>
      </c>
      <c r="CR157" s="86" t="str">
        <f t="shared" si="26"/>
        <v>133136Cross Merchan SC Johnson</v>
      </c>
      <c r="CS157">
        <v>133136</v>
      </c>
      <c r="CT157" t="s">
        <v>338</v>
      </c>
      <c r="CU157" t="s">
        <v>1306</v>
      </c>
      <c r="CV157" t="s">
        <v>103</v>
      </c>
      <c r="CW157" t="s">
        <v>1592</v>
      </c>
      <c r="CX157" t="s">
        <v>1593</v>
      </c>
      <c r="CY157" t="s">
        <v>111</v>
      </c>
      <c r="CZ157">
        <v>5</v>
      </c>
      <c r="DA157">
        <v>5</v>
      </c>
      <c r="DB157">
        <v>97.8</v>
      </c>
      <c r="DD157" s="86" t="str">
        <f t="shared" si="27"/>
        <v>136856Share Sub Category SC Johnson</v>
      </c>
      <c r="DE157">
        <v>136856</v>
      </c>
      <c r="DF157" t="s">
        <v>379</v>
      </c>
      <c r="DG157" t="s">
        <v>489</v>
      </c>
      <c r="DH157" t="s">
        <v>103</v>
      </c>
      <c r="DI157" t="s">
        <v>1650</v>
      </c>
      <c r="DJ157" t="s">
        <v>1651</v>
      </c>
      <c r="DK157" t="s">
        <v>457</v>
      </c>
      <c r="DL157">
        <v>25</v>
      </c>
      <c r="DM157">
        <v>25</v>
      </c>
      <c r="DN157">
        <v>92.6</v>
      </c>
      <c r="DP157" s="86" t="str">
        <f t="shared" si="28"/>
        <v>133136Share Sub Category SC Johnson</v>
      </c>
      <c r="DQ157">
        <v>133136</v>
      </c>
      <c r="DR157" t="s">
        <v>338</v>
      </c>
      <c r="DS157" t="s">
        <v>1306</v>
      </c>
      <c r="DT157" t="s">
        <v>103</v>
      </c>
      <c r="DU157" t="s">
        <v>1808</v>
      </c>
      <c r="DV157" t="s">
        <v>1809</v>
      </c>
      <c r="DW157" t="s">
        <v>457</v>
      </c>
      <c r="DX157">
        <v>25</v>
      </c>
      <c r="DY157">
        <v>25</v>
      </c>
      <c r="DZ157">
        <v>92</v>
      </c>
      <c r="EB157" s="86" t="str">
        <f t="shared" si="29"/>
        <v>168551Share Sub Category SC Johnson</v>
      </c>
      <c r="EC157">
        <v>168551</v>
      </c>
      <c r="ED157" t="s">
        <v>380</v>
      </c>
      <c r="EE157" t="s">
        <v>1345</v>
      </c>
      <c r="EF157" t="s">
        <v>103</v>
      </c>
      <c r="EG157" t="s">
        <v>1868</v>
      </c>
      <c r="EH157" t="s">
        <v>1869</v>
      </c>
      <c r="EI157" t="s">
        <v>457</v>
      </c>
      <c r="EJ157">
        <v>25</v>
      </c>
      <c r="EK157">
        <v>25</v>
      </c>
      <c r="EL157">
        <v>100</v>
      </c>
    </row>
    <row r="158" spans="1:142" x14ac:dyDescent="0.35">
      <c r="A158" s="86" t="str">
        <f t="shared" si="30"/>
        <v>144056Share Sub Loc Pao Quente SC Johnson</v>
      </c>
      <c r="B158">
        <v>144056</v>
      </c>
      <c r="C158" t="s">
        <v>392</v>
      </c>
      <c r="D158" t="s">
        <v>103</v>
      </c>
      <c r="E158" t="s">
        <v>542</v>
      </c>
      <c r="F158" t="s">
        <v>543</v>
      </c>
      <c r="G158" t="s">
        <v>458</v>
      </c>
      <c r="H158">
        <v>69.69</v>
      </c>
      <c r="I158">
        <v>13.6</v>
      </c>
      <c r="J158">
        <v>17</v>
      </c>
      <c r="L158" s="86" t="str">
        <f t="shared" si="31"/>
        <v>150368Mix + Intocáveis SC Johnson</v>
      </c>
      <c r="M158">
        <v>150368</v>
      </c>
      <c r="N158" t="s">
        <v>341</v>
      </c>
      <c r="O158" t="s">
        <v>482</v>
      </c>
      <c r="P158" t="s">
        <v>103</v>
      </c>
      <c r="Q158" t="s">
        <v>692</v>
      </c>
      <c r="R158" t="s">
        <v>693</v>
      </c>
      <c r="S158" t="s">
        <v>459</v>
      </c>
      <c r="T158">
        <v>36</v>
      </c>
      <c r="U158">
        <v>45</v>
      </c>
      <c r="V158">
        <v>82.46</v>
      </c>
      <c r="X158" s="86" t="str">
        <f t="shared" si="32"/>
        <v>150368Mix + Intocáveis SC Johnson</v>
      </c>
      <c r="Y158">
        <v>150368</v>
      </c>
      <c r="Z158" t="s">
        <v>341</v>
      </c>
      <c r="AA158" t="s">
        <v>104</v>
      </c>
      <c r="AB158" t="s">
        <v>103</v>
      </c>
      <c r="AC158" t="s">
        <v>805</v>
      </c>
      <c r="AD158" t="s">
        <v>806</v>
      </c>
      <c r="AE158" t="s">
        <v>459</v>
      </c>
      <c r="AF158">
        <v>33.75</v>
      </c>
      <c r="AG158">
        <v>45</v>
      </c>
      <c r="AH158">
        <v>80.209999999999994</v>
      </c>
      <c r="AJ158" s="86" t="str">
        <f t="shared" si="33"/>
        <v>152696Share Sub Category SC Johnson</v>
      </c>
      <c r="AK158">
        <v>152696</v>
      </c>
      <c r="AL158" t="s">
        <v>363</v>
      </c>
      <c r="AM158" t="s">
        <v>36</v>
      </c>
      <c r="AN158" t="s">
        <v>103</v>
      </c>
      <c r="AO158" t="s">
        <v>970</v>
      </c>
      <c r="AP158" t="s">
        <v>971</v>
      </c>
      <c r="AQ158" t="s">
        <v>457</v>
      </c>
      <c r="AR158">
        <v>25</v>
      </c>
      <c r="AS158">
        <v>25</v>
      </c>
      <c r="AT158">
        <v>68.66</v>
      </c>
      <c r="AV158" s="86" t="str">
        <f t="shared" si="34"/>
        <v>152753Share Sub Category SC Johnson</v>
      </c>
      <c r="AW158">
        <v>152753</v>
      </c>
      <c r="AX158" t="s">
        <v>393</v>
      </c>
      <c r="AY158" t="s">
        <v>482</v>
      </c>
      <c r="AZ158" t="s">
        <v>103</v>
      </c>
      <c r="BA158" t="s">
        <v>1085</v>
      </c>
      <c r="BB158" t="s">
        <v>1086</v>
      </c>
      <c r="BC158" t="s">
        <v>457</v>
      </c>
      <c r="BD158">
        <v>21.425000000000001</v>
      </c>
      <c r="BE158">
        <v>25</v>
      </c>
      <c r="BF158">
        <v>59.05</v>
      </c>
      <c r="BH158" s="86" t="str">
        <f t="shared" si="35"/>
        <v>144056Share Sub Category SC Johnson</v>
      </c>
      <c r="BI158">
        <v>144056</v>
      </c>
      <c r="BJ158" t="s">
        <v>392</v>
      </c>
      <c r="BK158" t="s">
        <v>36</v>
      </c>
      <c r="BL158" t="s">
        <v>103</v>
      </c>
      <c r="BM158" t="s">
        <v>1199</v>
      </c>
      <c r="BN158" t="s">
        <v>1200</v>
      </c>
      <c r="BO158" t="s">
        <v>457</v>
      </c>
      <c r="BP158">
        <v>21.425000000000001</v>
      </c>
      <c r="BQ158">
        <v>25</v>
      </c>
      <c r="BR158">
        <v>80.84</v>
      </c>
      <c r="BT158" s="86" t="str">
        <f t="shared" si="24"/>
        <v>132039Execucao Bonus</v>
      </c>
      <c r="BU158">
        <v>132039</v>
      </c>
      <c r="BV158" t="s">
        <v>337</v>
      </c>
      <c r="BW158" t="s">
        <v>1345</v>
      </c>
      <c r="BX158" t="s">
        <v>103</v>
      </c>
      <c r="BY158" t="s">
        <v>1394</v>
      </c>
      <c r="BZ158" t="s">
        <v>1395</v>
      </c>
      <c r="CA158" t="s">
        <v>1291</v>
      </c>
      <c r="CB158">
        <v>5</v>
      </c>
      <c r="CC158">
        <v>5</v>
      </c>
      <c r="CD158">
        <v>91.42</v>
      </c>
      <c r="CF158" s="86" t="str">
        <f t="shared" si="25"/>
        <v>135870Execucao Bonus</v>
      </c>
      <c r="CG158">
        <v>135870</v>
      </c>
      <c r="CH158" t="s">
        <v>339</v>
      </c>
      <c r="CI158" t="s">
        <v>1306</v>
      </c>
      <c r="CJ158" t="s">
        <v>103</v>
      </c>
      <c r="CK158" t="s">
        <v>1445</v>
      </c>
      <c r="CL158" t="s">
        <v>1446</v>
      </c>
      <c r="CM158" t="s">
        <v>1291</v>
      </c>
      <c r="CN158">
        <v>0</v>
      </c>
      <c r="CO158">
        <v>5</v>
      </c>
      <c r="CP158">
        <v>94.83</v>
      </c>
      <c r="CR158" s="86" t="str">
        <f t="shared" si="26"/>
        <v>133136Execucao Bonus</v>
      </c>
      <c r="CS158">
        <v>133136</v>
      </c>
      <c r="CT158" t="s">
        <v>338</v>
      </c>
      <c r="CU158" t="s">
        <v>1306</v>
      </c>
      <c r="CV158" t="s">
        <v>103</v>
      </c>
      <c r="CW158" t="s">
        <v>1592</v>
      </c>
      <c r="CX158" t="s">
        <v>1593</v>
      </c>
      <c r="CY158" t="s">
        <v>1291</v>
      </c>
      <c r="CZ158">
        <v>5</v>
      </c>
      <c r="DA158">
        <v>5</v>
      </c>
      <c r="DB158">
        <v>97.8</v>
      </c>
      <c r="DD158" s="86" t="str">
        <f t="shared" si="27"/>
        <v>136856Share Sub Loc Pao Quente SC Johnson</v>
      </c>
      <c r="DE158">
        <v>136856</v>
      </c>
      <c r="DF158" t="s">
        <v>379</v>
      </c>
      <c r="DG158" t="s">
        <v>489</v>
      </c>
      <c r="DH158" t="s">
        <v>103</v>
      </c>
      <c r="DI158" t="s">
        <v>1650</v>
      </c>
      <c r="DJ158" t="s">
        <v>1651</v>
      </c>
      <c r="DK158" t="s">
        <v>458</v>
      </c>
      <c r="DL158">
        <v>6</v>
      </c>
      <c r="DM158">
        <v>12</v>
      </c>
      <c r="DN158">
        <v>92.6</v>
      </c>
      <c r="DP158" s="86" t="str">
        <f t="shared" si="28"/>
        <v>133136Share Sub Loc Pao Quente SC Johnson</v>
      </c>
      <c r="DQ158">
        <v>133136</v>
      </c>
      <c r="DR158" t="s">
        <v>338</v>
      </c>
      <c r="DS158" t="s">
        <v>1306</v>
      </c>
      <c r="DT158" t="s">
        <v>103</v>
      </c>
      <c r="DU158" t="s">
        <v>1808</v>
      </c>
      <c r="DV158" t="s">
        <v>1809</v>
      </c>
      <c r="DW158" t="s">
        <v>458</v>
      </c>
      <c r="DX158">
        <v>12</v>
      </c>
      <c r="DY158">
        <v>12</v>
      </c>
      <c r="DZ158">
        <v>92</v>
      </c>
      <c r="EB158" s="86" t="str">
        <f t="shared" si="29"/>
        <v>168551Share Sub Loc Pao Quente SC Johnson</v>
      </c>
      <c r="EC158">
        <v>168551</v>
      </c>
      <c r="ED158" t="s">
        <v>380</v>
      </c>
      <c r="EE158" t="s">
        <v>1345</v>
      </c>
      <c r="EF158" t="s">
        <v>103</v>
      </c>
      <c r="EG158" t="s">
        <v>1868</v>
      </c>
      <c r="EH158" t="s">
        <v>1869</v>
      </c>
      <c r="EI158" t="s">
        <v>458</v>
      </c>
      <c r="EJ158">
        <v>12</v>
      </c>
      <c r="EK158">
        <v>12</v>
      </c>
      <c r="EL158">
        <v>100</v>
      </c>
    </row>
    <row r="159" spans="1:142" x14ac:dyDescent="0.35">
      <c r="A159" s="86" t="str">
        <f t="shared" si="30"/>
        <v>144056Mix + Intocáveis SC Johnson</v>
      </c>
      <c r="B159">
        <v>144056</v>
      </c>
      <c r="C159" t="s">
        <v>392</v>
      </c>
      <c r="D159" t="s">
        <v>103</v>
      </c>
      <c r="E159" t="s">
        <v>542</v>
      </c>
      <c r="F159" t="s">
        <v>543</v>
      </c>
      <c r="G159" t="s">
        <v>459</v>
      </c>
      <c r="H159">
        <v>69.69</v>
      </c>
      <c r="I159">
        <v>30.375</v>
      </c>
      <c r="J159">
        <v>45</v>
      </c>
      <c r="L159" s="86" t="str">
        <f t="shared" si="31"/>
        <v>152153Share Sub Category SC Johnson</v>
      </c>
      <c r="M159">
        <v>152153</v>
      </c>
      <c r="N159" t="s">
        <v>342</v>
      </c>
      <c r="O159" t="s">
        <v>36</v>
      </c>
      <c r="P159" t="s">
        <v>103</v>
      </c>
      <c r="Q159" t="s">
        <v>694</v>
      </c>
      <c r="R159" t="s">
        <v>695</v>
      </c>
      <c r="S159" t="s">
        <v>457</v>
      </c>
      <c r="T159">
        <v>25.71</v>
      </c>
      <c r="U159">
        <v>30</v>
      </c>
      <c r="V159">
        <v>81.59</v>
      </c>
      <c r="X159" s="86" t="str">
        <f t="shared" si="32"/>
        <v>152153Share Sub Category SC Johnson</v>
      </c>
      <c r="Y159">
        <v>152153</v>
      </c>
      <c r="Z159" t="s">
        <v>342</v>
      </c>
      <c r="AA159" t="s">
        <v>36</v>
      </c>
      <c r="AB159" t="s">
        <v>103</v>
      </c>
      <c r="AC159" t="s">
        <v>861</v>
      </c>
      <c r="AD159" t="s">
        <v>862</v>
      </c>
      <c r="AE159" t="s">
        <v>457</v>
      </c>
      <c r="AF159">
        <v>25.71</v>
      </c>
      <c r="AG159">
        <v>30</v>
      </c>
      <c r="AH159">
        <v>84.71</v>
      </c>
      <c r="AJ159" s="86" t="str">
        <f t="shared" si="33"/>
        <v>152696Cross Merchan SC Johnson</v>
      </c>
      <c r="AK159">
        <v>152696</v>
      </c>
      <c r="AL159" t="s">
        <v>363</v>
      </c>
      <c r="AM159" t="s">
        <v>36</v>
      </c>
      <c r="AN159" t="s">
        <v>103</v>
      </c>
      <c r="AO159" t="s">
        <v>970</v>
      </c>
      <c r="AP159" t="s">
        <v>971</v>
      </c>
      <c r="AQ159" t="s">
        <v>111</v>
      </c>
      <c r="AR159">
        <v>2.5</v>
      </c>
      <c r="AS159">
        <v>5</v>
      </c>
      <c r="AT159">
        <v>68.66</v>
      </c>
      <c r="AV159" s="86" t="str">
        <f t="shared" si="34"/>
        <v>152753Cross Merchan SC Johnson</v>
      </c>
      <c r="AW159">
        <v>152753</v>
      </c>
      <c r="AX159" t="s">
        <v>393</v>
      </c>
      <c r="AY159" t="s">
        <v>482</v>
      </c>
      <c r="AZ159" t="s">
        <v>103</v>
      </c>
      <c r="BA159" t="s">
        <v>1085</v>
      </c>
      <c r="BB159" t="s">
        <v>1086</v>
      </c>
      <c r="BC159" t="s">
        <v>111</v>
      </c>
      <c r="BD159">
        <v>1.665</v>
      </c>
      <c r="BE159">
        <v>5</v>
      </c>
      <c r="BF159">
        <v>59.05</v>
      </c>
      <c r="BH159" s="86" t="str">
        <f t="shared" si="35"/>
        <v>144056Cross Merchan SC Johnson</v>
      </c>
      <c r="BI159">
        <v>144056</v>
      </c>
      <c r="BJ159" t="s">
        <v>392</v>
      </c>
      <c r="BK159" t="s">
        <v>36</v>
      </c>
      <c r="BL159" t="s">
        <v>103</v>
      </c>
      <c r="BM159" t="s">
        <v>1199</v>
      </c>
      <c r="BN159" t="s">
        <v>1200</v>
      </c>
      <c r="BO159" t="s">
        <v>111</v>
      </c>
      <c r="BP159">
        <v>3.335</v>
      </c>
      <c r="BQ159">
        <v>5</v>
      </c>
      <c r="BR159">
        <v>80.84</v>
      </c>
      <c r="BT159" s="86" t="str">
        <f t="shared" si="24"/>
        <v>133136Lancamentos</v>
      </c>
      <c r="BU159">
        <v>133136</v>
      </c>
      <c r="BV159" t="s">
        <v>338</v>
      </c>
      <c r="BW159" t="s">
        <v>36</v>
      </c>
      <c r="BX159" t="s">
        <v>103</v>
      </c>
      <c r="BY159" t="s">
        <v>1275</v>
      </c>
      <c r="BZ159" t="s">
        <v>1276</v>
      </c>
      <c r="CA159" t="s">
        <v>953</v>
      </c>
      <c r="CB159">
        <v>9</v>
      </c>
      <c r="CC159">
        <v>18</v>
      </c>
      <c r="CD159">
        <v>73.33</v>
      </c>
      <c r="CF159" s="86" t="str">
        <f t="shared" si="25"/>
        <v>136856Lancamentos</v>
      </c>
      <c r="CG159">
        <v>136856</v>
      </c>
      <c r="CH159" t="s">
        <v>379</v>
      </c>
      <c r="CI159" t="s">
        <v>489</v>
      </c>
      <c r="CJ159" t="s">
        <v>103</v>
      </c>
      <c r="CK159" t="s">
        <v>1410</v>
      </c>
      <c r="CL159" t="s">
        <v>1411</v>
      </c>
      <c r="CM159" t="s">
        <v>953</v>
      </c>
      <c r="CN159">
        <v>18</v>
      </c>
      <c r="CO159">
        <v>18</v>
      </c>
      <c r="CP159">
        <v>98</v>
      </c>
      <c r="CR159" s="86" t="str">
        <f t="shared" si="26"/>
        <v>135870Lancamentos</v>
      </c>
      <c r="CS159">
        <v>135870</v>
      </c>
      <c r="CT159" t="s">
        <v>339</v>
      </c>
      <c r="CU159" t="s">
        <v>1306</v>
      </c>
      <c r="CV159" t="s">
        <v>103</v>
      </c>
      <c r="CW159" t="s">
        <v>1550</v>
      </c>
      <c r="CX159" t="s">
        <v>1551</v>
      </c>
      <c r="CY159" t="s">
        <v>953</v>
      </c>
      <c r="CZ159">
        <v>18</v>
      </c>
      <c r="DA159">
        <v>18</v>
      </c>
      <c r="DB159">
        <v>103.4</v>
      </c>
      <c r="DD159" s="86" t="str">
        <f t="shared" si="27"/>
        <v>144056Mix + Intocáveis SC Johnson</v>
      </c>
      <c r="DE159">
        <v>144056</v>
      </c>
      <c r="DF159" t="s">
        <v>392</v>
      </c>
      <c r="DG159" t="s">
        <v>1306</v>
      </c>
      <c r="DH159" t="s">
        <v>103</v>
      </c>
      <c r="DI159" t="s">
        <v>1700</v>
      </c>
      <c r="DJ159" t="s">
        <v>1701</v>
      </c>
      <c r="DK159" t="s">
        <v>459</v>
      </c>
      <c r="DL159">
        <v>36.799999999999997</v>
      </c>
      <c r="DM159">
        <v>40</v>
      </c>
      <c r="DN159">
        <v>98.23</v>
      </c>
      <c r="DP159" s="86" t="str">
        <f t="shared" si="28"/>
        <v>135870Mix + Intocáveis SC Johnson</v>
      </c>
      <c r="DQ159">
        <v>135870</v>
      </c>
      <c r="DR159" t="s">
        <v>339</v>
      </c>
      <c r="DS159" t="s">
        <v>1306</v>
      </c>
      <c r="DT159" t="s">
        <v>103</v>
      </c>
      <c r="DU159" t="s">
        <v>1764</v>
      </c>
      <c r="DV159" t="s">
        <v>1765</v>
      </c>
      <c r="DW159" t="s">
        <v>459</v>
      </c>
      <c r="DX159">
        <v>35.200000000000003</v>
      </c>
      <c r="DY159">
        <v>40</v>
      </c>
      <c r="DZ159">
        <v>97.2</v>
      </c>
      <c r="EB159" s="86" t="str">
        <f t="shared" si="29"/>
        <v>178205Mix + Intocáveis SC Johnson</v>
      </c>
      <c r="EC159">
        <v>178205</v>
      </c>
      <c r="ED159" t="s">
        <v>381</v>
      </c>
      <c r="EE159" t="s">
        <v>1345</v>
      </c>
      <c r="EF159" t="s">
        <v>103</v>
      </c>
      <c r="EG159" t="s">
        <v>1902</v>
      </c>
      <c r="EH159" t="s">
        <v>1903</v>
      </c>
      <c r="EI159" t="s">
        <v>459</v>
      </c>
      <c r="EJ159">
        <v>33.6</v>
      </c>
      <c r="EK159">
        <v>40</v>
      </c>
      <c r="EL159">
        <v>89.6</v>
      </c>
    </row>
    <row r="160" spans="1:142" x14ac:dyDescent="0.35">
      <c r="A160" s="86" t="str">
        <f t="shared" si="30"/>
        <v>150368Share Sub Category SC Johnson</v>
      </c>
      <c r="B160">
        <v>150368</v>
      </c>
      <c r="C160" t="s">
        <v>341</v>
      </c>
      <c r="D160" t="s">
        <v>103</v>
      </c>
      <c r="E160" t="s">
        <v>544</v>
      </c>
      <c r="F160" t="s">
        <v>545</v>
      </c>
      <c r="G160" t="s">
        <v>457</v>
      </c>
      <c r="H160">
        <v>77.66</v>
      </c>
      <c r="I160">
        <v>25.71</v>
      </c>
      <c r="J160">
        <v>30</v>
      </c>
      <c r="L160" s="86" t="str">
        <f t="shared" si="31"/>
        <v>152153Cross Merchan SC Johnson</v>
      </c>
      <c r="M160">
        <v>152153</v>
      </c>
      <c r="N160" t="s">
        <v>342</v>
      </c>
      <c r="O160" t="s">
        <v>36</v>
      </c>
      <c r="P160" t="s">
        <v>103</v>
      </c>
      <c r="Q160" t="s">
        <v>694</v>
      </c>
      <c r="R160" t="s">
        <v>695</v>
      </c>
      <c r="S160" t="s">
        <v>111</v>
      </c>
      <c r="T160">
        <v>8</v>
      </c>
      <c r="U160">
        <v>8</v>
      </c>
      <c r="V160">
        <v>81.59</v>
      </c>
      <c r="X160" s="86" t="str">
        <f t="shared" si="32"/>
        <v>152153Cross Merchan SC Johnson</v>
      </c>
      <c r="Y160">
        <v>152153</v>
      </c>
      <c r="Z160" t="s">
        <v>342</v>
      </c>
      <c r="AA160" t="s">
        <v>36</v>
      </c>
      <c r="AB160" t="s">
        <v>103</v>
      </c>
      <c r="AC160" t="s">
        <v>861</v>
      </c>
      <c r="AD160" t="s">
        <v>862</v>
      </c>
      <c r="AE160" t="s">
        <v>111</v>
      </c>
      <c r="AF160">
        <v>8</v>
      </c>
      <c r="AG160">
        <v>8</v>
      </c>
      <c r="AH160">
        <v>84.71</v>
      </c>
      <c r="AJ160" s="86" t="str">
        <f t="shared" si="33"/>
        <v>152696Share Sub Loc Pao Quente SC Johnson</v>
      </c>
      <c r="AK160">
        <v>152696</v>
      </c>
      <c r="AL160" t="s">
        <v>363</v>
      </c>
      <c r="AM160" t="s">
        <v>36</v>
      </c>
      <c r="AN160" t="s">
        <v>103</v>
      </c>
      <c r="AO160" t="s">
        <v>970</v>
      </c>
      <c r="AP160" t="s">
        <v>971</v>
      </c>
      <c r="AQ160" t="s">
        <v>458</v>
      </c>
      <c r="AR160">
        <v>9</v>
      </c>
      <c r="AS160">
        <v>12</v>
      </c>
      <c r="AT160">
        <v>68.66</v>
      </c>
      <c r="AV160" s="86" t="str">
        <f t="shared" si="34"/>
        <v>152753Share Sub Loc Pao Quente SC Johnson</v>
      </c>
      <c r="AW160">
        <v>152753</v>
      </c>
      <c r="AX160" t="s">
        <v>393</v>
      </c>
      <c r="AY160" t="s">
        <v>482</v>
      </c>
      <c r="AZ160" t="s">
        <v>103</v>
      </c>
      <c r="BA160" t="s">
        <v>1085</v>
      </c>
      <c r="BB160" t="s">
        <v>1086</v>
      </c>
      <c r="BC160" t="s">
        <v>458</v>
      </c>
      <c r="BD160">
        <v>9</v>
      </c>
      <c r="BE160">
        <v>12</v>
      </c>
      <c r="BF160">
        <v>59.05</v>
      </c>
      <c r="BH160" s="86" t="str">
        <f t="shared" si="35"/>
        <v>144056Share Sub Loc Pao Quente SC Johnson</v>
      </c>
      <c r="BI160">
        <v>144056</v>
      </c>
      <c r="BJ160" t="s">
        <v>392</v>
      </c>
      <c r="BK160" t="s">
        <v>36</v>
      </c>
      <c r="BL160" t="s">
        <v>103</v>
      </c>
      <c r="BM160" t="s">
        <v>1199</v>
      </c>
      <c r="BN160" t="s">
        <v>1200</v>
      </c>
      <c r="BO160" t="s">
        <v>458</v>
      </c>
      <c r="BP160">
        <v>12</v>
      </c>
      <c r="BQ160">
        <v>12</v>
      </c>
      <c r="BR160">
        <v>80.84</v>
      </c>
      <c r="BT160" s="86" t="str">
        <f t="shared" si="24"/>
        <v>133136Mix + Intocáveis SC Johnson</v>
      </c>
      <c r="BU160">
        <v>133136</v>
      </c>
      <c r="BV160" t="s">
        <v>338</v>
      </c>
      <c r="BW160" t="s">
        <v>36</v>
      </c>
      <c r="BX160" t="s">
        <v>103</v>
      </c>
      <c r="BY160" t="s">
        <v>1275</v>
      </c>
      <c r="BZ160" t="s">
        <v>1276</v>
      </c>
      <c r="CA160" t="s">
        <v>459</v>
      </c>
      <c r="CB160">
        <v>24</v>
      </c>
      <c r="CC160">
        <v>40</v>
      </c>
      <c r="CD160">
        <v>73.33</v>
      </c>
      <c r="CF160" s="86" t="str">
        <f t="shared" si="25"/>
        <v>136856Mix + Intocáveis SC Johnson</v>
      </c>
      <c r="CG160">
        <v>136856</v>
      </c>
      <c r="CH160" t="s">
        <v>379</v>
      </c>
      <c r="CI160" t="s">
        <v>489</v>
      </c>
      <c r="CJ160" t="s">
        <v>103</v>
      </c>
      <c r="CK160" t="s">
        <v>1410</v>
      </c>
      <c r="CL160" t="s">
        <v>1411</v>
      </c>
      <c r="CM160" t="s">
        <v>459</v>
      </c>
      <c r="CN160">
        <v>36</v>
      </c>
      <c r="CO160">
        <v>40</v>
      </c>
      <c r="CP160">
        <v>98</v>
      </c>
      <c r="CR160" s="86" t="str">
        <f t="shared" si="26"/>
        <v>135870Mix + Intocáveis SC Johnson</v>
      </c>
      <c r="CS160">
        <v>135870</v>
      </c>
      <c r="CT160" t="s">
        <v>339</v>
      </c>
      <c r="CU160" t="s">
        <v>1306</v>
      </c>
      <c r="CV160" t="s">
        <v>103</v>
      </c>
      <c r="CW160" t="s">
        <v>1550</v>
      </c>
      <c r="CX160" t="s">
        <v>1551</v>
      </c>
      <c r="CY160" t="s">
        <v>459</v>
      </c>
      <c r="CZ160">
        <v>38.4</v>
      </c>
      <c r="DA160">
        <v>40</v>
      </c>
      <c r="DB160">
        <v>103.4</v>
      </c>
      <c r="DD160" s="86" t="str">
        <f t="shared" si="27"/>
        <v>144056Execucao Bonus</v>
      </c>
      <c r="DE160">
        <v>144056</v>
      </c>
      <c r="DF160" t="s">
        <v>392</v>
      </c>
      <c r="DG160" t="s">
        <v>1306</v>
      </c>
      <c r="DH160" t="s">
        <v>103</v>
      </c>
      <c r="DI160" t="s">
        <v>1700</v>
      </c>
      <c r="DJ160" t="s">
        <v>1701</v>
      </c>
      <c r="DK160" t="s">
        <v>1291</v>
      </c>
      <c r="DL160">
        <v>5</v>
      </c>
      <c r="DM160">
        <v>5</v>
      </c>
      <c r="DN160">
        <v>98.23</v>
      </c>
      <c r="DP160" s="86" t="str">
        <f t="shared" si="28"/>
        <v>135870Execucao Bonus</v>
      </c>
      <c r="DQ160">
        <v>135870</v>
      </c>
      <c r="DR160" t="s">
        <v>339</v>
      </c>
      <c r="DS160" t="s">
        <v>1306</v>
      </c>
      <c r="DT160" t="s">
        <v>103</v>
      </c>
      <c r="DU160" t="s">
        <v>1764</v>
      </c>
      <c r="DV160" t="s">
        <v>1765</v>
      </c>
      <c r="DW160" t="s">
        <v>1291</v>
      </c>
      <c r="DX160">
        <v>5</v>
      </c>
      <c r="DY160">
        <v>5</v>
      </c>
      <c r="DZ160">
        <v>97.2</v>
      </c>
      <c r="EB160" s="86" t="str">
        <f t="shared" si="29"/>
        <v>178205Execucao Bonus</v>
      </c>
      <c r="EC160">
        <v>178205</v>
      </c>
      <c r="ED160" t="s">
        <v>381</v>
      </c>
      <c r="EE160" t="s">
        <v>1345</v>
      </c>
      <c r="EF160" t="s">
        <v>103</v>
      </c>
      <c r="EG160" t="s">
        <v>1902</v>
      </c>
      <c r="EH160" t="s">
        <v>1903</v>
      </c>
      <c r="EI160" t="s">
        <v>1291</v>
      </c>
      <c r="EJ160">
        <v>5</v>
      </c>
      <c r="EK160">
        <v>5</v>
      </c>
      <c r="EL160">
        <v>89.6</v>
      </c>
    </row>
    <row r="161" spans="1:142" x14ac:dyDescent="0.35">
      <c r="A161" s="86" t="str">
        <f t="shared" si="30"/>
        <v>150368Cross Merchan SC Johnson</v>
      </c>
      <c r="B161">
        <v>150368</v>
      </c>
      <c r="C161" t="s">
        <v>341</v>
      </c>
      <c r="D161" t="s">
        <v>103</v>
      </c>
      <c r="E161" t="s">
        <v>544</v>
      </c>
      <c r="F161" t="s">
        <v>545</v>
      </c>
      <c r="G161" t="s">
        <v>111</v>
      </c>
      <c r="H161">
        <v>77.66</v>
      </c>
      <c r="I161">
        <v>8</v>
      </c>
      <c r="J161">
        <v>8</v>
      </c>
      <c r="L161" s="86" t="str">
        <f t="shared" si="31"/>
        <v>152153Share Sub Loc Pao Quente SC Johnson</v>
      </c>
      <c r="M161">
        <v>152153</v>
      </c>
      <c r="N161" t="s">
        <v>342</v>
      </c>
      <c r="O161" t="s">
        <v>36</v>
      </c>
      <c r="P161" t="s">
        <v>103</v>
      </c>
      <c r="Q161" t="s">
        <v>694</v>
      </c>
      <c r="R161" t="s">
        <v>695</v>
      </c>
      <c r="S161" t="s">
        <v>458</v>
      </c>
      <c r="T161">
        <v>8.5</v>
      </c>
      <c r="U161">
        <v>17</v>
      </c>
      <c r="V161">
        <v>81.59</v>
      </c>
      <c r="X161" s="86" t="str">
        <f t="shared" si="32"/>
        <v>152153Share Sub Loc Pao Quente SC Johnson</v>
      </c>
      <c r="Y161">
        <v>152153</v>
      </c>
      <c r="Z161" t="s">
        <v>342</v>
      </c>
      <c r="AA161" t="s">
        <v>36</v>
      </c>
      <c r="AB161" t="s">
        <v>103</v>
      </c>
      <c r="AC161" t="s">
        <v>861</v>
      </c>
      <c r="AD161" t="s">
        <v>862</v>
      </c>
      <c r="AE161" t="s">
        <v>458</v>
      </c>
      <c r="AF161">
        <v>12.75</v>
      </c>
      <c r="AG161">
        <v>17</v>
      </c>
      <c r="AH161">
        <v>84.71</v>
      </c>
      <c r="AJ161" s="86" t="str">
        <f t="shared" si="33"/>
        <v>152696Mix + Intocáveis SC Johnson</v>
      </c>
      <c r="AK161">
        <v>152696</v>
      </c>
      <c r="AL161" t="s">
        <v>363</v>
      </c>
      <c r="AM161" t="s">
        <v>36</v>
      </c>
      <c r="AN161" t="s">
        <v>103</v>
      </c>
      <c r="AO161" t="s">
        <v>970</v>
      </c>
      <c r="AP161" t="s">
        <v>971</v>
      </c>
      <c r="AQ161" t="s">
        <v>459</v>
      </c>
      <c r="AR161">
        <v>32.159999999999997</v>
      </c>
      <c r="AS161">
        <v>40</v>
      </c>
      <c r="AT161">
        <v>68.66</v>
      </c>
      <c r="AV161" s="86" t="str">
        <f t="shared" si="34"/>
        <v>152753Mix + Intocáveis SC Johnson</v>
      </c>
      <c r="AW161">
        <v>152753</v>
      </c>
      <c r="AX161" t="s">
        <v>393</v>
      </c>
      <c r="AY161" t="s">
        <v>482</v>
      </c>
      <c r="AZ161" t="s">
        <v>103</v>
      </c>
      <c r="BA161" t="s">
        <v>1085</v>
      </c>
      <c r="BB161" t="s">
        <v>1086</v>
      </c>
      <c r="BC161" t="s">
        <v>459</v>
      </c>
      <c r="BD161">
        <v>26.96</v>
      </c>
      <c r="BE161">
        <v>40</v>
      </c>
      <c r="BF161">
        <v>59.05</v>
      </c>
      <c r="BH161" s="86" t="str">
        <f t="shared" si="35"/>
        <v>144056Mix + Intocáveis SC Johnson</v>
      </c>
      <c r="BI161">
        <v>144056</v>
      </c>
      <c r="BJ161" t="s">
        <v>392</v>
      </c>
      <c r="BK161" t="s">
        <v>36</v>
      </c>
      <c r="BL161" t="s">
        <v>103</v>
      </c>
      <c r="BM161" t="s">
        <v>1199</v>
      </c>
      <c r="BN161" t="s">
        <v>1200</v>
      </c>
      <c r="BO161" t="s">
        <v>459</v>
      </c>
      <c r="BP161">
        <v>26.08</v>
      </c>
      <c r="BQ161">
        <v>40</v>
      </c>
      <c r="BR161">
        <v>80.84</v>
      </c>
      <c r="BT161" s="86" t="str">
        <f t="shared" si="24"/>
        <v>133136Share Sub Category SC Johnson</v>
      </c>
      <c r="BU161">
        <v>133136</v>
      </c>
      <c r="BV161" t="s">
        <v>338</v>
      </c>
      <c r="BW161" t="s">
        <v>36</v>
      </c>
      <c r="BX161" t="s">
        <v>103</v>
      </c>
      <c r="BY161" t="s">
        <v>1275</v>
      </c>
      <c r="BZ161" t="s">
        <v>1276</v>
      </c>
      <c r="CA161" t="s">
        <v>457</v>
      </c>
      <c r="CB161">
        <v>25</v>
      </c>
      <c r="CC161">
        <v>25</v>
      </c>
      <c r="CD161">
        <v>73.33</v>
      </c>
      <c r="CF161" s="86" t="str">
        <f t="shared" si="25"/>
        <v>136856Share Sub Category SC Johnson</v>
      </c>
      <c r="CG161">
        <v>136856</v>
      </c>
      <c r="CH161" t="s">
        <v>379</v>
      </c>
      <c r="CI161" t="s">
        <v>489</v>
      </c>
      <c r="CJ161" t="s">
        <v>103</v>
      </c>
      <c r="CK161" t="s">
        <v>1410</v>
      </c>
      <c r="CL161" t="s">
        <v>1411</v>
      </c>
      <c r="CM161" t="s">
        <v>457</v>
      </c>
      <c r="CN161">
        <v>25</v>
      </c>
      <c r="CO161">
        <v>25</v>
      </c>
      <c r="CP161">
        <v>98</v>
      </c>
      <c r="CR161" s="86" t="str">
        <f t="shared" si="26"/>
        <v>135870Share Sub Category SC Johnson</v>
      </c>
      <c r="CS161">
        <v>135870</v>
      </c>
      <c r="CT161" t="s">
        <v>339</v>
      </c>
      <c r="CU161" t="s">
        <v>1306</v>
      </c>
      <c r="CV161" t="s">
        <v>103</v>
      </c>
      <c r="CW161" t="s">
        <v>1550</v>
      </c>
      <c r="CX161" t="s">
        <v>1551</v>
      </c>
      <c r="CY161" t="s">
        <v>457</v>
      </c>
      <c r="CZ161">
        <v>25</v>
      </c>
      <c r="DA161">
        <v>25</v>
      </c>
      <c r="DB161">
        <v>103.4</v>
      </c>
      <c r="DD161" s="86" t="str">
        <f t="shared" si="27"/>
        <v>144056Cross Merchan SC Johnson</v>
      </c>
      <c r="DE161">
        <v>144056</v>
      </c>
      <c r="DF161" t="s">
        <v>392</v>
      </c>
      <c r="DG161" t="s">
        <v>1306</v>
      </c>
      <c r="DH161" t="s">
        <v>103</v>
      </c>
      <c r="DI161" t="s">
        <v>1700</v>
      </c>
      <c r="DJ161" t="s">
        <v>1701</v>
      </c>
      <c r="DK161" t="s">
        <v>111</v>
      </c>
      <c r="DL161">
        <v>5</v>
      </c>
      <c r="DM161">
        <v>5</v>
      </c>
      <c r="DN161">
        <v>98.23</v>
      </c>
      <c r="DP161" s="86" t="str">
        <f t="shared" si="28"/>
        <v>135870Cross Merchan SC Johnson</v>
      </c>
      <c r="DQ161">
        <v>135870</v>
      </c>
      <c r="DR161" t="s">
        <v>339</v>
      </c>
      <c r="DS161" t="s">
        <v>1306</v>
      </c>
      <c r="DT161" t="s">
        <v>103</v>
      </c>
      <c r="DU161" t="s">
        <v>1764</v>
      </c>
      <c r="DV161" t="s">
        <v>1765</v>
      </c>
      <c r="DW161" t="s">
        <v>111</v>
      </c>
      <c r="DX161">
        <v>5</v>
      </c>
      <c r="DY161">
        <v>5</v>
      </c>
      <c r="DZ161">
        <v>97.2</v>
      </c>
      <c r="EB161" s="86" t="str">
        <f t="shared" si="29"/>
        <v>178205Cross Merchan SC Johnson</v>
      </c>
      <c r="EC161">
        <v>178205</v>
      </c>
      <c r="ED161" t="s">
        <v>381</v>
      </c>
      <c r="EE161" t="s">
        <v>1345</v>
      </c>
      <c r="EF161" t="s">
        <v>103</v>
      </c>
      <c r="EG161" t="s">
        <v>1902</v>
      </c>
      <c r="EH161" t="s">
        <v>1903</v>
      </c>
      <c r="EI161" t="s">
        <v>111</v>
      </c>
      <c r="EJ161">
        <v>5</v>
      </c>
      <c r="EK161">
        <v>5</v>
      </c>
      <c r="EL161">
        <v>89.6</v>
      </c>
    </row>
    <row r="162" spans="1:142" x14ac:dyDescent="0.35">
      <c r="A162" s="86" t="str">
        <f t="shared" si="30"/>
        <v>150368Share Sub Loc Pao Quente SC Johnson</v>
      </c>
      <c r="B162">
        <v>150368</v>
      </c>
      <c r="C162" t="s">
        <v>341</v>
      </c>
      <c r="D162" t="s">
        <v>103</v>
      </c>
      <c r="E162" t="s">
        <v>544</v>
      </c>
      <c r="F162" t="s">
        <v>545</v>
      </c>
      <c r="G162" t="s">
        <v>458</v>
      </c>
      <c r="H162">
        <v>77.66</v>
      </c>
      <c r="I162">
        <v>10.199999999999999</v>
      </c>
      <c r="J162">
        <v>17</v>
      </c>
      <c r="L162" s="86" t="str">
        <f t="shared" si="31"/>
        <v>152153Mix + Intocáveis SC Johnson</v>
      </c>
      <c r="M162">
        <v>152153</v>
      </c>
      <c r="N162" t="s">
        <v>342</v>
      </c>
      <c r="O162" t="s">
        <v>36</v>
      </c>
      <c r="P162" t="s">
        <v>103</v>
      </c>
      <c r="Q162" t="s">
        <v>694</v>
      </c>
      <c r="R162" t="s">
        <v>695</v>
      </c>
      <c r="S162" t="s">
        <v>459</v>
      </c>
      <c r="T162">
        <v>39.375</v>
      </c>
      <c r="U162">
        <v>45</v>
      </c>
      <c r="V162">
        <v>81.59</v>
      </c>
      <c r="X162" s="86" t="str">
        <f t="shared" si="32"/>
        <v>152153Mix + Intocáveis SC Johnson</v>
      </c>
      <c r="Y162">
        <v>152153</v>
      </c>
      <c r="Z162" t="s">
        <v>342</v>
      </c>
      <c r="AA162" t="s">
        <v>36</v>
      </c>
      <c r="AB162" t="s">
        <v>103</v>
      </c>
      <c r="AC162" t="s">
        <v>861</v>
      </c>
      <c r="AD162" t="s">
        <v>862</v>
      </c>
      <c r="AE162" t="s">
        <v>459</v>
      </c>
      <c r="AF162">
        <v>38.25</v>
      </c>
      <c r="AG162">
        <v>45</v>
      </c>
      <c r="AH162">
        <v>84.71</v>
      </c>
      <c r="AJ162" s="86" t="str">
        <f t="shared" si="33"/>
        <v>152696Lancamentos</v>
      </c>
      <c r="AK162">
        <v>152696</v>
      </c>
      <c r="AL162" t="s">
        <v>363</v>
      </c>
      <c r="AM162" t="s">
        <v>36</v>
      </c>
      <c r="AN162" t="s">
        <v>103</v>
      </c>
      <c r="AO162" t="s">
        <v>970</v>
      </c>
      <c r="AP162" t="s">
        <v>971</v>
      </c>
      <c r="AQ162" t="s">
        <v>953</v>
      </c>
      <c r="AR162">
        <v>0</v>
      </c>
      <c r="AS162">
        <v>18</v>
      </c>
      <c r="AT162">
        <v>68.66</v>
      </c>
      <c r="AV162" s="86" t="str">
        <f t="shared" si="34"/>
        <v>152753Lancamentos</v>
      </c>
      <c r="AW162">
        <v>152753</v>
      </c>
      <c r="AX162" t="s">
        <v>393</v>
      </c>
      <c r="AY162" t="s">
        <v>482</v>
      </c>
      <c r="AZ162" t="s">
        <v>103</v>
      </c>
      <c r="BA162" t="s">
        <v>1085</v>
      </c>
      <c r="BB162" t="s">
        <v>1086</v>
      </c>
      <c r="BC162" t="s">
        <v>953</v>
      </c>
      <c r="BD162">
        <v>0</v>
      </c>
      <c r="BE162">
        <v>18</v>
      </c>
      <c r="BF162">
        <v>59.05</v>
      </c>
      <c r="BH162" s="86" t="str">
        <f t="shared" si="35"/>
        <v>144056Lancamentos</v>
      </c>
      <c r="BI162">
        <v>144056</v>
      </c>
      <c r="BJ162" t="s">
        <v>392</v>
      </c>
      <c r="BK162" t="s">
        <v>36</v>
      </c>
      <c r="BL162" t="s">
        <v>103</v>
      </c>
      <c r="BM162" t="s">
        <v>1199</v>
      </c>
      <c r="BN162" t="s">
        <v>1200</v>
      </c>
      <c r="BO162" t="s">
        <v>953</v>
      </c>
      <c r="BP162">
        <v>18</v>
      </c>
      <c r="BQ162">
        <v>18</v>
      </c>
      <c r="BR162">
        <v>80.84</v>
      </c>
      <c r="BT162" s="86" t="str">
        <f t="shared" si="24"/>
        <v>133136Share Sub Loc Pao Quente SC Johnson</v>
      </c>
      <c r="BU162">
        <v>133136</v>
      </c>
      <c r="BV162" t="s">
        <v>338</v>
      </c>
      <c r="BW162" t="s">
        <v>36</v>
      </c>
      <c r="BX162" t="s">
        <v>103</v>
      </c>
      <c r="BY162" t="s">
        <v>1275</v>
      </c>
      <c r="BZ162" t="s">
        <v>1276</v>
      </c>
      <c r="CA162" t="s">
        <v>458</v>
      </c>
      <c r="CB162">
        <v>12</v>
      </c>
      <c r="CC162">
        <v>12</v>
      </c>
      <c r="CD162">
        <v>73.33</v>
      </c>
      <c r="CF162" s="86" t="str">
        <f t="shared" si="25"/>
        <v>136856Share Sub Loc Pao Quente SC Johnson</v>
      </c>
      <c r="CG162">
        <v>136856</v>
      </c>
      <c r="CH162" t="s">
        <v>379</v>
      </c>
      <c r="CI162" t="s">
        <v>489</v>
      </c>
      <c r="CJ162" t="s">
        <v>103</v>
      </c>
      <c r="CK162" t="s">
        <v>1410</v>
      </c>
      <c r="CL162" t="s">
        <v>1411</v>
      </c>
      <c r="CM162" t="s">
        <v>458</v>
      </c>
      <c r="CN162">
        <v>9</v>
      </c>
      <c r="CO162">
        <v>12</v>
      </c>
      <c r="CP162">
        <v>98</v>
      </c>
      <c r="CR162" s="86" t="str">
        <f t="shared" si="26"/>
        <v>135870Share Sub Loc Pao Quente SC Johnson</v>
      </c>
      <c r="CS162">
        <v>135870</v>
      </c>
      <c r="CT162" t="s">
        <v>339</v>
      </c>
      <c r="CU162" t="s">
        <v>1306</v>
      </c>
      <c r="CV162" t="s">
        <v>103</v>
      </c>
      <c r="CW162" t="s">
        <v>1550</v>
      </c>
      <c r="CX162" t="s">
        <v>1551</v>
      </c>
      <c r="CY162" t="s">
        <v>458</v>
      </c>
      <c r="CZ162">
        <v>12</v>
      </c>
      <c r="DA162">
        <v>12</v>
      </c>
      <c r="DB162">
        <v>103.4</v>
      </c>
      <c r="DD162" s="86" t="str">
        <f t="shared" si="27"/>
        <v>144056Lancamentos</v>
      </c>
      <c r="DE162">
        <v>144056</v>
      </c>
      <c r="DF162" t="s">
        <v>392</v>
      </c>
      <c r="DG162" t="s">
        <v>1306</v>
      </c>
      <c r="DH162" t="s">
        <v>103</v>
      </c>
      <c r="DI162" t="s">
        <v>1700</v>
      </c>
      <c r="DJ162" t="s">
        <v>1701</v>
      </c>
      <c r="DK162" t="s">
        <v>953</v>
      </c>
      <c r="DL162">
        <v>18</v>
      </c>
      <c r="DM162">
        <v>18</v>
      </c>
      <c r="DN162">
        <v>98.23</v>
      </c>
      <c r="DP162" s="86" t="str">
        <f t="shared" si="28"/>
        <v>135870Lancamentos</v>
      </c>
      <c r="DQ162">
        <v>135870</v>
      </c>
      <c r="DR162" t="s">
        <v>339</v>
      </c>
      <c r="DS162" t="s">
        <v>1306</v>
      </c>
      <c r="DT162" t="s">
        <v>103</v>
      </c>
      <c r="DU162" t="s">
        <v>1764</v>
      </c>
      <c r="DV162" t="s">
        <v>1765</v>
      </c>
      <c r="DW162" t="s">
        <v>953</v>
      </c>
      <c r="DX162">
        <v>18</v>
      </c>
      <c r="DY162">
        <v>18</v>
      </c>
      <c r="DZ162">
        <v>97.2</v>
      </c>
      <c r="EB162" s="86" t="str">
        <f t="shared" si="29"/>
        <v>178205Lancamentos</v>
      </c>
      <c r="EC162">
        <v>178205</v>
      </c>
      <c r="ED162" t="s">
        <v>381</v>
      </c>
      <c r="EE162" t="s">
        <v>1345</v>
      </c>
      <c r="EF162" t="s">
        <v>103</v>
      </c>
      <c r="EG162" t="s">
        <v>1902</v>
      </c>
      <c r="EH162" t="s">
        <v>1903</v>
      </c>
      <c r="EI162" t="s">
        <v>953</v>
      </c>
      <c r="EJ162">
        <v>9</v>
      </c>
      <c r="EK162">
        <v>18</v>
      </c>
      <c r="EL162">
        <v>89.6</v>
      </c>
    </row>
    <row r="163" spans="1:142" x14ac:dyDescent="0.35">
      <c r="A163" s="86" t="str">
        <f t="shared" si="30"/>
        <v>150368Mix + Intocáveis SC Johnson</v>
      </c>
      <c r="B163">
        <v>150368</v>
      </c>
      <c r="C163" t="s">
        <v>341</v>
      </c>
      <c r="D163" t="s">
        <v>103</v>
      </c>
      <c r="E163" t="s">
        <v>544</v>
      </c>
      <c r="F163" t="s">
        <v>545</v>
      </c>
      <c r="G163" t="s">
        <v>459</v>
      </c>
      <c r="H163">
        <v>77.66</v>
      </c>
      <c r="I163">
        <v>33.75</v>
      </c>
      <c r="J163">
        <v>45</v>
      </c>
      <c r="L163" s="86" t="str">
        <f t="shared" si="31"/>
        <v>152696Share Sub Category SC Johnson</v>
      </c>
      <c r="M163">
        <v>152696</v>
      </c>
      <c r="N163" t="s">
        <v>363</v>
      </c>
      <c r="O163" t="s">
        <v>36</v>
      </c>
      <c r="P163" t="s">
        <v>103</v>
      </c>
      <c r="Q163" t="s">
        <v>696</v>
      </c>
      <c r="R163" t="s">
        <v>697</v>
      </c>
      <c r="S163" t="s">
        <v>457</v>
      </c>
      <c r="T163">
        <v>21.42</v>
      </c>
      <c r="U163">
        <v>30</v>
      </c>
      <c r="V163">
        <v>80.17</v>
      </c>
      <c r="X163" s="86" t="str">
        <f t="shared" si="32"/>
        <v>152696Share Sub Category SC Johnson</v>
      </c>
      <c r="Y163">
        <v>152696</v>
      </c>
      <c r="Z163" t="s">
        <v>363</v>
      </c>
      <c r="AA163" t="s">
        <v>36</v>
      </c>
      <c r="AB163" t="s">
        <v>103</v>
      </c>
      <c r="AC163" t="s">
        <v>811</v>
      </c>
      <c r="AD163" t="s">
        <v>812</v>
      </c>
      <c r="AE163" t="s">
        <v>457</v>
      </c>
      <c r="AF163">
        <v>21.42</v>
      </c>
      <c r="AG163">
        <v>30</v>
      </c>
      <c r="AH163">
        <v>73.67</v>
      </c>
      <c r="AJ163" s="86" t="str">
        <f t="shared" si="33"/>
        <v>152753Share Sub Category SC Johnson</v>
      </c>
      <c r="AK163">
        <v>152753</v>
      </c>
      <c r="AL163" t="s">
        <v>393</v>
      </c>
      <c r="AM163" t="s">
        <v>482</v>
      </c>
      <c r="AN163" t="s">
        <v>103</v>
      </c>
      <c r="AO163" t="s">
        <v>972</v>
      </c>
      <c r="AP163" t="s">
        <v>973</v>
      </c>
      <c r="AQ163" t="s">
        <v>457</v>
      </c>
      <c r="AR163">
        <v>14.275</v>
      </c>
      <c r="AS163">
        <v>25</v>
      </c>
      <c r="AT163">
        <v>47.97</v>
      </c>
      <c r="AV163" s="86" t="str">
        <f t="shared" si="34"/>
        <v>156263Share Sub Category SC Johnson</v>
      </c>
      <c r="AW163">
        <v>156263</v>
      </c>
      <c r="AX163" t="s">
        <v>343</v>
      </c>
      <c r="AY163" t="s">
        <v>36</v>
      </c>
      <c r="AZ163" t="s">
        <v>103</v>
      </c>
      <c r="BA163" t="s">
        <v>1087</v>
      </c>
      <c r="BB163" t="s">
        <v>1088</v>
      </c>
      <c r="BC163" t="s">
        <v>457</v>
      </c>
      <c r="BD163">
        <v>25</v>
      </c>
      <c r="BE163">
        <v>25</v>
      </c>
      <c r="BF163">
        <v>73.47</v>
      </c>
      <c r="BH163" s="86" t="str">
        <f t="shared" si="35"/>
        <v>150368Share Sub Category SC Johnson</v>
      </c>
      <c r="BI163">
        <v>150368</v>
      </c>
      <c r="BJ163" t="s">
        <v>341</v>
      </c>
      <c r="BK163" t="s">
        <v>482</v>
      </c>
      <c r="BL163" t="s">
        <v>103</v>
      </c>
      <c r="BM163" t="s">
        <v>1201</v>
      </c>
      <c r="BN163" t="s">
        <v>1202</v>
      </c>
      <c r="BO163" t="s">
        <v>457</v>
      </c>
      <c r="BP163">
        <v>25</v>
      </c>
      <c r="BQ163">
        <v>25</v>
      </c>
      <c r="BR163">
        <v>63.87</v>
      </c>
      <c r="BT163" s="86" t="str">
        <f t="shared" si="24"/>
        <v>133136Cross Merchan SC Johnson</v>
      </c>
      <c r="BU163">
        <v>133136</v>
      </c>
      <c r="BV163" t="s">
        <v>338</v>
      </c>
      <c r="BW163" t="s">
        <v>36</v>
      </c>
      <c r="BX163" t="s">
        <v>103</v>
      </c>
      <c r="BY163" t="s">
        <v>1275</v>
      </c>
      <c r="BZ163" t="s">
        <v>1276</v>
      </c>
      <c r="CA163" t="s">
        <v>111</v>
      </c>
      <c r="CB163">
        <v>3.335</v>
      </c>
      <c r="CC163">
        <v>5</v>
      </c>
      <c r="CD163">
        <v>73.33</v>
      </c>
      <c r="CF163" s="86" t="str">
        <f t="shared" si="25"/>
        <v>136856Cross Merchan SC Johnson</v>
      </c>
      <c r="CG163">
        <v>136856</v>
      </c>
      <c r="CH163" t="s">
        <v>379</v>
      </c>
      <c r="CI163" t="s">
        <v>489</v>
      </c>
      <c r="CJ163" t="s">
        <v>103</v>
      </c>
      <c r="CK163" t="s">
        <v>1410</v>
      </c>
      <c r="CL163" t="s">
        <v>1411</v>
      </c>
      <c r="CM163" t="s">
        <v>111</v>
      </c>
      <c r="CN163">
        <v>5</v>
      </c>
      <c r="CO163">
        <v>5</v>
      </c>
      <c r="CP163">
        <v>98</v>
      </c>
      <c r="CR163" s="86" t="str">
        <f t="shared" si="26"/>
        <v>135870Cross Merchan SC Johnson</v>
      </c>
      <c r="CS163">
        <v>135870</v>
      </c>
      <c r="CT163" t="s">
        <v>339</v>
      </c>
      <c r="CU163" t="s">
        <v>1306</v>
      </c>
      <c r="CV163" t="s">
        <v>103</v>
      </c>
      <c r="CW163" t="s">
        <v>1550</v>
      </c>
      <c r="CX163" t="s">
        <v>1551</v>
      </c>
      <c r="CY163" t="s">
        <v>111</v>
      </c>
      <c r="CZ163">
        <v>5</v>
      </c>
      <c r="DA163">
        <v>5</v>
      </c>
      <c r="DB163">
        <v>103.4</v>
      </c>
      <c r="DD163" s="86" t="str">
        <f t="shared" si="27"/>
        <v>144056Share Sub Category SC Johnson</v>
      </c>
      <c r="DE163">
        <v>144056</v>
      </c>
      <c r="DF163" t="s">
        <v>392</v>
      </c>
      <c r="DG163" t="s">
        <v>1306</v>
      </c>
      <c r="DH163" t="s">
        <v>103</v>
      </c>
      <c r="DI163" t="s">
        <v>1700</v>
      </c>
      <c r="DJ163" t="s">
        <v>1701</v>
      </c>
      <c r="DK163" t="s">
        <v>457</v>
      </c>
      <c r="DL163">
        <v>21.425000000000001</v>
      </c>
      <c r="DM163">
        <v>25</v>
      </c>
      <c r="DN163">
        <v>98.23</v>
      </c>
      <c r="DP163" s="86" t="str">
        <f t="shared" si="28"/>
        <v>135870Share Sub Category SC Johnson</v>
      </c>
      <c r="DQ163">
        <v>135870</v>
      </c>
      <c r="DR163" t="s">
        <v>339</v>
      </c>
      <c r="DS163" t="s">
        <v>1306</v>
      </c>
      <c r="DT163" t="s">
        <v>103</v>
      </c>
      <c r="DU163" t="s">
        <v>1764</v>
      </c>
      <c r="DV163" t="s">
        <v>1765</v>
      </c>
      <c r="DW163" t="s">
        <v>457</v>
      </c>
      <c r="DX163">
        <v>25</v>
      </c>
      <c r="DY163">
        <v>25</v>
      </c>
      <c r="DZ163">
        <v>97.2</v>
      </c>
      <c r="EB163" s="86" t="str">
        <f t="shared" si="29"/>
        <v>178205Share Sub Category SC Johnson</v>
      </c>
      <c r="EC163">
        <v>178205</v>
      </c>
      <c r="ED163" t="s">
        <v>381</v>
      </c>
      <c r="EE163" t="s">
        <v>1345</v>
      </c>
      <c r="EF163" t="s">
        <v>103</v>
      </c>
      <c r="EG163" t="s">
        <v>1902</v>
      </c>
      <c r="EH163" t="s">
        <v>1903</v>
      </c>
      <c r="EI163" t="s">
        <v>457</v>
      </c>
      <c r="EJ163">
        <v>25</v>
      </c>
      <c r="EK163">
        <v>25</v>
      </c>
      <c r="EL163">
        <v>89.6</v>
      </c>
    </row>
    <row r="164" spans="1:142" x14ac:dyDescent="0.35">
      <c r="A164" s="86" t="str">
        <f t="shared" si="30"/>
        <v>152153Share Sub Category SC Johnson</v>
      </c>
      <c r="B164">
        <v>152153</v>
      </c>
      <c r="C164" t="s">
        <v>342</v>
      </c>
      <c r="D164" t="s">
        <v>103</v>
      </c>
      <c r="E164" t="s">
        <v>546</v>
      </c>
      <c r="F164" t="s">
        <v>547</v>
      </c>
      <c r="G164" t="s">
        <v>457</v>
      </c>
      <c r="H164">
        <v>76.510000000000005</v>
      </c>
      <c r="I164">
        <v>25.71</v>
      </c>
      <c r="J164">
        <v>30</v>
      </c>
      <c r="L164" s="86" t="str">
        <f t="shared" si="31"/>
        <v>152696Cross Merchan SC Johnson</v>
      </c>
      <c r="M164">
        <v>152696</v>
      </c>
      <c r="N164" t="s">
        <v>363</v>
      </c>
      <c r="O164" t="s">
        <v>36</v>
      </c>
      <c r="P164" t="s">
        <v>103</v>
      </c>
      <c r="Q164" t="s">
        <v>696</v>
      </c>
      <c r="R164" t="s">
        <v>697</v>
      </c>
      <c r="S164" t="s">
        <v>111</v>
      </c>
      <c r="T164">
        <v>8</v>
      </c>
      <c r="U164">
        <v>8</v>
      </c>
      <c r="V164">
        <v>80.17</v>
      </c>
      <c r="X164" s="86" t="str">
        <f t="shared" si="32"/>
        <v>152696Cross Merchan SC Johnson</v>
      </c>
      <c r="Y164">
        <v>152696</v>
      </c>
      <c r="Z164" t="s">
        <v>363</v>
      </c>
      <c r="AA164" t="s">
        <v>36</v>
      </c>
      <c r="AB164" t="s">
        <v>103</v>
      </c>
      <c r="AC164" t="s">
        <v>811</v>
      </c>
      <c r="AD164" t="s">
        <v>812</v>
      </c>
      <c r="AE164" t="s">
        <v>111</v>
      </c>
      <c r="AF164">
        <v>8</v>
      </c>
      <c r="AG164">
        <v>8</v>
      </c>
      <c r="AH164">
        <v>73.67</v>
      </c>
      <c r="AJ164" s="86" t="str">
        <f t="shared" si="33"/>
        <v>152753Cross Merchan SC Johnson</v>
      </c>
      <c r="AK164">
        <v>152753</v>
      </c>
      <c r="AL164" t="s">
        <v>393</v>
      </c>
      <c r="AM164" t="s">
        <v>482</v>
      </c>
      <c r="AN164" t="s">
        <v>103</v>
      </c>
      <c r="AO164" t="s">
        <v>972</v>
      </c>
      <c r="AP164" t="s">
        <v>973</v>
      </c>
      <c r="AQ164" t="s">
        <v>111</v>
      </c>
      <c r="AR164">
        <v>2.5</v>
      </c>
      <c r="AS164">
        <v>5</v>
      </c>
      <c r="AT164">
        <v>47.97</v>
      </c>
      <c r="AV164" s="86" t="str">
        <f t="shared" si="34"/>
        <v>156263Cross Merchan SC Johnson</v>
      </c>
      <c r="AW164">
        <v>156263</v>
      </c>
      <c r="AX164" t="s">
        <v>343</v>
      </c>
      <c r="AY164" t="s">
        <v>36</v>
      </c>
      <c r="AZ164" t="s">
        <v>103</v>
      </c>
      <c r="BA164" t="s">
        <v>1087</v>
      </c>
      <c r="BB164" t="s">
        <v>1088</v>
      </c>
      <c r="BC164" t="s">
        <v>111</v>
      </c>
      <c r="BD164">
        <v>1.665</v>
      </c>
      <c r="BE164">
        <v>5</v>
      </c>
      <c r="BF164">
        <v>73.47</v>
      </c>
      <c r="BH164" s="86" t="str">
        <f t="shared" si="35"/>
        <v>150368Cross Merchan SC Johnson</v>
      </c>
      <c r="BI164">
        <v>150368</v>
      </c>
      <c r="BJ164" t="s">
        <v>341</v>
      </c>
      <c r="BK164" t="s">
        <v>482</v>
      </c>
      <c r="BL164" t="s">
        <v>103</v>
      </c>
      <c r="BM164" t="s">
        <v>1201</v>
      </c>
      <c r="BN164" t="s">
        <v>1202</v>
      </c>
      <c r="BO164" t="s">
        <v>111</v>
      </c>
      <c r="BP164">
        <v>1.665</v>
      </c>
      <c r="BQ164">
        <v>5</v>
      </c>
      <c r="BR164">
        <v>63.87</v>
      </c>
      <c r="BT164" s="86" t="str">
        <f t="shared" si="24"/>
        <v>133136Execucao Bonus</v>
      </c>
      <c r="BU164">
        <v>133136</v>
      </c>
      <c r="BV164" t="s">
        <v>338</v>
      </c>
      <c r="BW164" t="s">
        <v>36</v>
      </c>
      <c r="BX164" t="s">
        <v>103</v>
      </c>
      <c r="BY164" t="s">
        <v>1275</v>
      </c>
      <c r="BZ164" t="s">
        <v>1276</v>
      </c>
      <c r="CA164" t="s">
        <v>1291</v>
      </c>
      <c r="CB164">
        <v>0</v>
      </c>
      <c r="CC164">
        <v>5</v>
      </c>
      <c r="CD164">
        <v>73.33</v>
      </c>
      <c r="CF164" s="86" t="str">
        <f t="shared" si="25"/>
        <v>136856Execucao Bonus</v>
      </c>
      <c r="CG164">
        <v>136856</v>
      </c>
      <c r="CH164" t="s">
        <v>379</v>
      </c>
      <c r="CI164" t="s">
        <v>489</v>
      </c>
      <c r="CJ164" t="s">
        <v>103</v>
      </c>
      <c r="CK164" t="s">
        <v>1410</v>
      </c>
      <c r="CL164" t="s">
        <v>1411</v>
      </c>
      <c r="CM164" t="s">
        <v>1291</v>
      </c>
      <c r="CN164">
        <v>5</v>
      </c>
      <c r="CO164">
        <v>5</v>
      </c>
      <c r="CP164">
        <v>98</v>
      </c>
      <c r="CR164" s="86" t="str">
        <f t="shared" si="26"/>
        <v>135870Execucao Bonus</v>
      </c>
      <c r="CS164">
        <v>135870</v>
      </c>
      <c r="CT164" t="s">
        <v>339</v>
      </c>
      <c r="CU164" t="s">
        <v>1306</v>
      </c>
      <c r="CV164" t="s">
        <v>103</v>
      </c>
      <c r="CW164" t="s">
        <v>1550</v>
      </c>
      <c r="CX164" t="s">
        <v>1551</v>
      </c>
      <c r="CY164" t="s">
        <v>1291</v>
      </c>
      <c r="CZ164">
        <v>1.6</v>
      </c>
      <c r="DA164">
        <v>5</v>
      </c>
      <c r="DB164">
        <v>103.4</v>
      </c>
      <c r="DD164" s="86" t="str">
        <f t="shared" si="27"/>
        <v>144056Share Sub Loc Pao Quente SC Johnson</v>
      </c>
      <c r="DE164">
        <v>144056</v>
      </c>
      <c r="DF164" t="s">
        <v>392</v>
      </c>
      <c r="DG164" t="s">
        <v>1306</v>
      </c>
      <c r="DH164" t="s">
        <v>103</v>
      </c>
      <c r="DI164" t="s">
        <v>1700</v>
      </c>
      <c r="DJ164" t="s">
        <v>1701</v>
      </c>
      <c r="DK164" t="s">
        <v>458</v>
      </c>
      <c r="DL164">
        <v>12</v>
      </c>
      <c r="DM164">
        <v>12</v>
      </c>
      <c r="DN164">
        <v>98.23</v>
      </c>
      <c r="DP164" s="86" t="str">
        <f t="shared" si="28"/>
        <v>135870Share Sub Loc Pao Quente SC Johnson</v>
      </c>
      <c r="DQ164">
        <v>135870</v>
      </c>
      <c r="DR164" t="s">
        <v>339</v>
      </c>
      <c r="DS164" t="s">
        <v>1306</v>
      </c>
      <c r="DT164" t="s">
        <v>103</v>
      </c>
      <c r="DU164" t="s">
        <v>1764</v>
      </c>
      <c r="DV164" t="s">
        <v>1765</v>
      </c>
      <c r="DW164" t="s">
        <v>458</v>
      </c>
      <c r="DX164">
        <v>9</v>
      </c>
      <c r="DY164">
        <v>12</v>
      </c>
      <c r="DZ164">
        <v>97.2</v>
      </c>
      <c r="EB164" s="86" t="str">
        <f t="shared" si="29"/>
        <v>178205Share Sub Loc Pao Quente SC Johnson</v>
      </c>
      <c r="EC164">
        <v>178205</v>
      </c>
      <c r="ED164" t="s">
        <v>381</v>
      </c>
      <c r="EE164" t="s">
        <v>1345</v>
      </c>
      <c r="EF164" t="s">
        <v>103</v>
      </c>
      <c r="EG164" t="s">
        <v>1902</v>
      </c>
      <c r="EH164" t="s">
        <v>1903</v>
      </c>
      <c r="EI164" t="s">
        <v>458</v>
      </c>
      <c r="EJ164">
        <v>12</v>
      </c>
      <c r="EK164">
        <v>12</v>
      </c>
      <c r="EL164">
        <v>89.6</v>
      </c>
    </row>
    <row r="165" spans="1:142" x14ac:dyDescent="0.35">
      <c r="A165" s="86" t="str">
        <f t="shared" si="30"/>
        <v>152153Cross Merchan SC Johnson</v>
      </c>
      <c r="B165">
        <v>152153</v>
      </c>
      <c r="C165" t="s">
        <v>342</v>
      </c>
      <c r="D165" t="s">
        <v>103</v>
      </c>
      <c r="E165" t="s">
        <v>546</v>
      </c>
      <c r="F165" t="s">
        <v>547</v>
      </c>
      <c r="G165" t="s">
        <v>111</v>
      </c>
      <c r="H165">
        <v>76.510000000000005</v>
      </c>
      <c r="I165">
        <v>8</v>
      </c>
      <c r="J165">
        <v>8</v>
      </c>
      <c r="L165" s="86" t="str">
        <f t="shared" si="31"/>
        <v>152696Share Sub Loc Pao Quente SC Johnson</v>
      </c>
      <c r="M165">
        <v>152696</v>
      </c>
      <c r="N165" t="s">
        <v>363</v>
      </c>
      <c r="O165" t="s">
        <v>36</v>
      </c>
      <c r="P165" t="s">
        <v>103</v>
      </c>
      <c r="Q165" t="s">
        <v>696</v>
      </c>
      <c r="R165" t="s">
        <v>697</v>
      </c>
      <c r="S165" t="s">
        <v>458</v>
      </c>
      <c r="T165">
        <v>17</v>
      </c>
      <c r="U165">
        <v>17</v>
      </c>
      <c r="V165">
        <v>80.17</v>
      </c>
      <c r="X165" s="86" t="str">
        <f t="shared" si="32"/>
        <v>152696Share Sub Loc Pao Quente SC Johnson</v>
      </c>
      <c r="Y165">
        <v>152696</v>
      </c>
      <c r="Z165" t="s">
        <v>363</v>
      </c>
      <c r="AA165" t="s">
        <v>36</v>
      </c>
      <c r="AB165" t="s">
        <v>103</v>
      </c>
      <c r="AC165" t="s">
        <v>811</v>
      </c>
      <c r="AD165" t="s">
        <v>812</v>
      </c>
      <c r="AE165" t="s">
        <v>458</v>
      </c>
      <c r="AF165">
        <v>12.75</v>
      </c>
      <c r="AG165">
        <v>17</v>
      </c>
      <c r="AH165">
        <v>73.67</v>
      </c>
      <c r="AJ165" s="86" t="str">
        <f t="shared" si="33"/>
        <v>152753Share Sub Loc Pao Quente SC Johnson</v>
      </c>
      <c r="AK165">
        <v>152753</v>
      </c>
      <c r="AL165" t="s">
        <v>393</v>
      </c>
      <c r="AM165" t="s">
        <v>482</v>
      </c>
      <c r="AN165" t="s">
        <v>103</v>
      </c>
      <c r="AO165" t="s">
        <v>972</v>
      </c>
      <c r="AP165" t="s">
        <v>973</v>
      </c>
      <c r="AQ165" t="s">
        <v>458</v>
      </c>
      <c r="AR165">
        <v>6</v>
      </c>
      <c r="AS165">
        <v>12</v>
      </c>
      <c r="AT165">
        <v>47.97</v>
      </c>
      <c r="AV165" s="86" t="str">
        <f t="shared" si="34"/>
        <v>156263Share Sub Loc Pao Quente SC Johnson</v>
      </c>
      <c r="AW165">
        <v>156263</v>
      </c>
      <c r="AX165" t="s">
        <v>343</v>
      </c>
      <c r="AY165" t="s">
        <v>36</v>
      </c>
      <c r="AZ165" t="s">
        <v>103</v>
      </c>
      <c r="BA165" t="s">
        <v>1087</v>
      </c>
      <c r="BB165" t="s">
        <v>1088</v>
      </c>
      <c r="BC165" t="s">
        <v>458</v>
      </c>
      <c r="BD165">
        <v>12</v>
      </c>
      <c r="BE165">
        <v>12</v>
      </c>
      <c r="BF165">
        <v>73.47</v>
      </c>
      <c r="BH165" s="86" t="str">
        <f t="shared" si="35"/>
        <v>150368Share Sub Loc Pao Quente SC Johnson</v>
      </c>
      <c r="BI165">
        <v>150368</v>
      </c>
      <c r="BJ165" t="s">
        <v>341</v>
      </c>
      <c r="BK165" t="s">
        <v>482</v>
      </c>
      <c r="BL165" t="s">
        <v>103</v>
      </c>
      <c r="BM165" t="s">
        <v>1201</v>
      </c>
      <c r="BN165" t="s">
        <v>1202</v>
      </c>
      <c r="BO165" t="s">
        <v>458</v>
      </c>
      <c r="BP165">
        <v>12</v>
      </c>
      <c r="BQ165">
        <v>12</v>
      </c>
      <c r="BR165">
        <v>63.87</v>
      </c>
      <c r="BT165" s="86" t="str">
        <f t="shared" si="24"/>
        <v>135870Lancamentos</v>
      </c>
      <c r="BU165">
        <v>135870</v>
      </c>
      <c r="BV165" t="s">
        <v>339</v>
      </c>
      <c r="BW165" t="s">
        <v>1306</v>
      </c>
      <c r="BX165" t="s">
        <v>103</v>
      </c>
      <c r="BY165" t="s">
        <v>1358</v>
      </c>
      <c r="BZ165" t="s">
        <v>1359</v>
      </c>
      <c r="CA165" t="s">
        <v>953</v>
      </c>
      <c r="CB165">
        <v>9</v>
      </c>
      <c r="CC165">
        <v>18</v>
      </c>
      <c r="CD165">
        <v>76.53</v>
      </c>
      <c r="CF165" s="86" t="str">
        <f t="shared" si="25"/>
        <v>143128Lancamentos</v>
      </c>
      <c r="CG165">
        <v>143128</v>
      </c>
      <c r="CH165" t="s">
        <v>391</v>
      </c>
      <c r="CI165" t="s">
        <v>539</v>
      </c>
      <c r="CJ165" t="s">
        <v>103</v>
      </c>
      <c r="CK165" t="s">
        <v>1463</v>
      </c>
      <c r="CL165" t="s">
        <v>1464</v>
      </c>
      <c r="CM165" t="s">
        <v>953</v>
      </c>
      <c r="CN165">
        <v>18</v>
      </c>
      <c r="CO165">
        <v>18</v>
      </c>
      <c r="CP165">
        <v>72.599999999999994</v>
      </c>
      <c r="CR165" s="86" t="str">
        <f t="shared" si="26"/>
        <v>136856Lancamentos</v>
      </c>
      <c r="CS165">
        <v>136856</v>
      </c>
      <c r="CT165" t="s">
        <v>379</v>
      </c>
      <c r="CU165" t="s">
        <v>489</v>
      </c>
      <c r="CV165" t="s">
        <v>103</v>
      </c>
      <c r="CW165" t="s">
        <v>1523</v>
      </c>
      <c r="CX165" t="s">
        <v>1524</v>
      </c>
      <c r="CY165" t="s">
        <v>953</v>
      </c>
      <c r="CZ165">
        <v>18</v>
      </c>
      <c r="DA165">
        <v>18</v>
      </c>
      <c r="DB165">
        <v>98</v>
      </c>
      <c r="DD165" s="86" t="str">
        <f t="shared" si="27"/>
        <v>150368Mix + Intocáveis SC Johnson</v>
      </c>
      <c r="DE165">
        <v>150368</v>
      </c>
      <c r="DF165" t="s">
        <v>341</v>
      </c>
      <c r="DG165" t="s">
        <v>482</v>
      </c>
      <c r="DH165" t="s">
        <v>103</v>
      </c>
      <c r="DI165" t="s">
        <v>1702</v>
      </c>
      <c r="DJ165" t="s">
        <v>1703</v>
      </c>
      <c r="DK165" t="s">
        <v>459</v>
      </c>
      <c r="DL165">
        <v>28.8</v>
      </c>
      <c r="DM165">
        <v>40</v>
      </c>
      <c r="DN165">
        <v>78.8</v>
      </c>
      <c r="DP165" s="86" t="str">
        <f t="shared" si="28"/>
        <v>136856Mix + Intocáveis SC Johnson</v>
      </c>
      <c r="DQ165">
        <v>136856</v>
      </c>
      <c r="DR165" t="s">
        <v>379</v>
      </c>
      <c r="DS165" t="s">
        <v>489</v>
      </c>
      <c r="DT165" t="s">
        <v>103</v>
      </c>
      <c r="DU165" t="s">
        <v>1774</v>
      </c>
      <c r="DV165" t="s">
        <v>1775</v>
      </c>
      <c r="DW165" t="s">
        <v>459</v>
      </c>
      <c r="DX165">
        <v>34.4</v>
      </c>
      <c r="DY165">
        <v>40</v>
      </c>
      <c r="DZ165">
        <v>99.4</v>
      </c>
      <c r="EB165" s="86" t="str">
        <f t="shared" si="29"/>
        <v>182592Mix + Intocáveis SC Johnson</v>
      </c>
      <c r="EC165">
        <v>182592</v>
      </c>
      <c r="ED165" t="s">
        <v>398</v>
      </c>
      <c r="EE165" t="s">
        <v>482</v>
      </c>
      <c r="EF165" t="s">
        <v>103</v>
      </c>
      <c r="EG165" t="s">
        <v>1904</v>
      </c>
      <c r="EH165" t="s">
        <v>1905</v>
      </c>
      <c r="EI165" t="s">
        <v>459</v>
      </c>
      <c r="EJ165">
        <v>32.799999999999997</v>
      </c>
      <c r="EK165">
        <v>40</v>
      </c>
      <c r="EL165">
        <v>94.22</v>
      </c>
    </row>
    <row r="166" spans="1:142" x14ac:dyDescent="0.35">
      <c r="A166" s="86" t="str">
        <f t="shared" si="30"/>
        <v>152153Share Sub Loc Pao Quente SC Johnson</v>
      </c>
      <c r="B166">
        <v>152153</v>
      </c>
      <c r="C166" t="s">
        <v>342</v>
      </c>
      <c r="D166" t="s">
        <v>103</v>
      </c>
      <c r="E166" t="s">
        <v>546</v>
      </c>
      <c r="F166" t="s">
        <v>547</v>
      </c>
      <c r="G166" t="s">
        <v>458</v>
      </c>
      <c r="H166">
        <v>76.510000000000005</v>
      </c>
      <c r="I166">
        <v>6.8</v>
      </c>
      <c r="J166">
        <v>17</v>
      </c>
      <c r="L166" s="86" t="str">
        <f t="shared" si="31"/>
        <v>152696Mix + Intocáveis SC Johnson</v>
      </c>
      <c r="M166">
        <v>152696</v>
      </c>
      <c r="N166" t="s">
        <v>363</v>
      </c>
      <c r="O166" t="s">
        <v>36</v>
      </c>
      <c r="P166" t="s">
        <v>103</v>
      </c>
      <c r="Q166" t="s">
        <v>696</v>
      </c>
      <c r="R166" t="s">
        <v>697</v>
      </c>
      <c r="S166" t="s">
        <v>459</v>
      </c>
      <c r="T166">
        <v>33.75</v>
      </c>
      <c r="U166">
        <v>45</v>
      </c>
      <c r="V166">
        <v>80.17</v>
      </c>
      <c r="X166" s="86" t="str">
        <f t="shared" si="32"/>
        <v>152696Mix + Intocáveis SC Johnson</v>
      </c>
      <c r="Y166">
        <v>152696</v>
      </c>
      <c r="Z166" t="s">
        <v>363</v>
      </c>
      <c r="AA166" t="s">
        <v>36</v>
      </c>
      <c r="AB166" t="s">
        <v>103</v>
      </c>
      <c r="AC166" t="s">
        <v>811</v>
      </c>
      <c r="AD166" t="s">
        <v>812</v>
      </c>
      <c r="AE166" t="s">
        <v>459</v>
      </c>
      <c r="AF166">
        <v>31.5</v>
      </c>
      <c r="AG166">
        <v>45</v>
      </c>
      <c r="AH166">
        <v>73.67</v>
      </c>
      <c r="AJ166" s="86" t="str">
        <f t="shared" si="33"/>
        <v>152753Mix + Intocáveis SC Johnson</v>
      </c>
      <c r="AK166">
        <v>152753</v>
      </c>
      <c r="AL166" t="s">
        <v>393</v>
      </c>
      <c r="AM166" t="s">
        <v>482</v>
      </c>
      <c r="AN166" t="s">
        <v>103</v>
      </c>
      <c r="AO166" t="s">
        <v>972</v>
      </c>
      <c r="AP166" t="s">
        <v>973</v>
      </c>
      <c r="AQ166" t="s">
        <v>459</v>
      </c>
      <c r="AR166">
        <v>25.2</v>
      </c>
      <c r="AS166">
        <v>40</v>
      </c>
      <c r="AT166">
        <v>47.97</v>
      </c>
      <c r="AV166" s="86" t="str">
        <f t="shared" si="34"/>
        <v>156263Mix + Intocáveis SC Johnson</v>
      </c>
      <c r="AW166">
        <v>156263</v>
      </c>
      <c r="AX166" t="s">
        <v>343</v>
      </c>
      <c r="AY166" t="s">
        <v>36</v>
      </c>
      <c r="AZ166" t="s">
        <v>103</v>
      </c>
      <c r="BA166" t="s">
        <v>1087</v>
      </c>
      <c r="BB166" t="s">
        <v>1088</v>
      </c>
      <c r="BC166" t="s">
        <v>459</v>
      </c>
      <c r="BD166">
        <v>34.799999999999997</v>
      </c>
      <c r="BE166">
        <v>40</v>
      </c>
      <c r="BF166">
        <v>73.47</v>
      </c>
      <c r="BH166" s="86" t="str">
        <f t="shared" si="35"/>
        <v>150368Mix + Intocáveis SC Johnson</v>
      </c>
      <c r="BI166">
        <v>150368</v>
      </c>
      <c r="BJ166" t="s">
        <v>341</v>
      </c>
      <c r="BK166" t="s">
        <v>482</v>
      </c>
      <c r="BL166" t="s">
        <v>103</v>
      </c>
      <c r="BM166" t="s">
        <v>1201</v>
      </c>
      <c r="BN166" t="s">
        <v>1202</v>
      </c>
      <c r="BO166" t="s">
        <v>459</v>
      </c>
      <c r="BP166">
        <v>25.2</v>
      </c>
      <c r="BQ166">
        <v>40</v>
      </c>
      <c r="BR166">
        <v>63.87</v>
      </c>
      <c r="BT166" s="86" t="str">
        <f t="shared" si="24"/>
        <v>135870Mix + Intocáveis SC Johnson</v>
      </c>
      <c r="BU166">
        <v>135870</v>
      </c>
      <c r="BV166" t="s">
        <v>339</v>
      </c>
      <c r="BW166" t="s">
        <v>1306</v>
      </c>
      <c r="BX166" t="s">
        <v>103</v>
      </c>
      <c r="BY166" t="s">
        <v>1358</v>
      </c>
      <c r="BZ166" t="s">
        <v>1359</v>
      </c>
      <c r="CA166" t="s">
        <v>459</v>
      </c>
      <c r="CB166">
        <v>27.2</v>
      </c>
      <c r="CC166">
        <v>40</v>
      </c>
      <c r="CD166">
        <v>76.53</v>
      </c>
      <c r="CF166" s="86" t="str">
        <f t="shared" si="25"/>
        <v>143128Mix + Intocáveis SC Johnson</v>
      </c>
      <c r="CG166">
        <v>143128</v>
      </c>
      <c r="CH166" t="s">
        <v>391</v>
      </c>
      <c r="CI166" t="s">
        <v>539</v>
      </c>
      <c r="CJ166" t="s">
        <v>103</v>
      </c>
      <c r="CK166" t="s">
        <v>1463</v>
      </c>
      <c r="CL166" t="s">
        <v>1464</v>
      </c>
      <c r="CM166" t="s">
        <v>459</v>
      </c>
      <c r="CN166">
        <v>13.6</v>
      </c>
      <c r="CO166">
        <v>40</v>
      </c>
      <c r="CP166">
        <v>72.599999999999994</v>
      </c>
      <c r="CR166" s="86" t="str">
        <f t="shared" si="26"/>
        <v>136856Mix + Intocáveis SC Johnson</v>
      </c>
      <c r="CS166">
        <v>136856</v>
      </c>
      <c r="CT166" t="s">
        <v>379</v>
      </c>
      <c r="CU166" t="s">
        <v>489</v>
      </c>
      <c r="CV166" t="s">
        <v>103</v>
      </c>
      <c r="CW166" t="s">
        <v>1523</v>
      </c>
      <c r="CX166" t="s">
        <v>1524</v>
      </c>
      <c r="CY166" t="s">
        <v>459</v>
      </c>
      <c r="CZ166">
        <v>36</v>
      </c>
      <c r="DA166">
        <v>40</v>
      </c>
      <c r="DB166">
        <v>98</v>
      </c>
      <c r="DD166" s="86" t="str">
        <f t="shared" si="27"/>
        <v>150368Execucao Bonus</v>
      </c>
      <c r="DE166">
        <v>150368</v>
      </c>
      <c r="DF166" t="s">
        <v>341</v>
      </c>
      <c r="DG166" t="s">
        <v>482</v>
      </c>
      <c r="DH166" t="s">
        <v>103</v>
      </c>
      <c r="DI166" t="s">
        <v>1702</v>
      </c>
      <c r="DJ166" t="s">
        <v>1703</v>
      </c>
      <c r="DK166" t="s">
        <v>1291</v>
      </c>
      <c r="DL166">
        <v>5</v>
      </c>
      <c r="DM166">
        <v>5</v>
      </c>
      <c r="DN166">
        <v>78.8</v>
      </c>
      <c r="DP166" s="86" t="str">
        <f t="shared" si="28"/>
        <v>136856Execucao Bonus</v>
      </c>
      <c r="DQ166">
        <v>136856</v>
      </c>
      <c r="DR166" t="s">
        <v>379</v>
      </c>
      <c r="DS166" t="s">
        <v>489</v>
      </c>
      <c r="DT166" t="s">
        <v>103</v>
      </c>
      <c r="DU166" t="s">
        <v>1774</v>
      </c>
      <c r="DV166" t="s">
        <v>1775</v>
      </c>
      <c r="DW166" t="s">
        <v>1291</v>
      </c>
      <c r="DX166">
        <v>5</v>
      </c>
      <c r="DY166">
        <v>5</v>
      </c>
      <c r="DZ166">
        <v>99.4</v>
      </c>
      <c r="EB166" s="86" t="str">
        <f t="shared" si="29"/>
        <v>182592Execucao Bonus</v>
      </c>
      <c r="EC166">
        <v>182592</v>
      </c>
      <c r="ED166" t="s">
        <v>398</v>
      </c>
      <c r="EE166" t="s">
        <v>482</v>
      </c>
      <c r="EF166" t="s">
        <v>103</v>
      </c>
      <c r="EG166" t="s">
        <v>1904</v>
      </c>
      <c r="EH166" t="s">
        <v>1905</v>
      </c>
      <c r="EI166" t="s">
        <v>1291</v>
      </c>
      <c r="EJ166">
        <v>5</v>
      </c>
      <c r="EK166">
        <v>5</v>
      </c>
      <c r="EL166">
        <v>94.22</v>
      </c>
    </row>
    <row r="167" spans="1:142" x14ac:dyDescent="0.35">
      <c r="A167" s="86" t="str">
        <f t="shared" si="30"/>
        <v>152153Mix + Intocáveis SC Johnson</v>
      </c>
      <c r="B167">
        <v>152153</v>
      </c>
      <c r="C167" t="s">
        <v>342</v>
      </c>
      <c r="D167" t="s">
        <v>103</v>
      </c>
      <c r="E167" t="s">
        <v>546</v>
      </c>
      <c r="F167" t="s">
        <v>547</v>
      </c>
      <c r="G167" t="s">
        <v>459</v>
      </c>
      <c r="H167">
        <v>76.510000000000005</v>
      </c>
      <c r="I167">
        <v>36</v>
      </c>
      <c r="J167">
        <v>45</v>
      </c>
      <c r="L167" s="86" t="str">
        <f t="shared" si="31"/>
        <v>152753Share Sub Category SC Johnson</v>
      </c>
      <c r="M167">
        <v>152753</v>
      </c>
      <c r="N167" t="s">
        <v>393</v>
      </c>
      <c r="O167" t="s">
        <v>482</v>
      </c>
      <c r="P167" t="s">
        <v>103</v>
      </c>
      <c r="Q167" t="s">
        <v>698</v>
      </c>
      <c r="R167" t="s">
        <v>699</v>
      </c>
      <c r="S167" t="s">
        <v>457</v>
      </c>
      <c r="T167">
        <v>21.42</v>
      </c>
      <c r="U167">
        <v>30</v>
      </c>
      <c r="V167">
        <v>43.42</v>
      </c>
      <c r="X167" s="86" t="str">
        <f t="shared" si="32"/>
        <v>152753Share Sub Category SC Johnson</v>
      </c>
      <c r="Y167">
        <v>152753</v>
      </c>
      <c r="Z167" t="s">
        <v>393</v>
      </c>
      <c r="AA167" t="s">
        <v>482</v>
      </c>
      <c r="AB167" t="s">
        <v>103</v>
      </c>
      <c r="AC167" t="s">
        <v>863</v>
      </c>
      <c r="AD167" t="s">
        <v>864</v>
      </c>
      <c r="AE167" t="s">
        <v>457</v>
      </c>
      <c r="AF167">
        <v>25.71</v>
      </c>
      <c r="AG167">
        <v>30</v>
      </c>
      <c r="AH167">
        <v>80.209999999999994</v>
      </c>
      <c r="AJ167" s="86" t="str">
        <f t="shared" si="33"/>
        <v>152753Lancamentos</v>
      </c>
      <c r="AK167">
        <v>152753</v>
      </c>
      <c r="AL167" t="s">
        <v>393</v>
      </c>
      <c r="AM167" t="s">
        <v>482</v>
      </c>
      <c r="AN167" t="s">
        <v>103</v>
      </c>
      <c r="AO167" t="s">
        <v>972</v>
      </c>
      <c r="AP167" t="s">
        <v>973</v>
      </c>
      <c r="AQ167" t="s">
        <v>953</v>
      </c>
      <c r="AR167">
        <v>0</v>
      </c>
      <c r="AS167">
        <v>18</v>
      </c>
      <c r="AT167">
        <v>47.97</v>
      </c>
      <c r="AV167" s="86" t="str">
        <f t="shared" si="34"/>
        <v>156263Lancamentos</v>
      </c>
      <c r="AW167">
        <v>156263</v>
      </c>
      <c r="AX167" t="s">
        <v>343</v>
      </c>
      <c r="AY167" t="s">
        <v>36</v>
      </c>
      <c r="AZ167" t="s">
        <v>103</v>
      </c>
      <c r="BA167" t="s">
        <v>1087</v>
      </c>
      <c r="BB167" t="s">
        <v>1088</v>
      </c>
      <c r="BC167" t="s">
        <v>953</v>
      </c>
      <c r="BD167">
        <v>0</v>
      </c>
      <c r="BE167">
        <v>18</v>
      </c>
      <c r="BF167">
        <v>73.47</v>
      </c>
      <c r="BH167" s="86" t="str">
        <f t="shared" si="35"/>
        <v>150368Lancamentos</v>
      </c>
      <c r="BI167">
        <v>150368</v>
      </c>
      <c r="BJ167" t="s">
        <v>341</v>
      </c>
      <c r="BK167" t="s">
        <v>482</v>
      </c>
      <c r="BL167" t="s">
        <v>103</v>
      </c>
      <c r="BM167" t="s">
        <v>1201</v>
      </c>
      <c r="BN167" t="s">
        <v>1202</v>
      </c>
      <c r="BO167" t="s">
        <v>953</v>
      </c>
      <c r="BP167">
        <v>0</v>
      </c>
      <c r="BQ167">
        <v>18</v>
      </c>
      <c r="BR167">
        <v>63.87</v>
      </c>
      <c r="BT167" s="86" t="str">
        <f t="shared" si="24"/>
        <v>135870Share Sub Category SC Johnson</v>
      </c>
      <c r="BU167">
        <v>135870</v>
      </c>
      <c r="BV167" t="s">
        <v>339</v>
      </c>
      <c r="BW167" t="s">
        <v>1306</v>
      </c>
      <c r="BX167" t="s">
        <v>103</v>
      </c>
      <c r="BY167" t="s">
        <v>1358</v>
      </c>
      <c r="BZ167" t="s">
        <v>1359</v>
      </c>
      <c r="CA167" t="s">
        <v>457</v>
      </c>
      <c r="CB167">
        <v>25</v>
      </c>
      <c r="CC167">
        <v>25</v>
      </c>
      <c r="CD167">
        <v>76.53</v>
      </c>
      <c r="CF167" s="86" t="str">
        <f t="shared" si="25"/>
        <v>143128Share Sub Category SC Johnson</v>
      </c>
      <c r="CG167">
        <v>143128</v>
      </c>
      <c r="CH167" t="s">
        <v>391</v>
      </c>
      <c r="CI167" t="s">
        <v>539</v>
      </c>
      <c r="CJ167" t="s">
        <v>103</v>
      </c>
      <c r="CK167" t="s">
        <v>1463</v>
      </c>
      <c r="CL167" t="s">
        <v>1464</v>
      </c>
      <c r="CM167" t="s">
        <v>457</v>
      </c>
      <c r="CN167">
        <v>25</v>
      </c>
      <c r="CO167">
        <v>25</v>
      </c>
      <c r="CP167">
        <v>72.599999999999994</v>
      </c>
      <c r="CR167" s="86" t="str">
        <f t="shared" si="26"/>
        <v>136856Share Sub Category SC Johnson</v>
      </c>
      <c r="CS167">
        <v>136856</v>
      </c>
      <c r="CT167" t="s">
        <v>379</v>
      </c>
      <c r="CU167" t="s">
        <v>489</v>
      </c>
      <c r="CV167" t="s">
        <v>103</v>
      </c>
      <c r="CW167" t="s">
        <v>1523</v>
      </c>
      <c r="CX167" t="s">
        <v>1524</v>
      </c>
      <c r="CY167" t="s">
        <v>457</v>
      </c>
      <c r="CZ167">
        <v>25</v>
      </c>
      <c r="DA167">
        <v>25</v>
      </c>
      <c r="DB167">
        <v>98</v>
      </c>
      <c r="DD167" s="86" t="str">
        <f t="shared" si="27"/>
        <v>150368Cross Merchan SC Johnson</v>
      </c>
      <c r="DE167">
        <v>150368</v>
      </c>
      <c r="DF167" t="s">
        <v>341</v>
      </c>
      <c r="DG167" t="s">
        <v>482</v>
      </c>
      <c r="DH167" t="s">
        <v>103</v>
      </c>
      <c r="DI167" t="s">
        <v>1702</v>
      </c>
      <c r="DJ167" t="s">
        <v>1703</v>
      </c>
      <c r="DK167" t="s">
        <v>111</v>
      </c>
      <c r="DL167">
        <v>5</v>
      </c>
      <c r="DM167">
        <v>5</v>
      </c>
      <c r="DN167">
        <v>78.8</v>
      </c>
      <c r="DP167" s="86" t="str">
        <f t="shared" si="28"/>
        <v>136856Cross Merchan SC Johnson</v>
      </c>
      <c r="DQ167">
        <v>136856</v>
      </c>
      <c r="DR167" t="s">
        <v>379</v>
      </c>
      <c r="DS167" t="s">
        <v>489</v>
      </c>
      <c r="DT167" t="s">
        <v>103</v>
      </c>
      <c r="DU167" t="s">
        <v>1774</v>
      </c>
      <c r="DV167" t="s">
        <v>1775</v>
      </c>
      <c r="DW167" t="s">
        <v>111</v>
      </c>
      <c r="DX167">
        <v>5</v>
      </c>
      <c r="DY167">
        <v>5</v>
      </c>
      <c r="DZ167">
        <v>99.4</v>
      </c>
      <c r="EB167" s="86" t="str">
        <f t="shared" si="29"/>
        <v>182592Cross Merchan SC Johnson</v>
      </c>
      <c r="EC167">
        <v>182592</v>
      </c>
      <c r="ED167" t="s">
        <v>398</v>
      </c>
      <c r="EE167" t="s">
        <v>482</v>
      </c>
      <c r="EF167" t="s">
        <v>103</v>
      </c>
      <c r="EG167" t="s">
        <v>1904</v>
      </c>
      <c r="EH167" t="s">
        <v>1905</v>
      </c>
      <c r="EI167" t="s">
        <v>111</v>
      </c>
      <c r="EJ167">
        <v>5</v>
      </c>
      <c r="EK167">
        <v>5</v>
      </c>
      <c r="EL167">
        <v>94.22</v>
      </c>
    </row>
    <row r="168" spans="1:142" x14ac:dyDescent="0.35">
      <c r="A168" s="86" t="str">
        <f t="shared" si="30"/>
        <v>152696Share Sub Category SC Johnson</v>
      </c>
      <c r="B168">
        <v>152696</v>
      </c>
      <c r="C168" t="s">
        <v>363</v>
      </c>
      <c r="D168" t="s">
        <v>103</v>
      </c>
      <c r="E168" t="s">
        <v>548</v>
      </c>
      <c r="F168" t="s">
        <v>549</v>
      </c>
      <c r="G168" t="s">
        <v>457</v>
      </c>
      <c r="H168">
        <v>65.489999999999995</v>
      </c>
      <c r="I168">
        <v>21.42</v>
      </c>
      <c r="J168">
        <v>30</v>
      </c>
      <c r="L168" s="86" t="str">
        <f t="shared" si="31"/>
        <v>152753Cross Merchan SC Johnson</v>
      </c>
      <c r="M168">
        <v>152753</v>
      </c>
      <c r="N168" t="s">
        <v>393</v>
      </c>
      <c r="O168" t="s">
        <v>482</v>
      </c>
      <c r="P168" t="s">
        <v>103</v>
      </c>
      <c r="Q168" t="s">
        <v>698</v>
      </c>
      <c r="R168" t="s">
        <v>699</v>
      </c>
      <c r="S168" t="s">
        <v>111</v>
      </c>
      <c r="T168">
        <v>0</v>
      </c>
      <c r="U168">
        <v>8</v>
      </c>
      <c r="V168">
        <v>43.42</v>
      </c>
      <c r="X168" s="86" t="str">
        <f t="shared" si="32"/>
        <v>152753Cross Merchan SC Johnson</v>
      </c>
      <c r="Y168">
        <v>152753</v>
      </c>
      <c r="Z168" t="s">
        <v>393</v>
      </c>
      <c r="AA168" t="s">
        <v>482</v>
      </c>
      <c r="AB168" t="s">
        <v>103</v>
      </c>
      <c r="AC168" t="s">
        <v>863</v>
      </c>
      <c r="AD168" t="s">
        <v>864</v>
      </c>
      <c r="AE168" t="s">
        <v>111</v>
      </c>
      <c r="AF168">
        <v>8</v>
      </c>
      <c r="AG168">
        <v>8</v>
      </c>
      <c r="AH168">
        <v>80.209999999999994</v>
      </c>
      <c r="AJ168" s="86" t="str">
        <f t="shared" si="33"/>
        <v>156263Share Sub Category SC Johnson</v>
      </c>
      <c r="AK168">
        <v>156263</v>
      </c>
      <c r="AL168" t="s">
        <v>343</v>
      </c>
      <c r="AM168" t="s">
        <v>104</v>
      </c>
      <c r="AN168" t="s">
        <v>103</v>
      </c>
      <c r="AO168" t="s">
        <v>960</v>
      </c>
      <c r="AP168" t="s">
        <v>961</v>
      </c>
      <c r="AQ168" t="s">
        <v>457</v>
      </c>
      <c r="AR168">
        <v>17.850000000000001</v>
      </c>
      <c r="AS168">
        <v>25</v>
      </c>
      <c r="AT168">
        <v>58.91</v>
      </c>
      <c r="AV168" s="86" t="str">
        <f t="shared" si="34"/>
        <v>157153Share Sub Category SC Johnson</v>
      </c>
      <c r="AW168">
        <v>157153</v>
      </c>
      <c r="AX168" t="s">
        <v>364</v>
      </c>
      <c r="AY168" t="s">
        <v>36</v>
      </c>
      <c r="AZ168" t="s">
        <v>103</v>
      </c>
      <c r="BA168" t="s">
        <v>1089</v>
      </c>
      <c r="BB168" t="s">
        <v>1090</v>
      </c>
      <c r="BC168" t="s">
        <v>457</v>
      </c>
      <c r="BD168">
        <v>17.850000000000001</v>
      </c>
      <c r="BE168">
        <v>25</v>
      </c>
      <c r="BF168">
        <v>55.07</v>
      </c>
      <c r="BH168" s="86" t="str">
        <f t="shared" si="35"/>
        <v>152153Share Sub Category SC Johnson</v>
      </c>
      <c r="BI168">
        <v>152153</v>
      </c>
      <c r="BJ168" t="s">
        <v>342</v>
      </c>
      <c r="BK168" t="s">
        <v>36</v>
      </c>
      <c r="BL168" t="s">
        <v>103</v>
      </c>
      <c r="BM168" t="s">
        <v>1235</v>
      </c>
      <c r="BN168" t="s">
        <v>1236</v>
      </c>
      <c r="BO168" t="s">
        <v>457</v>
      </c>
      <c r="BP168">
        <v>25</v>
      </c>
      <c r="BQ168">
        <v>25</v>
      </c>
      <c r="BR168">
        <v>85.35</v>
      </c>
      <c r="BT168" s="86" t="str">
        <f t="shared" si="24"/>
        <v>135870Share Sub Loc Pao Quente SC Johnson</v>
      </c>
      <c r="BU168">
        <v>135870</v>
      </c>
      <c r="BV168" t="s">
        <v>339</v>
      </c>
      <c r="BW168" t="s">
        <v>1306</v>
      </c>
      <c r="BX168" t="s">
        <v>103</v>
      </c>
      <c r="BY168" t="s">
        <v>1358</v>
      </c>
      <c r="BZ168" t="s">
        <v>1359</v>
      </c>
      <c r="CA168" t="s">
        <v>458</v>
      </c>
      <c r="CB168">
        <v>12</v>
      </c>
      <c r="CC168">
        <v>12</v>
      </c>
      <c r="CD168">
        <v>76.53</v>
      </c>
      <c r="CF168" s="86" t="str">
        <f t="shared" si="25"/>
        <v>143128Share Sub Loc Pao Quente SC Johnson</v>
      </c>
      <c r="CG168">
        <v>143128</v>
      </c>
      <c r="CH168" t="s">
        <v>391</v>
      </c>
      <c r="CI168" t="s">
        <v>539</v>
      </c>
      <c r="CJ168" t="s">
        <v>103</v>
      </c>
      <c r="CK168" t="s">
        <v>1463</v>
      </c>
      <c r="CL168" t="s">
        <v>1464</v>
      </c>
      <c r="CM168" t="s">
        <v>458</v>
      </c>
      <c r="CN168">
        <v>6</v>
      </c>
      <c r="CO168">
        <v>12</v>
      </c>
      <c r="CP168">
        <v>72.599999999999994</v>
      </c>
      <c r="CR168" s="86" t="str">
        <f t="shared" si="26"/>
        <v>136856Share Sub Loc Pao Quente SC Johnson</v>
      </c>
      <c r="CS168">
        <v>136856</v>
      </c>
      <c r="CT168" t="s">
        <v>379</v>
      </c>
      <c r="CU168" t="s">
        <v>489</v>
      </c>
      <c r="CV168" t="s">
        <v>103</v>
      </c>
      <c r="CW168" t="s">
        <v>1523</v>
      </c>
      <c r="CX168" t="s">
        <v>1524</v>
      </c>
      <c r="CY168" t="s">
        <v>458</v>
      </c>
      <c r="CZ168">
        <v>9</v>
      </c>
      <c r="DA168">
        <v>12</v>
      </c>
      <c r="DB168">
        <v>98</v>
      </c>
      <c r="DD168" s="86" t="str">
        <f t="shared" si="27"/>
        <v>150368Lancamentos</v>
      </c>
      <c r="DE168">
        <v>150368</v>
      </c>
      <c r="DF168" t="s">
        <v>341</v>
      </c>
      <c r="DG168" t="s">
        <v>482</v>
      </c>
      <c r="DH168" t="s">
        <v>103</v>
      </c>
      <c r="DI168" t="s">
        <v>1702</v>
      </c>
      <c r="DJ168" t="s">
        <v>1703</v>
      </c>
      <c r="DK168" t="s">
        <v>953</v>
      </c>
      <c r="DL168">
        <v>9</v>
      </c>
      <c r="DM168">
        <v>18</v>
      </c>
      <c r="DN168">
        <v>78.8</v>
      </c>
      <c r="DP168" s="86" t="str">
        <f t="shared" si="28"/>
        <v>136856Lancamentos</v>
      </c>
      <c r="DQ168">
        <v>136856</v>
      </c>
      <c r="DR168" t="s">
        <v>379</v>
      </c>
      <c r="DS168" t="s">
        <v>489</v>
      </c>
      <c r="DT168" t="s">
        <v>103</v>
      </c>
      <c r="DU168" t="s">
        <v>1774</v>
      </c>
      <c r="DV168" t="s">
        <v>1775</v>
      </c>
      <c r="DW168" t="s">
        <v>953</v>
      </c>
      <c r="DX168">
        <v>18</v>
      </c>
      <c r="DY168">
        <v>18</v>
      </c>
      <c r="DZ168">
        <v>99.4</v>
      </c>
      <c r="EB168" s="86" t="str">
        <f t="shared" si="29"/>
        <v>182592Lancamentos</v>
      </c>
      <c r="EC168">
        <v>182592</v>
      </c>
      <c r="ED168" t="s">
        <v>398</v>
      </c>
      <c r="EE168" t="s">
        <v>482</v>
      </c>
      <c r="EF168" t="s">
        <v>103</v>
      </c>
      <c r="EG168" t="s">
        <v>1904</v>
      </c>
      <c r="EH168" t="s">
        <v>1905</v>
      </c>
      <c r="EI168" t="s">
        <v>953</v>
      </c>
      <c r="EJ168">
        <v>18</v>
      </c>
      <c r="EK168">
        <v>18</v>
      </c>
      <c r="EL168">
        <v>94.22</v>
      </c>
    </row>
    <row r="169" spans="1:142" x14ac:dyDescent="0.35">
      <c r="A169" s="86" t="str">
        <f t="shared" si="30"/>
        <v>152696Cross Merchan SC Johnson</v>
      </c>
      <c r="B169">
        <v>152696</v>
      </c>
      <c r="C169" t="s">
        <v>363</v>
      </c>
      <c r="D169" t="s">
        <v>103</v>
      </c>
      <c r="E169" t="s">
        <v>548</v>
      </c>
      <c r="F169" t="s">
        <v>549</v>
      </c>
      <c r="G169" t="s">
        <v>111</v>
      </c>
      <c r="H169">
        <v>65.489999999999995</v>
      </c>
      <c r="I169">
        <v>8</v>
      </c>
      <c r="J169">
        <v>8</v>
      </c>
      <c r="L169" s="86" t="str">
        <f t="shared" si="31"/>
        <v>152753Share Sub Loc Pao Quente SC Johnson</v>
      </c>
      <c r="M169">
        <v>152753</v>
      </c>
      <c r="N169" t="s">
        <v>393</v>
      </c>
      <c r="O169" t="s">
        <v>482</v>
      </c>
      <c r="P169" t="s">
        <v>103</v>
      </c>
      <c r="Q169" t="s">
        <v>698</v>
      </c>
      <c r="R169" t="s">
        <v>699</v>
      </c>
      <c r="S169" t="s">
        <v>458</v>
      </c>
      <c r="T169">
        <v>8.5</v>
      </c>
      <c r="U169">
        <v>17</v>
      </c>
      <c r="V169">
        <v>43.42</v>
      </c>
      <c r="X169" s="86" t="str">
        <f t="shared" si="32"/>
        <v>152753Share Sub Loc Pao Quente SC Johnson</v>
      </c>
      <c r="Y169">
        <v>152753</v>
      </c>
      <c r="Z169" t="s">
        <v>393</v>
      </c>
      <c r="AA169" t="s">
        <v>482</v>
      </c>
      <c r="AB169" t="s">
        <v>103</v>
      </c>
      <c r="AC169" t="s">
        <v>863</v>
      </c>
      <c r="AD169" t="s">
        <v>864</v>
      </c>
      <c r="AE169" t="s">
        <v>458</v>
      </c>
      <c r="AF169">
        <v>12.75</v>
      </c>
      <c r="AG169">
        <v>17</v>
      </c>
      <c r="AH169">
        <v>80.209999999999994</v>
      </c>
      <c r="AJ169" s="86" t="str">
        <f t="shared" si="33"/>
        <v>156263Cross Merchan SC Johnson</v>
      </c>
      <c r="AK169">
        <v>156263</v>
      </c>
      <c r="AL169" t="s">
        <v>343</v>
      </c>
      <c r="AM169" t="s">
        <v>104</v>
      </c>
      <c r="AN169" t="s">
        <v>103</v>
      </c>
      <c r="AO169" t="s">
        <v>960</v>
      </c>
      <c r="AP169" t="s">
        <v>961</v>
      </c>
      <c r="AQ169" t="s">
        <v>111</v>
      </c>
      <c r="AR169">
        <v>2.5</v>
      </c>
      <c r="AS169">
        <v>5</v>
      </c>
      <c r="AT169">
        <v>58.91</v>
      </c>
      <c r="AV169" s="86" t="str">
        <f t="shared" si="34"/>
        <v>157153Cross Merchan SC Johnson</v>
      </c>
      <c r="AW169">
        <v>157153</v>
      </c>
      <c r="AX169" t="s">
        <v>364</v>
      </c>
      <c r="AY169" t="s">
        <v>36</v>
      </c>
      <c r="AZ169" t="s">
        <v>103</v>
      </c>
      <c r="BA169" t="s">
        <v>1089</v>
      </c>
      <c r="BB169" t="s">
        <v>1090</v>
      </c>
      <c r="BC169" t="s">
        <v>111</v>
      </c>
      <c r="BD169">
        <v>1.665</v>
      </c>
      <c r="BE169">
        <v>5</v>
      </c>
      <c r="BF169">
        <v>55.07</v>
      </c>
      <c r="BH169" s="86" t="str">
        <f t="shared" si="35"/>
        <v>152153Cross Merchan SC Johnson</v>
      </c>
      <c r="BI169">
        <v>152153</v>
      </c>
      <c r="BJ169" t="s">
        <v>342</v>
      </c>
      <c r="BK169" t="s">
        <v>36</v>
      </c>
      <c r="BL169" t="s">
        <v>103</v>
      </c>
      <c r="BM169" t="s">
        <v>1235</v>
      </c>
      <c r="BN169" t="s">
        <v>1236</v>
      </c>
      <c r="BO169" t="s">
        <v>111</v>
      </c>
      <c r="BP169">
        <v>1.665</v>
      </c>
      <c r="BQ169">
        <v>5</v>
      </c>
      <c r="BR169">
        <v>85.35</v>
      </c>
      <c r="BT169" s="86" t="str">
        <f t="shared" si="24"/>
        <v>135870Cross Merchan SC Johnson</v>
      </c>
      <c r="BU169">
        <v>135870</v>
      </c>
      <c r="BV169" t="s">
        <v>339</v>
      </c>
      <c r="BW169" t="s">
        <v>1306</v>
      </c>
      <c r="BX169" t="s">
        <v>103</v>
      </c>
      <c r="BY169" t="s">
        <v>1358</v>
      </c>
      <c r="BZ169" t="s">
        <v>1359</v>
      </c>
      <c r="CA169" t="s">
        <v>111</v>
      </c>
      <c r="CB169">
        <v>3.335</v>
      </c>
      <c r="CC169">
        <v>5</v>
      </c>
      <c r="CD169">
        <v>76.53</v>
      </c>
      <c r="CF169" s="86" t="str">
        <f t="shared" si="25"/>
        <v>143128Cross Merchan SC Johnson</v>
      </c>
      <c r="CG169">
        <v>143128</v>
      </c>
      <c r="CH169" t="s">
        <v>391</v>
      </c>
      <c r="CI169" t="s">
        <v>539</v>
      </c>
      <c r="CJ169" t="s">
        <v>103</v>
      </c>
      <c r="CK169" t="s">
        <v>1463</v>
      </c>
      <c r="CL169" t="s">
        <v>1464</v>
      </c>
      <c r="CM169" t="s">
        <v>111</v>
      </c>
      <c r="CN169">
        <v>5</v>
      </c>
      <c r="CO169">
        <v>5</v>
      </c>
      <c r="CP169">
        <v>72.599999999999994</v>
      </c>
      <c r="CR169" s="86" t="str">
        <f t="shared" si="26"/>
        <v>136856Cross Merchan SC Johnson</v>
      </c>
      <c r="CS169">
        <v>136856</v>
      </c>
      <c r="CT169" t="s">
        <v>379</v>
      </c>
      <c r="CU169" t="s">
        <v>489</v>
      </c>
      <c r="CV169" t="s">
        <v>103</v>
      </c>
      <c r="CW169" t="s">
        <v>1523</v>
      </c>
      <c r="CX169" t="s">
        <v>1524</v>
      </c>
      <c r="CY169" t="s">
        <v>111</v>
      </c>
      <c r="CZ169">
        <v>5</v>
      </c>
      <c r="DA169">
        <v>5</v>
      </c>
      <c r="DB169">
        <v>98</v>
      </c>
      <c r="DD169" s="86" t="str">
        <f t="shared" si="27"/>
        <v>150368Share Sub Category SC Johnson</v>
      </c>
      <c r="DE169">
        <v>150368</v>
      </c>
      <c r="DF169" t="s">
        <v>341</v>
      </c>
      <c r="DG169" t="s">
        <v>482</v>
      </c>
      <c r="DH169" t="s">
        <v>103</v>
      </c>
      <c r="DI169" t="s">
        <v>1702</v>
      </c>
      <c r="DJ169" t="s">
        <v>1703</v>
      </c>
      <c r="DK169" t="s">
        <v>457</v>
      </c>
      <c r="DL169">
        <v>25</v>
      </c>
      <c r="DM169">
        <v>25</v>
      </c>
      <c r="DN169">
        <v>78.8</v>
      </c>
      <c r="DP169" s="86" t="str">
        <f t="shared" si="28"/>
        <v>136856Share Sub Category SC Johnson</v>
      </c>
      <c r="DQ169">
        <v>136856</v>
      </c>
      <c r="DR169" t="s">
        <v>379</v>
      </c>
      <c r="DS169" t="s">
        <v>489</v>
      </c>
      <c r="DT169" t="s">
        <v>103</v>
      </c>
      <c r="DU169" t="s">
        <v>1774</v>
      </c>
      <c r="DV169" t="s">
        <v>1775</v>
      </c>
      <c r="DW169" t="s">
        <v>457</v>
      </c>
      <c r="DX169">
        <v>25</v>
      </c>
      <c r="DY169">
        <v>25</v>
      </c>
      <c r="DZ169">
        <v>99.4</v>
      </c>
      <c r="EB169" s="86" t="str">
        <f t="shared" si="29"/>
        <v>182592Share Sub Category SC Johnson</v>
      </c>
      <c r="EC169">
        <v>182592</v>
      </c>
      <c r="ED169" t="s">
        <v>398</v>
      </c>
      <c r="EE169" t="s">
        <v>482</v>
      </c>
      <c r="EF169" t="s">
        <v>103</v>
      </c>
      <c r="EG169" t="s">
        <v>1904</v>
      </c>
      <c r="EH169" t="s">
        <v>1905</v>
      </c>
      <c r="EI169" t="s">
        <v>457</v>
      </c>
      <c r="EJ169">
        <v>21.425000000000001</v>
      </c>
      <c r="EK169">
        <v>25</v>
      </c>
      <c r="EL169">
        <v>94.22</v>
      </c>
    </row>
    <row r="170" spans="1:142" x14ac:dyDescent="0.35">
      <c r="A170" s="86" t="str">
        <f t="shared" si="30"/>
        <v>152696Share Sub Loc Pao Quente SC Johnson</v>
      </c>
      <c r="B170">
        <v>152696</v>
      </c>
      <c r="C170" t="s">
        <v>363</v>
      </c>
      <c r="D170" t="s">
        <v>103</v>
      </c>
      <c r="E170" t="s">
        <v>548</v>
      </c>
      <c r="F170" t="s">
        <v>549</v>
      </c>
      <c r="G170" t="s">
        <v>458</v>
      </c>
      <c r="H170">
        <v>65.489999999999995</v>
      </c>
      <c r="I170">
        <v>10.199999999999999</v>
      </c>
      <c r="J170">
        <v>17</v>
      </c>
      <c r="L170" s="86" t="str">
        <f t="shared" si="31"/>
        <v>152753Mix + Intocáveis SC Johnson</v>
      </c>
      <c r="M170">
        <v>152753</v>
      </c>
      <c r="N170" t="s">
        <v>393</v>
      </c>
      <c r="O170" t="s">
        <v>482</v>
      </c>
      <c r="P170" t="s">
        <v>103</v>
      </c>
      <c r="Q170" t="s">
        <v>698</v>
      </c>
      <c r="R170" t="s">
        <v>699</v>
      </c>
      <c r="S170" t="s">
        <v>459</v>
      </c>
      <c r="T170">
        <v>13.5</v>
      </c>
      <c r="U170">
        <v>45</v>
      </c>
      <c r="V170">
        <v>43.42</v>
      </c>
      <c r="X170" s="86" t="str">
        <f t="shared" si="32"/>
        <v>152753Mix + Intocáveis SC Johnson</v>
      </c>
      <c r="Y170">
        <v>152753</v>
      </c>
      <c r="Z170" t="s">
        <v>393</v>
      </c>
      <c r="AA170" t="s">
        <v>482</v>
      </c>
      <c r="AB170" t="s">
        <v>103</v>
      </c>
      <c r="AC170" t="s">
        <v>863</v>
      </c>
      <c r="AD170" t="s">
        <v>864</v>
      </c>
      <c r="AE170" t="s">
        <v>459</v>
      </c>
      <c r="AF170">
        <v>33.75</v>
      </c>
      <c r="AG170">
        <v>45</v>
      </c>
      <c r="AH170">
        <v>80.209999999999994</v>
      </c>
      <c r="AJ170" s="86" t="str">
        <f t="shared" si="33"/>
        <v>156263Share Sub Loc Pao Quente SC Johnson</v>
      </c>
      <c r="AK170">
        <v>156263</v>
      </c>
      <c r="AL170" t="s">
        <v>343</v>
      </c>
      <c r="AM170" t="s">
        <v>104</v>
      </c>
      <c r="AN170" t="s">
        <v>103</v>
      </c>
      <c r="AO170" t="s">
        <v>960</v>
      </c>
      <c r="AP170" t="s">
        <v>961</v>
      </c>
      <c r="AQ170" t="s">
        <v>458</v>
      </c>
      <c r="AR170">
        <v>9</v>
      </c>
      <c r="AS170">
        <v>12</v>
      </c>
      <c r="AT170">
        <v>58.91</v>
      </c>
      <c r="AV170" s="86" t="str">
        <f t="shared" si="34"/>
        <v>157153Share Sub Loc Pao Quente SC Johnson</v>
      </c>
      <c r="AW170">
        <v>157153</v>
      </c>
      <c r="AX170" t="s">
        <v>364</v>
      </c>
      <c r="AY170" t="s">
        <v>36</v>
      </c>
      <c r="AZ170" t="s">
        <v>103</v>
      </c>
      <c r="BA170" t="s">
        <v>1089</v>
      </c>
      <c r="BB170" t="s">
        <v>1090</v>
      </c>
      <c r="BC170" t="s">
        <v>458</v>
      </c>
      <c r="BD170">
        <v>6</v>
      </c>
      <c r="BE170">
        <v>12</v>
      </c>
      <c r="BF170">
        <v>55.07</v>
      </c>
      <c r="BH170" s="86" t="str">
        <f t="shared" si="35"/>
        <v>152153Share Sub Loc Pao Quente SC Johnson</v>
      </c>
      <c r="BI170">
        <v>152153</v>
      </c>
      <c r="BJ170" t="s">
        <v>342</v>
      </c>
      <c r="BK170" t="s">
        <v>36</v>
      </c>
      <c r="BL170" t="s">
        <v>103</v>
      </c>
      <c r="BM170" t="s">
        <v>1235</v>
      </c>
      <c r="BN170" t="s">
        <v>1236</v>
      </c>
      <c r="BO170" t="s">
        <v>458</v>
      </c>
      <c r="BP170">
        <v>12</v>
      </c>
      <c r="BQ170">
        <v>12</v>
      </c>
      <c r="BR170">
        <v>85.35</v>
      </c>
      <c r="BT170" s="86" t="str">
        <f t="shared" si="24"/>
        <v>135870Execucao Bonus</v>
      </c>
      <c r="BU170">
        <v>135870</v>
      </c>
      <c r="BV170" t="s">
        <v>339</v>
      </c>
      <c r="BW170" t="s">
        <v>1306</v>
      </c>
      <c r="BX170" t="s">
        <v>103</v>
      </c>
      <c r="BY170" t="s">
        <v>1358</v>
      </c>
      <c r="BZ170" t="s">
        <v>1359</v>
      </c>
      <c r="CA170" t="s">
        <v>1291</v>
      </c>
      <c r="CB170">
        <v>0</v>
      </c>
      <c r="CC170">
        <v>5</v>
      </c>
      <c r="CD170">
        <v>76.53</v>
      </c>
      <c r="CF170" s="86" t="str">
        <f t="shared" si="25"/>
        <v>143128Execucao Bonus</v>
      </c>
      <c r="CG170">
        <v>143128</v>
      </c>
      <c r="CH170" t="s">
        <v>391</v>
      </c>
      <c r="CI170" t="s">
        <v>539</v>
      </c>
      <c r="CJ170" t="s">
        <v>103</v>
      </c>
      <c r="CK170" t="s">
        <v>1463</v>
      </c>
      <c r="CL170" t="s">
        <v>1464</v>
      </c>
      <c r="CM170" t="s">
        <v>1291</v>
      </c>
      <c r="CN170">
        <v>5</v>
      </c>
      <c r="CO170">
        <v>5</v>
      </c>
      <c r="CP170">
        <v>72.599999999999994</v>
      </c>
      <c r="CR170" s="86" t="str">
        <f t="shared" si="26"/>
        <v>136856Execucao Bonus</v>
      </c>
      <c r="CS170">
        <v>136856</v>
      </c>
      <c r="CT170" t="s">
        <v>379</v>
      </c>
      <c r="CU170" t="s">
        <v>489</v>
      </c>
      <c r="CV170" t="s">
        <v>103</v>
      </c>
      <c r="CW170" t="s">
        <v>1523</v>
      </c>
      <c r="CX170" t="s">
        <v>1524</v>
      </c>
      <c r="CY170" t="s">
        <v>1291</v>
      </c>
      <c r="CZ170">
        <v>5</v>
      </c>
      <c r="DA170">
        <v>5</v>
      </c>
      <c r="DB170">
        <v>98</v>
      </c>
      <c r="DD170" s="86" t="str">
        <f t="shared" si="27"/>
        <v>150368Share Sub Loc Pao Quente SC Johnson</v>
      </c>
      <c r="DE170">
        <v>150368</v>
      </c>
      <c r="DF170" t="s">
        <v>341</v>
      </c>
      <c r="DG170" t="s">
        <v>482</v>
      </c>
      <c r="DH170" t="s">
        <v>103</v>
      </c>
      <c r="DI170" t="s">
        <v>1702</v>
      </c>
      <c r="DJ170" t="s">
        <v>1703</v>
      </c>
      <c r="DK170" t="s">
        <v>458</v>
      </c>
      <c r="DL170">
        <v>6</v>
      </c>
      <c r="DM170">
        <v>12</v>
      </c>
      <c r="DN170">
        <v>78.8</v>
      </c>
      <c r="DP170" s="86" t="str">
        <f t="shared" si="28"/>
        <v>136856Share Sub Loc Pao Quente SC Johnson</v>
      </c>
      <c r="DQ170">
        <v>136856</v>
      </c>
      <c r="DR170" t="s">
        <v>379</v>
      </c>
      <c r="DS170" t="s">
        <v>489</v>
      </c>
      <c r="DT170" t="s">
        <v>103</v>
      </c>
      <c r="DU170" t="s">
        <v>1774</v>
      </c>
      <c r="DV170" t="s">
        <v>1775</v>
      </c>
      <c r="DW170" t="s">
        <v>458</v>
      </c>
      <c r="DX170">
        <v>12</v>
      </c>
      <c r="DY170">
        <v>12</v>
      </c>
      <c r="DZ170">
        <v>99.4</v>
      </c>
      <c r="EB170" s="86" t="str">
        <f t="shared" si="29"/>
        <v>182592Share Sub Loc Pao Quente SC Johnson</v>
      </c>
      <c r="EC170">
        <v>182592</v>
      </c>
      <c r="ED170" t="s">
        <v>398</v>
      </c>
      <c r="EE170" t="s">
        <v>482</v>
      </c>
      <c r="EF170" t="s">
        <v>103</v>
      </c>
      <c r="EG170" t="s">
        <v>1904</v>
      </c>
      <c r="EH170" t="s">
        <v>1905</v>
      </c>
      <c r="EI170" t="s">
        <v>458</v>
      </c>
      <c r="EJ170">
        <v>12</v>
      </c>
      <c r="EK170">
        <v>12</v>
      </c>
      <c r="EL170">
        <v>94.22</v>
      </c>
    </row>
    <row r="171" spans="1:142" x14ac:dyDescent="0.35">
      <c r="A171" s="86" t="str">
        <f t="shared" si="30"/>
        <v>152696Mix + Intocáveis SC Johnson</v>
      </c>
      <c r="B171">
        <v>152696</v>
      </c>
      <c r="C171" t="s">
        <v>363</v>
      </c>
      <c r="D171" t="s">
        <v>103</v>
      </c>
      <c r="E171" t="s">
        <v>548</v>
      </c>
      <c r="F171" t="s">
        <v>549</v>
      </c>
      <c r="G171" t="s">
        <v>459</v>
      </c>
      <c r="H171">
        <v>65.489999999999995</v>
      </c>
      <c r="I171">
        <v>25.875</v>
      </c>
      <c r="J171">
        <v>45</v>
      </c>
      <c r="L171" s="86" t="str">
        <f t="shared" si="31"/>
        <v>156263Share Sub Category SC Johnson</v>
      </c>
      <c r="M171">
        <v>156263</v>
      </c>
      <c r="N171" t="s">
        <v>343</v>
      </c>
      <c r="O171" t="s">
        <v>36</v>
      </c>
      <c r="P171" t="s">
        <v>103</v>
      </c>
      <c r="Q171" t="s">
        <v>700</v>
      </c>
      <c r="R171" t="s">
        <v>701</v>
      </c>
      <c r="S171" t="s">
        <v>457</v>
      </c>
      <c r="T171">
        <v>21.42</v>
      </c>
      <c r="U171">
        <v>30</v>
      </c>
      <c r="V171">
        <v>59.05</v>
      </c>
      <c r="X171" s="86" t="str">
        <f t="shared" si="32"/>
        <v>156263Share Sub Category SC Johnson</v>
      </c>
      <c r="Y171">
        <v>156263</v>
      </c>
      <c r="Z171" t="s">
        <v>343</v>
      </c>
      <c r="AA171" t="s">
        <v>36</v>
      </c>
      <c r="AB171" t="s">
        <v>103</v>
      </c>
      <c r="AC171" t="s">
        <v>865</v>
      </c>
      <c r="AD171" t="s">
        <v>866</v>
      </c>
      <c r="AE171" t="s">
        <v>457</v>
      </c>
      <c r="AF171">
        <v>25.71</v>
      </c>
      <c r="AG171">
        <v>30</v>
      </c>
      <c r="AH171">
        <v>80.209999999999994</v>
      </c>
      <c r="AJ171" s="86" t="str">
        <f t="shared" si="33"/>
        <v>156263Mix + Intocáveis SC Johnson</v>
      </c>
      <c r="AK171">
        <v>156263</v>
      </c>
      <c r="AL171" t="s">
        <v>343</v>
      </c>
      <c r="AM171" t="s">
        <v>104</v>
      </c>
      <c r="AN171" t="s">
        <v>103</v>
      </c>
      <c r="AO171" t="s">
        <v>960</v>
      </c>
      <c r="AP171" t="s">
        <v>961</v>
      </c>
      <c r="AQ171" t="s">
        <v>459</v>
      </c>
      <c r="AR171">
        <v>29.56</v>
      </c>
      <c r="AS171">
        <v>40</v>
      </c>
      <c r="AT171">
        <v>58.91</v>
      </c>
      <c r="AV171" s="86" t="str">
        <f t="shared" si="34"/>
        <v>157153Mix + Intocáveis SC Johnson</v>
      </c>
      <c r="AW171">
        <v>157153</v>
      </c>
      <c r="AX171" t="s">
        <v>364</v>
      </c>
      <c r="AY171" t="s">
        <v>36</v>
      </c>
      <c r="AZ171" t="s">
        <v>103</v>
      </c>
      <c r="BA171" t="s">
        <v>1089</v>
      </c>
      <c r="BB171" t="s">
        <v>1090</v>
      </c>
      <c r="BC171" t="s">
        <v>459</v>
      </c>
      <c r="BD171">
        <v>29.56</v>
      </c>
      <c r="BE171">
        <v>40</v>
      </c>
      <c r="BF171">
        <v>55.07</v>
      </c>
      <c r="BH171" s="86" t="str">
        <f t="shared" si="35"/>
        <v>152153Mix + Intocáveis SC Johnson</v>
      </c>
      <c r="BI171">
        <v>152153</v>
      </c>
      <c r="BJ171" t="s">
        <v>342</v>
      </c>
      <c r="BK171" t="s">
        <v>36</v>
      </c>
      <c r="BL171" t="s">
        <v>103</v>
      </c>
      <c r="BM171" t="s">
        <v>1235</v>
      </c>
      <c r="BN171" t="s">
        <v>1236</v>
      </c>
      <c r="BO171" t="s">
        <v>459</v>
      </c>
      <c r="BP171">
        <v>28.68</v>
      </c>
      <c r="BQ171">
        <v>40</v>
      </c>
      <c r="BR171">
        <v>85.35</v>
      </c>
      <c r="BT171" s="86" t="str">
        <f t="shared" si="24"/>
        <v>136856Lancamentos</v>
      </c>
      <c r="BU171">
        <v>136856</v>
      </c>
      <c r="BV171" t="s">
        <v>379</v>
      </c>
      <c r="BW171" t="s">
        <v>489</v>
      </c>
      <c r="BX171" t="s">
        <v>103</v>
      </c>
      <c r="BY171" t="s">
        <v>1390</v>
      </c>
      <c r="BZ171" t="s">
        <v>1391</v>
      </c>
      <c r="CA171" t="s">
        <v>953</v>
      </c>
      <c r="CB171">
        <v>9</v>
      </c>
      <c r="CC171">
        <v>18</v>
      </c>
      <c r="CD171">
        <v>80</v>
      </c>
      <c r="CF171" s="86" t="str">
        <f t="shared" si="25"/>
        <v>144056Lancamentos</v>
      </c>
      <c r="CG171">
        <v>144056</v>
      </c>
      <c r="CH171" t="s">
        <v>392</v>
      </c>
      <c r="CI171" t="s">
        <v>1306</v>
      </c>
      <c r="CJ171" t="s">
        <v>103</v>
      </c>
      <c r="CK171" t="s">
        <v>1465</v>
      </c>
      <c r="CL171" t="s">
        <v>1466</v>
      </c>
      <c r="CM171" t="s">
        <v>953</v>
      </c>
      <c r="CN171">
        <v>18</v>
      </c>
      <c r="CO171">
        <v>18</v>
      </c>
      <c r="CP171">
        <v>98</v>
      </c>
      <c r="CR171" s="86" t="str">
        <f t="shared" si="26"/>
        <v>144056Lancamentos</v>
      </c>
      <c r="CS171">
        <v>144056</v>
      </c>
      <c r="CT171" t="s">
        <v>392</v>
      </c>
      <c r="CU171" t="s">
        <v>1306</v>
      </c>
      <c r="CV171" t="s">
        <v>103</v>
      </c>
      <c r="CW171" t="s">
        <v>1552</v>
      </c>
      <c r="CX171" t="s">
        <v>1553</v>
      </c>
      <c r="CY171" t="s">
        <v>953</v>
      </c>
      <c r="CZ171">
        <v>18</v>
      </c>
      <c r="DA171">
        <v>18</v>
      </c>
      <c r="DB171">
        <v>101</v>
      </c>
      <c r="DD171" s="86" t="str">
        <f t="shared" si="27"/>
        <v>152153Mix + Intocáveis SC Johnson</v>
      </c>
      <c r="DE171">
        <v>152153</v>
      </c>
      <c r="DF171" t="s">
        <v>342</v>
      </c>
      <c r="DG171" t="s">
        <v>1306</v>
      </c>
      <c r="DH171" t="s">
        <v>103</v>
      </c>
      <c r="DI171" t="s">
        <v>1704</v>
      </c>
      <c r="DJ171" t="s">
        <v>1705</v>
      </c>
      <c r="DK171" t="s">
        <v>459</v>
      </c>
      <c r="DL171">
        <v>36.799999999999997</v>
      </c>
      <c r="DM171">
        <v>40</v>
      </c>
      <c r="DN171">
        <v>95.23</v>
      </c>
      <c r="DP171" s="86" t="str">
        <f t="shared" si="28"/>
        <v>150368Mix + Intocáveis SC Johnson</v>
      </c>
      <c r="DQ171">
        <v>150368</v>
      </c>
      <c r="DR171" t="s">
        <v>341</v>
      </c>
      <c r="DS171" t="s">
        <v>482</v>
      </c>
      <c r="DT171" t="s">
        <v>103</v>
      </c>
      <c r="DU171" t="s">
        <v>1810</v>
      </c>
      <c r="DV171" t="s">
        <v>1811</v>
      </c>
      <c r="DW171" t="s">
        <v>459</v>
      </c>
      <c r="DX171">
        <v>31.2</v>
      </c>
      <c r="DY171">
        <v>40</v>
      </c>
      <c r="DZ171">
        <v>96.2</v>
      </c>
      <c r="EB171" s="86" t="str">
        <f t="shared" si="29"/>
        <v>184215Mix + Intocáveis SC Johnson</v>
      </c>
      <c r="EC171">
        <v>184215</v>
      </c>
      <c r="ED171" t="s">
        <v>401</v>
      </c>
      <c r="EE171" t="s">
        <v>482</v>
      </c>
      <c r="EF171" t="s">
        <v>103</v>
      </c>
      <c r="EG171" t="s">
        <v>1928</v>
      </c>
      <c r="EH171" t="s">
        <v>1929</v>
      </c>
      <c r="EI171" t="s">
        <v>459</v>
      </c>
      <c r="EJ171">
        <v>29.6</v>
      </c>
      <c r="EK171">
        <v>40</v>
      </c>
      <c r="EL171">
        <v>82.03</v>
      </c>
    </row>
    <row r="172" spans="1:142" x14ac:dyDescent="0.35">
      <c r="A172" s="86" t="str">
        <f t="shared" si="30"/>
        <v>156263Share Sub Category SC Johnson</v>
      </c>
      <c r="B172">
        <v>156263</v>
      </c>
      <c r="C172" t="s">
        <v>343</v>
      </c>
      <c r="D172" t="s">
        <v>103</v>
      </c>
      <c r="E172" t="s">
        <v>550</v>
      </c>
      <c r="F172" t="s">
        <v>551</v>
      </c>
      <c r="G172" t="s">
        <v>457</v>
      </c>
      <c r="H172">
        <v>70.2</v>
      </c>
      <c r="I172">
        <v>17.13</v>
      </c>
      <c r="J172">
        <v>30</v>
      </c>
      <c r="L172" s="86" t="str">
        <f t="shared" si="31"/>
        <v>156263Cross Merchan SC Johnson</v>
      </c>
      <c r="M172">
        <v>156263</v>
      </c>
      <c r="N172" t="s">
        <v>343</v>
      </c>
      <c r="O172" t="s">
        <v>36</v>
      </c>
      <c r="P172" t="s">
        <v>103</v>
      </c>
      <c r="Q172" t="s">
        <v>700</v>
      </c>
      <c r="R172" t="s">
        <v>701</v>
      </c>
      <c r="S172" t="s">
        <v>111</v>
      </c>
      <c r="T172">
        <v>8</v>
      </c>
      <c r="U172">
        <v>8</v>
      </c>
      <c r="V172">
        <v>59.05</v>
      </c>
      <c r="X172" s="86" t="str">
        <f t="shared" si="32"/>
        <v>156263Cross Merchan SC Johnson</v>
      </c>
      <c r="Y172">
        <v>156263</v>
      </c>
      <c r="Z172" t="s">
        <v>343</v>
      </c>
      <c r="AA172" t="s">
        <v>36</v>
      </c>
      <c r="AB172" t="s">
        <v>103</v>
      </c>
      <c r="AC172" t="s">
        <v>865</v>
      </c>
      <c r="AD172" t="s">
        <v>866</v>
      </c>
      <c r="AE172" t="s">
        <v>111</v>
      </c>
      <c r="AF172">
        <v>8</v>
      </c>
      <c r="AG172">
        <v>8</v>
      </c>
      <c r="AH172">
        <v>80.209999999999994</v>
      </c>
      <c r="AJ172" s="86" t="str">
        <f t="shared" si="33"/>
        <v>156263Lancamentos</v>
      </c>
      <c r="AK172">
        <v>156263</v>
      </c>
      <c r="AL172" t="s">
        <v>343</v>
      </c>
      <c r="AM172" t="s">
        <v>104</v>
      </c>
      <c r="AN172" t="s">
        <v>103</v>
      </c>
      <c r="AO172" t="s">
        <v>960</v>
      </c>
      <c r="AP172" t="s">
        <v>961</v>
      </c>
      <c r="AQ172" t="s">
        <v>953</v>
      </c>
      <c r="AR172">
        <v>0</v>
      </c>
      <c r="AS172">
        <v>18</v>
      </c>
      <c r="AT172">
        <v>58.91</v>
      </c>
      <c r="AV172" s="86" t="str">
        <f t="shared" si="34"/>
        <v>157153Lancamentos</v>
      </c>
      <c r="AW172">
        <v>157153</v>
      </c>
      <c r="AX172" t="s">
        <v>364</v>
      </c>
      <c r="AY172" t="s">
        <v>36</v>
      </c>
      <c r="AZ172" t="s">
        <v>103</v>
      </c>
      <c r="BA172" t="s">
        <v>1089</v>
      </c>
      <c r="BB172" t="s">
        <v>1090</v>
      </c>
      <c r="BC172" t="s">
        <v>953</v>
      </c>
      <c r="BD172">
        <v>0</v>
      </c>
      <c r="BE172">
        <v>18</v>
      </c>
      <c r="BF172">
        <v>55.07</v>
      </c>
      <c r="BH172" s="86" t="str">
        <f t="shared" si="35"/>
        <v>152153Lancamentos</v>
      </c>
      <c r="BI172">
        <v>152153</v>
      </c>
      <c r="BJ172" t="s">
        <v>342</v>
      </c>
      <c r="BK172" t="s">
        <v>36</v>
      </c>
      <c r="BL172" t="s">
        <v>103</v>
      </c>
      <c r="BM172" t="s">
        <v>1235</v>
      </c>
      <c r="BN172" t="s">
        <v>1236</v>
      </c>
      <c r="BO172" t="s">
        <v>953</v>
      </c>
      <c r="BP172">
        <v>18</v>
      </c>
      <c r="BQ172">
        <v>18</v>
      </c>
      <c r="BR172">
        <v>85.35</v>
      </c>
      <c r="BT172" s="86" t="str">
        <f t="shared" si="24"/>
        <v>136856Mix + Intocáveis SC Johnson</v>
      </c>
      <c r="BU172">
        <v>136856</v>
      </c>
      <c r="BV172" t="s">
        <v>379</v>
      </c>
      <c r="BW172" t="s">
        <v>489</v>
      </c>
      <c r="BX172" t="s">
        <v>103</v>
      </c>
      <c r="BY172" t="s">
        <v>1390</v>
      </c>
      <c r="BZ172" t="s">
        <v>1391</v>
      </c>
      <c r="CA172" t="s">
        <v>459</v>
      </c>
      <c r="CB172">
        <v>32</v>
      </c>
      <c r="CC172">
        <v>40</v>
      </c>
      <c r="CD172">
        <v>80</v>
      </c>
      <c r="CF172" s="86" t="str">
        <f t="shared" si="25"/>
        <v>144056Mix + Intocáveis SC Johnson</v>
      </c>
      <c r="CG172">
        <v>144056</v>
      </c>
      <c r="CH172" t="s">
        <v>392</v>
      </c>
      <c r="CI172" t="s">
        <v>1306</v>
      </c>
      <c r="CJ172" t="s">
        <v>103</v>
      </c>
      <c r="CK172" t="s">
        <v>1465</v>
      </c>
      <c r="CL172" t="s">
        <v>1466</v>
      </c>
      <c r="CM172" t="s">
        <v>459</v>
      </c>
      <c r="CN172">
        <v>36</v>
      </c>
      <c r="CO172">
        <v>40</v>
      </c>
      <c r="CP172">
        <v>98</v>
      </c>
      <c r="CR172" s="86" t="str">
        <f t="shared" si="26"/>
        <v>144056Mix + Intocáveis SC Johnson</v>
      </c>
      <c r="CS172">
        <v>144056</v>
      </c>
      <c r="CT172" t="s">
        <v>392</v>
      </c>
      <c r="CU172" t="s">
        <v>1306</v>
      </c>
      <c r="CV172" t="s">
        <v>103</v>
      </c>
      <c r="CW172" t="s">
        <v>1552</v>
      </c>
      <c r="CX172" t="s">
        <v>1553</v>
      </c>
      <c r="CY172" t="s">
        <v>459</v>
      </c>
      <c r="CZ172">
        <v>36</v>
      </c>
      <c r="DA172">
        <v>40</v>
      </c>
      <c r="DB172">
        <v>101</v>
      </c>
      <c r="DD172" s="86" t="str">
        <f t="shared" si="27"/>
        <v>152153Execucao Bonus</v>
      </c>
      <c r="DE172">
        <v>152153</v>
      </c>
      <c r="DF172" t="s">
        <v>342</v>
      </c>
      <c r="DG172" t="s">
        <v>1306</v>
      </c>
      <c r="DH172" t="s">
        <v>103</v>
      </c>
      <c r="DI172" t="s">
        <v>1704</v>
      </c>
      <c r="DJ172" t="s">
        <v>1705</v>
      </c>
      <c r="DK172" t="s">
        <v>1291</v>
      </c>
      <c r="DL172">
        <v>5</v>
      </c>
      <c r="DM172">
        <v>5</v>
      </c>
      <c r="DN172">
        <v>95.23</v>
      </c>
      <c r="DP172" s="86" t="str">
        <f t="shared" si="28"/>
        <v>150368Execucao Bonus</v>
      </c>
      <c r="DQ172">
        <v>150368</v>
      </c>
      <c r="DR172" t="s">
        <v>341</v>
      </c>
      <c r="DS172" t="s">
        <v>482</v>
      </c>
      <c r="DT172" t="s">
        <v>103</v>
      </c>
      <c r="DU172" t="s">
        <v>1810</v>
      </c>
      <c r="DV172" t="s">
        <v>1811</v>
      </c>
      <c r="DW172" t="s">
        <v>1291</v>
      </c>
      <c r="DX172">
        <v>5</v>
      </c>
      <c r="DY172">
        <v>5</v>
      </c>
      <c r="DZ172">
        <v>96.2</v>
      </c>
      <c r="EB172" s="86" t="str">
        <f t="shared" si="29"/>
        <v>184215Execucao Bonus</v>
      </c>
      <c r="EC172">
        <v>184215</v>
      </c>
      <c r="ED172" t="s">
        <v>401</v>
      </c>
      <c r="EE172" t="s">
        <v>482</v>
      </c>
      <c r="EF172" t="s">
        <v>103</v>
      </c>
      <c r="EG172" t="s">
        <v>1928</v>
      </c>
      <c r="EH172" t="s">
        <v>1929</v>
      </c>
      <c r="EI172" t="s">
        <v>1291</v>
      </c>
      <c r="EJ172">
        <v>5</v>
      </c>
      <c r="EK172">
        <v>5</v>
      </c>
      <c r="EL172">
        <v>82.03</v>
      </c>
    </row>
    <row r="173" spans="1:142" x14ac:dyDescent="0.35">
      <c r="A173" s="86" t="str">
        <f t="shared" si="30"/>
        <v>156263Cross Merchan SC Johnson</v>
      </c>
      <c r="B173">
        <v>156263</v>
      </c>
      <c r="C173" t="s">
        <v>343</v>
      </c>
      <c r="D173" t="s">
        <v>103</v>
      </c>
      <c r="E173" t="s">
        <v>550</v>
      </c>
      <c r="F173" t="s">
        <v>551</v>
      </c>
      <c r="G173" t="s">
        <v>111</v>
      </c>
      <c r="H173">
        <v>70.2</v>
      </c>
      <c r="I173">
        <v>8</v>
      </c>
      <c r="J173">
        <v>8</v>
      </c>
      <c r="L173" s="86" t="str">
        <f t="shared" si="31"/>
        <v>156263Share Sub Loc Pao Quente SC Johnson</v>
      </c>
      <c r="M173">
        <v>156263</v>
      </c>
      <c r="N173" t="s">
        <v>343</v>
      </c>
      <c r="O173" t="s">
        <v>36</v>
      </c>
      <c r="P173" t="s">
        <v>103</v>
      </c>
      <c r="Q173" t="s">
        <v>700</v>
      </c>
      <c r="R173" t="s">
        <v>701</v>
      </c>
      <c r="S173" t="s">
        <v>458</v>
      </c>
      <c r="T173">
        <v>12.75</v>
      </c>
      <c r="U173">
        <v>17</v>
      </c>
      <c r="V173">
        <v>59.05</v>
      </c>
      <c r="X173" s="86" t="str">
        <f t="shared" si="32"/>
        <v>156263Share Sub Loc Pao Quente SC Johnson</v>
      </c>
      <c r="Y173">
        <v>156263</v>
      </c>
      <c r="Z173" t="s">
        <v>343</v>
      </c>
      <c r="AA173" t="s">
        <v>36</v>
      </c>
      <c r="AB173" t="s">
        <v>103</v>
      </c>
      <c r="AC173" t="s">
        <v>865</v>
      </c>
      <c r="AD173" t="s">
        <v>866</v>
      </c>
      <c r="AE173" t="s">
        <v>458</v>
      </c>
      <c r="AF173">
        <v>12.75</v>
      </c>
      <c r="AG173">
        <v>17</v>
      </c>
      <c r="AH173">
        <v>80.209999999999994</v>
      </c>
      <c r="AJ173" s="86" t="str">
        <f t="shared" si="33"/>
        <v>157153Share Sub Category SC Johnson</v>
      </c>
      <c r="AK173">
        <v>157153</v>
      </c>
      <c r="AL173" t="s">
        <v>364</v>
      </c>
      <c r="AM173" t="s">
        <v>36</v>
      </c>
      <c r="AN173" t="s">
        <v>103</v>
      </c>
      <c r="AO173" t="s">
        <v>974</v>
      </c>
      <c r="AP173" t="s">
        <v>975</v>
      </c>
      <c r="AQ173" t="s">
        <v>457</v>
      </c>
      <c r="AR173">
        <v>25</v>
      </c>
      <c r="AS173">
        <v>25</v>
      </c>
      <c r="AT173">
        <v>67.34</v>
      </c>
      <c r="AV173" s="86" t="str">
        <f t="shared" si="34"/>
        <v>157637Share Sub Category SC Johnson</v>
      </c>
      <c r="AW173">
        <v>157637</v>
      </c>
      <c r="AX173" t="s">
        <v>365</v>
      </c>
      <c r="AY173" t="s">
        <v>36</v>
      </c>
      <c r="AZ173" t="s">
        <v>103</v>
      </c>
      <c r="BA173" t="s">
        <v>1091</v>
      </c>
      <c r="BB173" t="s">
        <v>1092</v>
      </c>
      <c r="BC173" t="s">
        <v>457</v>
      </c>
      <c r="BD173">
        <v>25</v>
      </c>
      <c r="BE173">
        <v>25</v>
      </c>
      <c r="BF173">
        <v>65.17</v>
      </c>
      <c r="BH173" s="86" t="str">
        <f t="shared" si="35"/>
        <v>152696Share Sub Category SC Johnson</v>
      </c>
      <c r="BI173">
        <v>152696</v>
      </c>
      <c r="BJ173" t="s">
        <v>363</v>
      </c>
      <c r="BK173" t="s">
        <v>36</v>
      </c>
      <c r="BL173" t="s">
        <v>103</v>
      </c>
      <c r="BM173" t="s">
        <v>1252</v>
      </c>
      <c r="BN173" t="s">
        <v>1253</v>
      </c>
      <c r="BO173" t="s">
        <v>457</v>
      </c>
      <c r="BP173">
        <v>21.425000000000001</v>
      </c>
      <c r="BQ173">
        <v>25</v>
      </c>
      <c r="BR173">
        <v>74.760000000000005</v>
      </c>
      <c r="BT173" s="86" t="str">
        <f t="shared" si="24"/>
        <v>136856Share Sub Category SC Johnson</v>
      </c>
      <c r="BU173">
        <v>136856</v>
      </c>
      <c r="BV173" t="s">
        <v>379</v>
      </c>
      <c r="BW173" t="s">
        <v>489</v>
      </c>
      <c r="BX173" t="s">
        <v>103</v>
      </c>
      <c r="BY173" t="s">
        <v>1390</v>
      </c>
      <c r="BZ173" t="s">
        <v>1391</v>
      </c>
      <c r="CA173" t="s">
        <v>457</v>
      </c>
      <c r="CB173">
        <v>25</v>
      </c>
      <c r="CC173">
        <v>25</v>
      </c>
      <c r="CD173">
        <v>80</v>
      </c>
      <c r="CF173" s="86" t="str">
        <f t="shared" si="25"/>
        <v>144056Share Sub Category SC Johnson</v>
      </c>
      <c r="CG173">
        <v>144056</v>
      </c>
      <c r="CH173" t="s">
        <v>392</v>
      </c>
      <c r="CI173" t="s">
        <v>1306</v>
      </c>
      <c r="CJ173" t="s">
        <v>103</v>
      </c>
      <c r="CK173" t="s">
        <v>1465</v>
      </c>
      <c r="CL173" t="s">
        <v>1466</v>
      </c>
      <c r="CM173" t="s">
        <v>457</v>
      </c>
      <c r="CN173">
        <v>25</v>
      </c>
      <c r="CO173">
        <v>25</v>
      </c>
      <c r="CP173">
        <v>98</v>
      </c>
      <c r="CR173" s="86" t="str">
        <f t="shared" si="26"/>
        <v>144056Share Sub Category SC Johnson</v>
      </c>
      <c r="CS173">
        <v>144056</v>
      </c>
      <c r="CT173" t="s">
        <v>392</v>
      </c>
      <c r="CU173" t="s">
        <v>1306</v>
      </c>
      <c r="CV173" t="s">
        <v>103</v>
      </c>
      <c r="CW173" t="s">
        <v>1552</v>
      </c>
      <c r="CX173" t="s">
        <v>1553</v>
      </c>
      <c r="CY173" t="s">
        <v>457</v>
      </c>
      <c r="CZ173">
        <v>25</v>
      </c>
      <c r="DA173">
        <v>25</v>
      </c>
      <c r="DB173">
        <v>101</v>
      </c>
      <c r="DD173" s="86" t="str">
        <f t="shared" si="27"/>
        <v>152153Cross Merchan SC Johnson</v>
      </c>
      <c r="DE173">
        <v>152153</v>
      </c>
      <c r="DF173" t="s">
        <v>342</v>
      </c>
      <c r="DG173" t="s">
        <v>1306</v>
      </c>
      <c r="DH173" t="s">
        <v>103</v>
      </c>
      <c r="DI173" t="s">
        <v>1704</v>
      </c>
      <c r="DJ173" t="s">
        <v>1705</v>
      </c>
      <c r="DK173" t="s">
        <v>111</v>
      </c>
      <c r="DL173">
        <v>5</v>
      </c>
      <c r="DM173">
        <v>5</v>
      </c>
      <c r="DN173">
        <v>95.23</v>
      </c>
      <c r="DP173" s="86" t="str">
        <f t="shared" si="28"/>
        <v>150368Cross Merchan SC Johnson</v>
      </c>
      <c r="DQ173">
        <v>150368</v>
      </c>
      <c r="DR173" t="s">
        <v>341</v>
      </c>
      <c r="DS173" t="s">
        <v>482</v>
      </c>
      <c r="DT173" t="s">
        <v>103</v>
      </c>
      <c r="DU173" t="s">
        <v>1810</v>
      </c>
      <c r="DV173" t="s">
        <v>1811</v>
      </c>
      <c r="DW173" t="s">
        <v>111</v>
      </c>
      <c r="DX173">
        <v>5</v>
      </c>
      <c r="DY173">
        <v>5</v>
      </c>
      <c r="DZ173">
        <v>96.2</v>
      </c>
      <c r="EB173" s="86" t="str">
        <f t="shared" si="29"/>
        <v>184215Cross Merchan SC Johnson</v>
      </c>
      <c r="EC173">
        <v>184215</v>
      </c>
      <c r="ED173" t="s">
        <v>401</v>
      </c>
      <c r="EE173" t="s">
        <v>482</v>
      </c>
      <c r="EF173" t="s">
        <v>103</v>
      </c>
      <c r="EG173" t="s">
        <v>1928</v>
      </c>
      <c r="EH173" t="s">
        <v>1929</v>
      </c>
      <c r="EI173" t="s">
        <v>111</v>
      </c>
      <c r="EJ173">
        <v>5</v>
      </c>
      <c r="EK173">
        <v>5</v>
      </c>
      <c r="EL173">
        <v>82.03</v>
      </c>
    </row>
    <row r="174" spans="1:142" x14ac:dyDescent="0.35">
      <c r="A174" s="86" t="str">
        <f t="shared" si="30"/>
        <v>156263Share Sub Loc Pao Quente SC Johnson</v>
      </c>
      <c r="B174">
        <v>156263</v>
      </c>
      <c r="C174" t="s">
        <v>343</v>
      </c>
      <c r="D174" t="s">
        <v>103</v>
      </c>
      <c r="E174" t="s">
        <v>550</v>
      </c>
      <c r="F174" t="s">
        <v>551</v>
      </c>
      <c r="G174" t="s">
        <v>458</v>
      </c>
      <c r="H174">
        <v>70.2</v>
      </c>
      <c r="I174">
        <v>10.199999999999999</v>
      </c>
      <c r="J174">
        <v>17</v>
      </c>
      <c r="L174" s="86" t="str">
        <f t="shared" si="31"/>
        <v>156263Mix + Intocáveis SC Johnson</v>
      </c>
      <c r="M174">
        <v>156263</v>
      </c>
      <c r="N174" t="s">
        <v>343</v>
      </c>
      <c r="O174" t="s">
        <v>36</v>
      </c>
      <c r="P174" t="s">
        <v>103</v>
      </c>
      <c r="Q174" t="s">
        <v>700</v>
      </c>
      <c r="R174" t="s">
        <v>701</v>
      </c>
      <c r="S174" t="s">
        <v>459</v>
      </c>
      <c r="T174">
        <v>16.875</v>
      </c>
      <c r="U174">
        <v>45</v>
      </c>
      <c r="V174">
        <v>59.05</v>
      </c>
      <c r="X174" s="86" t="str">
        <f t="shared" si="32"/>
        <v>156263Mix + Intocáveis SC Johnson</v>
      </c>
      <c r="Y174">
        <v>156263</v>
      </c>
      <c r="Z174" t="s">
        <v>343</v>
      </c>
      <c r="AA174" t="s">
        <v>36</v>
      </c>
      <c r="AB174" t="s">
        <v>103</v>
      </c>
      <c r="AC174" t="s">
        <v>865</v>
      </c>
      <c r="AD174" t="s">
        <v>866</v>
      </c>
      <c r="AE174" t="s">
        <v>459</v>
      </c>
      <c r="AF174">
        <v>33.75</v>
      </c>
      <c r="AG174">
        <v>45</v>
      </c>
      <c r="AH174">
        <v>80.209999999999994</v>
      </c>
      <c r="AJ174" s="86" t="str">
        <f t="shared" si="33"/>
        <v>157153Cross Merchan SC Johnson</v>
      </c>
      <c r="AK174">
        <v>157153</v>
      </c>
      <c r="AL174" t="s">
        <v>364</v>
      </c>
      <c r="AM174" t="s">
        <v>36</v>
      </c>
      <c r="AN174" t="s">
        <v>103</v>
      </c>
      <c r="AO174" t="s">
        <v>974</v>
      </c>
      <c r="AP174" t="s">
        <v>975</v>
      </c>
      <c r="AQ174" t="s">
        <v>111</v>
      </c>
      <c r="AR174">
        <v>2.5</v>
      </c>
      <c r="AS174">
        <v>5</v>
      </c>
      <c r="AT174">
        <v>67.34</v>
      </c>
      <c r="AV174" s="86" t="str">
        <f t="shared" si="34"/>
        <v>157637Cross Merchan SC Johnson</v>
      </c>
      <c r="AW174">
        <v>157637</v>
      </c>
      <c r="AX174" t="s">
        <v>365</v>
      </c>
      <c r="AY174" t="s">
        <v>36</v>
      </c>
      <c r="AZ174" t="s">
        <v>103</v>
      </c>
      <c r="BA174" t="s">
        <v>1091</v>
      </c>
      <c r="BB174" t="s">
        <v>1092</v>
      </c>
      <c r="BC174" t="s">
        <v>111</v>
      </c>
      <c r="BD174">
        <v>3.335</v>
      </c>
      <c r="BE174">
        <v>5</v>
      </c>
      <c r="BF174">
        <v>65.17</v>
      </c>
      <c r="BH174" s="86" t="str">
        <f t="shared" si="35"/>
        <v>152696Cross Merchan SC Johnson</v>
      </c>
      <c r="BI174">
        <v>152696</v>
      </c>
      <c r="BJ174" t="s">
        <v>363</v>
      </c>
      <c r="BK174" t="s">
        <v>36</v>
      </c>
      <c r="BL174" t="s">
        <v>103</v>
      </c>
      <c r="BM174" t="s">
        <v>1252</v>
      </c>
      <c r="BN174" t="s">
        <v>1253</v>
      </c>
      <c r="BO174" t="s">
        <v>111</v>
      </c>
      <c r="BP174">
        <v>3.335</v>
      </c>
      <c r="BQ174">
        <v>5</v>
      </c>
      <c r="BR174">
        <v>74.760000000000005</v>
      </c>
      <c r="BT174" s="86" t="str">
        <f t="shared" si="24"/>
        <v>136856Share Sub Loc Pao Quente SC Johnson</v>
      </c>
      <c r="BU174">
        <v>136856</v>
      </c>
      <c r="BV174" t="s">
        <v>379</v>
      </c>
      <c r="BW174" t="s">
        <v>489</v>
      </c>
      <c r="BX174" t="s">
        <v>103</v>
      </c>
      <c r="BY174" t="s">
        <v>1390</v>
      </c>
      <c r="BZ174" t="s">
        <v>1391</v>
      </c>
      <c r="CA174" t="s">
        <v>458</v>
      </c>
      <c r="CB174">
        <v>9</v>
      </c>
      <c r="CC174">
        <v>12</v>
      </c>
      <c r="CD174">
        <v>80</v>
      </c>
      <c r="CF174" s="86" t="str">
        <f t="shared" si="25"/>
        <v>144056Share Sub Loc Pao Quente SC Johnson</v>
      </c>
      <c r="CG174">
        <v>144056</v>
      </c>
      <c r="CH174" t="s">
        <v>392</v>
      </c>
      <c r="CI174" t="s">
        <v>1306</v>
      </c>
      <c r="CJ174" t="s">
        <v>103</v>
      </c>
      <c r="CK174" t="s">
        <v>1465</v>
      </c>
      <c r="CL174" t="s">
        <v>1466</v>
      </c>
      <c r="CM174" t="s">
        <v>458</v>
      </c>
      <c r="CN174">
        <v>9</v>
      </c>
      <c r="CO174">
        <v>12</v>
      </c>
      <c r="CP174">
        <v>98</v>
      </c>
      <c r="CR174" s="86" t="str">
        <f t="shared" si="26"/>
        <v>144056Share Sub Loc Pao Quente SC Johnson</v>
      </c>
      <c r="CS174">
        <v>144056</v>
      </c>
      <c r="CT174" t="s">
        <v>392</v>
      </c>
      <c r="CU174" t="s">
        <v>1306</v>
      </c>
      <c r="CV174" t="s">
        <v>103</v>
      </c>
      <c r="CW174" t="s">
        <v>1552</v>
      </c>
      <c r="CX174" t="s">
        <v>1553</v>
      </c>
      <c r="CY174" t="s">
        <v>458</v>
      </c>
      <c r="CZ174">
        <v>12</v>
      </c>
      <c r="DA174">
        <v>12</v>
      </c>
      <c r="DB174">
        <v>101</v>
      </c>
      <c r="DD174" s="86" t="str">
        <f t="shared" si="27"/>
        <v>152153Lancamentos</v>
      </c>
      <c r="DE174">
        <v>152153</v>
      </c>
      <c r="DF174" t="s">
        <v>342</v>
      </c>
      <c r="DG174" t="s">
        <v>1306</v>
      </c>
      <c r="DH174" t="s">
        <v>103</v>
      </c>
      <c r="DI174" t="s">
        <v>1704</v>
      </c>
      <c r="DJ174" t="s">
        <v>1705</v>
      </c>
      <c r="DK174" t="s">
        <v>953</v>
      </c>
      <c r="DL174">
        <v>18</v>
      </c>
      <c r="DM174">
        <v>18</v>
      </c>
      <c r="DN174">
        <v>95.23</v>
      </c>
      <c r="DP174" s="86" t="str">
        <f t="shared" si="28"/>
        <v>150368Lancamentos</v>
      </c>
      <c r="DQ174">
        <v>150368</v>
      </c>
      <c r="DR174" t="s">
        <v>341</v>
      </c>
      <c r="DS174" t="s">
        <v>482</v>
      </c>
      <c r="DT174" t="s">
        <v>103</v>
      </c>
      <c r="DU174" t="s">
        <v>1810</v>
      </c>
      <c r="DV174" t="s">
        <v>1811</v>
      </c>
      <c r="DW174" t="s">
        <v>953</v>
      </c>
      <c r="DX174">
        <v>18</v>
      </c>
      <c r="DY174">
        <v>18</v>
      </c>
      <c r="DZ174">
        <v>96.2</v>
      </c>
      <c r="EB174" s="86" t="str">
        <f t="shared" si="29"/>
        <v>184215Lancamentos</v>
      </c>
      <c r="EC174">
        <v>184215</v>
      </c>
      <c r="ED174" t="s">
        <v>401</v>
      </c>
      <c r="EE174" t="s">
        <v>482</v>
      </c>
      <c r="EF174" t="s">
        <v>103</v>
      </c>
      <c r="EG174" t="s">
        <v>1928</v>
      </c>
      <c r="EH174" t="s">
        <v>1929</v>
      </c>
      <c r="EI174" t="s">
        <v>953</v>
      </c>
      <c r="EJ174">
        <v>9</v>
      </c>
      <c r="EK174">
        <v>18</v>
      </c>
      <c r="EL174">
        <v>82.03</v>
      </c>
    </row>
    <row r="175" spans="1:142" x14ac:dyDescent="0.35">
      <c r="A175" s="86" t="str">
        <f t="shared" si="30"/>
        <v>156263Mix + Intocáveis SC Johnson</v>
      </c>
      <c r="B175">
        <v>156263</v>
      </c>
      <c r="C175" t="s">
        <v>343</v>
      </c>
      <c r="D175" t="s">
        <v>103</v>
      </c>
      <c r="E175" t="s">
        <v>550</v>
      </c>
      <c r="F175" t="s">
        <v>551</v>
      </c>
      <c r="G175" t="s">
        <v>459</v>
      </c>
      <c r="H175">
        <v>70.2</v>
      </c>
      <c r="I175">
        <v>34.875</v>
      </c>
      <c r="J175">
        <v>45</v>
      </c>
      <c r="L175" s="86" t="str">
        <f t="shared" si="31"/>
        <v>157153Share Sub Category SC Johnson</v>
      </c>
      <c r="M175">
        <v>157153</v>
      </c>
      <c r="N175" t="s">
        <v>364</v>
      </c>
      <c r="O175" t="s">
        <v>36</v>
      </c>
      <c r="P175" t="s">
        <v>103</v>
      </c>
      <c r="Q175" t="s">
        <v>702</v>
      </c>
      <c r="R175" t="s">
        <v>703</v>
      </c>
      <c r="S175" t="s">
        <v>457</v>
      </c>
      <c r="T175">
        <v>25.71</v>
      </c>
      <c r="U175">
        <v>30</v>
      </c>
      <c r="V175">
        <v>79.09</v>
      </c>
      <c r="X175" s="86" t="str">
        <f t="shared" si="32"/>
        <v>157153Share Sub Category SC Johnson</v>
      </c>
      <c r="Y175">
        <v>157153</v>
      </c>
      <c r="Z175" t="s">
        <v>364</v>
      </c>
      <c r="AA175" t="s">
        <v>36</v>
      </c>
      <c r="AB175" t="s">
        <v>103</v>
      </c>
      <c r="AC175" t="s">
        <v>813</v>
      </c>
      <c r="AD175" t="s">
        <v>814</v>
      </c>
      <c r="AE175" t="s">
        <v>457</v>
      </c>
      <c r="AF175">
        <v>30</v>
      </c>
      <c r="AG175">
        <v>30</v>
      </c>
      <c r="AH175">
        <v>87.63</v>
      </c>
      <c r="AJ175" s="86" t="str">
        <f t="shared" si="33"/>
        <v>157153Share Sub Loc Pao Quente SC Johnson</v>
      </c>
      <c r="AK175">
        <v>157153</v>
      </c>
      <c r="AL175" t="s">
        <v>364</v>
      </c>
      <c r="AM175" t="s">
        <v>36</v>
      </c>
      <c r="AN175" t="s">
        <v>103</v>
      </c>
      <c r="AO175" t="s">
        <v>974</v>
      </c>
      <c r="AP175" t="s">
        <v>975</v>
      </c>
      <c r="AQ175" t="s">
        <v>458</v>
      </c>
      <c r="AR175">
        <v>12</v>
      </c>
      <c r="AS175">
        <v>12</v>
      </c>
      <c r="AT175">
        <v>67.34</v>
      </c>
      <c r="AV175" s="86" t="str">
        <f t="shared" si="34"/>
        <v>157637Share Sub Loc Pao Quente SC Johnson</v>
      </c>
      <c r="AW175">
        <v>157637</v>
      </c>
      <c r="AX175" t="s">
        <v>365</v>
      </c>
      <c r="AY175" t="s">
        <v>36</v>
      </c>
      <c r="AZ175" t="s">
        <v>103</v>
      </c>
      <c r="BA175" t="s">
        <v>1091</v>
      </c>
      <c r="BB175" t="s">
        <v>1092</v>
      </c>
      <c r="BC175" t="s">
        <v>458</v>
      </c>
      <c r="BD175">
        <v>9</v>
      </c>
      <c r="BE175">
        <v>12</v>
      </c>
      <c r="BF175">
        <v>65.17</v>
      </c>
      <c r="BH175" s="86" t="str">
        <f t="shared" si="35"/>
        <v>152696Share Sub Loc Pao Quente SC Johnson</v>
      </c>
      <c r="BI175">
        <v>152696</v>
      </c>
      <c r="BJ175" t="s">
        <v>363</v>
      </c>
      <c r="BK175" t="s">
        <v>36</v>
      </c>
      <c r="BL175" t="s">
        <v>103</v>
      </c>
      <c r="BM175" t="s">
        <v>1252</v>
      </c>
      <c r="BN175" t="s">
        <v>1253</v>
      </c>
      <c r="BO175" t="s">
        <v>458</v>
      </c>
      <c r="BP175">
        <v>12</v>
      </c>
      <c r="BQ175">
        <v>12</v>
      </c>
      <c r="BR175">
        <v>74.760000000000005</v>
      </c>
      <c r="BT175" s="86" t="str">
        <f t="shared" si="24"/>
        <v>136856Cross Merchan SC Johnson</v>
      </c>
      <c r="BU175">
        <v>136856</v>
      </c>
      <c r="BV175" t="s">
        <v>379</v>
      </c>
      <c r="BW175" t="s">
        <v>489</v>
      </c>
      <c r="BX175" t="s">
        <v>103</v>
      </c>
      <c r="BY175" t="s">
        <v>1390</v>
      </c>
      <c r="BZ175" t="s">
        <v>1391</v>
      </c>
      <c r="CA175" t="s">
        <v>111</v>
      </c>
      <c r="CB175">
        <v>5</v>
      </c>
      <c r="CC175">
        <v>5</v>
      </c>
      <c r="CD175">
        <v>80</v>
      </c>
      <c r="CF175" s="86" t="str">
        <f t="shared" si="25"/>
        <v>144056Cross Merchan SC Johnson</v>
      </c>
      <c r="CG175">
        <v>144056</v>
      </c>
      <c r="CH175" t="s">
        <v>392</v>
      </c>
      <c r="CI175" t="s">
        <v>1306</v>
      </c>
      <c r="CJ175" t="s">
        <v>103</v>
      </c>
      <c r="CK175" t="s">
        <v>1465</v>
      </c>
      <c r="CL175" t="s">
        <v>1466</v>
      </c>
      <c r="CM175" t="s">
        <v>111</v>
      </c>
      <c r="CN175">
        <v>5</v>
      </c>
      <c r="CO175">
        <v>5</v>
      </c>
      <c r="CP175">
        <v>98</v>
      </c>
      <c r="CR175" s="86" t="str">
        <f t="shared" si="26"/>
        <v>144056Cross Merchan SC Johnson</v>
      </c>
      <c r="CS175">
        <v>144056</v>
      </c>
      <c r="CT175" t="s">
        <v>392</v>
      </c>
      <c r="CU175" t="s">
        <v>1306</v>
      </c>
      <c r="CV175" t="s">
        <v>103</v>
      </c>
      <c r="CW175" t="s">
        <v>1552</v>
      </c>
      <c r="CX175" t="s">
        <v>1553</v>
      </c>
      <c r="CY175" t="s">
        <v>111</v>
      </c>
      <c r="CZ175">
        <v>5</v>
      </c>
      <c r="DA175">
        <v>5</v>
      </c>
      <c r="DB175">
        <v>101</v>
      </c>
      <c r="DD175" s="86" t="str">
        <f t="shared" si="27"/>
        <v>152153Share Sub Category SC Johnson</v>
      </c>
      <c r="DE175">
        <v>152153</v>
      </c>
      <c r="DF175" t="s">
        <v>342</v>
      </c>
      <c r="DG175" t="s">
        <v>1306</v>
      </c>
      <c r="DH175" t="s">
        <v>103</v>
      </c>
      <c r="DI175" t="s">
        <v>1704</v>
      </c>
      <c r="DJ175" t="s">
        <v>1705</v>
      </c>
      <c r="DK175" t="s">
        <v>457</v>
      </c>
      <c r="DL175">
        <v>21.425000000000001</v>
      </c>
      <c r="DM175">
        <v>25</v>
      </c>
      <c r="DN175">
        <v>95.23</v>
      </c>
      <c r="DP175" s="86" t="str">
        <f t="shared" si="28"/>
        <v>150368Share Sub Category SC Johnson</v>
      </c>
      <c r="DQ175">
        <v>150368</v>
      </c>
      <c r="DR175" t="s">
        <v>341</v>
      </c>
      <c r="DS175" t="s">
        <v>482</v>
      </c>
      <c r="DT175" t="s">
        <v>103</v>
      </c>
      <c r="DU175" t="s">
        <v>1810</v>
      </c>
      <c r="DV175" t="s">
        <v>1811</v>
      </c>
      <c r="DW175" t="s">
        <v>457</v>
      </c>
      <c r="DX175">
        <v>25</v>
      </c>
      <c r="DY175">
        <v>25</v>
      </c>
      <c r="DZ175">
        <v>96.2</v>
      </c>
      <c r="EB175" s="86" t="str">
        <f t="shared" si="29"/>
        <v>184215Share Sub Category SC Johnson</v>
      </c>
      <c r="EC175">
        <v>184215</v>
      </c>
      <c r="ED175" t="s">
        <v>401</v>
      </c>
      <c r="EE175" t="s">
        <v>482</v>
      </c>
      <c r="EF175" t="s">
        <v>103</v>
      </c>
      <c r="EG175" t="s">
        <v>1928</v>
      </c>
      <c r="EH175" t="s">
        <v>1929</v>
      </c>
      <c r="EI175" t="s">
        <v>457</v>
      </c>
      <c r="EJ175">
        <v>21.425000000000001</v>
      </c>
      <c r="EK175">
        <v>25</v>
      </c>
      <c r="EL175">
        <v>82.03</v>
      </c>
    </row>
    <row r="176" spans="1:142" x14ac:dyDescent="0.35">
      <c r="A176" s="86" t="str">
        <f t="shared" si="30"/>
        <v>157153Share Sub Category SC Johnson</v>
      </c>
      <c r="B176">
        <v>157153</v>
      </c>
      <c r="C176" t="s">
        <v>364</v>
      </c>
      <c r="D176" t="s">
        <v>103</v>
      </c>
      <c r="E176" t="s">
        <v>552</v>
      </c>
      <c r="F176" t="s">
        <v>553</v>
      </c>
      <c r="G176" t="s">
        <v>457</v>
      </c>
      <c r="H176">
        <v>62.33</v>
      </c>
      <c r="I176">
        <v>17.13</v>
      </c>
      <c r="J176">
        <v>30</v>
      </c>
      <c r="L176" s="86" t="str">
        <f t="shared" si="31"/>
        <v>157153Cross Merchan SC Johnson</v>
      </c>
      <c r="M176">
        <v>157153</v>
      </c>
      <c r="N176" t="s">
        <v>364</v>
      </c>
      <c r="O176" t="s">
        <v>36</v>
      </c>
      <c r="P176" t="s">
        <v>103</v>
      </c>
      <c r="Q176" t="s">
        <v>702</v>
      </c>
      <c r="R176" t="s">
        <v>703</v>
      </c>
      <c r="S176" t="s">
        <v>111</v>
      </c>
      <c r="T176">
        <v>8</v>
      </c>
      <c r="U176">
        <v>8</v>
      </c>
      <c r="V176">
        <v>79.09</v>
      </c>
      <c r="X176" s="86" t="str">
        <f t="shared" si="32"/>
        <v>157153Cross Merchan SC Johnson</v>
      </c>
      <c r="Y176">
        <v>157153</v>
      </c>
      <c r="Z176" t="s">
        <v>364</v>
      </c>
      <c r="AA176" t="s">
        <v>36</v>
      </c>
      <c r="AB176" t="s">
        <v>103</v>
      </c>
      <c r="AC176" t="s">
        <v>813</v>
      </c>
      <c r="AD176" t="s">
        <v>814</v>
      </c>
      <c r="AE176" t="s">
        <v>111</v>
      </c>
      <c r="AF176">
        <v>8</v>
      </c>
      <c r="AG176">
        <v>8</v>
      </c>
      <c r="AH176">
        <v>87.63</v>
      </c>
      <c r="AJ176" s="86" t="str">
        <f t="shared" si="33"/>
        <v>157153Mix + Intocáveis SC Johnson</v>
      </c>
      <c r="AK176">
        <v>157153</v>
      </c>
      <c r="AL176" t="s">
        <v>364</v>
      </c>
      <c r="AM176" t="s">
        <v>36</v>
      </c>
      <c r="AN176" t="s">
        <v>103</v>
      </c>
      <c r="AO176" t="s">
        <v>974</v>
      </c>
      <c r="AP176" t="s">
        <v>975</v>
      </c>
      <c r="AQ176" t="s">
        <v>459</v>
      </c>
      <c r="AR176">
        <v>27.84</v>
      </c>
      <c r="AS176">
        <v>40</v>
      </c>
      <c r="AT176">
        <v>67.34</v>
      </c>
      <c r="AV176" s="86" t="str">
        <f t="shared" si="34"/>
        <v>157637Mix + Intocáveis SC Johnson</v>
      </c>
      <c r="AW176">
        <v>157637</v>
      </c>
      <c r="AX176" t="s">
        <v>365</v>
      </c>
      <c r="AY176" t="s">
        <v>36</v>
      </c>
      <c r="AZ176" t="s">
        <v>103</v>
      </c>
      <c r="BA176" t="s">
        <v>1091</v>
      </c>
      <c r="BB176" t="s">
        <v>1092</v>
      </c>
      <c r="BC176" t="s">
        <v>459</v>
      </c>
      <c r="BD176">
        <v>27.84</v>
      </c>
      <c r="BE176">
        <v>40</v>
      </c>
      <c r="BF176">
        <v>65.17</v>
      </c>
      <c r="BH176" s="86" t="str">
        <f t="shared" si="35"/>
        <v>152696Mix + Intocáveis SC Johnson</v>
      </c>
      <c r="BI176">
        <v>152696</v>
      </c>
      <c r="BJ176" t="s">
        <v>363</v>
      </c>
      <c r="BK176" t="s">
        <v>36</v>
      </c>
      <c r="BL176" t="s">
        <v>103</v>
      </c>
      <c r="BM176" t="s">
        <v>1252</v>
      </c>
      <c r="BN176" t="s">
        <v>1253</v>
      </c>
      <c r="BO176" t="s">
        <v>459</v>
      </c>
      <c r="BP176">
        <v>20</v>
      </c>
      <c r="BQ176">
        <v>40</v>
      </c>
      <c r="BR176">
        <v>74.760000000000005</v>
      </c>
      <c r="BT176" s="86" t="str">
        <f t="shared" si="24"/>
        <v>136856Execucao Bonus</v>
      </c>
      <c r="BU176">
        <v>136856</v>
      </c>
      <c r="BV176" t="s">
        <v>379</v>
      </c>
      <c r="BW176" t="s">
        <v>489</v>
      </c>
      <c r="BX176" t="s">
        <v>103</v>
      </c>
      <c r="BY176" t="s">
        <v>1390</v>
      </c>
      <c r="BZ176" t="s">
        <v>1391</v>
      </c>
      <c r="CA176" t="s">
        <v>1291</v>
      </c>
      <c r="CB176">
        <v>0</v>
      </c>
      <c r="CC176">
        <v>5</v>
      </c>
      <c r="CD176">
        <v>80</v>
      </c>
      <c r="CF176" s="86" t="str">
        <f t="shared" si="25"/>
        <v>144056Execucao Bonus</v>
      </c>
      <c r="CG176">
        <v>144056</v>
      </c>
      <c r="CH176" t="s">
        <v>392</v>
      </c>
      <c r="CI176" t="s">
        <v>1306</v>
      </c>
      <c r="CJ176" t="s">
        <v>103</v>
      </c>
      <c r="CK176" t="s">
        <v>1465</v>
      </c>
      <c r="CL176" t="s">
        <v>1466</v>
      </c>
      <c r="CM176" t="s">
        <v>1291</v>
      </c>
      <c r="CN176">
        <v>5</v>
      </c>
      <c r="CO176">
        <v>5</v>
      </c>
      <c r="CP176">
        <v>98</v>
      </c>
      <c r="CR176" s="86" t="str">
        <f t="shared" si="26"/>
        <v>144056Execucao Bonus</v>
      </c>
      <c r="CS176">
        <v>144056</v>
      </c>
      <c r="CT176" t="s">
        <v>392</v>
      </c>
      <c r="CU176" t="s">
        <v>1306</v>
      </c>
      <c r="CV176" t="s">
        <v>103</v>
      </c>
      <c r="CW176" t="s">
        <v>1552</v>
      </c>
      <c r="CX176" t="s">
        <v>1553</v>
      </c>
      <c r="CY176" t="s">
        <v>1291</v>
      </c>
      <c r="CZ176">
        <v>4</v>
      </c>
      <c r="DA176">
        <v>5</v>
      </c>
      <c r="DB176">
        <v>101</v>
      </c>
      <c r="DD176" s="86" t="str">
        <f t="shared" si="27"/>
        <v>152153Share Sub Loc Pao Quente SC Johnson</v>
      </c>
      <c r="DE176">
        <v>152153</v>
      </c>
      <c r="DF176" t="s">
        <v>342</v>
      </c>
      <c r="DG176" t="s">
        <v>1306</v>
      </c>
      <c r="DH176" t="s">
        <v>103</v>
      </c>
      <c r="DI176" t="s">
        <v>1704</v>
      </c>
      <c r="DJ176" t="s">
        <v>1705</v>
      </c>
      <c r="DK176" t="s">
        <v>458</v>
      </c>
      <c r="DL176">
        <v>9</v>
      </c>
      <c r="DM176">
        <v>12</v>
      </c>
      <c r="DN176">
        <v>95.23</v>
      </c>
      <c r="DP176" s="86" t="str">
        <f t="shared" si="28"/>
        <v>150368Share Sub Loc Pao Quente SC Johnson</v>
      </c>
      <c r="DQ176">
        <v>150368</v>
      </c>
      <c r="DR176" t="s">
        <v>341</v>
      </c>
      <c r="DS176" t="s">
        <v>482</v>
      </c>
      <c r="DT176" t="s">
        <v>103</v>
      </c>
      <c r="DU176" t="s">
        <v>1810</v>
      </c>
      <c r="DV176" t="s">
        <v>1811</v>
      </c>
      <c r="DW176" t="s">
        <v>458</v>
      </c>
      <c r="DX176">
        <v>12</v>
      </c>
      <c r="DY176">
        <v>12</v>
      </c>
      <c r="DZ176">
        <v>96.2</v>
      </c>
      <c r="EB176" s="86" t="str">
        <f t="shared" si="29"/>
        <v>184215Share Sub Loc Pao Quente SC Johnson</v>
      </c>
      <c r="EC176">
        <v>184215</v>
      </c>
      <c r="ED176" t="s">
        <v>401</v>
      </c>
      <c r="EE176" t="s">
        <v>482</v>
      </c>
      <c r="EF176" t="s">
        <v>103</v>
      </c>
      <c r="EG176" t="s">
        <v>1928</v>
      </c>
      <c r="EH176" t="s">
        <v>1929</v>
      </c>
      <c r="EI176" t="s">
        <v>458</v>
      </c>
      <c r="EJ176">
        <v>12</v>
      </c>
      <c r="EK176">
        <v>12</v>
      </c>
      <c r="EL176">
        <v>82.03</v>
      </c>
    </row>
    <row r="177" spans="1:142" x14ac:dyDescent="0.35">
      <c r="A177" s="86" t="str">
        <f t="shared" si="30"/>
        <v>157153Cross Merchan SC Johnson</v>
      </c>
      <c r="B177">
        <v>157153</v>
      </c>
      <c r="C177" t="s">
        <v>364</v>
      </c>
      <c r="D177" t="s">
        <v>103</v>
      </c>
      <c r="E177" t="s">
        <v>552</v>
      </c>
      <c r="F177" t="s">
        <v>553</v>
      </c>
      <c r="G177" t="s">
        <v>111</v>
      </c>
      <c r="H177">
        <v>62.33</v>
      </c>
      <c r="I177">
        <v>8</v>
      </c>
      <c r="J177">
        <v>8</v>
      </c>
      <c r="L177" s="86" t="str">
        <f t="shared" si="31"/>
        <v>157153Share Sub Loc Pao Quente SC Johnson</v>
      </c>
      <c r="M177">
        <v>157153</v>
      </c>
      <c r="N177" t="s">
        <v>364</v>
      </c>
      <c r="O177" t="s">
        <v>36</v>
      </c>
      <c r="P177" t="s">
        <v>103</v>
      </c>
      <c r="Q177" t="s">
        <v>702</v>
      </c>
      <c r="R177" t="s">
        <v>703</v>
      </c>
      <c r="S177" t="s">
        <v>458</v>
      </c>
      <c r="T177">
        <v>12.75</v>
      </c>
      <c r="U177">
        <v>17</v>
      </c>
      <c r="V177">
        <v>79.09</v>
      </c>
      <c r="X177" s="86" t="str">
        <f t="shared" si="32"/>
        <v>157153Share Sub Loc Pao Quente SC Johnson</v>
      </c>
      <c r="Y177">
        <v>157153</v>
      </c>
      <c r="Z177" t="s">
        <v>364</v>
      </c>
      <c r="AA177" t="s">
        <v>36</v>
      </c>
      <c r="AB177" t="s">
        <v>103</v>
      </c>
      <c r="AC177" t="s">
        <v>813</v>
      </c>
      <c r="AD177" t="s">
        <v>814</v>
      </c>
      <c r="AE177" t="s">
        <v>458</v>
      </c>
      <c r="AF177">
        <v>17</v>
      </c>
      <c r="AG177">
        <v>17</v>
      </c>
      <c r="AH177">
        <v>87.63</v>
      </c>
      <c r="AJ177" s="86" t="str">
        <f t="shared" si="33"/>
        <v>157153Lancamentos</v>
      </c>
      <c r="AK177">
        <v>157153</v>
      </c>
      <c r="AL177" t="s">
        <v>364</v>
      </c>
      <c r="AM177" t="s">
        <v>36</v>
      </c>
      <c r="AN177" t="s">
        <v>103</v>
      </c>
      <c r="AO177" t="s">
        <v>974</v>
      </c>
      <c r="AP177" t="s">
        <v>975</v>
      </c>
      <c r="AQ177" t="s">
        <v>953</v>
      </c>
      <c r="AR177">
        <v>0</v>
      </c>
      <c r="AS177">
        <v>18</v>
      </c>
      <c r="AT177">
        <v>67.34</v>
      </c>
      <c r="AV177" s="86" t="str">
        <f t="shared" si="34"/>
        <v>157637Lancamentos</v>
      </c>
      <c r="AW177">
        <v>157637</v>
      </c>
      <c r="AX177" t="s">
        <v>365</v>
      </c>
      <c r="AY177" t="s">
        <v>36</v>
      </c>
      <c r="AZ177" t="s">
        <v>103</v>
      </c>
      <c r="BA177" t="s">
        <v>1091</v>
      </c>
      <c r="BB177" t="s">
        <v>1092</v>
      </c>
      <c r="BC177" t="s">
        <v>953</v>
      </c>
      <c r="BD177">
        <v>0</v>
      </c>
      <c r="BE177">
        <v>18</v>
      </c>
      <c r="BF177">
        <v>65.17</v>
      </c>
      <c r="BH177" s="86" t="str">
        <f t="shared" si="35"/>
        <v>152696Lancamentos</v>
      </c>
      <c r="BI177">
        <v>152696</v>
      </c>
      <c r="BJ177" t="s">
        <v>363</v>
      </c>
      <c r="BK177" t="s">
        <v>36</v>
      </c>
      <c r="BL177" t="s">
        <v>103</v>
      </c>
      <c r="BM177" t="s">
        <v>1252</v>
      </c>
      <c r="BN177" t="s">
        <v>1253</v>
      </c>
      <c r="BO177" t="s">
        <v>953</v>
      </c>
      <c r="BP177">
        <v>18</v>
      </c>
      <c r="BQ177">
        <v>18</v>
      </c>
      <c r="BR177">
        <v>74.760000000000005</v>
      </c>
      <c r="BT177" s="86" t="str">
        <f t="shared" si="24"/>
        <v>143128Lancamentos</v>
      </c>
      <c r="BU177">
        <v>143128</v>
      </c>
      <c r="BV177" t="s">
        <v>391</v>
      </c>
      <c r="BW177" t="s">
        <v>539</v>
      </c>
      <c r="BX177" t="s">
        <v>103</v>
      </c>
      <c r="BY177" t="s">
        <v>1277</v>
      </c>
      <c r="BZ177" t="s">
        <v>1278</v>
      </c>
      <c r="CA177" t="s">
        <v>953</v>
      </c>
      <c r="CB177">
        <v>9</v>
      </c>
      <c r="CC177">
        <v>18</v>
      </c>
      <c r="CD177">
        <v>73.8</v>
      </c>
      <c r="CF177" s="86" t="str">
        <f t="shared" si="25"/>
        <v>150368Lancamentos</v>
      </c>
      <c r="CG177">
        <v>150368</v>
      </c>
      <c r="CH177" t="s">
        <v>341</v>
      </c>
      <c r="CI177" t="s">
        <v>482</v>
      </c>
      <c r="CJ177" t="s">
        <v>103</v>
      </c>
      <c r="CK177" t="s">
        <v>1497</v>
      </c>
      <c r="CL177" t="s">
        <v>1498</v>
      </c>
      <c r="CM177" t="s">
        <v>953</v>
      </c>
      <c r="CN177">
        <v>18</v>
      </c>
      <c r="CO177">
        <v>18</v>
      </c>
      <c r="CP177">
        <v>96.2</v>
      </c>
      <c r="CR177" s="86" t="str">
        <f t="shared" si="26"/>
        <v>150368Lancamentos</v>
      </c>
      <c r="CS177">
        <v>150368</v>
      </c>
      <c r="CT177" t="s">
        <v>341</v>
      </c>
      <c r="CU177" t="s">
        <v>482</v>
      </c>
      <c r="CV177" t="s">
        <v>103</v>
      </c>
      <c r="CW177" t="s">
        <v>1554</v>
      </c>
      <c r="CX177" t="s">
        <v>1555</v>
      </c>
      <c r="CY177" t="s">
        <v>953</v>
      </c>
      <c r="CZ177">
        <v>18</v>
      </c>
      <c r="DA177">
        <v>18</v>
      </c>
      <c r="DB177">
        <v>95.4</v>
      </c>
      <c r="DD177" s="86" t="str">
        <f t="shared" si="27"/>
        <v>152696Mix + Intocáveis SC Johnson</v>
      </c>
      <c r="DE177">
        <v>152696</v>
      </c>
      <c r="DF177" t="s">
        <v>363</v>
      </c>
      <c r="DG177" t="s">
        <v>1306</v>
      </c>
      <c r="DH177" t="s">
        <v>103</v>
      </c>
      <c r="DI177" t="s">
        <v>1706</v>
      </c>
      <c r="DJ177" t="s">
        <v>1707</v>
      </c>
      <c r="DK177" t="s">
        <v>459</v>
      </c>
      <c r="DL177">
        <v>34.4</v>
      </c>
      <c r="DM177">
        <v>40</v>
      </c>
      <c r="DN177">
        <v>95.83</v>
      </c>
      <c r="DP177" s="86" t="str">
        <f t="shared" si="28"/>
        <v>152153Mix + Intocáveis SC Johnson</v>
      </c>
      <c r="DQ177">
        <v>152153</v>
      </c>
      <c r="DR177" t="s">
        <v>342</v>
      </c>
      <c r="DS177" t="s">
        <v>1306</v>
      </c>
      <c r="DT177" t="s">
        <v>103</v>
      </c>
      <c r="DU177" t="s">
        <v>1776</v>
      </c>
      <c r="DV177" t="s">
        <v>1777</v>
      </c>
      <c r="DW177" t="s">
        <v>459</v>
      </c>
      <c r="DX177">
        <v>39.200000000000003</v>
      </c>
      <c r="DY177">
        <v>40</v>
      </c>
      <c r="DZ177">
        <v>100</v>
      </c>
      <c r="EB177" s="86" t="str">
        <f t="shared" si="29"/>
        <v>184217Mix + Intocáveis SC Johnson</v>
      </c>
      <c r="EC177">
        <v>184217</v>
      </c>
      <c r="ED177" t="s">
        <v>402</v>
      </c>
      <c r="EE177" t="s">
        <v>482</v>
      </c>
      <c r="EF177" t="s">
        <v>103</v>
      </c>
      <c r="EG177" t="s">
        <v>1906</v>
      </c>
      <c r="EH177" t="s">
        <v>1907</v>
      </c>
      <c r="EI177" t="s">
        <v>459</v>
      </c>
      <c r="EJ177">
        <v>32.799999999999997</v>
      </c>
      <c r="EK177">
        <v>40</v>
      </c>
      <c r="EL177">
        <v>88.8</v>
      </c>
    </row>
    <row r="178" spans="1:142" x14ac:dyDescent="0.35">
      <c r="A178" s="86" t="str">
        <f t="shared" si="30"/>
        <v>157153Share Sub Loc Pao Quente SC Johnson</v>
      </c>
      <c r="B178">
        <v>157153</v>
      </c>
      <c r="C178" t="s">
        <v>364</v>
      </c>
      <c r="D178" t="s">
        <v>103</v>
      </c>
      <c r="E178" t="s">
        <v>552</v>
      </c>
      <c r="F178" t="s">
        <v>553</v>
      </c>
      <c r="G178" t="s">
        <v>458</v>
      </c>
      <c r="H178">
        <v>62.33</v>
      </c>
      <c r="I178">
        <v>10.199999999999999</v>
      </c>
      <c r="J178">
        <v>17</v>
      </c>
      <c r="L178" s="86" t="str">
        <f t="shared" si="31"/>
        <v>157153Mix + Intocáveis SC Johnson</v>
      </c>
      <c r="M178">
        <v>157153</v>
      </c>
      <c r="N178" t="s">
        <v>364</v>
      </c>
      <c r="O178" t="s">
        <v>36</v>
      </c>
      <c r="P178" t="s">
        <v>103</v>
      </c>
      <c r="Q178" t="s">
        <v>702</v>
      </c>
      <c r="R178" t="s">
        <v>703</v>
      </c>
      <c r="S178" t="s">
        <v>459</v>
      </c>
      <c r="T178">
        <v>32.625</v>
      </c>
      <c r="U178">
        <v>45</v>
      </c>
      <c r="V178">
        <v>79.09</v>
      </c>
      <c r="X178" s="86" t="str">
        <f t="shared" si="32"/>
        <v>157153Mix + Intocáveis SC Johnson</v>
      </c>
      <c r="Y178">
        <v>157153</v>
      </c>
      <c r="Z178" t="s">
        <v>364</v>
      </c>
      <c r="AA178" t="s">
        <v>36</v>
      </c>
      <c r="AB178" t="s">
        <v>103</v>
      </c>
      <c r="AC178" t="s">
        <v>813</v>
      </c>
      <c r="AD178" t="s">
        <v>814</v>
      </c>
      <c r="AE178" t="s">
        <v>459</v>
      </c>
      <c r="AF178">
        <v>32.625</v>
      </c>
      <c r="AG178">
        <v>45</v>
      </c>
      <c r="AH178">
        <v>87.63</v>
      </c>
      <c r="AJ178" s="86" t="str">
        <f t="shared" si="33"/>
        <v>157637Share Sub Category SC Johnson</v>
      </c>
      <c r="AK178">
        <v>157637</v>
      </c>
      <c r="AL178" t="s">
        <v>365</v>
      </c>
      <c r="AM178" t="s">
        <v>36</v>
      </c>
      <c r="AN178" t="s">
        <v>103</v>
      </c>
      <c r="AO178" t="s">
        <v>976</v>
      </c>
      <c r="AP178" t="s">
        <v>977</v>
      </c>
      <c r="AQ178" t="s">
        <v>457</v>
      </c>
      <c r="AR178">
        <v>25</v>
      </c>
      <c r="AS178">
        <v>25</v>
      </c>
      <c r="AT178">
        <v>62.58</v>
      </c>
      <c r="AV178" s="86" t="str">
        <f t="shared" si="34"/>
        <v>159620Share Sub Category SC Johnson</v>
      </c>
      <c r="AW178">
        <v>159620</v>
      </c>
      <c r="AX178" t="s">
        <v>394</v>
      </c>
      <c r="AY178" t="s">
        <v>482</v>
      </c>
      <c r="AZ178" t="s">
        <v>103</v>
      </c>
      <c r="BA178" t="s">
        <v>1093</v>
      </c>
      <c r="BB178" t="s">
        <v>1094</v>
      </c>
      <c r="BC178" t="s">
        <v>457</v>
      </c>
      <c r="BD178">
        <v>25</v>
      </c>
      <c r="BE178">
        <v>25</v>
      </c>
      <c r="BF178">
        <v>66.11</v>
      </c>
      <c r="BH178" s="86" t="str">
        <f t="shared" si="35"/>
        <v>152753Share Sub Category SC Johnson</v>
      </c>
      <c r="BI178">
        <v>152753</v>
      </c>
      <c r="BJ178" t="s">
        <v>393</v>
      </c>
      <c r="BK178" t="s">
        <v>482</v>
      </c>
      <c r="BL178" t="s">
        <v>103</v>
      </c>
      <c r="BM178" t="s">
        <v>1159</v>
      </c>
      <c r="BN178" t="s">
        <v>1160</v>
      </c>
      <c r="BO178" t="s">
        <v>457</v>
      </c>
      <c r="BP178">
        <v>21.425000000000001</v>
      </c>
      <c r="BQ178">
        <v>25</v>
      </c>
      <c r="BR178">
        <v>86.87</v>
      </c>
      <c r="BT178" s="86" t="str">
        <f t="shared" si="24"/>
        <v>143128Mix + Intocáveis SC Johnson</v>
      </c>
      <c r="BU178">
        <v>143128</v>
      </c>
      <c r="BV178" t="s">
        <v>391</v>
      </c>
      <c r="BW178" t="s">
        <v>539</v>
      </c>
      <c r="BX178" t="s">
        <v>103</v>
      </c>
      <c r="BY178" t="s">
        <v>1277</v>
      </c>
      <c r="BZ178" t="s">
        <v>1278</v>
      </c>
      <c r="CA178" t="s">
        <v>459</v>
      </c>
      <c r="CB178">
        <v>28.8</v>
      </c>
      <c r="CC178">
        <v>40</v>
      </c>
      <c r="CD178">
        <v>73.8</v>
      </c>
      <c r="CF178" s="86" t="str">
        <f t="shared" si="25"/>
        <v>150368Mix + Intocáveis SC Johnson</v>
      </c>
      <c r="CG178">
        <v>150368</v>
      </c>
      <c r="CH178" t="s">
        <v>341</v>
      </c>
      <c r="CI178" t="s">
        <v>482</v>
      </c>
      <c r="CJ178" t="s">
        <v>103</v>
      </c>
      <c r="CK178" t="s">
        <v>1497</v>
      </c>
      <c r="CL178" t="s">
        <v>1498</v>
      </c>
      <c r="CM178" t="s">
        <v>459</v>
      </c>
      <c r="CN178">
        <v>31.2</v>
      </c>
      <c r="CO178">
        <v>40</v>
      </c>
      <c r="CP178">
        <v>96.2</v>
      </c>
      <c r="CR178" s="86" t="str">
        <f t="shared" si="26"/>
        <v>150368Mix + Intocáveis SC Johnson</v>
      </c>
      <c r="CS178">
        <v>150368</v>
      </c>
      <c r="CT178" t="s">
        <v>341</v>
      </c>
      <c r="CU178" t="s">
        <v>482</v>
      </c>
      <c r="CV178" t="s">
        <v>103</v>
      </c>
      <c r="CW178" t="s">
        <v>1554</v>
      </c>
      <c r="CX178" t="s">
        <v>1555</v>
      </c>
      <c r="CY178" t="s">
        <v>459</v>
      </c>
      <c r="CZ178">
        <v>30.4</v>
      </c>
      <c r="DA178">
        <v>40</v>
      </c>
      <c r="DB178">
        <v>95.4</v>
      </c>
      <c r="DD178" s="86" t="str">
        <f t="shared" si="27"/>
        <v>152696Execucao Bonus</v>
      </c>
      <c r="DE178">
        <v>152696</v>
      </c>
      <c r="DF178" t="s">
        <v>363</v>
      </c>
      <c r="DG178" t="s">
        <v>1306</v>
      </c>
      <c r="DH178" t="s">
        <v>103</v>
      </c>
      <c r="DI178" t="s">
        <v>1706</v>
      </c>
      <c r="DJ178" t="s">
        <v>1707</v>
      </c>
      <c r="DK178" t="s">
        <v>1291</v>
      </c>
      <c r="DL178">
        <v>5</v>
      </c>
      <c r="DM178">
        <v>5</v>
      </c>
      <c r="DN178">
        <v>95.83</v>
      </c>
      <c r="DP178" s="86" t="str">
        <f t="shared" si="28"/>
        <v>152153Execucao Bonus</v>
      </c>
      <c r="DQ178">
        <v>152153</v>
      </c>
      <c r="DR178" t="s">
        <v>342</v>
      </c>
      <c r="DS178" t="s">
        <v>1306</v>
      </c>
      <c r="DT178" t="s">
        <v>103</v>
      </c>
      <c r="DU178" t="s">
        <v>1776</v>
      </c>
      <c r="DV178" t="s">
        <v>1777</v>
      </c>
      <c r="DW178" t="s">
        <v>1291</v>
      </c>
      <c r="DX178">
        <v>4.38</v>
      </c>
      <c r="DY178">
        <v>5</v>
      </c>
      <c r="DZ178">
        <v>100</v>
      </c>
      <c r="EB178" s="86" t="str">
        <f t="shared" si="29"/>
        <v>184217Execucao Bonus</v>
      </c>
      <c r="EC178">
        <v>184217</v>
      </c>
      <c r="ED178" t="s">
        <v>402</v>
      </c>
      <c r="EE178" t="s">
        <v>482</v>
      </c>
      <c r="EF178" t="s">
        <v>103</v>
      </c>
      <c r="EG178" t="s">
        <v>1906</v>
      </c>
      <c r="EH178" t="s">
        <v>1907</v>
      </c>
      <c r="EI178" t="s">
        <v>1291</v>
      </c>
      <c r="EJ178">
        <v>5</v>
      </c>
      <c r="EK178">
        <v>5</v>
      </c>
      <c r="EL178">
        <v>88.8</v>
      </c>
    </row>
    <row r="179" spans="1:142" x14ac:dyDescent="0.35">
      <c r="A179" s="86" t="str">
        <f t="shared" si="30"/>
        <v>157153Mix + Intocáveis SC Johnson</v>
      </c>
      <c r="B179">
        <v>157153</v>
      </c>
      <c r="C179" t="s">
        <v>364</v>
      </c>
      <c r="D179" t="s">
        <v>103</v>
      </c>
      <c r="E179" t="s">
        <v>552</v>
      </c>
      <c r="F179" t="s">
        <v>553</v>
      </c>
      <c r="G179" t="s">
        <v>459</v>
      </c>
      <c r="H179">
        <v>62.33</v>
      </c>
      <c r="I179">
        <v>27</v>
      </c>
      <c r="J179">
        <v>45</v>
      </c>
      <c r="L179" s="86" t="str">
        <f t="shared" si="31"/>
        <v>157637Share Sub Category SC Johnson</v>
      </c>
      <c r="M179">
        <v>157637</v>
      </c>
      <c r="N179" t="s">
        <v>365</v>
      </c>
      <c r="O179" t="s">
        <v>36</v>
      </c>
      <c r="P179" t="s">
        <v>103</v>
      </c>
      <c r="Q179" t="s">
        <v>704</v>
      </c>
      <c r="R179" t="s">
        <v>705</v>
      </c>
      <c r="S179" t="s">
        <v>457</v>
      </c>
      <c r="T179">
        <v>25.71</v>
      </c>
      <c r="U179">
        <v>30</v>
      </c>
      <c r="V179">
        <v>73.459999999999994</v>
      </c>
      <c r="X179" s="86" t="str">
        <f t="shared" si="32"/>
        <v>157637Share Sub Category SC Johnson</v>
      </c>
      <c r="Y179">
        <v>157637</v>
      </c>
      <c r="Z179" t="s">
        <v>365</v>
      </c>
      <c r="AA179" t="s">
        <v>36</v>
      </c>
      <c r="AB179" t="s">
        <v>103</v>
      </c>
      <c r="AC179" t="s">
        <v>815</v>
      </c>
      <c r="AD179" t="s">
        <v>816</v>
      </c>
      <c r="AE179" t="s">
        <v>457</v>
      </c>
      <c r="AF179">
        <v>30</v>
      </c>
      <c r="AG179">
        <v>30</v>
      </c>
      <c r="AH179">
        <v>86.5</v>
      </c>
      <c r="AJ179" s="86" t="str">
        <f t="shared" si="33"/>
        <v>157637Cross Merchan SC Johnson</v>
      </c>
      <c r="AK179">
        <v>157637</v>
      </c>
      <c r="AL179" t="s">
        <v>365</v>
      </c>
      <c r="AM179" t="s">
        <v>36</v>
      </c>
      <c r="AN179" t="s">
        <v>103</v>
      </c>
      <c r="AO179" t="s">
        <v>976</v>
      </c>
      <c r="AP179" t="s">
        <v>977</v>
      </c>
      <c r="AQ179" t="s">
        <v>111</v>
      </c>
      <c r="AR179">
        <v>2.5</v>
      </c>
      <c r="AS179">
        <v>5</v>
      </c>
      <c r="AT179">
        <v>62.58</v>
      </c>
      <c r="AV179" s="86" t="str">
        <f t="shared" si="34"/>
        <v>159620Cross Merchan SC Johnson</v>
      </c>
      <c r="AW179">
        <v>159620</v>
      </c>
      <c r="AX179" t="s">
        <v>394</v>
      </c>
      <c r="AY179" t="s">
        <v>482</v>
      </c>
      <c r="AZ179" t="s">
        <v>103</v>
      </c>
      <c r="BA179" t="s">
        <v>1093</v>
      </c>
      <c r="BB179" t="s">
        <v>1094</v>
      </c>
      <c r="BC179" t="s">
        <v>111</v>
      </c>
      <c r="BD179">
        <v>1.665</v>
      </c>
      <c r="BE179">
        <v>5</v>
      </c>
      <c r="BF179">
        <v>66.11</v>
      </c>
      <c r="BH179" s="86" t="str">
        <f t="shared" si="35"/>
        <v>152753Cross Merchan SC Johnson</v>
      </c>
      <c r="BI179">
        <v>152753</v>
      </c>
      <c r="BJ179" t="s">
        <v>393</v>
      </c>
      <c r="BK179" t="s">
        <v>482</v>
      </c>
      <c r="BL179" t="s">
        <v>103</v>
      </c>
      <c r="BM179" t="s">
        <v>1159</v>
      </c>
      <c r="BN179" t="s">
        <v>1160</v>
      </c>
      <c r="BO179" t="s">
        <v>111</v>
      </c>
      <c r="BP179">
        <v>5</v>
      </c>
      <c r="BQ179">
        <v>5</v>
      </c>
      <c r="BR179">
        <v>86.87</v>
      </c>
      <c r="BT179" s="86" t="str">
        <f t="shared" si="24"/>
        <v>143128Share Sub Category SC Johnson</v>
      </c>
      <c r="BU179">
        <v>143128</v>
      </c>
      <c r="BV179" t="s">
        <v>391</v>
      </c>
      <c r="BW179" t="s">
        <v>539</v>
      </c>
      <c r="BX179" t="s">
        <v>103</v>
      </c>
      <c r="BY179" t="s">
        <v>1277</v>
      </c>
      <c r="BZ179" t="s">
        <v>1278</v>
      </c>
      <c r="CA179" t="s">
        <v>457</v>
      </c>
      <c r="CB179">
        <v>25</v>
      </c>
      <c r="CC179">
        <v>25</v>
      </c>
      <c r="CD179">
        <v>73.8</v>
      </c>
      <c r="CF179" s="86" t="str">
        <f t="shared" si="25"/>
        <v>150368Share Sub Category SC Johnson</v>
      </c>
      <c r="CG179">
        <v>150368</v>
      </c>
      <c r="CH179" t="s">
        <v>341</v>
      </c>
      <c r="CI179" t="s">
        <v>482</v>
      </c>
      <c r="CJ179" t="s">
        <v>103</v>
      </c>
      <c r="CK179" t="s">
        <v>1497</v>
      </c>
      <c r="CL179" t="s">
        <v>1498</v>
      </c>
      <c r="CM179" t="s">
        <v>457</v>
      </c>
      <c r="CN179">
        <v>25</v>
      </c>
      <c r="CO179">
        <v>25</v>
      </c>
      <c r="CP179">
        <v>96.2</v>
      </c>
      <c r="CR179" s="86" t="str">
        <f t="shared" si="26"/>
        <v>150368Share Sub Category SC Johnson</v>
      </c>
      <c r="CS179">
        <v>150368</v>
      </c>
      <c r="CT179" t="s">
        <v>341</v>
      </c>
      <c r="CU179" t="s">
        <v>482</v>
      </c>
      <c r="CV179" t="s">
        <v>103</v>
      </c>
      <c r="CW179" t="s">
        <v>1554</v>
      </c>
      <c r="CX179" t="s">
        <v>1555</v>
      </c>
      <c r="CY179" t="s">
        <v>457</v>
      </c>
      <c r="CZ179">
        <v>25</v>
      </c>
      <c r="DA179">
        <v>25</v>
      </c>
      <c r="DB179">
        <v>95.4</v>
      </c>
      <c r="DD179" s="86" t="str">
        <f t="shared" si="27"/>
        <v>152696Cross Merchan SC Johnson</v>
      </c>
      <c r="DE179">
        <v>152696</v>
      </c>
      <c r="DF179" t="s">
        <v>363</v>
      </c>
      <c r="DG179" t="s">
        <v>1306</v>
      </c>
      <c r="DH179" t="s">
        <v>103</v>
      </c>
      <c r="DI179" t="s">
        <v>1706</v>
      </c>
      <c r="DJ179" t="s">
        <v>1707</v>
      </c>
      <c r="DK179" t="s">
        <v>111</v>
      </c>
      <c r="DL179">
        <v>5</v>
      </c>
      <c r="DM179">
        <v>5</v>
      </c>
      <c r="DN179">
        <v>95.83</v>
      </c>
      <c r="DP179" s="86" t="str">
        <f t="shared" si="28"/>
        <v>152153Cross Merchan SC Johnson</v>
      </c>
      <c r="DQ179">
        <v>152153</v>
      </c>
      <c r="DR179" t="s">
        <v>342</v>
      </c>
      <c r="DS179" t="s">
        <v>1306</v>
      </c>
      <c r="DT179" t="s">
        <v>103</v>
      </c>
      <c r="DU179" t="s">
        <v>1776</v>
      </c>
      <c r="DV179" t="s">
        <v>1777</v>
      </c>
      <c r="DW179" t="s">
        <v>111</v>
      </c>
      <c r="DX179">
        <v>5</v>
      </c>
      <c r="DY179">
        <v>5</v>
      </c>
      <c r="DZ179">
        <v>100</v>
      </c>
      <c r="EB179" s="86" t="str">
        <f t="shared" si="29"/>
        <v>184217Cross Merchan SC Johnson</v>
      </c>
      <c r="EC179">
        <v>184217</v>
      </c>
      <c r="ED179" t="s">
        <v>402</v>
      </c>
      <c r="EE179" t="s">
        <v>482</v>
      </c>
      <c r="EF179" t="s">
        <v>103</v>
      </c>
      <c r="EG179" t="s">
        <v>1906</v>
      </c>
      <c r="EH179" t="s">
        <v>1907</v>
      </c>
      <c r="EI179" t="s">
        <v>111</v>
      </c>
      <c r="EJ179">
        <v>5</v>
      </c>
      <c r="EK179">
        <v>5</v>
      </c>
      <c r="EL179">
        <v>88.8</v>
      </c>
    </row>
    <row r="180" spans="1:142" x14ac:dyDescent="0.35">
      <c r="A180" s="86" t="str">
        <f t="shared" si="30"/>
        <v>157637Share Sub Category SC Johnson</v>
      </c>
      <c r="B180">
        <v>157637</v>
      </c>
      <c r="C180" t="s">
        <v>365</v>
      </c>
      <c r="D180" t="s">
        <v>103</v>
      </c>
      <c r="E180" t="s">
        <v>554</v>
      </c>
      <c r="F180" t="s">
        <v>555</v>
      </c>
      <c r="G180" t="s">
        <v>457</v>
      </c>
      <c r="H180">
        <v>61.23</v>
      </c>
      <c r="I180">
        <v>17.13</v>
      </c>
      <c r="J180">
        <v>30</v>
      </c>
      <c r="L180" s="86" t="str">
        <f t="shared" si="31"/>
        <v>157637Cross Merchan SC Johnson</v>
      </c>
      <c r="M180">
        <v>157637</v>
      </c>
      <c r="N180" t="s">
        <v>365</v>
      </c>
      <c r="O180" t="s">
        <v>36</v>
      </c>
      <c r="P180" t="s">
        <v>103</v>
      </c>
      <c r="Q180" t="s">
        <v>704</v>
      </c>
      <c r="R180" t="s">
        <v>705</v>
      </c>
      <c r="S180" t="s">
        <v>111</v>
      </c>
      <c r="T180">
        <v>8</v>
      </c>
      <c r="U180">
        <v>8</v>
      </c>
      <c r="V180">
        <v>73.459999999999994</v>
      </c>
      <c r="X180" s="86" t="str">
        <f t="shared" si="32"/>
        <v>157637Cross Merchan SC Johnson</v>
      </c>
      <c r="Y180">
        <v>157637</v>
      </c>
      <c r="Z180" t="s">
        <v>365</v>
      </c>
      <c r="AA180" t="s">
        <v>36</v>
      </c>
      <c r="AB180" t="s">
        <v>103</v>
      </c>
      <c r="AC180" t="s">
        <v>815</v>
      </c>
      <c r="AD180" t="s">
        <v>816</v>
      </c>
      <c r="AE180" t="s">
        <v>111</v>
      </c>
      <c r="AF180">
        <v>8</v>
      </c>
      <c r="AG180">
        <v>8</v>
      </c>
      <c r="AH180">
        <v>86.5</v>
      </c>
      <c r="AJ180" s="86" t="str">
        <f t="shared" si="33"/>
        <v>157637Share Sub Loc Pao Quente SC Johnson</v>
      </c>
      <c r="AK180">
        <v>157637</v>
      </c>
      <c r="AL180" t="s">
        <v>365</v>
      </c>
      <c r="AM180" t="s">
        <v>36</v>
      </c>
      <c r="AN180" t="s">
        <v>103</v>
      </c>
      <c r="AO180" t="s">
        <v>976</v>
      </c>
      <c r="AP180" t="s">
        <v>977</v>
      </c>
      <c r="AQ180" t="s">
        <v>458</v>
      </c>
      <c r="AR180">
        <v>9</v>
      </c>
      <c r="AS180">
        <v>12</v>
      </c>
      <c r="AT180">
        <v>62.58</v>
      </c>
      <c r="AV180" s="86" t="str">
        <f t="shared" si="34"/>
        <v>159620Share Sub Loc Pao Quente SC Johnson</v>
      </c>
      <c r="AW180">
        <v>159620</v>
      </c>
      <c r="AX180" t="s">
        <v>394</v>
      </c>
      <c r="AY180" t="s">
        <v>482</v>
      </c>
      <c r="AZ180" t="s">
        <v>103</v>
      </c>
      <c r="BA180" t="s">
        <v>1093</v>
      </c>
      <c r="BB180" t="s">
        <v>1094</v>
      </c>
      <c r="BC180" t="s">
        <v>458</v>
      </c>
      <c r="BD180">
        <v>9</v>
      </c>
      <c r="BE180">
        <v>12</v>
      </c>
      <c r="BF180">
        <v>66.11</v>
      </c>
      <c r="BH180" s="86" t="str">
        <f t="shared" si="35"/>
        <v>152753Share Sub Loc Pao Quente SC Johnson</v>
      </c>
      <c r="BI180">
        <v>152753</v>
      </c>
      <c r="BJ180" t="s">
        <v>393</v>
      </c>
      <c r="BK180" t="s">
        <v>482</v>
      </c>
      <c r="BL180" t="s">
        <v>103</v>
      </c>
      <c r="BM180" t="s">
        <v>1159</v>
      </c>
      <c r="BN180" t="s">
        <v>1160</v>
      </c>
      <c r="BO180" t="s">
        <v>458</v>
      </c>
      <c r="BP180">
        <v>12</v>
      </c>
      <c r="BQ180">
        <v>12</v>
      </c>
      <c r="BR180">
        <v>86.87</v>
      </c>
      <c r="BT180" s="86" t="str">
        <f t="shared" si="24"/>
        <v>143128Share Sub Loc Pao Quente SC Johnson</v>
      </c>
      <c r="BU180">
        <v>143128</v>
      </c>
      <c r="BV180" t="s">
        <v>391</v>
      </c>
      <c r="BW180" t="s">
        <v>539</v>
      </c>
      <c r="BX180" t="s">
        <v>103</v>
      </c>
      <c r="BY180" t="s">
        <v>1277</v>
      </c>
      <c r="BZ180" t="s">
        <v>1278</v>
      </c>
      <c r="CA180" t="s">
        <v>458</v>
      </c>
      <c r="CB180">
        <v>6</v>
      </c>
      <c r="CC180">
        <v>12</v>
      </c>
      <c r="CD180">
        <v>73.8</v>
      </c>
      <c r="CF180" s="86" t="str">
        <f t="shared" si="25"/>
        <v>150368Share Sub Loc Pao Quente SC Johnson</v>
      </c>
      <c r="CG180">
        <v>150368</v>
      </c>
      <c r="CH180" t="s">
        <v>341</v>
      </c>
      <c r="CI180" t="s">
        <v>482</v>
      </c>
      <c r="CJ180" t="s">
        <v>103</v>
      </c>
      <c r="CK180" t="s">
        <v>1497</v>
      </c>
      <c r="CL180" t="s">
        <v>1498</v>
      </c>
      <c r="CM180" t="s">
        <v>458</v>
      </c>
      <c r="CN180">
        <v>12</v>
      </c>
      <c r="CO180">
        <v>12</v>
      </c>
      <c r="CP180">
        <v>96.2</v>
      </c>
      <c r="CR180" s="86" t="str">
        <f t="shared" si="26"/>
        <v>150368Share Sub Loc Pao Quente SC Johnson</v>
      </c>
      <c r="CS180">
        <v>150368</v>
      </c>
      <c r="CT180" t="s">
        <v>341</v>
      </c>
      <c r="CU180" t="s">
        <v>482</v>
      </c>
      <c r="CV180" t="s">
        <v>103</v>
      </c>
      <c r="CW180" t="s">
        <v>1554</v>
      </c>
      <c r="CX180" t="s">
        <v>1555</v>
      </c>
      <c r="CY180" t="s">
        <v>458</v>
      </c>
      <c r="CZ180">
        <v>12</v>
      </c>
      <c r="DA180">
        <v>12</v>
      </c>
      <c r="DB180">
        <v>95.4</v>
      </c>
      <c r="DD180" s="86" t="str">
        <f t="shared" si="27"/>
        <v>152696Lancamentos</v>
      </c>
      <c r="DE180">
        <v>152696</v>
      </c>
      <c r="DF180" t="s">
        <v>363</v>
      </c>
      <c r="DG180" t="s">
        <v>1306</v>
      </c>
      <c r="DH180" t="s">
        <v>103</v>
      </c>
      <c r="DI180" t="s">
        <v>1706</v>
      </c>
      <c r="DJ180" t="s">
        <v>1707</v>
      </c>
      <c r="DK180" t="s">
        <v>953</v>
      </c>
      <c r="DL180">
        <v>18</v>
      </c>
      <c r="DM180">
        <v>18</v>
      </c>
      <c r="DN180">
        <v>95.83</v>
      </c>
      <c r="DP180" s="86" t="str">
        <f t="shared" si="28"/>
        <v>152153Lancamentos</v>
      </c>
      <c r="DQ180">
        <v>152153</v>
      </c>
      <c r="DR180" t="s">
        <v>342</v>
      </c>
      <c r="DS180" t="s">
        <v>1306</v>
      </c>
      <c r="DT180" t="s">
        <v>103</v>
      </c>
      <c r="DU180" t="s">
        <v>1776</v>
      </c>
      <c r="DV180" t="s">
        <v>1777</v>
      </c>
      <c r="DW180" t="s">
        <v>953</v>
      </c>
      <c r="DX180">
        <v>18</v>
      </c>
      <c r="DY180">
        <v>18</v>
      </c>
      <c r="DZ180">
        <v>100</v>
      </c>
      <c r="EB180" s="86" t="str">
        <f t="shared" si="29"/>
        <v>184217Lancamentos</v>
      </c>
      <c r="EC180">
        <v>184217</v>
      </c>
      <c r="ED180" t="s">
        <v>402</v>
      </c>
      <c r="EE180" t="s">
        <v>482</v>
      </c>
      <c r="EF180" t="s">
        <v>103</v>
      </c>
      <c r="EG180" t="s">
        <v>1906</v>
      </c>
      <c r="EH180" t="s">
        <v>1907</v>
      </c>
      <c r="EI180" t="s">
        <v>953</v>
      </c>
      <c r="EJ180">
        <v>9</v>
      </c>
      <c r="EK180">
        <v>18</v>
      </c>
      <c r="EL180">
        <v>88.8</v>
      </c>
    </row>
    <row r="181" spans="1:142" x14ac:dyDescent="0.35">
      <c r="A181" s="86" t="str">
        <f t="shared" si="30"/>
        <v>157637Cross Merchan SC Johnson</v>
      </c>
      <c r="B181">
        <v>157637</v>
      </c>
      <c r="C181" t="s">
        <v>365</v>
      </c>
      <c r="D181" t="s">
        <v>103</v>
      </c>
      <c r="E181" t="s">
        <v>554</v>
      </c>
      <c r="F181" t="s">
        <v>555</v>
      </c>
      <c r="G181" t="s">
        <v>111</v>
      </c>
      <c r="H181">
        <v>61.23</v>
      </c>
      <c r="I181">
        <v>8</v>
      </c>
      <c r="J181">
        <v>8</v>
      </c>
      <c r="L181" s="86" t="str">
        <f t="shared" si="31"/>
        <v>157637Share Sub Loc Pao Quente SC Johnson</v>
      </c>
      <c r="M181">
        <v>157637</v>
      </c>
      <c r="N181" t="s">
        <v>365</v>
      </c>
      <c r="O181" t="s">
        <v>36</v>
      </c>
      <c r="P181" t="s">
        <v>103</v>
      </c>
      <c r="Q181" t="s">
        <v>704</v>
      </c>
      <c r="R181" t="s">
        <v>705</v>
      </c>
      <c r="S181" t="s">
        <v>458</v>
      </c>
      <c r="T181">
        <v>12.75</v>
      </c>
      <c r="U181">
        <v>17</v>
      </c>
      <c r="V181">
        <v>73.459999999999994</v>
      </c>
      <c r="X181" s="86" t="str">
        <f t="shared" si="32"/>
        <v>157637Share Sub Loc Pao Quente SC Johnson</v>
      </c>
      <c r="Y181">
        <v>157637</v>
      </c>
      <c r="Z181" t="s">
        <v>365</v>
      </c>
      <c r="AA181" t="s">
        <v>36</v>
      </c>
      <c r="AB181" t="s">
        <v>103</v>
      </c>
      <c r="AC181" t="s">
        <v>815</v>
      </c>
      <c r="AD181" t="s">
        <v>816</v>
      </c>
      <c r="AE181" t="s">
        <v>458</v>
      </c>
      <c r="AF181">
        <v>17</v>
      </c>
      <c r="AG181">
        <v>17</v>
      </c>
      <c r="AH181">
        <v>86.5</v>
      </c>
      <c r="AJ181" s="86" t="str">
        <f t="shared" si="33"/>
        <v>157637Mix + Intocáveis SC Johnson</v>
      </c>
      <c r="AK181">
        <v>157637</v>
      </c>
      <c r="AL181" t="s">
        <v>365</v>
      </c>
      <c r="AM181" t="s">
        <v>36</v>
      </c>
      <c r="AN181" t="s">
        <v>103</v>
      </c>
      <c r="AO181" t="s">
        <v>976</v>
      </c>
      <c r="AP181" t="s">
        <v>977</v>
      </c>
      <c r="AQ181" t="s">
        <v>459</v>
      </c>
      <c r="AR181">
        <v>26.08</v>
      </c>
      <c r="AS181">
        <v>40</v>
      </c>
      <c r="AT181">
        <v>62.58</v>
      </c>
      <c r="AV181" s="86" t="str">
        <f t="shared" si="34"/>
        <v>159620Mix + Intocáveis SC Johnson</v>
      </c>
      <c r="AW181">
        <v>159620</v>
      </c>
      <c r="AX181" t="s">
        <v>394</v>
      </c>
      <c r="AY181" t="s">
        <v>482</v>
      </c>
      <c r="AZ181" t="s">
        <v>103</v>
      </c>
      <c r="BA181" t="s">
        <v>1093</v>
      </c>
      <c r="BB181" t="s">
        <v>1094</v>
      </c>
      <c r="BC181" t="s">
        <v>459</v>
      </c>
      <c r="BD181">
        <v>30.44</v>
      </c>
      <c r="BE181">
        <v>40</v>
      </c>
      <c r="BF181">
        <v>66.11</v>
      </c>
      <c r="BH181" s="86" t="str">
        <f t="shared" si="35"/>
        <v>152753Mix + Intocáveis SC Johnson</v>
      </c>
      <c r="BI181">
        <v>152753</v>
      </c>
      <c r="BJ181" t="s">
        <v>393</v>
      </c>
      <c r="BK181" t="s">
        <v>482</v>
      </c>
      <c r="BL181" t="s">
        <v>103</v>
      </c>
      <c r="BM181" t="s">
        <v>1159</v>
      </c>
      <c r="BN181" t="s">
        <v>1160</v>
      </c>
      <c r="BO181" t="s">
        <v>459</v>
      </c>
      <c r="BP181">
        <v>30.44</v>
      </c>
      <c r="BQ181">
        <v>40</v>
      </c>
      <c r="BR181">
        <v>86.87</v>
      </c>
      <c r="BT181" s="86" t="str">
        <f t="shared" si="24"/>
        <v>143128Cross Merchan SC Johnson</v>
      </c>
      <c r="BU181">
        <v>143128</v>
      </c>
      <c r="BV181" t="s">
        <v>391</v>
      </c>
      <c r="BW181" t="s">
        <v>539</v>
      </c>
      <c r="BX181" t="s">
        <v>103</v>
      </c>
      <c r="BY181" t="s">
        <v>1277</v>
      </c>
      <c r="BZ181" t="s">
        <v>1278</v>
      </c>
      <c r="CA181" t="s">
        <v>111</v>
      </c>
      <c r="CB181">
        <v>5</v>
      </c>
      <c r="CC181">
        <v>5</v>
      </c>
      <c r="CD181">
        <v>73.8</v>
      </c>
      <c r="CF181" s="86" t="str">
        <f t="shared" si="25"/>
        <v>150368Cross Merchan SC Johnson</v>
      </c>
      <c r="CG181">
        <v>150368</v>
      </c>
      <c r="CH181" t="s">
        <v>341</v>
      </c>
      <c r="CI181" t="s">
        <v>482</v>
      </c>
      <c r="CJ181" t="s">
        <v>103</v>
      </c>
      <c r="CK181" t="s">
        <v>1497</v>
      </c>
      <c r="CL181" t="s">
        <v>1498</v>
      </c>
      <c r="CM181" t="s">
        <v>111</v>
      </c>
      <c r="CN181">
        <v>5</v>
      </c>
      <c r="CO181">
        <v>5</v>
      </c>
      <c r="CP181">
        <v>96.2</v>
      </c>
      <c r="CR181" s="86" t="str">
        <f t="shared" si="26"/>
        <v>150368Cross Merchan SC Johnson</v>
      </c>
      <c r="CS181">
        <v>150368</v>
      </c>
      <c r="CT181" t="s">
        <v>341</v>
      </c>
      <c r="CU181" t="s">
        <v>482</v>
      </c>
      <c r="CV181" t="s">
        <v>103</v>
      </c>
      <c r="CW181" t="s">
        <v>1554</v>
      </c>
      <c r="CX181" t="s">
        <v>1555</v>
      </c>
      <c r="CY181" t="s">
        <v>111</v>
      </c>
      <c r="CZ181">
        <v>5</v>
      </c>
      <c r="DA181">
        <v>5</v>
      </c>
      <c r="DB181">
        <v>95.4</v>
      </c>
      <c r="DD181" s="86" t="str">
        <f t="shared" si="27"/>
        <v>152696Share Sub Category SC Johnson</v>
      </c>
      <c r="DE181">
        <v>152696</v>
      </c>
      <c r="DF181" t="s">
        <v>363</v>
      </c>
      <c r="DG181" t="s">
        <v>1306</v>
      </c>
      <c r="DH181" t="s">
        <v>103</v>
      </c>
      <c r="DI181" t="s">
        <v>1706</v>
      </c>
      <c r="DJ181" t="s">
        <v>1707</v>
      </c>
      <c r="DK181" t="s">
        <v>457</v>
      </c>
      <c r="DL181">
        <v>21.425000000000001</v>
      </c>
      <c r="DM181">
        <v>25</v>
      </c>
      <c r="DN181">
        <v>95.83</v>
      </c>
      <c r="DP181" s="86" t="str">
        <f t="shared" si="28"/>
        <v>152153Share Sub Category SC Johnson</v>
      </c>
      <c r="DQ181">
        <v>152153</v>
      </c>
      <c r="DR181" t="s">
        <v>342</v>
      </c>
      <c r="DS181" t="s">
        <v>1306</v>
      </c>
      <c r="DT181" t="s">
        <v>103</v>
      </c>
      <c r="DU181" t="s">
        <v>1776</v>
      </c>
      <c r="DV181" t="s">
        <v>1777</v>
      </c>
      <c r="DW181" t="s">
        <v>457</v>
      </c>
      <c r="DX181">
        <v>21.425000000000001</v>
      </c>
      <c r="DY181">
        <v>25</v>
      </c>
      <c r="DZ181">
        <v>100</v>
      </c>
      <c r="EB181" s="86" t="str">
        <f t="shared" si="29"/>
        <v>184217Share Sub Category SC Johnson</v>
      </c>
      <c r="EC181">
        <v>184217</v>
      </c>
      <c r="ED181" t="s">
        <v>402</v>
      </c>
      <c r="EE181" t="s">
        <v>482</v>
      </c>
      <c r="EF181" t="s">
        <v>103</v>
      </c>
      <c r="EG181" t="s">
        <v>1906</v>
      </c>
      <c r="EH181" t="s">
        <v>1907</v>
      </c>
      <c r="EI181" t="s">
        <v>457</v>
      </c>
      <c r="EJ181">
        <v>25</v>
      </c>
      <c r="EK181">
        <v>25</v>
      </c>
      <c r="EL181">
        <v>88.8</v>
      </c>
    </row>
    <row r="182" spans="1:142" x14ac:dyDescent="0.35">
      <c r="A182" s="86" t="str">
        <f t="shared" si="30"/>
        <v>157637Share Sub Loc Pao Quente SC Johnson</v>
      </c>
      <c r="B182">
        <v>157637</v>
      </c>
      <c r="C182" t="s">
        <v>365</v>
      </c>
      <c r="D182" t="s">
        <v>103</v>
      </c>
      <c r="E182" t="s">
        <v>554</v>
      </c>
      <c r="F182" t="s">
        <v>555</v>
      </c>
      <c r="G182" t="s">
        <v>458</v>
      </c>
      <c r="H182">
        <v>61.23</v>
      </c>
      <c r="I182">
        <v>13.6</v>
      </c>
      <c r="J182">
        <v>17</v>
      </c>
      <c r="L182" s="86" t="str">
        <f t="shared" si="31"/>
        <v>157637Mix + Intocáveis SC Johnson</v>
      </c>
      <c r="M182">
        <v>157637</v>
      </c>
      <c r="N182" t="s">
        <v>365</v>
      </c>
      <c r="O182" t="s">
        <v>36</v>
      </c>
      <c r="P182" t="s">
        <v>103</v>
      </c>
      <c r="Q182" t="s">
        <v>704</v>
      </c>
      <c r="R182" t="s">
        <v>705</v>
      </c>
      <c r="S182" t="s">
        <v>459</v>
      </c>
      <c r="T182">
        <v>27</v>
      </c>
      <c r="U182">
        <v>45</v>
      </c>
      <c r="V182">
        <v>73.459999999999994</v>
      </c>
      <c r="X182" s="86" t="str">
        <f t="shared" si="32"/>
        <v>157637Mix + Intocáveis SC Johnson</v>
      </c>
      <c r="Y182">
        <v>157637</v>
      </c>
      <c r="Z182" t="s">
        <v>365</v>
      </c>
      <c r="AA182" t="s">
        <v>36</v>
      </c>
      <c r="AB182" t="s">
        <v>103</v>
      </c>
      <c r="AC182" t="s">
        <v>815</v>
      </c>
      <c r="AD182" t="s">
        <v>816</v>
      </c>
      <c r="AE182" t="s">
        <v>459</v>
      </c>
      <c r="AF182">
        <v>31.5</v>
      </c>
      <c r="AG182">
        <v>45</v>
      </c>
      <c r="AH182">
        <v>86.5</v>
      </c>
      <c r="AJ182" s="86" t="str">
        <f t="shared" si="33"/>
        <v>157637Lancamentos</v>
      </c>
      <c r="AK182">
        <v>157637</v>
      </c>
      <c r="AL182" t="s">
        <v>365</v>
      </c>
      <c r="AM182" t="s">
        <v>36</v>
      </c>
      <c r="AN182" t="s">
        <v>103</v>
      </c>
      <c r="AO182" t="s">
        <v>976</v>
      </c>
      <c r="AP182" t="s">
        <v>977</v>
      </c>
      <c r="AQ182" t="s">
        <v>953</v>
      </c>
      <c r="AR182">
        <v>0</v>
      </c>
      <c r="AS182">
        <v>18</v>
      </c>
      <c r="AT182">
        <v>62.58</v>
      </c>
      <c r="AV182" s="86" t="str">
        <f t="shared" si="34"/>
        <v>159620Lancamentos</v>
      </c>
      <c r="AW182">
        <v>159620</v>
      </c>
      <c r="AX182" t="s">
        <v>394</v>
      </c>
      <c r="AY182" t="s">
        <v>482</v>
      </c>
      <c r="AZ182" t="s">
        <v>103</v>
      </c>
      <c r="BA182" t="s">
        <v>1093</v>
      </c>
      <c r="BB182" t="s">
        <v>1094</v>
      </c>
      <c r="BC182" t="s">
        <v>953</v>
      </c>
      <c r="BD182">
        <v>0</v>
      </c>
      <c r="BE182">
        <v>18</v>
      </c>
      <c r="BF182">
        <v>66.11</v>
      </c>
      <c r="BH182" s="86" t="str">
        <f t="shared" si="35"/>
        <v>152753Lancamentos</v>
      </c>
      <c r="BI182">
        <v>152753</v>
      </c>
      <c r="BJ182" t="s">
        <v>393</v>
      </c>
      <c r="BK182" t="s">
        <v>482</v>
      </c>
      <c r="BL182" t="s">
        <v>103</v>
      </c>
      <c r="BM182" t="s">
        <v>1159</v>
      </c>
      <c r="BN182" t="s">
        <v>1160</v>
      </c>
      <c r="BO182" t="s">
        <v>953</v>
      </c>
      <c r="BP182">
        <v>18</v>
      </c>
      <c r="BQ182">
        <v>18</v>
      </c>
      <c r="BR182">
        <v>86.87</v>
      </c>
      <c r="BT182" s="86" t="str">
        <f t="shared" si="24"/>
        <v>143128Execucao Bonus</v>
      </c>
      <c r="BU182">
        <v>143128</v>
      </c>
      <c r="BV182" t="s">
        <v>391</v>
      </c>
      <c r="BW182" t="s">
        <v>539</v>
      </c>
      <c r="BX182" t="s">
        <v>103</v>
      </c>
      <c r="BY182" t="s">
        <v>1277</v>
      </c>
      <c r="BZ182" t="s">
        <v>1278</v>
      </c>
      <c r="CA182" t="s">
        <v>1291</v>
      </c>
      <c r="CB182">
        <v>0</v>
      </c>
      <c r="CC182">
        <v>5</v>
      </c>
      <c r="CD182">
        <v>73.8</v>
      </c>
      <c r="CF182" s="86" t="str">
        <f t="shared" si="25"/>
        <v>150368Execucao Bonus</v>
      </c>
      <c r="CG182">
        <v>150368</v>
      </c>
      <c r="CH182" t="s">
        <v>341</v>
      </c>
      <c r="CI182" t="s">
        <v>482</v>
      </c>
      <c r="CJ182" t="s">
        <v>103</v>
      </c>
      <c r="CK182" t="s">
        <v>1497</v>
      </c>
      <c r="CL182" t="s">
        <v>1498</v>
      </c>
      <c r="CM182" t="s">
        <v>1291</v>
      </c>
      <c r="CN182">
        <v>5</v>
      </c>
      <c r="CO182">
        <v>5</v>
      </c>
      <c r="CP182">
        <v>96.2</v>
      </c>
      <c r="CR182" s="86" t="str">
        <f t="shared" si="26"/>
        <v>150368Execucao Bonus</v>
      </c>
      <c r="CS182">
        <v>150368</v>
      </c>
      <c r="CT182" t="s">
        <v>341</v>
      </c>
      <c r="CU182" t="s">
        <v>482</v>
      </c>
      <c r="CV182" t="s">
        <v>103</v>
      </c>
      <c r="CW182" t="s">
        <v>1554</v>
      </c>
      <c r="CX182" t="s">
        <v>1555</v>
      </c>
      <c r="CY182" t="s">
        <v>1291</v>
      </c>
      <c r="CZ182">
        <v>5</v>
      </c>
      <c r="DA182">
        <v>5</v>
      </c>
      <c r="DB182">
        <v>95.4</v>
      </c>
      <c r="DD182" s="86" t="str">
        <f t="shared" si="27"/>
        <v>152696Share Sub Loc Pao Quente SC Johnson</v>
      </c>
      <c r="DE182">
        <v>152696</v>
      </c>
      <c r="DF182" t="s">
        <v>363</v>
      </c>
      <c r="DG182" t="s">
        <v>1306</v>
      </c>
      <c r="DH182" t="s">
        <v>103</v>
      </c>
      <c r="DI182" t="s">
        <v>1706</v>
      </c>
      <c r="DJ182" t="s">
        <v>1707</v>
      </c>
      <c r="DK182" t="s">
        <v>458</v>
      </c>
      <c r="DL182">
        <v>12</v>
      </c>
      <c r="DM182">
        <v>12</v>
      </c>
      <c r="DN182">
        <v>95.83</v>
      </c>
      <c r="DP182" s="86" t="str">
        <f t="shared" si="28"/>
        <v>152153Share Sub Loc Pao Quente SC Johnson</v>
      </c>
      <c r="DQ182">
        <v>152153</v>
      </c>
      <c r="DR182" t="s">
        <v>342</v>
      </c>
      <c r="DS182" t="s">
        <v>1306</v>
      </c>
      <c r="DT182" t="s">
        <v>103</v>
      </c>
      <c r="DU182" t="s">
        <v>1776</v>
      </c>
      <c r="DV182" t="s">
        <v>1777</v>
      </c>
      <c r="DW182" t="s">
        <v>458</v>
      </c>
      <c r="DX182">
        <v>12</v>
      </c>
      <c r="DY182">
        <v>12</v>
      </c>
      <c r="DZ182">
        <v>100</v>
      </c>
      <c r="EB182" s="86" t="str">
        <f t="shared" si="29"/>
        <v>184217Share Sub Loc Pao Quente SC Johnson</v>
      </c>
      <c r="EC182">
        <v>184217</v>
      </c>
      <c r="ED182" t="s">
        <v>402</v>
      </c>
      <c r="EE182" t="s">
        <v>482</v>
      </c>
      <c r="EF182" t="s">
        <v>103</v>
      </c>
      <c r="EG182" t="s">
        <v>1906</v>
      </c>
      <c r="EH182" t="s">
        <v>1907</v>
      </c>
      <c r="EI182" t="s">
        <v>458</v>
      </c>
      <c r="EJ182">
        <v>12</v>
      </c>
      <c r="EK182">
        <v>12</v>
      </c>
      <c r="EL182">
        <v>88.8</v>
      </c>
    </row>
    <row r="183" spans="1:142" x14ac:dyDescent="0.35">
      <c r="A183" s="86" t="str">
        <f t="shared" si="30"/>
        <v>157637Mix + Intocáveis SC Johnson</v>
      </c>
      <c r="B183">
        <v>157637</v>
      </c>
      <c r="C183" t="s">
        <v>365</v>
      </c>
      <c r="D183" t="s">
        <v>103</v>
      </c>
      <c r="E183" t="s">
        <v>554</v>
      </c>
      <c r="F183" t="s">
        <v>555</v>
      </c>
      <c r="G183" t="s">
        <v>459</v>
      </c>
      <c r="H183">
        <v>61.23</v>
      </c>
      <c r="I183">
        <v>22.5</v>
      </c>
      <c r="J183">
        <v>45</v>
      </c>
      <c r="L183" s="86" t="str">
        <f t="shared" si="31"/>
        <v>159620Share Sub Category SC Johnson</v>
      </c>
      <c r="M183">
        <v>159620</v>
      </c>
      <c r="N183" t="s">
        <v>394</v>
      </c>
      <c r="O183" t="s">
        <v>482</v>
      </c>
      <c r="P183" t="s">
        <v>103</v>
      </c>
      <c r="Q183" t="s">
        <v>706</v>
      </c>
      <c r="R183" t="s">
        <v>707</v>
      </c>
      <c r="S183" t="s">
        <v>457</v>
      </c>
      <c r="T183">
        <v>25.71</v>
      </c>
      <c r="U183">
        <v>30</v>
      </c>
      <c r="V183">
        <v>65.709999999999994</v>
      </c>
      <c r="X183" s="86" t="str">
        <f t="shared" si="32"/>
        <v>159620Share Sub Category SC Johnson</v>
      </c>
      <c r="Y183">
        <v>159620</v>
      </c>
      <c r="Z183" t="s">
        <v>394</v>
      </c>
      <c r="AA183" t="s">
        <v>104</v>
      </c>
      <c r="AB183" t="s">
        <v>103</v>
      </c>
      <c r="AC183" t="s">
        <v>867</v>
      </c>
      <c r="AD183" t="s">
        <v>868</v>
      </c>
      <c r="AE183" t="s">
        <v>457</v>
      </c>
      <c r="AF183">
        <v>25.71</v>
      </c>
      <c r="AG183">
        <v>30</v>
      </c>
      <c r="AH183">
        <v>77.959999999999994</v>
      </c>
      <c r="AJ183" s="86" t="str">
        <f t="shared" si="33"/>
        <v>159620Share Sub Category SC Johnson</v>
      </c>
      <c r="AK183">
        <v>159620</v>
      </c>
      <c r="AL183" t="s">
        <v>394</v>
      </c>
      <c r="AM183" t="s">
        <v>104</v>
      </c>
      <c r="AN183" t="s">
        <v>103</v>
      </c>
      <c r="AO183" t="s">
        <v>1019</v>
      </c>
      <c r="AP183" t="s">
        <v>1020</v>
      </c>
      <c r="AQ183" t="s">
        <v>457</v>
      </c>
      <c r="AR183">
        <v>21.425000000000001</v>
      </c>
      <c r="AS183">
        <v>25</v>
      </c>
      <c r="AT183">
        <v>66.37</v>
      </c>
      <c r="AV183" s="86" t="str">
        <f t="shared" si="34"/>
        <v>160950Share Sub Category SC Johnson</v>
      </c>
      <c r="AW183">
        <v>160950</v>
      </c>
      <c r="AX183" t="s">
        <v>344</v>
      </c>
      <c r="AY183" t="s">
        <v>36</v>
      </c>
      <c r="AZ183" t="s">
        <v>103</v>
      </c>
      <c r="BA183" t="s">
        <v>1095</v>
      </c>
      <c r="BB183" t="s">
        <v>1096</v>
      </c>
      <c r="BC183" t="s">
        <v>457</v>
      </c>
      <c r="BD183">
        <v>25</v>
      </c>
      <c r="BE183">
        <v>25</v>
      </c>
      <c r="BF183">
        <v>59.62</v>
      </c>
      <c r="BH183" s="86" t="str">
        <f t="shared" si="35"/>
        <v>156263Share Sub Category SC Johnson</v>
      </c>
      <c r="BI183">
        <v>156263</v>
      </c>
      <c r="BJ183" t="s">
        <v>343</v>
      </c>
      <c r="BK183" t="s">
        <v>36</v>
      </c>
      <c r="BL183" t="s">
        <v>103</v>
      </c>
      <c r="BM183" t="s">
        <v>1203</v>
      </c>
      <c r="BN183" t="s">
        <v>1204</v>
      </c>
      <c r="BO183" t="s">
        <v>457</v>
      </c>
      <c r="BP183">
        <v>25</v>
      </c>
      <c r="BQ183">
        <v>25</v>
      </c>
      <c r="BR183">
        <v>88.77</v>
      </c>
      <c r="BT183" s="86" t="str">
        <f t="shared" si="24"/>
        <v>144056Lancamentos</v>
      </c>
      <c r="BU183">
        <v>144056</v>
      </c>
      <c r="BV183" t="s">
        <v>392</v>
      </c>
      <c r="BW183" t="s">
        <v>1306</v>
      </c>
      <c r="BX183" t="s">
        <v>103</v>
      </c>
      <c r="BY183" t="s">
        <v>1331</v>
      </c>
      <c r="BZ183" t="s">
        <v>1332</v>
      </c>
      <c r="CA183" t="s">
        <v>953</v>
      </c>
      <c r="CB183">
        <v>9</v>
      </c>
      <c r="CC183">
        <v>18</v>
      </c>
      <c r="CD183">
        <v>71.930000000000007</v>
      </c>
      <c r="CF183" s="86" t="str">
        <f t="shared" si="25"/>
        <v>152153Lancamentos</v>
      </c>
      <c r="CG183">
        <v>152153</v>
      </c>
      <c r="CH183" t="s">
        <v>342</v>
      </c>
      <c r="CI183" t="s">
        <v>1306</v>
      </c>
      <c r="CJ183" t="s">
        <v>103</v>
      </c>
      <c r="CK183" t="s">
        <v>1467</v>
      </c>
      <c r="CL183" t="s">
        <v>1468</v>
      </c>
      <c r="CM183" t="s">
        <v>953</v>
      </c>
      <c r="CN183">
        <v>18</v>
      </c>
      <c r="CO183">
        <v>18</v>
      </c>
      <c r="CP183">
        <v>101</v>
      </c>
      <c r="CR183" s="86" t="str">
        <f t="shared" si="26"/>
        <v>152153Lancamentos</v>
      </c>
      <c r="CS183">
        <v>152153</v>
      </c>
      <c r="CT183" t="s">
        <v>342</v>
      </c>
      <c r="CU183" t="s">
        <v>1306</v>
      </c>
      <c r="CV183" t="s">
        <v>103</v>
      </c>
      <c r="CW183" t="s">
        <v>1594</v>
      </c>
      <c r="CX183" t="s">
        <v>1595</v>
      </c>
      <c r="CY183" t="s">
        <v>953</v>
      </c>
      <c r="CZ183">
        <v>18</v>
      </c>
      <c r="DA183">
        <v>18</v>
      </c>
      <c r="DB183">
        <v>99.83</v>
      </c>
      <c r="DD183" s="86" t="str">
        <f t="shared" si="27"/>
        <v>152753Mix + Intocáveis SC Johnson</v>
      </c>
      <c r="DE183">
        <v>152753</v>
      </c>
      <c r="DF183" t="s">
        <v>393</v>
      </c>
      <c r="DG183" t="s">
        <v>482</v>
      </c>
      <c r="DH183" t="s">
        <v>103</v>
      </c>
      <c r="DI183" t="s">
        <v>1664</v>
      </c>
      <c r="DJ183" t="s">
        <v>1665</v>
      </c>
      <c r="DK183" t="s">
        <v>459</v>
      </c>
      <c r="DL183">
        <v>29.6</v>
      </c>
      <c r="DM183">
        <v>40</v>
      </c>
      <c r="DN183">
        <v>91.03</v>
      </c>
      <c r="DP183" s="86" t="str">
        <f t="shared" si="28"/>
        <v>152696Mix + Intocáveis SC Johnson</v>
      </c>
      <c r="DQ183">
        <v>152696</v>
      </c>
      <c r="DR183" t="s">
        <v>363</v>
      </c>
      <c r="DS183" t="s">
        <v>1306</v>
      </c>
      <c r="DT183" t="s">
        <v>103</v>
      </c>
      <c r="DU183" t="s">
        <v>1812</v>
      </c>
      <c r="DV183" t="s">
        <v>1813</v>
      </c>
      <c r="DW183" t="s">
        <v>459</v>
      </c>
      <c r="DX183">
        <v>36</v>
      </c>
      <c r="DY183">
        <v>40</v>
      </c>
      <c r="DZ183">
        <v>97.42</v>
      </c>
      <c r="EB183" s="86" t="str">
        <f t="shared" si="29"/>
        <v>184221Mix + Intocáveis SC Johnson</v>
      </c>
      <c r="EC183">
        <v>184221</v>
      </c>
      <c r="ED183" t="s">
        <v>403</v>
      </c>
      <c r="EE183" t="s">
        <v>482</v>
      </c>
      <c r="EF183" t="s">
        <v>103</v>
      </c>
      <c r="EG183" t="s">
        <v>1930</v>
      </c>
      <c r="EH183" t="s">
        <v>1931</v>
      </c>
      <c r="EI183" t="s">
        <v>459</v>
      </c>
      <c r="EJ183">
        <v>28.8</v>
      </c>
      <c r="EK183">
        <v>40</v>
      </c>
      <c r="EL183">
        <v>67.22</v>
      </c>
    </row>
    <row r="184" spans="1:142" x14ac:dyDescent="0.35">
      <c r="A184" s="86" t="str">
        <f t="shared" si="30"/>
        <v>160950Share Sub Category SC Johnson</v>
      </c>
      <c r="B184">
        <v>160950</v>
      </c>
      <c r="C184" t="s">
        <v>344</v>
      </c>
      <c r="D184" t="s">
        <v>103</v>
      </c>
      <c r="E184" t="s">
        <v>556</v>
      </c>
      <c r="F184" t="s">
        <v>557</v>
      </c>
      <c r="G184" t="s">
        <v>457</v>
      </c>
      <c r="H184">
        <v>64.06</v>
      </c>
      <c r="I184">
        <v>25.71</v>
      </c>
      <c r="J184">
        <v>30</v>
      </c>
      <c r="L184" s="86" t="str">
        <f t="shared" si="31"/>
        <v>159620Cross Merchan SC Johnson</v>
      </c>
      <c r="M184">
        <v>159620</v>
      </c>
      <c r="N184" t="s">
        <v>394</v>
      </c>
      <c r="O184" t="s">
        <v>482</v>
      </c>
      <c r="P184" t="s">
        <v>103</v>
      </c>
      <c r="Q184" t="s">
        <v>706</v>
      </c>
      <c r="R184" t="s">
        <v>707</v>
      </c>
      <c r="S184" t="s">
        <v>111</v>
      </c>
      <c r="T184">
        <v>0</v>
      </c>
      <c r="U184">
        <v>8</v>
      </c>
      <c r="V184">
        <v>65.709999999999994</v>
      </c>
      <c r="X184" s="86" t="str">
        <f t="shared" si="32"/>
        <v>159620Cross Merchan SC Johnson</v>
      </c>
      <c r="Y184">
        <v>159620</v>
      </c>
      <c r="Z184" t="s">
        <v>394</v>
      </c>
      <c r="AA184" t="s">
        <v>104</v>
      </c>
      <c r="AB184" t="s">
        <v>103</v>
      </c>
      <c r="AC184" t="s">
        <v>867</v>
      </c>
      <c r="AD184" t="s">
        <v>868</v>
      </c>
      <c r="AE184" t="s">
        <v>111</v>
      </c>
      <c r="AF184">
        <v>8</v>
      </c>
      <c r="AG184">
        <v>8</v>
      </c>
      <c r="AH184">
        <v>77.959999999999994</v>
      </c>
      <c r="AJ184" s="86" t="str">
        <f t="shared" si="33"/>
        <v>159620Cross Merchan SC Johnson</v>
      </c>
      <c r="AK184">
        <v>159620</v>
      </c>
      <c r="AL184" t="s">
        <v>394</v>
      </c>
      <c r="AM184" t="s">
        <v>104</v>
      </c>
      <c r="AN184" t="s">
        <v>103</v>
      </c>
      <c r="AO184" t="s">
        <v>1019</v>
      </c>
      <c r="AP184" t="s">
        <v>1020</v>
      </c>
      <c r="AQ184" t="s">
        <v>111</v>
      </c>
      <c r="AR184">
        <v>2.5</v>
      </c>
      <c r="AS184">
        <v>5</v>
      </c>
      <c r="AT184">
        <v>66.37</v>
      </c>
      <c r="AV184" s="86" t="str">
        <f t="shared" si="34"/>
        <v>160950Cross Merchan SC Johnson</v>
      </c>
      <c r="AW184">
        <v>160950</v>
      </c>
      <c r="AX184" t="s">
        <v>344</v>
      </c>
      <c r="AY184" t="s">
        <v>36</v>
      </c>
      <c r="AZ184" t="s">
        <v>103</v>
      </c>
      <c r="BA184" t="s">
        <v>1095</v>
      </c>
      <c r="BB184" t="s">
        <v>1096</v>
      </c>
      <c r="BC184" t="s">
        <v>111</v>
      </c>
      <c r="BD184">
        <v>1.665</v>
      </c>
      <c r="BE184">
        <v>5</v>
      </c>
      <c r="BF184">
        <v>59.62</v>
      </c>
      <c r="BH184" s="86" t="str">
        <f t="shared" si="35"/>
        <v>156263Cross Merchan SC Johnson</v>
      </c>
      <c r="BI184">
        <v>156263</v>
      </c>
      <c r="BJ184" t="s">
        <v>343</v>
      </c>
      <c r="BK184" t="s">
        <v>36</v>
      </c>
      <c r="BL184" t="s">
        <v>103</v>
      </c>
      <c r="BM184" t="s">
        <v>1203</v>
      </c>
      <c r="BN184" t="s">
        <v>1204</v>
      </c>
      <c r="BO184" t="s">
        <v>111</v>
      </c>
      <c r="BP184">
        <v>3.335</v>
      </c>
      <c r="BQ184">
        <v>5</v>
      </c>
      <c r="BR184">
        <v>88.77</v>
      </c>
      <c r="BT184" s="86" t="str">
        <f t="shared" si="24"/>
        <v>144056Mix + Intocáveis SC Johnson</v>
      </c>
      <c r="BU184">
        <v>144056</v>
      </c>
      <c r="BV184" t="s">
        <v>392</v>
      </c>
      <c r="BW184" t="s">
        <v>1306</v>
      </c>
      <c r="BX184" t="s">
        <v>103</v>
      </c>
      <c r="BY184" t="s">
        <v>1331</v>
      </c>
      <c r="BZ184" t="s">
        <v>1332</v>
      </c>
      <c r="CA184" t="s">
        <v>459</v>
      </c>
      <c r="CB184">
        <v>25.6</v>
      </c>
      <c r="CC184">
        <v>40</v>
      </c>
      <c r="CD184">
        <v>71.930000000000007</v>
      </c>
      <c r="CF184" s="86" t="str">
        <f t="shared" si="25"/>
        <v>152153Mix + Intocáveis SC Johnson</v>
      </c>
      <c r="CG184">
        <v>152153</v>
      </c>
      <c r="CH184" t="s">
        <v>342</v>
      </c>
      <c r="CI184" t="s">
        <v>1306</v>
      </c>
      <c r="CJ184" t="s">
        <v>103</v>
      </c>
      <c r="CK184" t="s">
        <v>1467</v>
      </c>
      <c r="CL184" t="s">
        <v>1468</v>
      </c>
      <c r="CM184" t="s">
        <v>459</v>
      </c>
      <c r="CN184">
        <v>36</v>
      </c>
      <c r="CO184">
        <v>40</v>
      </c>
      <c r="CP184">
        <v>101</v>
      </c>
      <c r="CR184" s="86" t="str">
        <f t="shared" si="26"/>
        <v>152153Mix + Intocáveis SC Johnson</v>
      </c>
      <c r="CS184">
        <v>152153</v>
      </c>
      <c r="CT184" t="s">
        <v>342</v>
      </c>
      <c r="CU184" t="s">
        <v>1306</v>
      </c>
      <c r="CV184" t="s">
        <v>103</v>
      </c>
      <c r="CW184" t="s">
        <v>1594</v>
      </c>
      <c r="CX184" t="s">
        <v>1595</v>
      </c>
      <c r="CY184" t="s">
        <v>459</v>
      </c>
      <c r="CZ184">
        <v>38.4</v>
      </c>
      <c r="DA184">
        <v>40</v>
      </c>
      <c r="DB184">
        <v>99.83</v>
      </c>
      <c r="DD184" s="86" t="str">
        <f t="shared" si="27"/>
        <v>152753Execucao Bonus</v>
      </c>
      <c r="DE184">
        <v>152753</v>
      </c>
      <c r="DF184" t="s">
        <v>393</v>
      </c>
      <c r="DG184" t="s">
        <v>482</v>
      </c>
      <c r="DH184" t="s">
        <v>103</v>
      </c>
      <c r="DI184" t="s">
        <v>1664</v>
      </c>
      <c r="DJ184" t="s">
        <v>1665</v>
      </c>
      <c r="DK184" t="s">
        <v>1291</v>
      </c>
      <c r="DL184">
        <v>5</v>
      </c>
      <c r="DM184">
        <v>5</v>
      </c>
      <c r="DN184">
        <v>91.03</v>
      </c>
      <c r="DP184" s="86" t="str">
        <f t="shared" si="28"/>
        <v>152696Execucao Bonus</v>
      </c>
      <c r="DQ184">
        <v>152696</v>
      </c>
      <c r="DR184" t="s">
        <v>363</v>
      </c>
      <c r="DS184" t="s">
        <v>1306</v>
      </c>
      <c r="DT184" t="s">
        <v>103</v>
      </c>
      <c r="DU184" t="s">
        <v>1812</v>
      </c>
      <c r="DV184" t="s">
        <v>1813</v>
      </c>
      <c r="DW184" t="s">
        <v>1291</v>
      </c>
      <c r="DX184">
        <v>5</v>
      </c>
      <c r="DY184">
        <v>5</v>
      </c>
      <c r="DZ184">
        <v>97.42</v>
      </c>
      <c r="EB184" s="86" t="str">
        <f t="shared" si="29"/>
        <v>184221Execucao Bonus</v>
      </c>
      <c r="EC184">
        <v>184221</v>
      </c>
      <c r="ED184" t="s">
        <v>403</v>
      </c>
      <c r="EE184" t="s">
        <v>482</v>
      </c>
      <c r="EF184" t="s">
        <v>103</v>
      </c>
      <c r="EG184" t="s">
        <v>1930</v>
      </c>
      <c r="EH184" t="s">
        <v>1931</v>
      </c>
      <c r="EI184" t="s">
        <v>1291</v>
      </c>
      <c r="EJ184">
        <v>0</v>
      </c>
      <c r="EK184">
        <v>5</v>
      </c>
      <c r="EL184">
        <v>67.22</v>
      </c>
    </row>
    <row r="185" spans="1:142" x14ac:dyDescent="0.35">
      <c r="A185" s="86" t="str">
        <f t="shared" si="30"/>
        <v>160950Cross Merchan SC Johnson</v>
      </c>
      <c r="B185">
        <v>160950</v>
      </c>
      <c r="C185" t="s">
        <v>344</v>
      </c>
      <c r="D185" t="s">
        <v>103</v>
      </c>
      <c r="E185" t="s">
        <v>556</v>
      </c>
      <c r="F185" t="s">
        <v>557</v>
      </c>
      <c r="G185" t="s">
        <v>111</v>
      </c>
      <c r="H185">
        <v>64.06</v>
      </c>
      <c r="I185">
        <v>0</v>
      </c>
      <c r="J185">
        <v>8</v>
      </c>
      <c r="L185" s="86" t="str">
        <f t="shared" si="31"/>
        <v>159620Share Sub Loc Pao Quente SC Johnson</v>
      </c>
      <c r="M185">
        <v>159620</v>
      </c>
      <c r="N185" t="s">
        <v>394</v>
      </c>
      <c r="O185" t="s">
        <v>482</v>
      </c>
      <c r="P185" t="s">
        <v>103</v>
      </c>
      <c r="Q185" t="s">
        <v>706</v>
      </c>
      <c r="R185" t="s">
        <v>707</v>
      </c>
      <c r="S185" t="s">
        <v>458</v>
      </c>
      <c r="T185">
        <v>8.5</v>
      </c>
      <c r="U185">
        <v>17</v>
      </c>
      <c r="V185">
        <v>65.709999999999994</v>
      </c>
      <c r="X185" s="86" t="str">
        <f t="shared" si="32"/>
        <v>159620Share Sub Loc Pao Quente SC Johnson</v>
      </c>
      <c r="Y185">
        <v>159620</v>
      </c>
      <c r="Z185" t="s">
        <v>394</v>
      </c>
      <c r="AA185" t="s">
        <v>104</v>
      </c>
      <c r="AB185" t="s">
        <v>103</v>
      </c>
      <c r="AC185" t="s">
        <v>867</v>
      </c>
      <c r="AD185" t="s">
        <v>868</v>
      </c>
      <c r="AE185" t="s">
        <v>458</v>
      </c>
      <c r="AF185">
        <v>12.75</v>
      </c>
      <c r="AG185">
        <v>17</v>
      </c>
      <c r="AH185">
        <v>77.959999999999994</v>
      </c>
      <c r="AJ185" s="86" t="str">
        <f t="shared" si="33"/>
        <v>159620Share Sub Loc Pao Quente SC Johnson</v>
      </c>
      <c r="AK185">
        <v>159620</v>
      </c>
      <c r="AL185" t="s">
        <v>394</v>
      </c>
      <c r="AM185" t="s">
        <v>104</v>
      </c>
      <c r="AN185" t="s">
        <v>103</v>
      </c>
      <c r="AO185" t="s">
        <v>1019</v>
      </c>
      <c r="AP185" t="s">
        <v>1020</v>
      </c>
      <c r="AQ185" t="s">
        <v>458</v>
      </c>
      <c r="AR185">
        <v>12</v>
      </c>
      <c r="AS185">
        <v>12</v>
      </c>
      <c r="AT185">
        <v>66.37</v>
      </c>
      <c r="AV185" s="86" t="str">
        <f t="shared" si="34"/>
        <v>160950Share Sub Loc Pao Quente SC Johnson</v>
      </c>
      <c r="AW185">
        <v>160950</v>
      </c>
      <c r="AX185" t="s">
        <v>344</v>
      </c>
      <c r="AY185" t="s">
        <v>36</v>
      </c>
      <c r="AZ185" t="s">
        <v>103</v>
      </c>
      <c r="BA185" t="s">
        <v>1095</v>
      </c>
      <c r="BB185" t="s">
        <v>1096</v>
      </c>
      <c r="BC185" t="s">
        <v>458</v>
      </c>
      <c r="BD185">
        <v>6</v>
      </c>
      <c r="BE185">
        <v>12</v>
      </c>
      <c r="BF185">
        <v>59.62</v>
      </c>
      <c r="BH185" s="86" t="str">
        <f t="shared" si="35"/>
        <v>156263Share Sub Loc Pao Quente SC Johnson</v>
      </c>
      <c r="BI185">
        <v>156263</v>
      </c>
      <c r="BJ185" t="s">
        <v>343</v>
      </c>
      <c r="BK185" t="s">
        <v>36</v>
      </c>
      <c r="BL185" t="s">
        <v>103</v>
      </c>
      <c r="BM185" t="s">
        <v>1203</v>
      </c>
      <c r="BN185" t="s">
        <v>1204</v>
      </c>
      <c r="BO185" t="s">
        <v>458</v>
      </c>
      <c r="BP185">
        <v>12</v>
      </c>
      <c r="BQ185">
        <v>12</v>
      </c>
      <c r="BR185">
        <v>88.77</v>
      </c>
      <c r="BT185" s="86" t="str">
        <f t="shared" si="24"/>
        <v>144056Share Sub Category SC Johnson</v>
      </c>
      <c r="BU185">
        <v>144056</v>
      </c>
      <c r="BV185" t="s">
        <v>392</v>
      </c>
      <c r="BW185" t="s">
        <v>1306</v>
      </c>
      <c r="BX185" t="s">
        <v>103</v>
      </c>
      <c r="BY185" t="s">
        <v>1331</v>
      </c>
      <c r="BZ185" t="s">
        <v>1332</v>
      </c>
      <c r="CA185" t="s">
        <v>457</v>
      </c>
      <c r="CB185">
        <v>25</v>
      </c>
      <c r="CC185">
        <v>25</v>
      </c>
      <c r="CD185">
        <v>71.930000000000007</v>
      </c>
      <c r="CF185" s="86" t="str">
        <f t="shared" si="25"/>
        <v>152153Share Sub Category SC Johnson</v>
      </c>
      <c r="CG185">
        <v>152153</v>
      </c>
      <c r="CH185" t="s">
        <v>342</v>
      </c>
      <c r="CI185" t="s">
        <v>1306</v>
      </c>
      <c r="CJ185" t="s">
        <v>103</v>
      </c>
      <c r="CK185" t="s">
        <v>1467</v>
      </c>
      <c r="CL185" t="s">
        <v>1468</v>
      </c>
      <c r="CM185" t="s">
        <v>457</v>
      </c>
      <c r="CN185">
        <v>25</v>
      </c>
      <c r="CO185">
        <v>25</v>
      </c>
      <c r="CP185">
        <v>101</v>
      </c>
      <c r="CR185" s="86" t="str">
        <f t="shared" si="26"/>
        <v>152153Share Sub Category SC Johnson</v>
      </c>
      <c r="CS185">
        <v>152153</v>
      </c>
      <c r="CT185" t="s">
        <v>342</v>
      </c>
      <c r="CU185" t="s">
        <v>1306</v>
      </c>
      <c r="CV185" t="s">
        <v>103</v>
      </c>
      <c r="CW185" t="s">
        <v>1594</v>
      </c>
      <c r="CX185" t="s">
        <v>1595</v>
      </c>
      <c r="CY185" t="s">
        <v>457</v>
      </c>
      <c r="CZ185">
        <v>21.425000000000001</v>
      </c>
      <c r="DA185">
        <v>25</v>
      </c>
      <c r="DB185">
        <v>99.83</v>
      </c>
      <c r="DD185" s="86" t="str">
        <f t="shared" si="27"/>
        <v>152753Cross Merchan SC Johnson</v>
      </c>
      <c r="DE185">
        <v>152753</v>
      </c>
      <c r="DF185" t="s">
        <v>393</v>
      </c>
      <c r="DG185" t="s">
        <v>482</v>
      </c>
      <c r="DH185" t="s">
        <v>103</v>
      </c>
      <c r="DI185" t="s">
        <v>1664</v>
      </c>
      <c r="DJ185" t="s">
        <v>1665</v>
      </c>
      <c r="DK185" t="s">
        <v>111</v>
      </c>
      <c r="DL185">
        <v>5</v>
      </c>
      <c r="DM185">
        <v>5</v>
      </c>
      <c r="DN185">
        <v>91.03</v>
      </c>
      <c r="DP185" s="86" t="str">
        <f t="shared" si="28"/>
        <v>152696Cross Merchan SC Johnson</v>
      </c>
      <c r="DQ185">
        <v>152696</v>
      </c>
      <c r="DR185" t="s">
        <v>363</v>
      </c>
      <c r="DS185" t="s">
        <v>1306</v>
      </c>
      <c r="DT185" t="s">
        <v>103</v>
      </c>
      <c r="DU185" t="s">
        <v>1812</v>
      </c>
      <c r="DV185" t="s">
        <v>1813</v>
      </c>
      <c r="DW185" t="s">
        <v>111</v>
      </c>
      <c r="DX185">
        <v>5</v>
      </c>
      <c r="DY185">
        <v>5</v>
      </c>
      <c r="DZ185">
        <v>97.42</v>
      </c>
      <c r="EB185" s="86" t="str">
        <f t="shared" si="29"/>
        <v>184221Cross Merchan SC Johnson</v>
      </c>
      <c r="EC185">
        <v>184221</v>
      </c>
      <c r="ED185" t="s">
        <v>403</v>
      </c>
      <c r="EE185" t="s">
        <v>482</v>
      </c>
      <c r="EF185" t="s">
        <v>103</v>
      </c>
      <c r="EG185" t="s">
        <v>1930</v>
      </c>
      <c r="EH185" t="s">
        <v>1931</v>
      </c>
      <c r="EI185" t="s">
        <v>111</v>
      </c>
      <c r="EJ185">
        <v>5</v>
      </c>
      <c r="EK185">
        <v>5</v>
      </c>
      <c r="EL185">
        <v>67.22</v>
      </c>
    </row>
    <row r="186" spans="1:142" x14ac:dyDescent="0.35">
      <c r="A186" s="86" t="str">
        <f t="shared" si="30"/>
        <v>160950Share Sub Loc Pao Quente SC Johnson</v>
      </c>
      <c r="B186">
        <v>160950</v>
      </c>
      <c r="C186" t="s">
        <v>344</v>
      </c>
      <c r="D186" t="s">
        <v>103</v>
      </c>
      <c r="E186" t="s">
        <v>556</v>
      </c>
      <c r="F186" t="s">
        <v>557</v>
      </c>
      <c r="G186" t="s">
        <v>458</v>
      </c>
      <c r="H186">
        <v>64.06</v>
      </c>
      <c r="I186">
        <v>13.6</v>
      </c>
      <c r="J186">
        <v>17</v>
      </c>
      <c r="L186" s="86" t="str">
        <f t="shared" si="31"/>
        <v>159620Mix + Intocáveis SC Johnson</v>
      </c>
      <c r="M186">
        <v>159620</v>
      </c>
      <c r="N186" t="s">
        <v>394</v>
      </c>
      <c r="O186" t="s">
        <v>482</v>
      </c>
      <c r="P186" t="s">
        <v>103</v>
      </c>
      <c r="Q186" t="s">
        <v>706</v>
      </c>
      <c r="R186" t="s">
        <v>707</v>
      </c>
      <c r="S186" t="s">
        <v>459</v>
      </c>
      <c r="T186">
        <v>31.5</v>
      </c>
      <c r="U186">
        <v>45</v>
      </c>
      <c r="V186">
        <v>65.709999999999994</v>
      </c>
      <c r="X186" s="86" t="str">
        <f t="shared" si="32"/>
        <v>159620Mix + Intocáveis SC Johnson</v>
      </c>
      <c r="Y186">
        <v>159620</v>
      </c>
      <c r="Z186" t="s">
        <v>394</v>
      </c>
      <c r="AA186" t="s">
        <v>104</v>
      </c>
      <c r="AB186" t="s">
        <v>103</v>
      </c>
      <c r="AC186" t="s">
        <v>867</v>
      </c>
      <c r="AD186" t="s">
        <v>868</v>
      </c>
      <c r="AE186" t="s">
        <v>459</v>
      </c>
      <c r="AF186">
        <v>31.5</v>
      </c>
      <c r="AG186">
        <v>45</v>
      </c>
      <c r="AH186">
        <v>77.959999999999994</v>
      </c>
      <c r="AJ186" s="86" t="str">
        <f t="shared" si="33"/>
        <v>159620Mix + Intocáveis SC Johnson</v>
      </c>
      <c r="AK186">
        <v>159620</v>
      </c>
      <c r="AL186" t="s">
        <v>394</v>
      </c>
      <c r="AM186" t="s">
        <v>104</v>
      </c>
      <c r="AN186" t="s">
        <v>103</v>
      </c>
      <c r="AO186" t="s">
        <v>1019</v>
      </c>
      <c r="AP186" t="s">
        <v>1020</v>
      </c>
      <c r="AQ186" t="s">
        <v>459</v>
      </c>
      <c r="AR186">
        <v>30.44</v>
      </c>
      <c r="AS186">
        <v>40</v>
      </c>
      <c r="AT186">
        <v>66.37</v>
      </c>
      <c r="AV186" s="86" t="str">
        <f t="shared" si="34"/>
        <v>160950Mix + Intocáveis SC Johnson</v>
      </c>
      <c r="AW186">
        <v>160950</v>
      </c>
      <c r="AX186" t="s">
        <v>344</v>
      </c>
      <c r="AY186" t="s">
        <v>36</v>
      </c>
      <c r="AZ186" t="s">
        <v>103</v>
      </c>
      <c r="BA186" t="s">
        <v>1095</v>
      </c>
      <c r="BB186" t="s">
        <v>1096</v>
      </c>
      <c r="BC186" t="s">
        <v>459</v>
      </c>
      <c r="BD186">
        <v>26.96</v>
      </c>
      <c r="BE186">
        <v>40</v>
      </c>
      <c r="BF186">
        <v>59.62</v>
      </c>
      <c r="BH186" s="86" t="str">
        <f t="shared" si="35"/>
        <v>156263Mix + Intocáveis SC Johnson</v>
      </c>
      <c r="BI186">
        <v>156263</v>
      </c>
      <c r="BJ186" t="s">
        <v>343</v>
      </c>
      <c r="BK186" t="s">
        <v>36</v>
      </c>
      <c r="BL186" t="s">
        <v>103</v>
      </c>
      <c r="BM186" t="s">
        <v>1203</v>
      </c>
      <c r="BN186" t="s">
        <v>1204</v>
      </c>
      <c r="BO186" t="s">
        <v>459</v>
      </c>
      <c r="BP186">
        <v>30.44</v>
      </c>
      <c r="BQ186">
        <v>40</v>
      </c>
      <c r="BR186">
        <v>88.77</v>
      </c>
      <c r="BT186" s="86" t="str">
        <f t="shared" si="24"/>
        <v>144056Share Sub Loc Pao Quente SC Johnson</v>
      </c>
      <c r="BU186">
        <v>144056</v>
      </c>
      <c r="BV186" t="s">
        <v>392</v>
      </c>
      <c r="BW186" t="s">
        <v>1306</v>
      </c>
      <c r="BX186" t="s">
        <v>103</v>
      </c>
      <c r="BY186" t="s">
        <v>1331</v>
      </c>
      <c r="BZ186" t="s">
        <v>1332</v>
      </c>
      <c r="CA186" t="s">
        <v>458</v>
      </c>
      <c r="CB186">
        <v>9</v>
      </c>
      <c r="CC186">
        <v>12</v>
      </c>
      <c r="CD186">
        <v>71.930000000000007</v>
      </c>
      <c r="CF186" s="86" t="str">
        <f t="shared" si="25"/>
        <v>152153Share Sub Loc Pao Quente SC Johnson</v>
      </c>
      <c r="CG186">
        <v>152153</v>
      </c>
      <c r="CH186" t="s">
        <v>342</v>
      </c>
      <c r="CI186" t="s">
        <v>1306</v>
      </c>
      <c r="CJ186" t="s">
        <v>103</v>
      </c>
      <c r="CK186" t="s">
        <v>1467</v>
      </c>
      <c r="CL186" t="s">
        <v>1468</v>
      </c>
      <c r="CM186" t="s">
        <v>458</v>
      </c>
      <c r="CN186">
        <v>12</v>
      </c>
      <c r="CO186">
        <v>12</v>
      </c>
      <c r="CP186">
        <v>101</v>
      </c>
      <c r="CR186" s="86" t="str">
        <f t="shared" si="26"/>
        <v>152153Share Sub Loc Pao Quente SC Johnson</v>
      </c>
      <c r="CS186">
        <v>152153</v>
      </c>
      <c r="CT186" t="s">
        <v>342</v>
      </c>
      <c r="CU186" t="s">
        <v>1306</v>
      </c>
      <c r="CV186" t="s">
        <v>103</v>
      </c>
      <c r="CW186" t="s">
        <v>1594</v>
      </c>
      <c r="CX186" t="s">
        <v>1595</v>
      </c>
      <c r="CY186" t="s">
        <v>458</v>
      </c>
      <c r="CZ186">
        <v>12</v>
      </c>
      <c r="DA186">
        <v>12</v>
      </c>
      <c r="DB186">
        <v>99.83</v>
      </c>
      <c r="DD186" s="86" t="str">
        <f t="shared" si="27"/>
        <v>152753Lancamentos</v>
      </c>
      <c r="DE186">
        <v>152753</v>
      </c>
      <c r="DF186" t="s">
        <v>393</v>
      </c>
      <c r="DG186" t="s">
        <v>482</v>
      </c>
      <c r="DH186" t="s">
        <v>103</v>
      </c>
      <c r="DI186" t="s">
        <v>1664</v>
      </c>
      <c r="DJ186" t="s">
        <v>1665</v>
      </c>
      <c r="DK186" t="s">
        <v>953</v>
      </c>
      <c r="DL186">
        <v>18</v>
      </c>
      <c r="DM186">
        <v>18</v>
      </c>
      <c r="DN186">
        <v>91.03</v>
      </c>
      <c r="DP186" s="86" t="str">
        <f t="shared" si="28"/>
        <v>152696Lancamentos</v>
      </c>
      <c r="DQ186">
        <v>152696</v>
      </c>
      <c r="DR186" t="s">
        <v>363</v>
      </c>
      <c r="DS186" t="s">
        <v>1306</v>
      </c>
      <c r="DT186" t="s">
        <v>103</v>
      </c>
      <c r="DU186" t="s">
        <v>1812</v>
      </c>
      <c r="DV186" t="s">
        <v>1813</v>
      </c>
      <c r="DW186" t="s">
        <v>953</v>
      </c>
      <c r="DX186">
        <v>18</v>
      </c>
      <c r="DY186">
        <v>18</v>
      </c>
      <c r="DZ186">
        <v>97.42</v>
      </c>
      <c r="EB186" s="86" t="str">
        <f t="shared" si="29"/>
        <v>184221Lancamentos</v>
      </c>
      <c r="EC186">
        <v>184221</v>
      </c>
      <c r="ED186" t="s">
        <v>403</v>
      </c>
      <c r="EE186" t="s">
        <v>482</v>
      </c>
      <c r="EF186" t="s">
        <v>103</v>
      </c>
      <c r="EG186" t="s">
        <v>1930</v>
      </c>
      <c r="EH186" t="s">
        <v>1931</v>
      </c>
      <c r="EI186" t="s">
        <v>953</v>
      </c>
      <c r="EJ186">
        <v>0</v>
      </c>
      <c r="EK186">
        <v>18</v>
      </c>
      <c r="EL186">
        <v>67.22</v>
      </c>
    </row>
    <row r="187" spans="1:142" x14ac:dyDescent="0.35">
      <c r="A187" s="86" t="str">
        <f t="shared" si="30"/>
        <v>160950Mix + Intocáveis SC Johnson</v>
      </c>
      <c r="B187">
        <v>160950</v>
      </c>
      <c r="C187" t="s">
        <v>344</v>
      </c>
      <c r="D187" t="s">
        <v>103</v>
      </c>
      <c r="E187" t="s">
        <v>556</v>
      </c>
      <c r="F187" t="s">
        <v>557</v>
      </c>
      <c r="G187" t="s">
        <v>459</v>
      </c>
      <c r="H187">
        <v>64.06</v>
      </c>
      <c r="I187">
        <v>24.75</v>
      </c>
      <c r="J187">
        <v>45</v>
      </c>
      <c r="L187" s="86" t="str">
        <f t="shared" si="31"/>
        <v>164006Share Sub Category SC Johnson</v>
      </c>
      <c r="M187">
        <v>164006</v>
      </c>
      <c r="N187" t="s">
        <v>395</v>
      </c>
      <c r="O187" t="s">
        <v>482</v>
      </c>
      <c r="P187" t="s">
        <v>103</v>
      </c>
      <c r="Q187" t="s">
        <v>708</v>
      </c>
      <c r="R187" t="s">
        <v>709</v>
      </c>
      <c r="S187" t="s">
        <v>457</v>
      </c>
      <c r="T187">
        <v>21.42</v>
      </c>
      <c r="U187">
        <v>30</v>
      </c>
      <c r="V187">
        <v>75.92</v>
      </c>
      <c r="X187" s="86" t="str">
        <f t="shared" si="32"/>
        <v>160950Share Sub Category SC Johnson</v>
      </c>
      <c r="Y187">
        <v>160950</v>
      </c>
      <c r="Z187" t="s">
        <v>344</v>
      </c>
      <c r="AA187" t="s">
        <v>36</v>
      </c>
      <c r="AB187" t="s">
        <v>103</v>
      </c>
      <c r="AC187" t="s">
        <v>765</v>
      </c>
      <c r="AD187" t="s">
        <v>766</v>
      </c>
      <c r="AE187" t="s">
        <v>457</v>
      </c>
      <c r="AF187">
        <v>17.13</v>
      </c>
      <c r="AG187">
        <v>30</v>
      </c>
      <c r="AH187">
        <v>66.88</v>
      </c>
      <c r="AJ187" s="86" t="str">
        <f t="shared" si="33"/>
        <v>159620Lancamentos</v>
      </c>
      <c r="AK187">
        <v>159620</v>
      </c>
      <c r="AL187" t="s">
        <v>394</v>
      </c>
      <c r="AM187" t="s">
        <v>104</v>
      </c>
      <c r="AN187" t="s">
        <v>103</v>
      </c>
      <c r="AO187" t="s">
        <v>1019</v>
      </c>
      <c r="AP187" t="s">
        <v>1020</v>
      </c>
      <c r="AQ187" t="s">
        <v>953</v>
      </c>
      <c r="AR187">
        <v>0</v>
      </c>
      <c r="AS187">
        <v>18</v>
      </c>
      <c r="AT187">
        <v>66.37</v>
      </c>
      <c r="AV187" s="86" t="str">
        <f t="shared" si="34"/>
        <v>160950Lancamentos</v>
      </c>
      <c r="AW187">
        <v>160950</v>
      </c>
      <c r="AX187" t="s">
        <v>344</v>
      </c>
      <c r="AY187" t="s">
        <v>36</v>
      </c>
      <c r="AZ187" t="s">
        <v>103</v>
      </c>
      <c r="BA187" t="s">
        <v>1095</v>
      </c>
      <c r="BB187" t="s">
        <v>1096</v>
      </c>
      <c r="BC187" t="s">
        <v>953</v>
      </c>
      <c r="BD187">
        <v>0</v>
      </c>
      <c r="BE187">
        <v>18</v>
      </c>
      <c r="BF187">
        <v>59.62</v>
      </c>
      <c r="BH187" s="86" t="str">
        <f t="shared" si="35"/>
        <v>156263Lancamentos</v>
      </c>
      <c r="BI187">
        <v>156263</v>
      </c>
      <c r="BJ187" t="s">
        <v>343</v>
      </c>
      <c r="BK187" t="s">
        <v>36</v>
      </c>
      <c r="BL187" t="s">
        <v>103</v>
      </c>
      <c r="BM187" t="s">
        <v>1203</v>
      </c>
      <c r="BN187" t="s">
        <v>1204</v>
      </c>
      <c r="BO187" t="s">
        <v>953</v>
      </c>
      <c r="BP187">
        <v>18</v>
      </c>
      <c r="BQ187">
        <v>18</v>
      </c>
      <c r="BR187">
        <v>88.77</v>
      </c>
      <c r="BT187" s="86" t="str">
        <f t="shared" si="24"/>
        <v>144056Cross Merchan SC Johnson</v>
      </c>
      <c r="BU187">
        <v>144056</v>
      </c>
      <c r="BV187" t="s">
        <v>392</v>
      </c>
      <c r="BW187" t="s">
        <v>1306</v>
      </c>
      <c r="BX187" t="s">
        <v>103</v>
      </c>
      <c r="BY187" t="s">
        <v>1331</v>
      </c>
      <c r="BZ187" t="s">
        <v>1332</v>
      </c>
      <c r="CA187" t="s">
        <v>111</v>
      </c>
      <c r="CB187">
        <v>3.335</v>
      </c>
      <c r="CC187">
        <v>5</v>
      </c>
      <c r="CD187">
        <v>71.930000000000007</v>
      </c>
      <c r="CF187" s="86" t="str">
        <f t="shared" si="25"/>
        <v>152153Cross Merchan SC Johnson</v>
      </c>
      <c r="CG187">
        <v>152153</v>
      </c>
      <c r="CH187" t="s">
        <v>342</v>
      </c>
      <c r="CI187" t="s">
        <v>1306</v>
      </c>
      <c r="CJ187" t="s">
        <v>103</v>
      </c>
      <c r="CK187" t="s">
        <v>1467</v>
      </c>
      <c r="CL187" t="s">
        <v>1468</v>
      </c>
      <c r="CM187" t="s">
        <v>111</v>
      </c>
      <c r="CN187">
        <v>5</v>
      </c>
      <c r="CO187">
        <v>5</v>
      </c>
      <c r="CP187">
        <v>101</v>
      </c>
      <c r="CR187" s="86" t="str">
        <f t="shared" si="26"/>
        <v>152153Cross Merchan SC Johnson</v>
      </c>
      <c r="CS187">
        <v>152153</v>
      </c>
      <c r="CT187" t="s">
        <v>342</v>
      </c>
      <c r="CU187" t="s">
        <v>1306</v>
      </c>
      <c r="CV187" t="s">
        <v>103</v>
      </c>
      <c r="CW187" t="s">
        <v>1594</v>
      </c>
      <c r="CX187" t="s">
        <v>1595</v>
      </c>
      <c r="CY187" t="s">
        <v>111</v>
      </c>
      <c r="CZ187">
        <v>5</v>
      </c>
      <c r="DA187">
        <v>5</v>
      </c>
      <c r="DB187">
        <v>99.83</v>
      </c>
      <c r="DD187" s="86" t="str">
        <f t="shared" si="27"/>
        <v>152753Share Sub Category SC Johnson</v>
      </c>
      <c r="DE187">
        <v>152753</v>
      </c>
      <c r="DF187" t="s">
        <v>393</v>
      </c>
      <c r="DG187" t="s">
        <v>482</v>
      </c>
      <c r="DH187" t="s">
        <v>103</v>
      </c>
      <c r="DI187" t="s">
        <v>1664</v>
      </c>
      <c r="DJ187" t="s">
        <v>1665</v>
      </c>
      <c r="DK187" t="s">
        <v>457</v>
      </c>
      <c r="DL187">
        <v>21.425000000000001</v>
      </c>
      <c r="DM187">
        <v>25</v>
      </c>
      <c r="DN187">
        <v>91.03</v>
      </c>
      <c r="DP187" s="86" t="str">
        <f t="shared" si="28"/>
        <v>152696Share Sub Category SC Johnson</v>
      </c>
      <c r="DQ187">
        <v>152696</v>
      </c>
      <c r="DR187" t="s">
        <v>363</v>
      </c>
      <c r="DS187" t="s">
        <v>1306</v>
      </c>
      <c r="DT187" t="s">
        <v>103</v>
      </c>
      <c r="DU187" t="s">
        <v>1812</v>
      </c>
      <c r="DV187" t="s">
        <v>1813</v>
      </c>
      <c r="DW187" t="s">
        <v>457</v>
      </c>
      <c r="DX187">
        <v>21.425000000000001</v>
      </c>
      <c r="DY187">
        <v>25</v>
      </c>
      <c r="DZ187">
        <v>97.42</v>
      </c>
      <c r="EB187" s="86" t="str">
        <f t="shared" si="29"/>
        <v>184221Share Sub Category SC Johnson</v>
      </c>
      <c r="EC187">
        <v>184221</v>
      </c>
      <c r="ED187" t="s">
        <v>403</v>
      </c>
      <c r="EE187" t="s">
        <v>482</v>
      </c>
      <c r="EF187" t="s">
        <v>103</v>
      </c>
      <c r="EG187" t="s">
        <v>1930</v>
      </c>
      <c r="EH187" t="s">
        <v>1931</v>
      </c>
      <c r="EI187" t="s">
        <v>457</v>
      </c>
      <c r="EJ187">
        <v>21.425000000000001</v>
      </c>
      <c r="EK187">
        <v>25</v>
      </c>
      <c r="EL187">
        <v>67.22</v>
      </c>
    </row>
    <row r="188" spans="1:142" x14ac:dyDescent="0.35">
      <c r="A188" s="86" t="str">
        <f t="shared" si="30"/>
        <v>164006Share Sub Category SC Johnson</v>
      </c>
      <c r="B188">
        <v>164006</v>
      </c>
      <c r="C188" t="s">
        <v>395</v>
      </c>
      <c r="D188" t="s">
        <v>103</v>
      </c>
      <c r="E188" t="s">
        <v>558</v>
      </c>
      <c r="F188" t="s">
        <v>559</v>
      </c>
      <c r="G188" t="s">
        <v>457</v>
      </c>
      <c r="H188">
        <v>34.590000000000003</v>
      </c>
      <c r="I188">
        <v>17.13</v>
      </c>
      <c r="J188">
        <v>30</v>
      </c>
      <c r="L188" s="86" t="str">
        <f t="shared" si="31"/>
        <v>164006Cross Merchan SC Johnson</v>
      </c>
      <c r="M188">
        <v>164006</v>
      </c>
      <c r="N188" t="s">
        <v>395</v>
      </c>
      <c r="O188" t="s">
        <v>482</v>
      </c>
      <c r="P188" t="s">
        <v>103</v>
      </c>
      <c r="Q188" t="s">
        <v>708</v>
      </c>
      <c r="R188" t="s">
        <v>709</v>
      </c>
      <c r="S188" t="s">
        <v>111</v>
      </c>
      <c r="T188">
        <v>8</v>
      </c>
      <c r="U188">
        <v>8</v>
      </c>
      <c r="V188">
        <v>75.92</v>
      </c>
      <c r="X188" s="86" t="str">
        <f t="shared" si="32"/>
        <v>160950Cross Merchan SC Johnson</v>
      </c>
      <c r="Y188">
        <v>160950</v>
      </c>
      <c r="Z188" t="s">
        <v>344</v>
      </c>
      <c r="AA188" t="s">
        <v>36</v>
      </c>
      <c r="AB188" t="s">
        <v>103</v>
      </c>
      <c r="AC188" t="s">
        <v>765</v>
      </c>
      <c r="AD188" t="s">
        <v>766</v>
      </c>
      <c r="AE188" t="s">
        <v>111</v>
      </c>
      <c r="AF188">
        <v>8</v>
      </c>
      <c r="AG188">
        <v>8</v>
      </c>
      <c r="AH188">
        <v>66.88</v>
      </c>
      <c r="AJ188" s="86" t="str">
        <f t="shared" si="33"/>
        <v>160950Share Sub Category SC Johnson</v>
      </c>
      <c r="AK188">
        <v>160950</v>
      </c>
      <c r="AL188" t="s">
        <v>344</v>
      </c>
      <c r="AM188" t="s">
        <v>36</v>
      </c>
      <c r="AN188" t="s">
        <v>103</v>
      </c>
      <c r="AO188" t="s">
        <v>931</v>
      </c>
      <c r="AP188" t="s">
        <v>932</v>
      </c>
      <c r="AQ188" t="s">
        <v>457</v>
      </c>
      <c r="AR188">
        <v>21.425000000000001</v>
      </c>
      <c r="AS188">
        <v>25</v>
      </c>
      <c r="AT188">
        <v>57.28</v>
      </c>
      <c r="AV188" s="86" t="str">
        <f t="shared" si="34"/>
        <v>166873Share Sub Category SC Johnson</v>
      </c>
      <c r="AW188">
        <v>166873</v>
      </c>
      <c r="AX188" t="s">
        <v>345</v>
      </c>
      <c r="AY188" t="s">
        <v>36</v>
      </c>
      <c r="AZ188" t="s">
        <v>103</v>
      </c>
      <c r="BA188" t="s">
        <v>1097</v>
      </c>
      <c r="BB188" t="s">
        <v>1098</v>
      </c>
      <c r="BC188" t="s">
        <v>457</v>
      </c>
      <c r="BD188">
        <v>25</v>
      </c>
      <c r="BE188">
        <v>25</v>
      </c>
      <c r="BF188">
        <v>60.87</v>
      </c>
      <c r="BH188" s="86" t="str">
        <f t="shared" si="35"/>
        <v>157153Share Sub Category SC Johnson</v>
      </c>
      <c r="BI188">
        <v>157153</v>
      </c>
      <c r="BJ188" t="s">
        <v>364</v>
      </c>
      <c r="BK188" t="s">
        <v>36</v>
      </c>
      <c r="BL188" t="s">
        <v>103</v>
      </c>
      <c r="BM188" t="s">
        <v>1161</v>
      </c>
      <c r="BN188" t="s">
        <v>1162</v>
      </c>
      <c r="BO188" t="s">
        <v>457</v>
      </c>
      <c r="BP188">
        <v>21.425000000000001</v>
      </c>
      <c r="BQ188">
        <v>25</v>
      </c>
      <c r="BR188">
        <v>79.2</v>
      </c>
      <c r="BT188" s="86" t="str">
        <f t="shared" si="24"/>
        <v>144056Execucao Bonus</v>
      </c>
      <c r="BU188">
        <v>144056</v>
      </c>
      <c r="BV188" t="s">
        <v>392</v>
      </c>
      <c r="BW188" t="s">
        <v>1306</v>
      </c>
      <c r="BX188" t="s">
        <v>103</v>
      </c>
      <c r="BY188" t="s">
        <v>1331</v>
      </c>
      <c r="BZ188" t="s">
        <v>1332</v>
      </c>
      <c r="CA188" t="s">
        <v>1291</v>
      </c>
      <c r="CB188">
        <v>0</v>
      </c>
      <c r="CC188">
        <v>5</v>
      </c>
      <c r="CD188">
        <v>71.930000000000007</v>
      </c>
      <c r="CF188" s="86" t="str">
        <f t="shared" si="25"/>
        <v>152153Execucao Bonus</v>
      </c>
      <c r="CG188">
        <v>152153</v>
      </c>
      <c r="CH188" t="s">
        <v>342</v>
      </c>
      <c r="CI188" t="s">
        <v>1306</v>
      </c>
      <c r="CJ188" t="s">
        <v>103</v>
      </c>
      <c r="CK188" t="s">
        <v>1467</v>
      </c>
      <c r="CL188" t="s">
        <v>1468</v>
      </c>
      <c r="CM188" t="s">
        <v>1291</v>
      </c>
      <c r="CN188">
        <v>4</v>
      </c>
      <c r="CO188">
        <v>5</v>
      </c>
      <c r="CP188">
        <v>101</v>
      </c>
      <c r="CR188" s="86" t="str">
        <f t="shared" si="26"/>
        <v>152153Execucao Bonus</v>
      </c>
      <c r="CS188">
        <v>152153</v>
      </c>
      <c r="CT188" t="s">
        <v>342</v>
      </c>
      <c r="CU188" t="s">
        <v>1306</v>
      </c>
      <c r="CV188" t="s">
        <v>103</v>
      </c>
      <c r="CW188" t="s">
        <v>1594</v>
      </c>
      <c r="CX188" t="s">
        <v>1595</v>
      </c>
      <c r="CY188" t="s">
        <v>1291</v>
      </c>
      <c r="CZ188">
        <v>5</v>
      </c>
      <c r="DA188">
        <v>5</v>
      </c>
      <c r="DB188">
        <v>99.83</v>
      </c>
      <c r="DD188" s="86" t="str">
        <f t="shared" si="27"/>
        <v>152753Share Sub Loc Pao Quente SC Johnson</v>
      </c>
      <c r="DE188">
        <v>152753</v>
      </c>
      <c r="DF188" t="s">
        <v>393</v>
      </c>
      <c r="DG188" t="s">
        <v>482</v>
      </c>
      <c r="DH188" t="s">
        <v>103</v>
      </c>
      <c r="DI188" t="s">
        <v>1664</v>
      </c>
      <c r="DJ188" t="s">
        <v>1665</v>
      </c>
      <c r="DK188" t="s">
        <v>458</v>
      </c>
      <c r="DL188">
        <v>12</v>
      </c>
      <c r="DM188">
        <v>12</v>
      </c>
      <c r="DN188">
        <v>91.03</v>
      </c>
      <c r="DP188" s="86" t="str">
        <f t="shared" si="28"/>
        <v>152696Share Sub Loc Pao Quente SC Johnson</v>
      </c>
      <c r="DQ188">
        <v>152696</v>
      </c>
      <c r="DR188" t="s">
        <v>363</v>
      </c>
      <c r="DS188" t="s">
        <v>1306</v>
      </c>
      <c r="DT188" t="s">
        <v>103</v>
      </c>
      <c r="DU188" t="s">
        <v>1812</v>
      </c>
      <c r="DV188" t="s">
        <v>1813</v>
      </c>
      <c r="DW188" t="s">
        <v>458</v>
      </c>
      <c r="DX188">
        <v>12</v>
      </c>
      <c r="DY188">
        <v>12</v>
      </c>
      <c r="DZ188">
        <v>97.42</v>
      </c>
      <c r="EB188" s="86" t="str">
        <f t="shared" si="29"/>
        <v>184221Share Sub Loc Pao Quente SC Johnson</v>
      </c>
      <c r="EC188">
        <v>184221</v>
      </c>
      <c r="ED188" t="s">
        <v>403</v>
      </c>
      <c r="EE188" t="s">
        <v>482</v>
      </c>
      <c r="EF188" t="s">
        <v>103</v>
      </c>
      <c r="EG188" t="s">
        <v>1930</v>
      </c>
      <c r="EH188" t="s">
        <v>1931</v>
      </c>
      <c r="EI188" t="s">
        <v>458</v>
      </c>
      <c r="EJ188">
        <v>12</v>
      </c>
      <c r="EK188">
        <v>12</v>
      </c>
      <c r="EL188">
        <v>67.22</v>
      </c>
    </row>
    <row r="189" spans="1:142" x14ac:dyDescent="0.35">
      <c r="A189" s="86" t="str">
        <f t="shared" si="30"/>
        <v>164006Cross Merchan SC Johnson</v>
      </c>
      <c r="B189">
        <v>164006</v>
      </c>
      <c r="C189" t="s">
        <v>395</v>
      </c>
      <c r="D189" t="s">
        <v>103</v>
      </c>
      <c r="E189" t="s">
        <v>558</v>
      </c>
      <c r="F189" t="s">
        <v>559</v>
      </c>
      <c r="G189" t="s">
        <v>111</v>
      </c>
      <c r="H189">
        <v>34.590000000000003</v>
      </c>
      <c r="I189">
        <v>0</v>
      </c>
      <c r="J189">
        <v>8</v>
      </c>
      <c r="L189" s="86" t="str">
        <f t="shared" si="31"/>
        <v>164006Share Sub Loc Pao Quente SC Johnson</v>
      </c>
      <c r="M189">
        <v>164006</v>
      </c>
      <c r="N189" t="s">
        <v>395</v>
      </c>
      <c r="O189" t="s">
        <v>482</v>
      </c>
      <c r="P189" t="s">
        <v>103</v>
      </c>
      <c r="Q189" t="s">
        <v>708</v>
      </c>
      <c r="R189" t="s">
        <v>709</v>
      </c>
      <c r="S189" t="s">
        <v>458</v>
      </c>
      <c r="T189">
        <v>12.75</v>
      </c>
      <c r="U189">
        <v>17</v>
      </c>
      <c r="V189">
        <v>75.92</v>
      </c>
      <c r="X189" s="86" t="str">
        <f t="shared" si="32"/>
        <v>160950Share Sub Loc Pao Quente SC Johnson</v>
      </c>
      <c r="Y189">
        <v>160950</v>
      </c>
      <c r="Z189" t="s">
        <v>344</v>
      </c>
      <c r="AA189" t="s">
        <v>36</v>
      </c>
      <c r="AB189" t="s">
        <v>103</v>
      </c>
      <c r="AC189" t="s">
        <v>765</v>
      </c>
      <c r="AD189" t="s">
        <v>766</v>
      </c>
      <c r="AE189" t="s">
        <v>458</v>
      </c>
      <c r="AF189">
        <v>17</v>
      </c>
      <c r="AG189">
        <v>17</v>
      </c>
      <c r="AH189">
        <v>66.88</v>
      </c>
      <c r="AJ189" s="86" t="str">
        <f t="shared" si="33"/>
        <v>160950Cross Merchan SC Johnson</v>
      </c>
      <c r="AK189">
        <v>160950</v>
      </c>
      <c r="AL189" t="s">
        <v>344</v>
      </c>
      <c r="AM189" t="s">
        <v>36</v>
      </c>
      <c r="AN189" t="s">
        <v>103</v>
      </c>
      <c r="AO189" t="s">
        <v>931</v>
      </c>
      <c r="AP189" t="s">
        <v>932</v>
      </c>
      <c r="AQ189" t="s">
        <v>111</v>
      </c>
      <c r="AR189">
        <v>2.5</v>
      </c>
      <c r="AS189">
        <v>5</v>
      </c>
      <c r="AT189">
        <v>57.28</v>
      </c>
      <c r="AV189" s="86" t="str">
        <f t="shared" si="34"/>
        <v>166873Cross Merchan SC Johnson</v>
      </c>
      <c r="AW189">
        <v>166873</v>
      </c>
      <c r="AX189" t="s">
        <v>345</v>
      </c>
      <c r="AY189" t="s">
        <v>36</v>
      </c>
      <c r="AZ189" t="s">
        <v>103</v>
      </c>
      <c r="BA189" t="s">
        <v>1097</v>
      </c>
      <c r="BB189" t="s">
        <v>1098</v>
      </c>
      <c r="BC189" t="s">
        <v>111</v>
      </c>
      <c r="BD189">
        <v>1.665</v>
      </c>
      <c r="BE189">
        <v>5</v>
      </c>
      <c r="BF189">
        <v>60.87</v>
      </c>
      <c r="BH189" s="86" t="str">
        <f t="shared" si="35"/>
        <v>157153Cross Merchan SC Johnson</v>
      </c>
      <c r="BI189">
        <v>157153</v>
      </c>
      <c r="BJ189" t="s">
        <v>364</v>
      </c>
      <c r="BK189" t="s">
        <v>36</v>
      </c>
      <c r="BL189" t="s">
        <v>103</v>
      </c>
      <c r="BM189" t="s">
        <v>1161</v>
      </c>
      <c r="BN189" t="s">
        <v>1162</v>
      </c>
      <c r="BO189" t="s">
        <v>111</v>
      </c>
      <c r="BP189">
        <v>3.335</v>
      </c>
      <c r="BQ189">
        <v>5</v>
      </c>
      <c r="BR189">
        <v>79.2</v>
      </c>
      <c r="BT189" s="86" t="str">
        <f t="shared" si="24"/>
        <v>150368Lancamentos</v>
      </c>
      <c r="BU189">
        <v>150368</v>
      </c>
      <c r="BV189" t="s">
        <v>341</v>
      </c>
      <c r="BW189" t="s">
        <v>482</v>
      </c>
      <c r="BX189" t="s">
        <v>103</v>
      </c>
      <c r="BY189" t="s">
        <v>1279</v>
      </c>
      <c r="BZ189" t="s">
        <v>1280</v>
      </c>
      <c r="CA189" t="s">
        <v>953</v>
      </c>
      <c r="CB189">
        <v>9</v>
      </c>
      <c r="CC189">
        <v>18</v>
      </c>
      <c r="CD189">
        <v>72.22</v>
      </c>
      <c r="CF189" s="86" t="str">
        <f t="shared" si="25"/>
        <v>152696Lancamentos</v>
      </c>
      <c r="CG189">
        <v>152696</v>
      </c>
      <c r="CH189" t="s">
        <v>363</v>
      </c>
      <c r="CI189" t="s">
        <v>1306</v>
      </c>
      <c r="CJ189" t="s">
        <v>103</v>
      </c>
      <c r="CK189" t="s">
        <v>1469</v>
      </c>
      <c r="CL189" t="s">
        <v>1470</v>
      </c>
      <c r="CM189" t="s">
        <v>953</v>
      </c>
      <c r="CN189">
        <v>18</v>
      </c>
      <c r="CO189">
        <v>18</v>
      </c>
      <c r="CP189">
        <v>97</v>
      </c>
      <c r="CR189" s="86" t="str">
        <f t="shared" si="26"/>
        <v>152696Lancamentos</v>
      </c>
      <c r="CS189">
        <v>152696</v>
      </c>
      <c r="CT189" t="s">
        <v>363</v>
      </c>
      <c r="CU189" t="s">
        <v>1306</v>
      </c>
      <c r="CV189" t="s">
        <v>103</v>
      </c>
      <c r="CW189" t="s">
        <v>1596</v>
      </c>
      <c r="CX189" t="s">
        <v>1597</v>
      </c>
      <c r="CY189" t="s">
        <v>953</v>
      </c>
      <c r="CZ189">
        <v>9</v>
      </c>
      <c r="DA189">
        <v>18</v>
      </c>
      <c r="DB189">
        <v>92.8</v>
      </c>
      <c r="DD189" s="86" t="str">
        <f t="shared" si="27"/>
        <v>156263Mix + Intocáveis SC Johnson</v>
      </c>
      <c r="DE189">
        <v>156263</v>
      </c>
      <c r="DF189" t="s">
        <v>343</v>
      </c>
      <c r="DG189" t="s">
        <v>1306</v>
      </c>
      <c r="DH189" t="s">
        <v>103</v>
      </c>
      <c r="DI189" t="s">
        <v>1708</v>
      </c>
      <c r="DJ189" t="s">
        <v>1709</v>
      </c>
      <c r="DK189" t="s">
        <v>459</v>
      </c>
      <c r="DL189">
        <v>38.4</v>
      </c>
      <c r="DM189">
        <v>40</v>
      </c>
      <c r="DN189">
        <v>96.83</v>
      </c>
      <c r="DP189" s="86" t="str">
        <f t="shared" si="28"/>
        <v>152753Mix + Intocáveis SC Johnson</v>
      </c>
      <c r="DQ189">
        <v>152753</v>
      </c>
      <c r="DR189" t="s">
        <v>393</v>
      </c>
      <c r="DS189" t="s">
        <v>482</v>
      </c>
      <c r="DT189" t="s">
        <v>103</v>
      </c>
      <c r="DU189" t="s">
        <v>1754</v>
      </c>
      <c r="DV189" t="s">
        <v>1755</v>
      </c>
      <c r="DW189" t="s">
        <v>459</v>
      </c>
      <c r="DX189">
        <v>30.4</v>
      </c>
      <c r="DY189">
        <v>40</v>
      </c>
      <c r="DZ189">
        <v>91.83</v>
      </c>
      <c r="EB189" s="86" t="str">
        <f t="shared" si="29"/>
        <v>184335Mix + Intocáveis SC Johnson</v>
      </c>
      <c r="EC189">
        <v>184335</v>
      </c>
      <c r="ED189" t="s">
        <v>404</v>
      </c>
      <c r="EE189" t="s">
        <v>482</v>
      </c>
      <c r="EF189" t="s">
        <v>103</v>
      </c>
      <c r="EG189" t="s">
        <v>1932</v>
      </c>
      <c r="EH189" t="s">
        <v>1933</v>
      </c>
      <c r="EI189" t="s">
        <v>459</v>
      </c>
      <c r="EJ189">
        <v>28</v>
      </c>
      <c r="EK189">
        <v>40</v>
      </c>
      <c r="EL189">
        <v>80.42</v>
      </c>
    </row>
    <row r="190" spans="1:142" x14ac:dyDescent="0.35">
      <c r="A190" s="86" t="str">
        <f t="shared" si="30"/>
        <v>164006Share Sub Loc Pao Quente SC Johnson</v>
      </c>
      <c r="B190">
        <v>164006</v>
      </c>
      <c r="C190" t="s">
        <v>395</v>
      </c>
      <c r="D190" t="s">
        <v>103</v>
      </c>
      <c r="E190" t="s">
        <v>558</v>
      </c>
      <c r="F190" t="s">
        <v>559</v>
      </c>
      <c r="G190" t="s">
        <v>458</v>
      </c>
      <c r="H190">
        <v>34.590000000000003</v>
      </c>
      <c r="I190">
        <v>3.4</v>
      </c>
      <c r="J190">
        <v>17</v>
      </c>
      <c r="L190" s="86" t="str">
        <f t="shared" si="31"/>
        <v>164006Mix + Intocáveis SC Johnson</v>
      </c>
      <c r="M190">
        <v>164006</v>
      </c>
      <c r="N190" t="s">
        <v>395</v>
      </c>
      <c r="O190" t="s">
        <v>482</v>
      </c>
      <c r="P190" t="s">
        <v>103</v>
      </c>
      <c r="Q190" t="s">
        <v>708</v>
      </c>
      <c r="R190" t="s">
        <v>709</v>
      </c>
      <c r="S190" t="s">
        <v>459</v>
      </c>
      <c r="T190">
        <v>33.75</v>
      </c>
      <c r="U190">
        <v>45</v>
      </c>
      <c r="V190">
        <v>75.92</v>
      </c>
      <c r="X190" s="86" t="str">
        <f t="shared" si="32"/>
        <v>160950Mix + Intocáveis SC Johnson</v>
      </c>
      <c r="Y190">
        <v>160950</v>
      </c>
      <c r="Z190" t="s">
        <v>344</v>
      </c>
      <c r="AA190" t="s">
        <v>36</v>
      </c>
      <c r="AB190" t="s">
        <v>103</v>
      </c>
      <c r="AC190" t="s">
        <v>765</v>
      </c>
      <c r="AD190" t="s">
        <v>766</v>
      </c>
      <c r="AE190" t="s">
        <v>459</v>
      </c>
      <c r="AF190">
        <v>24.75</v>
      </c>
      <c r="AG190">
        <v>45</v>
      </c>
      <c r="AH190">
        <v>66.88</v>
      </c>
      <c r="AJ190" s="86" t="str">
        <f t="shared" si="33"/>
        <v>160950Share Sub Loc Pao Quente SC Johnson</v>
      </c>
      <c r="AK190">
        <v>160950</v>
      </c>
      <c r="AL190" t="s">
        <v>344</v>
      </c>
      <c r="AM190" t="s">
        <v>36</v>
      </c>
      <c r="AN190" t="s">
        <v>103</v>
      </c>
      <c r="AO190" t="s">
        <v>931</v>
      </c>
      <c r="AP190" t="s">
        <v>932</v>
      </c>
      <c r="AQ190" t="s">
        <v>458</v>
      </c>
      <c r="AR190">
        <v>9</v>
      </c>
      <c r="AS190">
        <v>12</v>
      </c>
      <c r="AT190">
        <v>57.28</v>
      </c>
      <c r="AV190" s="86" t="str">
        <f t="shared" si="34"/>
        <v>166873Share Sub Loc Pao Quente SC Johnson</v>
      </c>
      <c r="AW190">
        <v>166873</v>
      </c>
      <c r="AX190" t="s">
        <v>345</v>
      </c>
      <c r="AY190" t="s">
        <v>36</v>
      </c>
      <c r="AZ190" t="s">
        <v>103</v>
      </c>
      <c r="BA190" t="s">
        <v>1097</v>
      </c>
      <c r="BB190" t="s">
        <v>1098</v>
      </c>
      <c r="BC190" t="s">
        <v>458</v>
      </c>
      <c r="BD190">
        <v>9</v>
      </c>
      <c r="BE190">
        <v>12</v>
      </c>
      <c r="BF190">
        <v>60.87</v>
      </c>
      <c r="BH190" s="86" t="str">
        <f t="shared" si="35"/>
        <v>157153Share Sub Loc Pao Quente SC Johnson</v>
      </c>
      <c r="BI190">
        <v>157153</v>
      </c>
      <c r="BJ190" t="s">
        <v>364</v>
      </c>
      <c r="BK190" t="s">
        <v>36</v>
      </c>
      <c r="BL190" t="s">
        <v>103</v>
      </c>
      <c r="BM190" t="s">
        <v>1161</v>
      </c>
      <c r="BN190" t="s">
        <v>1162</v>
      </c>
      <c r="BO190" t="s">
        <v>458</v>
      </c>
      <c r="BP190">
        <v>6</v>
      </c>
      <c r="BQ190">
        <v>12</v>
      </c>
      <c r="BR190">
        <v>79.2</v>
      </c>
      <c r="BT190" s="86" t="str">
        <f t="shared" si="24"/>
        <v>150368Mix + Intocáveis SC Johnson</v>
      </c>
      <c r="BU190">
        <v>150368</v>
      </c>
      <c r="BV190" t="s">
        <v>341</v>
      </c>
      <c r="BW190" t="s">
        <v>482</v>
      </c>
      <c r="BX190" t="s">
        <v>103</v>
      </c>
      <c r="BY190" t="s">
        <v>1279</v>
      </c>
      <c r="BZ190" t="s">
        <v>1280</v>
      </c>
      <c r="CA190" t="s">
        <v>459</v>
      </c>
      <c r="CB190">
        <v>24.8</v>
      </c>
      <c r="CC190">
        <v>40</v>
      </c>
      <c r="CD190">
        <v>72.22</v>
      </c>
      <c r="CF190" s="86" t="str">
        <f t="shared" si="25"/>
        <v>152696Mix + Intocáveis SC Johnson</v>
      </c>
      <c r="CG190">
        <v>152696</v>
      </c>
      <c r="CH190" t="s">
        <v>363</v>
      </c>
      <c r="CI190" t="s">
        <v>1306</v>
      </c>
      <c r="CJ190" t="s">
        <v>103</v>
      </c>
      <c r="CK190" t="s">
        <v>1469</v>
      </c>
      <c r="CL190" t="s">
        <v>1470</v>
      </c>
      <c r="CM190" t="s">
        <v>459</v>
      </c>
      <c r="CN190">
        <v>32</v>
      </c>
      <c r="CO190">
        <v>40</v>
      </c>
      <c r="CP190">
        <v>97</v>
      </c>
      <c r="CR190" s="86" t="str">
        <f t="shared" si="26"/>
        <v>152696Mix + Intocáveis SC Johnson</v>
      </c>
      <c r="CS190">
        <v>152696</v>
      </c>
      <c r="CT190" t="s">
        <v>363</v>
      </c>
      <c r="CU190" t="s">
        <v>1306</v>
      </c>
      <c r="CV190" t="s">
        <v>103</v>
      </c>
      <c r="CW190" t="s">
        <v>1596</v>
      </c>
      <c r="CX190" t="s">
        <v>1597</v>
      </c>
      <c r="CY190" t="s">
        <v>459</v>
      </c>
      <c r="CZ190">
        <v>36.799999999999997</v>
      </c>
      <c r="DA190">
        <v>40</v>
      </c>
      <c r="DB190">
        <v>92.8</v>
      </c>
      <c r="DD190" s="86" t="str">
        <f t="shared" si="27"/>
        <v>156263Execucao Bonus</v>
      </c>
      <c r="DE190">
        <v>156263</v>
      </c>
      <c r="DF190" t="s">
        <v>343</v>
      </c>
      <c r="DG190" t="s">
        <v>1306</v>
      </c>
      <c r="DH190" t="s">
        <v>103</v>
      </c>
      <c r="DI190" t="s">
        <v>1708</v>
      </c>
      <c r="DJ190" t="s">
        <v>1709</v>
      </c>
      <c r="DK190" t="s">
        <v>1291</v>
      </c>
      <c r="DL190">
        <v>5</v>
      </c>
      <c r="DM190">
        <v>5</v>
      </c>
      <c r="DN190">
        <v>96.83</v>
      </c>
      <c r="DP190" s="86" t="str">
        <f t="shared" si="28"/>
        <v>152753Execucao Bonus</v>
      </c>
      <c r="DQ190">
        <v>152753</v>
      </c>
      <c r="DR190" t="s">
        <v>393</v>
      </c>
      <c r="DS190" t="s">
        <v>482</v>
      </c>
      <c r="DT190" t="s">
        <v>103</v>
      </c>
      <c r="DU190" t="s">
        <v>1754</v>
      </c>
      <c r="DV190" t="s">
        <v>1755</v>
      </c>
      <c r="DW190" t="s">
        <v>1291</v>
      </c>
      <c r="DX190">
        <v>5</v>
      </c>
      <c r="DY190">
        <v>5</v>
      </c>
      <c r="DZ190">
        <v>91.83</v>
      </c>
      <c r="EB190" s="86" t="str">
        <f t="shared" si="29"/>
        <v>184335Execucao Bonus</v>
      </c>
      <c r="EC190">
        <v>184335</v>
      </c>
      <c r="ED190" t="s">
        <v>404</v>
      </c>
      <c r="EE190" t="s">
        <v>482</v>
      </c>
      <c r="EF190" t="s">
        <v>103</v>
      </c>
      <c r="EG190" t="s">
        <v>1932</v>
      </c>
      <c r="EH190" t="s">
        <v>1933</v>
      </c>
      <c r="EI190" t="s">
        <v>1291</v>
      </c>
      <c r="EJ190">
        <v>5</v>
      </c>
      <c r="EK190">
        <v>5</v>
      </c>
      <c r="EL190">
        <v>80.42</v>
      </c>
    </row>
    <row r="191" spans="1:142" x14ac:dyDescent="0.35">
      <c r="A191" s="86" t="str">
        <f t="shared" si="30"/>
        <v>164006Mix + Intocáveis SC Johnson</v>
      </c>
      <c r="B191">
        <v>164006</v>
      </c>
      <c r="C191" t="s">
        <v>395</v>
      </c>
      <c r="D191" t="s">
        <v>103</v>
      </c>
      <c r="E191" t="s">
        <v>558</v>
      </c>
      <c r="F191" t="s">
        <v>559</v>
      </c>
      <c r="G191" t="s">
        <v>459</v>
      </c>
      <c r="H191">
        <v>34.590000000000003</v>
      </c>
      <c r="I191">
        <v>14.0625</v>
      </c>
      <c r="J191">
        <v>45</v>
      </c>
      <c r="L191" s="86" t="str">
        <f t="shared" si="31"/>
        <v>166873Share Sub Category SC Johnson</v>
      </c>
      <c r="M191">
        <v>166873</v>
      </c>
      <c r="N191" t="s">
        <v>345</v>
      </c>
      <c r="O191" t="s">
        <v>36</v>
      </c>
      <c r="P191" t="s">
        <v>103</v>
      </c>
      <c r="Q191" t="s">
        <v>710</v>
      </c>
      <c r="R191" t="s">
        <v>711</v>
      </c>
      <c r="S191" t="s">
        <v>457</v>
      </c>
      <c r="T191">
        <v>30</v>
      </c>
      <c r="U191">
        <v>30</v>
      </c>
      <c r="V191">
        <v>67.06</v>
      </c>
      <c r="X191" s="86" t="str">
        <f t="shared" si="32"/>
        <v>166873Share Sub Category SC Johnson</v>
      </c>
      <c r="Y191">
        <v>166873</v>
      </c>
      <c r="Z191" t="s">
        <v>345</v>
      </c>
      <c r="AA191" t="s">
        <v>36</v>
      </c>
      <c r="AB191" t="s">
        <v>103</v>
      </c>
      <c r="AC191" t="s">
        <v>817</v>
      </c>
      <c r="AD191" t="s">
        <v>818</v>
      </c>
      <c r="AE191" t="s">
        <v>457</v>
      </c>
      <c r="AF191">
        <v>21.42</v>
      </c>
      <c r="AG191">
        <v>30</v>
      </c>
      <c r="AH191">
        <v>73.42</v>
      </c>
      <c r="AJ191" s="86" t="str">
        <f t="shared" si="33"/>
        <v>160950Mix + Intocáveis SC Johnson</v>
      </c>
      <c r="AK191">
        <v>160950</v>
      </c>
      <c r="AL191" t="s">
        <v>344</v>
      </c>
      <c r="AM191" t="s">
        <v>36</v>
      </c>
      <c r="AN191" t="s">
        <v>103</v>
      </c>
      <c r="AO191" t="s">
        <v>931</v>
      </c>
      <c r="AP191" t="s">
        <v>932</v>
      </c>
      <c r="AQ191" t="s">
        <v>459</v>
      </c>
      <c r="AR191">
        <v>24.36</v>
      </c>
      <c r="AS191">
        <v>40</v>
      </c>
      <c r="AT191">
        <v>57.28</v>
      </c>
      <c r="AV191" s="86" t="str">
        <f t="shared" si="34"/>
        <v>166873Mix + Intocáveis SC Johnson</v>
      </c>
      <c r="AW191">
        <v>166873</v>
      </c>
      <c r="AX191" t="s">
        <v>345</v>
      </c>
      <c r="AY191" t="s">
        <v>36</v>
      </c>
      <c r="AZ191" t="s">
        <v>103</v>
      </c>
      <c r="BA191" t="s">
        <v>1097</v>
      </c>
      <c r="BB191" t="s">
        <v>1098</v>
      </c>
      <c r="BC191" t="s">
        <v>459</v>
      </c>
      <c r="BD191">
        <v>25.2</v>
      </c>
      <c r="BE191">
        <v>40</v>
      </c>
      <c r="BF191">
        <v>60.87</v>
      </c>
      <c r="BH191" s="86" t="str">
        <f t="shared" si="35"/>
        <v>157153Mix + Intocáveis SC Johnson</v>
      </c>
      <c r="BI191">
        <v>157153</v>
      </c>
      <c r="BJ191" t="s">
        <v>364</v>
      </c>
      <c r="BK191" t="s">
        <v>36</v>
      </c>
      <c r="BL191" t="s">
        <v>103</v>
      </c>
      <c r="BM191" t="s">
        <v>1161</v>
      </c>
      <c r="BN191" t="s">
        <v>1162</v>
      </c>
      <c r="BO191" t="s">
        <v>459</v>
      </c>
      <c r="BP191">
        <v>30.44</v>
      </c>
      <c r="BQ191">
        <v>40</v>
      </c>
      <c r="BR191">
        <v>79.2</v>
      </c>
      <c r="BT191" s="86" t="str">
        <f t="shared" si="24"/>
        <v>150368Share Sub Category SC Johnson</v>
      </c>
      <c r="BU191">
        <v>150368</v>
      </c>
      <c r="BV191" t="s">
        <v>341</v>
      </c>
      <c r="BW191" t="s">
        <v>482</v>
      </c>
      <c r="BX191" t="s">
        <v>103</v>
      </c>
      <c r="BY191" t="s">
        <v>1279</v>
      </c>
      <c r="BZ191" t="s">
        <v>1280</v>
      </c>
      <c r="CA191" t="s">
        <v>457</v>
      </c>
      <c r="CB191">
        <v>21.425000000000001</v>
      </c>
      <c r="CC191">
        <v>25</v>
      </c>
      <c r="CD191">
        <v>72.22</v>
      </c>
      <c r="CF191" s="86" t="str">
        <f t="shared" si="25"/>
        <v>152696Share Sub Category SC Johnson</v>
      </c>
      <c r="CG191">
        <v>152696</v>
      </c>
      <c r="CH191" t="s">
        <v>363</v>
      </c>
      <c r="CI191" t="s">
        <v>1306</v>
      </c>
      <c r="CJ191" t="s">
        <v>103</v>
      </c>
      <c r="CK191" t="s">
        <v>1469</v>
      </c>
      <c r="CL191" t="s">
        <v>1470</v>
      </c>
      <c r="CM191" t="s">
        <v>457</v>
      </c>
      <c r="CN191">
        <v>25</v>
      </c>
      <c r="CO191">
        <v>25</v>
      </c>
      <c r="CP191">
        <v>97</v>
      </c>
      <c r="CR191" s="86" t="str">
        <f t="shared" si="26"/>
        <v>152696Share Sub Category SC Johnson</v>
      </c>
      <c r="CS191">
        <v>152696</v>
      </c>
      <c r="CT191" t="s">
        <v>363</v>
      </c>
      <c r="CU191" t="s">
        <v>1306</v>
      </c>
      <c r="CV191" t="s">
        <v>103</v>
      </c>
      <c r="CW191" t="s">
        <v>1596</v>
      </c>
      <c r="CX191" t="s">
        <v>1597</v>
      </c>
      <c r="CY191" t="s">
        <v>457</v>
      </c>
      <c r="CZ191">
        <v>25</v>
      </c>
      <c r="DA191">
        <v>25</v>
      </c>
      <c r="DB191">
        <v>92.8</v>
      </c>
      <c r="DD191" s="86" t="str">
        <f t="shared" si="27"/>
        <v>156263Cross Merchan SC Johnson</v>
      </c>
      <c r="DE191">
        <v>156263</v>
      </c>
      <c r="DF191" t="s">
        <v>343</v>
      </c>
      <c r="DG191" t="s">
        <v>1306</v>
      </c>
      <c r="DH191" t="s">
        <v>103</v>
      </c>
      <c r="DI191" t="s">
        <v>1708</v>
      </c>
      <c r="DJ191" t="s">
        <v>1709</v>
      </c>
      <c r="DK191" t="s">
        <v>111</v>
      </c>
      <c r="DL191">
        <v>5</v>
      </c>
      <c r="DM191">
        <v>5</v>
      </c>
      <c r="DN191">
        <v>96.83</v>
      </c>
      <c r="DP191" s="86" t="str">
        <f t="shared" si="28"/>
        <v>152753Cross Merchan SC Johnson</v>
      </c>
      <c r="DQ191">
        <v>152753</v>
      </c>
      <c r="DR191" t="s">
        <v>393</v>
      </c>
      <c r="DS191" t="s">
        <v>482</v>
      </c>
      <c r="DT191" t="s">
        <v>103</v>
      </c>
      <c r="DU191" t="s">
        <v>1754</v>
      </c>
      <c r="DV191" t="s">
        <v>1755</v>
      </c>
      <c r="DW191" t="s">
        <v>111</v>
      </c>
      <c r="DX191">
        <v>5</v>
      </c>
      <c r="DY191">
        <v>5</v>
      </c>
      <c r="DZ191">
        <v>91.83</v>
      </c>
      <c r="EB191" s="86" t="str">
        <f t="shared" si="29"/>
        <v>184335Cross Merchan SC Johnson</v>
      </c>
      <c r="EC191">
        <v>184335</v>
      </c>
      <c r="ED191" t="s">
        <v>404</v>
      </c>
      <c r="EE191" t="s">
        <v>482</v>
      </c>
      <c r="EF191" t="s">
        <v>103</v>
      </c>
      <c r="EG191" t="s">
        <v>1932</v>
      </c>
      <c r="EH191" t="s">
        <v>1933</v>
      </c>
      <c r="EI191" t="s">
        <v>111</v>
      </c>
      <c r="EJ191">
        <v>5</v>
      </c>
      <c r="EK191">
        <v>5</v>
      </c>
      <c r="EL191">
        <v>80.42</v>
      </c>
    </row>
    <row r="192" spans="1:142" x14ac:dyDescent="0.35">
      <c r="A192" s="86" t="str">
        <f t="shared" si="30"/>
        <v>166873Share Sub Category SC Johnson</v>
      </c>
      <c r="B192">
        <v>166873</v>
      </c>
      <c r="C192" t="s">
        <v>345</v>
      </c>
      <c r="D192" t="s">
        <v>103</v>
      </c>
      <c r="E192" t="s">
        <v>560</v>
      </c>
      <c r="F192" t="s">
        <v>561</v>
      </c>
      <c r="G192" t="s">
        <v>457</v>
      </c>
      <c r="H192">
        <v>40.909999999999997</v>
      </c>
      <c r="I192">
        <v>17.13</v>
      </c>
      <c r="J192">
        <v>30</v>
      </c>
      <c r="L192" s="86" t="str">
        <f t="shared" si="31"/>
        <v>166873Cross Merchan SC Johnson</v>
      </c>
      <c r="M192">
        <v>166873</v>
      </c>
      <c r="N192" t="s">
        <v>345</v>
      </c>
      <c r="O192" t="s">
        <v>36</v>
      </c>
      <c r="P192" t="s">
        <v>103</v>
      </c>
      <c r="Q192" t="s">
        <v>710</v>
      </c>
      <c r="R192" t="s">
        <v>711</v>
      </c>
      <c r="S192" t="s">
        <v>111</v>
      </c>
      <c r="T192">
        <v>8</v>
      </c>
      <c r="U192">
        <v>8</v>
      </c>
      <c r="V192">
        <v>67.06</v>
      </c>
      <c r="X192" s="86" t="str">
        <f t="shared" si="32"/>
        <v>166873Cross Merchan SC Johnson</v>
      </c>
      <c r="Y192">
        <v>166873</v>
      </c>
      <c r="Z192" t="s">
        <v>345</v>
      </c>
      <c r="AA192" t="s">
        <v>36</v>
      </c>
      <c r="AB192" t="s">
        <v>103</v>
      </c>
      <c r="AC192" t="s">
        <v>817</v>
      </c>
      <c r="AD192" t="s">
        <v>818</v>
      </c>
      <c r="AE192" t="s">
        <v>111</v>
      </c>
      <c r="AF192">
        <v>8</v>
      </c>
      <c r="AG192">
        <v>8</v>
      </c>
      <c r="AH192">
        <v>73.42</v>
      </c>
      <c r="AJ192" s="86" t="str">
        <f t="shared" si="33"/>
        <v>160950Lancamentos</v>
      </c>
      <c r="AK192">
        <v>160950</v>
      </c>
      <c r="AL192" t="s">
        <v>344</v>
      </c>
      <c r="AM192" t="s">
        <v>36</v>
      </c>
      <c r="AN192" t="s">
        <v>103</v>
      </c>
      <c r="AO192" t="s">
        <v>931</v>
      </c>
      <c r="AP192" t="s">
        <v>932</v>
      </c>
      <c r="AQ192" t="s">
        <v>953</v>
      </c>
      <c r="AR192">
        <v>0</v>
      </c>
      <c r="AS192">
        <v>18</v>
      </c>
      <c r="AT192">
        <v>57.28</v>
      </c>
      <c r="AV192" s="86" t="str">
        <f t="shared" si="34"/>
        <v>166873Lancamentos</v>
      </c>
      <c r="AW192">
        <v>166873</v>
      </c>
      <c r="AX192" t="s">
        <v>345</v>
      </c>
      <c r="AY192" t="s">
        <v>36</v>
      </c>
      <c r="AZ192" t="s">
        <v>103</v>
      </c>
      <c r="BA192" t="s">
        <v>1097</v>
      </c>
      <c r="BB192" t="s">
        <v>1098</v>
      </c>
      <c r="BC192" t="s">
        <v>953</v>
      </c>
      <c r="BD192">
        <v>0</v>
      </c>
      <c r="BE192">
        <v>18</v>
      </c>
      <c r="BF192">
        <v>60.87</v>
      </c>
      <c r="BH192" s="86" t="str">
        <f t="shared" si="35"/>
        <v>157153Lancamentos</v>
      </c>
      <c r="BI192">
        <v>157153</v>
      </c>
      <c r="BJ192" t="s">
        <v>364</v>
      </c>
      <c r="BK192" t="s">
        <v>36</v>
      </c>
      <c r="BL192" t="s">
        <v>103</v>
      </c>
      <c r="BM192" t="s">
        <v>1161</v>
      </c>
      <c r="BN192" t="s">
        <v>1162</v>
      </c>
      <c r="BO192" t="s">
        <v>953</v>
      </c>
      <c r="BP192">
        <v>18</v>
      </c>
      <c r="BQ192">
        <v>18</v>
      </c>
      <c r="BR192">
        <v>79.2</v>
      </c>
      <c r="BT192" s="86" t="str">
        <f t="shared" si="24"/>
        <v>150368Share Sub Loc Pao Quente SC Johnson</v>
      </c>
      <c r="BU192">
        <v>150368</v>
      </c>
      <c r="BV192" t="s">
        <v>341</v>
      </c>
      <c r="BW192" t="s">
        <v>482</v>
      </c>
      <c r="BX192" t="s">
        <v>103</v>
      </c>
      <c r="BY192" t="s">
        <v>1279</v>
      </c>
      <c r="BZ192" t="s">
        <v>1280</v>
      </c>
      <c r="CA192" t="s">
        <v>458</v>
      </c>
      <c r="CB192">
        <v>12</v>
      </c>
      <c r="CC192">
        <v>12</v>
      </c>
      <c r="CD192">
        <v>72.22</v>
      </c>
      <c r="CF192" s="86" t="str">
        <f t="shared" si="25"/>
        <v>152696Share Sub Loc Pao Quente SC Johnson</v>
      </c>
      <c r="CG192">
        <v>152696</v>
      </c>
      <c r="CH192" t="s">
        <v>363</v>
      </c>
      <c r="CI192" t="s">
        <v>1306</v>
      </c>
      <c r="CJ192" t="s">
        <v>103</v>
      </c>
      <c r="CK192" t="s">
        <v>1469</v>
      </c>
      <c r="CL192" t="s">
        <v>1470</v>
      </c>
      <c r="CM192" t="s">
        <v>458</v>
      </c>
      <c r="CN192">
        <v>12</v>
      </c>
      <c r="CO192">
        <v>12</v>
      </c>
      <c r="CP192">
        <v>97</v>
      </c>
      <c r="CR192" s="86" t="str">
        <f t="shared" si="26"/>
        <v>152696Share Sub Loc Pao Quente SC Johnson</v>
      </c>
      <c r="CS192">
        <v>152696</v>
      </c>
      <c r="CT192" t="s">
        <v>363</v>
      </c>
      <c r="CU192" t="s">
        <v>1306</v>
      </c>
      <c r="CV192" t="s">
        <v>103</v>
      </c>
      <c r="CW192" t="s">
        <v>1596</v>
      </c>
      <c r="CX192" t="s">
        <v>1597</v>
      </c>
      <c r="CY192" t="s">
        <v>458</v>
      </c>
      <c r="CZ192">
        <v>12</v>
      </c>
      <c r="DA192">
        <v>12</v>
      </c>
      <c r="DB192">
        <v>92.8</v>
      </c>
      <c r="DD192" s="86" t="str">
        <f t="shared" si="27"/>
        <v>156263Lancamentos</v>
      </c>
      <c r="DE192">
        <v>156263</v>
      </c>
      <c r="DF192" t="s">
        <v>343</v>
      </c>
      <c r="DG192" t="s">
        <v>1306</v>
      </c>
      <c r="DH192" t="s">
        <v>103</v>
      </c>
      <c r="DI192" t="s">
        <v>1708</v>
      </c>
      <c r="DJ192" t="s">
        <v>1709</v>
      </c>
      <c r="DK192" t="s">
        <v>953</v>
      </c>
      <c r="DL192">
        <v>18</v>
      </c>
      <c r="DM192">
        <v>18</v>
      </c>
      <c r="DN192">
        <v>96.83</v>
      </c>
      <c r="DP192" s="86" t="str">
        <f t="shared" si="28"/>
        <v>152753Lancamentos</v>
      </c>
      <c r="DQ192">
        <v>152753</v>
      </c>
      <c r="DR192" t="s">
        <v>393</v>
      </c>
      <c r="DS192" t="s">
        <v>482</v>
      </c>
      <c r="DT192" t="s">
        <v>103</v>
      </c>
      <c r="DU192" t="s">
        <v>1754</v>
      </c>
      <c r="DV192" t="s">
        <v>1755</v>
      </c>
      <c r="DW192" t="s">
        <v>953</v>
      </c>
      <c r="DX192">
        <v>18</v>
      </c>
      <c r="DY192">
        <v>18</v>
      </c>
      <c r="DZ192">
        <v>91.83</v>
      </c>
      <c r="EB192" s="86" t="str">
        <f t="shared" si="29"/>
        <v>184335Lancamentos</v>
      </c>
      <c r="EC192">
        <v>184335</v>
      </c>
      <c r="ED192" t="s">
        <v>404</v>
      </c>
      <c r="EE192" t="s">
        <v>482</v>
      </c>
      <c r="EF192" t="s">
        <v>103</v>
      </c>
      <c r="EG192" t="s">
        <v>1932</v>
      </c>
      <c r="EH192" t="s">
        <v>1933</v>
      </c>
      <c r="EI192" t="s">
        <v>953</v>
      </c>
      <c r="EJ192">
        <v>9</v>
      </c>
      <c r="EK192">
        <v>18</v>
      </c>
      <c r="EL192">
        <v>80.42</v>
      </c>
    </row>
    <row r="193" spans="1:142" x14ac:dyDescent="0.35">
      <c r="A193" s="86" t="str">
        <f t="shared" si="30"/>
        <v>166873Cross Merchan SC Johnson</v>
      </c>
      <c r="B193">
        <v>166873</v>
      </c>
      <c r="C193" t="s">
        <v>345</v>
      </c>
      <c r="D193" t="s">
        <v>103</v>
      </c>
      <c r="E193" t="s">
        <v>560</v>
      </c>
      <c r="F193" t="s">
        <v>561</v>
      </c>
      <c r="G193" t="s">
        <v>111</v>
      </c>
      <c r="H193">
        <v>40.909999999999997</v>
      </c>
      <c r="I193">
        <v>8</v>
      </c>
      <c r="J193">
        <v>8</v>
      </c>
      <c r="L193" s="86" t="str">
        <f t="shared" si="31"/>
        <v>166873Share Sub Loc Pao Quente SC Johnson</v>
      </c>
      <c r="M193">
        <v>166873</v>
      </c>
      <c r="N193" t="s">
        <v>345</v>
      </c>
      <c r="O193" t="s">
        <v>36</v>
      </c>
      <c r="P193" t="s">
        <v>103</v>
      </c>
      <c r="Q193" t="s">
        <v>710</v>
      </c>
      <c r="R193" t="s">
        <v>711</v>
      </c>
      <c r="S193" t="s">
        <v>458</v>
      </c>
      <c r="T193">
        <v>12.75</v>
      </c>
      <c r="U193">
        <v>17</v>
      </c>
      <c r="V193">
        <v>67.06</v>
      </c>
      <c r="X193" s="86" t="str">
        <f t="shared" si="32"/>
        <v>166873Share Sub Loc Pao Quente SC Johnson</v>
      </c>
      <c r="Y193">
        <v>166873</v>
      </c>
      <c r="Z193" t="s">
        <v>345</v>
      </c>
      <c r="AA193" t="s">
        <v>36</v>
      </c>
      <c r="AB193" t="s">
        <v>103</v>
      </c>
      <c r="AC193" t="s">
        <v>817</v>
      </c>
      <c r="AD193" t="s">
        <v>818</v>
      </c>
      <c r="AE193" t="s">
        <v>458</v>
      </c>
      <c r="AF193">
        <v>17</v>
      </c>
      <c r="AG193">
        <v>17</v>
      </c>
      <c r="AH193">
        <v>73.42</v>
      </c>
      <c r="AJ193" s="86" t="str">
        <f t="shared" si="33"/>
        <v>166873Share Sub Category SC Johnson</v>
      </c>
      <c r="AK193">
        <v>166873</v>
      </c>
      <c r="AL193" t="s">
        <v>345</v>
      </c>
      <c r="AM193" t="s">
        <v>36</v>
      </c>
      <c r="AN193" t="s">
        <v>103</v>
      </c>
      <c r="AO193" t="s">
        <v>962</v>
      </c>
      <c r="AP193" t="s">
        <v>963</v>
      </c>
      <c r="AQ193" t="s">
        <v>457</v>
      </c>
      <c r="AR193">
        <v>21.425000000000001</v>
      </c>
      <c r="AS193">
        <v>25</v>
      </c>
      <c r="AT193">
        <v>63.77</v>
      </c>
      <c r="AV193" s="86" t="str">
        <f t="shared" si="34"/>
        <v>167265Share Sub Category SC Johnson</v>
      </c>
      <c r="AW193">
        <v>167265</v>
      </c>
      <c r="AX193" t="s">
        <v>346</v>
      </c>
      <c r="AY193" t="s">
        <v>482</v>
      </c>
      <c r="AZ193" t="s">
        <v>103</v>
      </c>
      <c r="BA193" t="s">
        <v>1099</v>
      </c>
      <c r="BB193" t="s">
        <v>1100</v>
      </c>
      <c r="BC193" t="s">
        <v>457</v>
      </c>
      <c r="BD193">
        <v>25</v>
      </c>
      <c r="BE193">
        <v>25</v>
      </c>
      <c r="BF193">
        <v>67.349999999999994</v>
      </c>
      <c r="BH193" s="86" t="str">
        <f t="shared" si="35"/>
        <v>157637Share Sub Category SC Johnson</v>
      </c>
      <c r="BI193">
        <v>157637</v>
      </c>
      <c r="BJ193" t="s">
        <v>365</v>
      </c>
      <c r="BK193" t="s">
        <v>36</v>
      </c>
      <c r="BL193" t="s">
        <v>103</v>
      </c>
      <c r="BM193" t="s">
        <v>1153</v>
      </c>
      <c r="BN193" t="s">
        <v>1154</v>
      </c>
      <c r="BO193" t="s">
        <v>457</v>
      </c>
      <c r="BP193">
        <v>25</v>
      </c>
      <c r="BQ193">
        <v>25</v>
      </c>
      <c r="BR193">
        <v>67.83</v>
      </c>
      <c r="BT193" s="86" t="str">
        <f t="shared" si="24"/>
        <v>150368Cross Merchan SC Johnson</v>
      </c>
      <c r="BU193">
        <v>150368</v>
      </c>
      <c r="BV193" t="s">
        <v>341</v>
      </c>
      <c r="BW193" t="s">
        <v>482</v>
      </c>
      <c r="BX193" t="s">
        <v>103</v>
      </c>
      <c r="BY193" t="s">
        <v>1279</v>
      </c>
      <c r="BZ193" t="s">
        <v>1280</v>
      </c>
      <c r="CA193" t="s">
        <v>111</v>
      </c>
      <c r="CB193">
        <v>5</v>
      </c>
      <c r="CC193">
        <v>5</v>
      </c>
      <c r="CD193">
        <v>72.22</v>
      </c>
      <c r="CF193" s="86" t="str">
        <f t="shared" si="25"/>
        <v>152696Cross Merchan SC Johnson</v>
      </c>
      <c r="CG193">
        <v>152696</v>
      </c>
      <c r="CH193" t="s">
        <v>363</v>
      </c>
      <c r="CI193" t="s">
        <v>1306</v>
      </c>
      <c r="CJ193" t="s">
        <v>103</v>
      </c>
      <c r="CK193" t="s">
        <v>1469</v>
      </c>
      <c r="CL193" t="s">
        <v>1470</v>
      </c>
      <c r="CM193" t="s">
        <v>111</v>
      </c>
      <c r="CN193">
        <v>5</v>
      </c>
      <c r="CO193">
        <v>5</v>
      </c>
      <c r="CP193">
        <v>97</v>
      </c>
      <c r="CR193" s="86" t="str">
        <f t="shared" si="26"/>
        <v>152696Cross Merchan SC Johnson</v>
      </c>
      <c r="CS193">
        <v>152696</v>
      </c>
      <c r="CT193" t="s">
        <v>363</v>
      </c>
      <c r="CU193" t="s">
        <v>1306</v>
      </c>
      <c r="CV193" t="s">
        <v>103</v>
      </c>
      <c r="CW193" t="s">
        <v>1596</v>
      </c>
      <c r="CX193" t="s">
        <v>1597</v>
      </c>
      <c r="CY193" t="s">
        <v>111</v>
      </c>
      <c r="CZ193">
        <v>5</v>
      </c>
      <c r="DA193">
        <v>5</v>
      </c>
      <c r="DB193">
        <v>92.8</v>
      </c>
      <c r="DD193" s="86" t="str">
        <f t="shared" si="27"/>
        <v>156263Share Sub Category SC Johnson</v>
      </c>
      <c r="DE193">
        <v>156263</v>
      </c>
      <c r="DF193" t="s">
        <v>343</v>
      </c>
      <c r="DG193" t="s">
        <v>1306</v>
      </c>
      <c r="DH193" t="s">
        <v>103</v>
      </c>
      <c r="DI193" t="s">
        <v>1708</v>
      </c>
      <c r="DJ193" t="s">
        <v>1709</v>
      </c>
      <c r="DK193" t="s">
        <v>457</v>
      </c>
      <c r="DL193">
        <v>21.425000000000001</v>
      </c>
      <c r="DM193">
        <v>25</v>
      </c>
      <c r="DN193">
        <v>96.83</v>
      </c>
      <c r="DP193" s="86" t="str">
        <f t="shared" si="28"/>
        <v>152753Share Sub Category SC Johnson</v>
      </c>
      <c r="DQ193">
        <v>152753</v>
      </c>
      <c r="DR193" t="s">
        <v>393</v>
      </c>
      <c r="DS193" t="s">
        <v>482</v>
      </c>
      <c r="DT193" t="s">
        <v>103</v>
      </c>
      <c r="DU193" t="s">
        <v>1754</v>
      </c>
      <c r="DV193" t="s">
        <v>1755</v>
      </c>
      <c r="DW193" t="s">
        <v>457</v>
      </c>
      <c r="DX193">
        <v>21.425000000000001</v>
      </c>
      <c r="DY193">
        <v>25</v>
      </c>
      <c r="DZ193">
        <v>91.83</v>
      </c>
      <c r="EB193" s="86" t="str">
        <f t="shared" si="29"/>
        <v>184335Share Sub Category SC Johnson</v>
      </c>
      <c r="EC193">
        <v>184335</v>
      </c>
      <c r="ED193" t="s">
        <v>404</v>
      </c>
      <c r="EE193" t="s">
        <v>482</v>
      </c>
      <c r="EF193" t="s">
        <v>103</v>
      </c>
      <c r="EG193" t="s">
        <v>1932</v>
      </c>
      <c r="EH193" t="s">
        <v>1933</v>
      </c>
      <c r="EI193" t="s">
        <v>457</v>
      </c>
      <c r="EJ193">
        <v>21.425000000000001</v>
      </c>
      <c r="EK193">
        <v>25</v>
      </c>
      <c r="EL193">
        <v>80.42</v>
      </c>
    </row>
    <row r="194" spans="1:142" x14ac:dyDescent="0.35">
      <c r="A194" s="86" t="str">
        <f t="shared" si="30"/>
        <v>166873Share Sub Loc Pao Quente SC Johnson</v>
      </c>
      <c r="B194">
        <v>166873</v>
      </c>
      <c r="C194" t="s">
        <v>345</v>
      </c>
      <c r="D194" t="s">
        <v>103</v>
      </c>
      <c r="E194" t="s">
        <v>560</v>
      </c>
      <c r="F194" t="s">
        <v>561</v>
      </c>
      <c r="G194" t="s">
        <v>458</v>
      </c>
      <c r="H194">
        <v>40.909999999999997</v>
      </c>
      <c r="I194">
        <v>3.4</v>
      </c>
      <c r="J194">
        <v>17</v>
      </c>
      <c r="L194" s="86" t="str">
        <f t="shared" si="31"/>
        <v>166873Mix + Intocáveis SC Johnson</v>
      </c>
      <c r="M194">
        <v>166873</v>
      </c>
      <c r="N194" t="s">
        <v>345</v>
      </c>
      <c r="O194" t="s">
        <v>36</v>
      </c>
      <c r="P194" t="s">
        <v>103</v>
      </c>
      <c r="Q194" t="s">
        <v>710</v>
      </c>
      <c r="R194" t="s">
        <v>711</v>
      </c>
      <c r="S194" t="s">
        <v>459</v>
      </c>
      <c r="T194">
        <v>16.3125</v>
      </c>
      <c r="U194">
        <v>45</v>
      </c>
      <c r="V194">
        <v>67.06</v>
      </c>
      <c r="X194" s="86" t="str">
        <f t="shared" si="32"/>
        <v>166873Mix + Intocáveis SC Johnson</v>
      </c>
      <c r="Y194">
        <v>166873</v>
      </c>
      <c r="Z194" t="s">
        <v>345</v>
      </c>
      <c r="AA194" t="s">
        <v>36</v>
      </c>
      <c r="AB194" t="s">
        <v>103</v>
      </c>
      <c r="AC194" t="s">
        <v>817</v>
      </c>
      <c r="AD194" t="s">
        <v>818</v>
      </c>
      <c r="AE194" t="s">
        <v>459</v>
      </c>
      <c r="AF194">
        <v>27</v>
      </c>
      <c r="AG194">
        <v>45</v>
      </c>
      <c r="AH194">
        <v>73.42</v>
      </c>
      <c r="AJ194" s="86" t="str">
        <f t="shared" si="33"/>
        <v>166873Cross Merchan SC Johnson</v>
      </c>
      <c r="AK194">
        <v>166873</v>
      </c>
      <c r="AL194" t="s">
        <v>345</v>
      </c>
      <c r="AM194" t="s">
        <v>36</v>
      </c>
      <c r="AN194" t="s">
        <v>103</v>
      </c>
      <c r="AO194" t="s">
        <v>962</v>
      </c>
      <c r="AP194" t="s">
        <v>963</v>
      </c>
      <c r="AQ194" t="s">
        <v>111</v>
      </c>
      <c r="AR194">
        <v>2.5</v>
      </c>
      <c r="AS194">
        <v>5</v>
      </c>
      <c r="AT194">
        <v>63.77</v>
      </c>
      <c r="AV194" s="86" t="str">
        <f t="shared" si="34"/>
        <v>167265Cross Merchan SC Johnson</v>
      </c>
      <c r="AW194">
        <v>167265</v>
      </c>
      <c r="AX194" t="s">
        <v>346</v>
      </c>
      <c r="AY194" t="s">
        <v>482</v>
      </c>
      <c r="AZ194" t="s">
        <v>103</v>
      </c>
      <c r="BA194" t="s">
        <v>1099</v>
      </c>
      <c r="BB194" t="s">
        <v>1100</v>
      </c>
      <c r="BC194" t="s">
        <v>111</v>
      </c>
      <c r="BD194">
        <v>1.665</v>
      </c>
      <c r="BE194">
        <v>5</v>
      </c>
      <c r="BF194">
        <v>67.349999999999994</v>
      </c>
      <c r="BH194" s="86" t="str">
        <f t="shared" si="35"/>
        <v>157637Cross Merchan SC Johnson</v>
      </c>
      <c r="BI194">
        <v>157637</v>
      </c>
      <c r="BJ194" t="s">
        <v>365</v>
      </c>
      <c r="BK194" t="s">
        <v>36</v>
      </c>
      <c r="BL194" t="s">
        <v>103</v>
      </c>
      <c r="BM194" t="s">
        <v>1153</v>
      </c>
      <c r="BN194" t="s">
        <v>1154</v>
      </c>
      <c r="BO194" t="s">
        <v>111</v>
      </c>
      <c r="BP194">
        <v>1.665</v>
      </c>
      <c r="BQ194">
        <v>5</v>
      </c>
      <c r="BR194">
        <v>67.83</v>
      </c>
      <c r="BT194" s="86" t="str">
        <f t="shared" si="24"/>
        <v>150368Execucao Bonus</v>
      </c>
      <c r="BU194">
        <v>150368</v>
      </c>
      <c r="BV194" t="s">
        <v>341</v>
      </c>
      <c r="BW194" t="s">
        <v>482</v>
      </c>
      <c r="BX194" t="s">
        <v>103</v>
      </c>
      <c r="BY194" t="s">
        <v>1279</v>
      </c>
      <c r="BZ194" t="s">
        <v>1280</v>
      </c>
      <c r="CA194" t="s">
        <v>1291</v>
      </c>
      <c r="CB194">
        <v>0</v>
      </c>
      <c r="CC194">
        <v>5</v>
      </c>
      <c r="CD194">
        <v>72.22</v>
      </c>
      <c r="CF194" s="86" t="str">
        <f t="shared" si="25"/>
        <v>152696Execucao Bonus</v>
      </c>
      <c r="CG194">
        <v>152696</v>
      </c>
      <c r="CH194" t="s">
        <v>363</v>
      </c>
      <c r="CI194" t="s">
        <v>1306</v>
      </c>
      <c r="CJ194" t="s">
        <v>103</v>
      </c>
      <c r="CK194" t="s">
        <v>1469</v>
      </c>
      <c r="CL194" t="s">
        <v>1470</v>
      </c>
      <c r="CM194" t="s">
        <v>1291</v>
      </c>
      <c r="CN194">
        <v>5</v>
      </c>
      <c r="CO194">
        <v>5</v>
      </c>
      <c r="CP194">
        <v>97</v>
      </c>
      <c r="CR194" s="86" t="str">
        <f t="shared" si="26"/>
        <v>152696Execucao Bonus</v>
      </c>
      <c r="CS194">
        <v>152696</v>
      </c>
      <c r="CT194" t="s">
        <v>363</v>
      </c>
      <c r="CU194" t="s">
        <v>1306</v>
      </c>
      <c r="CV194" t="s">
        <v>103</v>
      </c>
      <c r="CW194" t="s">
        <v>1596</v>
      </c>
      <c r="CX194" t="s">
        <v>1597</v>
      </c>
      <c r="CY194" t="s">
        <v>1291</v>
      </c>
      <c r="CZ194">
        <v>5</v>
      </c>
      <c r="DA194">
        <v>5</v>
      </c>
      <c r="DB194">
        <v>92.8</v>
      </c>
      <c r="DD194" s="86" t="str">
        <f t="shared" si="27"/>
        <v>156263Share Sub Loc Pao Quente SC Johnson</v>
      </c>
      <c r="DE194">
        <v>156263</v>
      </c>
      <c r="DF194" t="s">
        <v>343</v>
      </c>
      <c r="DG194" t="s">
        <v>1306</v>
      </c>
      <c r="DH194" t="s">
        <v>103</v>
      </c>
      <c r="DI194" t="s">
        <v>1708</v>
      </c>
      <c r="DJ194" t="s">
        <v>1709</v>
      </c>
      <c r="DK194" t="s">
        <v>458</v>
      </c>
      <c r="DL194">
        <v>9</v>
      </c>
      <c r="DM194">
        <v>12</v>
      </c>
      <c r="DN194">
        <v>96.83</v>
      </c>
      <c r="DP194" s="86" t="str">
        <f t="shared" si="28"/>
        <v>152753Share Sub Loc Pao Quente SC Johnson</v>
      </c>
      <c r="DQ194">
        <v>152753</v>
      </c>
      <c r="DR194" t="s">
        <v>393</v>
      </c>
      <c r="DS194" t="s">
        <v>482</v>
      </c>
      <c r="DT194" t="s">
        <v>103</v>
      </c>
      <c r="DU194" t="s">
        <v>1754</v>
      </c>
      <c r="DV194" t="s">
        <v>1755</v>
      </c>
      <c r="DW194" t="s">
        <v>458</v>
      </c>
      <c r="DX194">
        <v>12</v>
      </c>
      <c r="DY194">
        <v>12</v>
      </c>
      <c r="DZ194">
        <v>91.83</v>
      </c>
      <c r="EB194" s="86" t="str">
        <f t="shared" si="29"/>
        <v>184335Share Sub Loc Pao Quente SC Johnson</v>
      </c>
      <c r="EC194">
        <v>184335</v>
      </c>
      <c r="ED194" t="s">
        <v>404</v>
      </c>
      <c r="EE194" t="s">
        <v>482</v>
      </c>
      <c r="EF194" t="s">
        <v>103</v>
      </c>
      <c r="EG194" t="s">
        <v>1932</v>
      </c>
      <c r="EH194" t="s">
        <v>1933</v>
      </c>
      <c r="EI194" t="s">
        <v>458</v>
      </c>
      <c r="EJ194">
        <v>12</v>
      </c>
      <c r="EK194">
        <v>12</v>
      </c>
      <c r="EL194">
        <v>80.42</v>
      </c>
    </row>
    <row r="195" spans="1:142" x14ac:dyDescent="0.35">
      <c r="A195" s="86" t="str">
        <f t="shared" si="30"/>
        <v>166873Mix + Intocáveis SC Johnson</v>
      </c>
      <c r="B195">
        <v>166873</v>
      </c>
      <c r="C195" t="s">
        <v>345</v>
      </c>
      <c r="D195" t="s">
        <v>103</v>
      </c>
      <c r="E195" t="s">
        <v>560</v>
      </c>
      <c r="F195" t="s">
        <v>561</v>
      </c>
      <c r="G195" t="s">
        <v>459</v>
      </c>
      <c r="H195">
        <v>40.909999999999997</v>
      </c>
      <c r="I195">
        <v>12.375</v>
      </c>
      <c r="J195">
        <v>45</v>
      </c>
      <c r="L195" s="86" t="str">
        <f t="shared" si="31"/>
        <v>167265Share Sub Category SC Johnson</v>
      </c>
      <c r="M195">
        <v>167265</v>
      </c>
      <c r="N195" t="s">
        <v>346</v>
      </c>
      <c r="O195" t="s">
        <v>482</v>
      </c>
      <c r="P195" t="s">
        <v>103</v>
      </c>
      <c r="Q195" t="s">
        <v>712</v>
      </c>
      <c r="R195" t="s">
        <v>713</v>
      </c>
      <c r="S195" t="s">
        <v>457</v>
      </c>
      <c r="T195">
        <v>30</v>
      </c>
      <c r="U195">
        <v>30</v>
      </c>
      <c r="V195">
        <v>58.56</v>
      </c>
      <c r="X195" s="86" t="str">
        <f t="shared" si="32"/>
        <v>168551Share Sub Category SC Johnson</v>
      </c>
      <c r="Y195">
        <v>168551</v>
      </c>
      <c r="Z195" t="s">
        <v>380</v>
      </c>
      <c r="AA195" t="s">
        <v>104</v>
      </c>
      <c r="AB195" t="s">
        <v>103</v>
      </c>
      <c r="AC195" t="s">
        <v>895</v>
      </c>
      <c r="AD195" t="s">
        <v>896</v>
      </c>
      <c r="AE195" t="s">
        <v>457</v>
      </c>
      <c r="AF195">
        <v>25.71</v>
      </c>
      <c r="AG195">
        <v>30</v>
      </c>
      <c r="AH195">
        <v>72.33</v>
      </c>
      <c r="AJ195" s="86" t="str">
        <f t="shared" si="33"/>
        <v>166873Share Sub Loc Pao Quente SC Johnson</v>
      </c>
      <c r="AK195">
        <v>166873</v>
      </c>
      <c r="AL195" t="s">
        <v>345</v>
      </c>
      <c r="AM195" t="s">
        <v>36</v>
      </c>
      <c r="AN195" t="s">
        <v>103</v>
      </c>
      <c r="AO195" t="s">
        <v>962</v>
      </c>
      <c r="AP195" t="s">
        <v>963</v>
      </c>
      <c r="AQ195" t="s">
        <v>458</v>
      </c>
      <c r="AR195">
        <v>12</v>
      </c>
      <c r="AS195">
        <v>12</v>
      </c>
      <c r="AT195">
        <v>63.77</v>
      </c>
      <c r="AV195" s="86" t="str">
        <f t="shared" si="34"/>
        <v>167265Share Sub Loc Pao Quente SC Johnson</v>
      </c>
      <c r="AW195">
        <v>167265</v>
      </c>
      <c r="AX195" t="s">
        <v>346</v>
      </c>
      <c r="AY195" t="s">
        <v>482</v>
      </c>
      <c r="AZ195" t="s">
        <v>103</v>
      </c>
      <c r="BA195" t="s">
        <v>1099</v>
      </c>
      <c r="BB195" t="s">
        <v>1100</v>
      </c>
      <c r="BC195" t="s">
        <v>458</v>
      </c>
      <c r="BD195">
        <v>12</v>
      </c>
      <c r="BE195">
        <v>12</v>
      </c>
      <c r="BF195">
        <v>67.349999999999994</v>
      </c>
      <c r="BH195" s="86" t="str">
        <f t="shared" si="35"/>
        <v>157637Share Sub Loc Pao Quente SC Johnson</v>
      </c>
      <c r="BI195">
        <v>157637</v>
      </c>
      <c r="BJ195" t="s">
        <v>365</v>
      </c>
      <c r="BK195" t="s">
        <v>36</v>
      </c>
      <c r="BL195" t="s">
        <v>103</v>
      </c>
      <c r="BM195" t="s">
        <v>1153</v>
      </c>
      <c r="BN195" t="s">
        <v>1154</v>
      </c>
      <c r="BO195" t="s">
        <v>458</v>
      </c>
      <c r="BP195">
        <v>9</v>
      </c>
      <c r="BQ195">
        <v>12</v>
      </c>
      <c r="BR195">
        <v>67.83</v>
      </c>
      <c r="BT195" s="86" t="str">
        <f t="shared" ref="BT195:BT258" si="36">BU195&amp;CA195</f>
        <v>152153Lancamentos</v>
      </c>
      <c r="BU195">
        <v>152153</v>
      </c>
      <c r="BV195" t="s">
        <v>342</v>
      </c>
      <c r="BW195" t="s">
        <v>1306</v>
      </c>
      <c r="BX195" t="s">
        <v>103</v>
      </c>
      <c r="BY195" t="s">
        <v>1333</v>
      </c>
      <c r="BZ195" t="s">
        <v>1334</v>
      </c>
      <c r="CA195" t="s">
        <v>953</v>
      </c>
      <c r="CB195">
        <v>9</v>
      </c>
      <c r="CC195">
        <v>18</v>
      </c>
      <c r="CD195">
        <v>73.69</v>
      </c>
      <c r="CF195" s="86" t="str">
        <f t="shared" ref="CF195:CF258" si="37">CG195&amp;CM195</f>
        <v>152753Lancamentos</v>
      </c>
      <c r="CG195">
        <v>152753</v>
      </c>
      <c r="CH195" t="s">
        <v>393</v>
      </c>
      <c r="CI195" t="s">
        <v>482</v>
      </c>
      <c r="CJ195" t="s">
        <v>103</v>
      </c>
      <c r="CK195" t="s">
        <v>1426</v>
      </c>
      <c r="CL195" t="s">
        <v>1427</v>
      </c>
      <c r="CM195" t="s">
        <v>953</v>
      </c>
      <c r="CN195">
        <v>18</v>
      </c>
      <c r="CO195">
        <v>18</v>
      </c>
      <c r="CP195">
        <v>82.85</v>
      </c>
      <c r="CR195" s="86" t="str">
        <f t="shared" ref="CR195:CR258" si="38">CS195&amp;CY195</f>
        <v>152753Lancamentos</v>
      </c>
      <c r="CS195">
        <v>152753</v>
      </c>
      <c r="CT195" t="s">
        <v>393</v>
      </c>
      <c r="CU195" t="s">
        <v>482</v>
      </c>
      <c r="CV195" t="s">
        <v>103</v>
      </c>
      <c r="CW195" t="s">
        <v>1556</v>
      </c>
      <c r="CX195" t="s">
        <v>1557</v>
      </c>
      <c r="CY195" t="s">
        <v>953</v>
      </c>
      <c r="CZ195">
        <v>18</v>
      </c>
      <c r="DA195">
        <v>18</v>
      </c>
      <c r="DB195">
        <v>89.29</v>
      </c>
      <c r="DD195" s="86" t="str">
        <f t="shared" ref="DD195:DD258" si="39">DE195&amp;DK195</f>
        <v>157153Mix + Intocáveis SC Johnson</v>
      </c>
      <c r="DE195">
        <v>157153</v>
      </c>
      <c r="DF195" t="s">
        <v>364</v>
      </c>
      <c r="DG195" t="s">
        <v>1306</v>
      </c>
      <c r="DH195" t="s">
        <v>103</v>
      </c>
      <c r="DI195" t="s">
        <v>1710</v>
      </c>
      <c r="DJ195" t="s">
        <v>1711</v>
      </c>
      <c r="DK195" t="s">
        <v>459</v>
      </c>
      <c r="DL195">
        <v>39.200000000000003</v>
      </c>
      <c r="DM195">
        <v>40</v>
      </c>
      <c r="DN195">
        <v>91.62</v>
      </c>
      <c r="DP195" s="86" t="str">
        <f t="shared" ref="DP195:DP258" si="40">DQ195&amp;DW195</f>
        <v>156263Mix + Intocáveis SC Johnson</v>
      </c>
      <c r="DQ195">
        <v>156263</v>
      </c>
      <c r="DR195" t="s">
        <v>343</v>
      </c>
      <c r="DS195" t="s">
        <v>1306</v>
      </c>
      <c r="DT195" t="s">
        <v>103</v>
      </c>
      <c r="DU195" t="s">
        <v>1778</v>
      </c>
      <c r="DV195" t="s">
        <v>1779</v>
      </c>
      <c r="DW195" t="s">
        <v>459</v>
      </c>
      <c r="DX195">
        <v>38.4</v>
      </c>
      <c r="DY195">
        <v>40</v>
      </c>
      <c r="DZ195">
        <v>99.83</v>
      </c>
      <c r="EB195" s="86" t="str">
        <f t="shared" ref="EB195:EB206" si="41">EC195&amp;EI195</f>
        <v>184604Mix + Intocáveis SC Johnson</v>
      </c>
      <c r="EC195">
        <v>184604</v>
      </c>
      <c r="ED195" t="s">
        <v>367</v>
      </c>
      <c r="EE195" t="s">
        <v>539</v>
      </c>
      <c r="EF195" t="s">
        <v>103</v>
      </c>
      <c r="EG195" t="s">
        <v>1934</v>
      </c>
      <c r="EH195" t="s">
        <v>1935</v>
      </c>
      <c r="EI195" t="s">
        <v>459</v>
      </c>
      <c r="EJ195">
        <v>28</v>
      </c>
      <c r="EK195">
        <v>40</v>
      </c>
      <c r="EL195">
        <v>77.849999999999994</v>
      </c>
    </row>
    <row r="196" spans="1:142" x14ac:dyDescent="0.35">
      <c r="A196" s="86" t="str">
        <f t="shared" ref="A196:A259" si="42">B196&amp;G196</f>
        <v>167265Share Sub Category SC Johnson</v>
      </c>
      <c r="B196">
        <v>167265</v>
      </c>
      <c r="C196" t="s">
        <v>346</v>
      </c>
      <c r="D196" t="s">
        <v>103</v>
      </c>
      <c r="E196" t="s">
        <v>562</v>
      </c>
      <c r="F196" t="s">
        <v>563</v>
      </c>
      <c r="G196" t="s">
        <v>457</v>
      </c>
      <c r="H196">
        <v>52.97</v>
      </c>
      <c r="I196">
        <v>21.42</v>
      </c>
      <c r="J196">
        <v>30</v>
      </c>
      <c r="L196" s="86" t="str">
        <f t="shared" ref="L196:L259" si="43">M196&amp;S196</f>
        <v>167265Cross Merchan SC Johnson</v>
      </c>
      <c r="M196">
        <v>167265</v>
      </c>
      <c r="N196" t="s">
        <v>346</v>
      </c>
      <c r="O196" t="s">
        <v>482</v>
      </c>
      <c r="P196" t="s">
        <v>103</v>
      </c>
      <c r="Q196" t="s">
        <v>712</v>
      </c>
      <c r="R196" t="s">
        <v>713</v>
      </c>
      <c r="S196" t="s">
        <v>111</v>
      </c>
      <c r="T196">
        <v>8</v>
      </c>
      <c r="U196">
        <v>8</v>
      </c>
      <c r="V196">
        <v>58.56</v>
      </c>
      <c r="X196" s="86" t="str">
        <f t="shared" ref="X196:X259" si="44">Y196&amp;AE196</f>
        <v>168551Cross Merchan SC Johnson</v>
      </c>
      <c r="Y196">
        <v>168551</v>
      </c>
      <c r="Z196" t="s">
        <v>380</v>
      </c>
      <c r="AA196" t="s">
        <v>104</v>
      </c>
      <c r="AB196" t="s">
        <v>103</v>
      </c>
      <c r="AC196" t="s">
        <v>895</v>
      </c>
      <c r="AD196" t="s">
        <v>896</v>
      </c>
      <c r="AE196" t="s">
        <v>111</v>
      </c>
      <c r="AF196">
        <v>8</v>
      </c>
      <c r="AG196">
        <v>8</v>
      </c>
      <c r="AH196">
        <v>72.33</v>
      </c>
      <c r="AJ196" s="86" t="str">
        <f t="shared" ref="AJ196:AJ259" si="45">AK196&amp;AQ196</f>
        <v>166873Mix + Intocáveis SC Johnson</v>
      </c>
      <c r="AK196">
        <v>166873</v>
      </c>
      <c r="AL196" t="s">
        <v>345</v>
      </c>
      <c r="AM196" t="s">
        <v>36</v>
      </c>
      <c r="AN196" t="s">
        <v>103</v>
      </c>
      <c r="AO196" t="s">
        <v>962</v>
      </c>
      <c r="AP196" t="s">
        <v>963</v>
      </c>
      <c r="AQ196" t="s">
        <v>459</v>
      </c>
      <c r="AR196">
        <v>27.84</v>
      </c>
      <c r="AS196">
        <v>40</v>
      </c>
      <c r="AT196">
        <v>63.77</v>
      </c>
      <c r="AV196" s="86" t="str">
        <f t="shared" ref="AV196:AV259" si="46">AW196&amp;BC196</f>
        <v>167265Mix + Intocáveis SC Johnson</v>
      </c>
      <c r="AW196">
        <v>167265</v>
      </c>
      <c r="AX196" t="s">
        <v>346</v>
      </c>
      <c r="AY196" t="s">
        <v>482</v>
      </c>
      <c r="AZ196" t="s">
        <v>103</v>
      </c>
      <c r="BA196" t="s">
        <v>1099</v>
      </c>
      <c r="BB196" t="s">
        <v>1100</v>
      </c>
      <c r="BC196" t="s">
        <v>459</v>
      </c>
      <c r="BD196">
        <v>28.68</v>
      </c>
      <c r="BE196">
        <v>40</v>
      </c>
      <c r="BF196">
        <v>67.349999999999994</v>
      </c>
      <c r="BH196" s="86" t="str">
        <f t="shared" ref="BH196:BH259" si="47">BI196&amp;BO196</f>
        <v>157637Mix + Intocáveis SC Johnson</v>
      </c>
      <c r="BI196">
        <v>157637</v>
      </c>
      <c r="BJ196" t="s">
        <v>365</v>
      </c>
      <c r="BK196" t="s">
        <v>36</v>
      </c>
      <c r="BL196" t="s">
        <v>103</v>
      </c>
      <c r="BM196" t="s">
        <v>1153</v>
      </c>
      <c r="BN196" t="s">
        <v>1154</v>
      </c>
      <c r="BO196" t="s">
        <v>459</v>
      </c>
      <c r="BP196">
        <v>32.159999999999997</v>
      </c>
      <c r="BQ196">
        <v>40</v>
      </c>
      <c r="BR196">
        <v>67.83</v>
      </c>
      <c r="BT196" s="86" t="str">
        <f t="shared" si="36"/>
        <v>152153Mix + Intocáveis SC Johnson</v>
      </c>
      <c r="BU196">
        <v>152153</v>
      </c>
      <c r="BV196" t="s">
        <v>342</v>
      </c>
      <c r="BW196" t="s">
        <v>1306</v>
      </c>
      <c r="BX196" t="s">
        <v>103</v>
      </c>
      <c r="BY196" t="s">
        <v>1333</v>
      </c>
      <c r="BZ196" t="s">
        <v>1334</v>
      </c>
      <c r="CA196" t="s">
        <v>459</v>
      </c>
      <c r="CB196">
        <v>29.6</v>
      </c>
      <c r="CC196">
        <v>40</v>
      </c>
      <c r="CD196">
        <v>73.69</v>
      </c>
      <c r="CF196" s="86" t="str">
        <f t="shared" si="37"/>
        <v>152753Mix + Intocáveis SC Johnson</v>
      </c>
      <c r="CG196">
        <v>152753</v>
      </c>
      <c r="CH196" t="s">
        <v>393</v>
      </c>
      <c r="CI196" t="s">
        <v>482</v>
      </c>
      <c r="CJ196" t="s">
        <v>103</v>
      </c>
      <c r="CK196" t="s">
        <v>1426</v>
      </c>
      <c r="CL196" t="s">
        <v>1427</v>
      </c>
      <c r="CM196" t="s">
        <v>459</v>
      </c>
      <c r="CN196">
        <v>28</v>
      </c>
      <c r="CO196">
        <v>40</v>
      </c>
      <c r="CP196">
        <v>82.85</v>
      </c>
      <c r="CR196" s="86" t="str">
        <f t="shared" si="38"/>
        <v>152753Mix + Intocáveis SC Johnson</v>
      </c>
      <c r="CS196">
        <v>152753</v>
      </c>
      <c r="CT196" t="s">
        <v>393</v>
      </c>
      <c r="CU196" t="s">
        <v>482</v>
      </c>
      <c r="CV196" t="s">
        <v>103</v>
      </c>
      <c r="CW196" t="s">
        <v>1556</v>
      </c>
      <c r="CX196" t="s">
        <v>1557</v>
      </c>
      <c r="CY196" t="s">
        <v>459</v>
      </c>
      <c r="CZ196">
        <v>31.2</v>
      </c>
      <c r="DA196">
        <v>40</v>
      </c>
      <c r="DB196">
        <v>89.29</v>
      </c>
      <c r="DD196" s="86" t="str">
        <f t="shared" si="39"/>
        <v>157153Execucao Bonus</v>
      </c>
      <c r="DE196">
        <v>157153</v>
      </c>
      <c r="DF196" t="s">
        <v>364</v>
      </c>
      <c r="DG196" t="s">
        <v>1306</v>
      </c>
      <c r="DH196" t="s">
        <v>103</v>
      </c>
      <c r="DI196" t="s">
        <v>1710</v>
      </c>
      <c r="DJ196" t="s">
        <v>1711</v>
      </c>
      <c r="DK196" t="s">
        <v>1291</v>
      </c>
      <c r="DL196">
        <v>5</v>
      </c>
      <c r="DM196">
        <v>5</v>
      </c>
      <c r="DN196">
        <v>91.62</v>
      </c>
      <c r="DP196" s="86" t="str">
        <f t="shared" si="40"/>
        <v>156263Execucao Bonus</v>
      </c>
      <c r="DQ196">
        <v>156263</v>
      </c>
      <c r="DR196" t="s">
        <v>343</v>
      </c>
      <c r="DS196" t="s">
        <v>1306</v>
      </c>
      <c r="DT196" t="s">
        <v>103</v>
      </c>
      <c r="DU196" t="s">
        <v>1778</v>
      </c>
      <c r="DV196" t="s">
        <v>1779</v>
      </c>
      <c r="DW196" t="s">
        <v>1291</v>
      </c>
      <c r="DX196">
        <v>5</v>
      </c>
      <c r="DY196">
        <v>5</v>
      </c>
      <c r="DZ196">
        <v>99.83</v>
      </c>
      <c r="EB196" s="86" t="str">
        <f t="shared" si="41"/>
        <v>184604Execucao Bonus</v>
      </c>
      <c r="EC196">
        <v>184604</v>
      </c>
      <c r="ED196" t="s">
        <v>367</v>
      </c>
      <c r="EE196" t="s">
        <v>539</v>
      </c>
      <c r="EF196" t="s">
        <v>103</v>
      </c>
      <c r="EG196" t="s">
        <v>1934</v>
      </c>
      <c r="EH196" t="s">
        <v>1935</v>
      </c>
      <c r="EI196" t="s">
        <v>1291</v>
      </c>
      <c r="EJ196">
        <v>0</v>
      </c>
      <c r="EK196">
        <v>5</v>
      </c>
      <c r="EL196">
        <v>77.849999999999994</v>
      </c>
    </row>
    <row r="197" spans="1:142" x14ac:dyDescent="0.35">
      <c r="A197" s="86" t="str">
        <f t="shared" si="42"/>
        <v>167265Cross Merchan SC Johnson</v>
      </c>
      <c r="B197">
        <v>167265</v>
      </c>
      <c r="C197" t="s">
        <v>346</v>
      </c>
      <c r="D197" t="s">
        <v>103</v>
      </c>
      <c r="E197" t="s">
        <v>562</v>
      </c>
      <c r="F197" t="s">
        <v>563</v>
      </c>
      <c r="G197" t="s">
        <v>111</v>
      </c>
      <c r="H197">
        <v>52.97</v>
      </c>
      <c r="I197">
        <v>0</v>
      </c>
      <c r="J197">
        <v>8</v>
      </c>
      <c r="L197" s="86" t="str">
        <f t="shared" si="43"/>
        <v>167265Share Sub Loc Pao Quente SC Johnson</v>
      </c>
      <c r="M197">
        <v>167265</v>
      </c>
      <c r="N197" t="s">
        <v>346</v>
      </c>
      <c r="O197" t="s">
        <v>482</v>
      </c>
      <c r="P197" t="s">
        <v>103</v>
      </c>
      <c r="Q197" t="s">
        <v>712</v>
      </c>
      <c r="R197" t="s">
        <v>713</v>
      </c>
      <c r="S197" t="s">
        <v>458</v>
      </c>
      <c r="T197">
        <v>4.25</v>
      </c>
      <c r="U197">
        <v>17</v>
      </c>
      <c r="V197">
        <v>58.56</v>
      </c>
      <c r="X197" s="86" t="str">
        <f t="shared" si="44"/>
        <v>168551Share Sub Loc Pao Quente SC Johnson</v>
      </c>
      <c r="Y197">
        <v>168551</v>
      </c>
      <c r="Z197" t="s">
        <v>380</v>
      </c>
      <c r="AA197" t="s">
        <v>104</v>
      </c>
      <c r="AB197" t="s">
        <v>103</v>
      </c>
      <c r="AC197" t="s">
        <v>895</v>
      </c>
      <c r="AD197" t="s">
        <v>896</v>
      </c>
      <c r="AE197" t="s">
        <v>458</v>
      </c>
      <c r="AF197">
        <v>12.75</v>
      </c>
      <c r="AG197">
        <v>17</v>
      </c>
      <c r="AH197">
        <v>72.33</v>
      </c>
      <c r="AJ197" s="86" t="str">
        <f t="shared" si="45"/>
        <v>166873Lancamentos</v>
      </c>
      <c r="AK197">
        <v>166873</v>
      </c>
      <c r="AL197" t="s">
        <v>345</v>
      </c>
      <c r="AM197" t="s">
        <v>36</v>
      </c>
      <c r="AN197" t="s">
        <v>103</v>
      </c>
      <c r="AO197" t="s">
        <v>962</v>
      </c>
      <c r="AP197" t="s">
        <v>963</v>
      </c>
      <c r="AQ197" t="s">
        <v>953</v>
      </c>
      <c r="AR197">
        <v>0</v>
      </c>
      <c r="AS197">
        <v>18</v>
      </c>
      <c r="AT197">
        <v>63.77</v>
      </c>
      <c r="AV197" s="86" t="str">
        <f t="shared" si="46"/>
        <v>167265Lancamentos</v>
      </c>
      <c r="AW197">
        <v>167265</v>
      </c>
      <c r="AX197" t="s">
        <v>346</v>
      </c>
      <c r="AY197" t="s">
        <v>482</v>
      </c>
      <c r="AZ197" t="s">
        <v>103</v>
      </c>
      <c r="BA197" t="s">
        <v>1099</v>
      </c>
      <c r="BB197" t="s">
        <v>1100</v>
      </c>
      <c r="BC197" t="s">
        <v>953</v>
      </c>
      <c r="BD197">
        <v>0</v>
      </c>
      <c r="BE197">
        <v>18</v>
      </c>
      <c r="BF197">
        <v>67.349999999999994</v>
      </c>
      <c r="BH197" s="86" t="str">
        <f t="shared" si="47"/>
        <v>157637Lancamentos</v>
      </c>
      <c r="BI197">
        <v>157637</v>
      </c>
      <c r="BJ197" t="s">
        <v>365</v>
      </c>
      <c r="BK197" t="s">
        <v>36</v>
      </c>
      <c r="BL197" t="s">
        <v>103</v>
      </c>
      <c r="BM197" t="s">
        <v>1153</v>
      </c>
      <c r="BN197" t="s">
        <v>1154</v>
      </c>
      <c r="BO197" t="s">
        <v>953</v>
      </c>
      <c r="BP197">
        <v>0</v>
      </c>
      <c r="BQ197">
        <v>18</v>
      </c>
      <c r="BR197">
        <v>67.83</v>
      </c>
      <c r="BT197" s="86" t="str">
        <f t="shared" si="36"/>
        <v>152153Share Sub Category SC Johnson</v>
      </c>
      <c r="BU197">
        <v>152153</v>
      </c>
      <c r="BV197" t="s">
        <v>342</v>
      </c>
      <c r="BW197" t="s">
        <v>1306</v>
      </c>
      <c r="BX197" t="s">
        <v>103</v>
      </c>
      <c r="BY197" t="s">
        <v>1333</v>
      </c>
      <c r="BZ197" t="s">
        <v>1334</v>
      </c>
      <c r="CA197" t="s">
        <v>457</v>
      </c>
      <c r="CB197">
        <v>21.425000000000001</v>
      </c>
      <c r="CC197">
        <v>25</v>
      </c>
      <c r="CD197">
        <v>73.69</v>
      </c>
      <c r="CF197" s="86" t="str">
        <f t="shared" si="37"/>
        <v>152753Share Sub Category SC Johnson</v>
      </c>
      <c r="CG197">
        <v>152753</v>
      </c>
      <c r="CH197" t="s">
        <v>393</v>
      </c>
      <c r="CI197" t="s">
        <v>482</v>
      </c>
      <c r="CJ197" t="s">
        <v>103</v>
      </c>
      <c r="CK197" t="s">
        <v>1426</v>
      </c>
      <c r="CL197" t="s">
        <v>1427</v>
      </c>
      <c r="CM197" t="s">
        <v>457</v>
      </c>
      <c r="CN197">
        <v>17.850000000000001</v>
      </c>
      <c r="CO197">
        <v>25</v>
      </c>
      <c r="CP197">
        <v>82.85</v>
      </c>
      <c r="CR197" s="86" t="str">
        <f t="shared" si="38"/>
        <v>152753Share Sub Category SC Johnson</v>
      </c>
      <c r="CS197">
        <v>152753</v>
      </c>
      <c r="CT197" t="s">
        <v>393</v>
      </c>
      <c r="CU197" t="s">
        <v>482</v>
      </c>
      <c r="CV197" t="s">
        <v>103</v>
      </c>
      <c r="CW197" t="s">
        <v>1556</v>
      </c>
      <c r="CX197" t="s">
        <v>1557</v>
      </c>
      <c r="CY197" t="s">
        <v>457</v>
      </c>
      <c r="CZ197">
        <v>21.425000000000001</v>
      </c>
      <c r="DA197">
        <v>25</v>
      </c>
      <c r="DB197">
        <v>89.29</v>
      </c>
      <c r="DD197" s="86" t="str">
        <f t="shared" si="39"/>
        <v>157153Cross Merchan SC Johnson</v>
      </c>
      <c r="DE197">
        <v>157153</v>
      </c>
      <c r="DF197" t="s">
        <v>364</v>
      </c>
      <c r="DG197" t="s">
        <v>1306</v>
      </c>
      <c r="DH197" t="s">
        <v>103</v>
      </c>
      <c r="DI197" t="s">
        <v>1710</v>
      </c>
      <c r="DJ197" t="s">
        <v>1711</v>
      </c>
      <c r="DK197" t="s">
        <v>111</v>
      </c>
      <c r="DL197">
        <v>5</v>
      </c>
      <c r="DM197">
        <v>5</v>
      </c>
      <c r="DN197">
        <v>91.62</v>
      </c>
      <c r="DP197" s="86" t="str">
        <f t="shared" si="40"/>
        <v>156263Cross Merchan SC Johnson</v>
      </c>
      <c r="DQ197">
        <v>156263</v>
      </c>
      <c r="DR197" t="s">
        <v>343</v>
      </c>
      <c r="DS197" t="s">
        <v>1306</v>
      </c>
      <c r="DT197" t="s">
        <v>103</v>
      </c>
      <c r="DU197" t="s">
        <v>1778</v>
      </c>
      <c r="DV197" t="s">
        <v>1779</v>
      </c>
      <c r="DW197" t="s">
        <v>111</v>
      </c>
      <c r="DX197">
        <v>5</v>
      </c>
      <c r="DY197">
        <v>5</v>
      </c>
      <c r="DZ197">
        <v>99.83</v>
      </c>
      <c r="EB197" s="86" t="str">
        <f t="shared" si="41"/>
        <v>184604Cross Merchan SC Johnson</v>
      </c>
      <c r="EC197">
        <v>184604</v>
      </c>
      <c r="ED197" t="s">
        <v>367</v>
      </c>
      <c r="EE197" t="s">
        <v>539</v>
      </c>
      <c r="EF197" t="s">
        <v>103</v>
      </c>
      <c r="EG197" t="s">
        <v>1934</v>
      </c>
      <c r="EH197" t="s">
        <v>1935</v>
      </c>
      <c r="EI197" t="s">
        <v>111</v>
      </c>
      <c r="EJ197">
        <v>5</v>
      </c>
      <c r="EK197">
        <v>5</v>
      </c>
      <c r="EL197">
        <v>77.849999999999994</v>
      </c>
    </row>
    <row r="198" spans="1:142" x14ac:dyDescent="0.35">
      <c r="A198" s="86" t="str">
        <f t="shared" si="42"/>
        <v>167265Share Sub Loc Pao Quente SC Johnson</v>
      </c>
      <c r="B198">
        <v>167265</v>
      </c>
      <c r="C198" t="s">
        <v>346</v>
      </c>
      <c r="D198" t="s">
        <v>103</v>
      </c>
      <c r="E198" t="s">
        <v>562</v>
      </c>
      <c r="F198" t="s">
        <v>563</v>
      </c>
      <c r="G198" t="s">
        <v>458</v>
      </c>
      <c r="H198">
        <v>52.97</v>
      </c>
      <c r="I198">
        <v>6.8</v>
      </c>
      <c r="J198">
        <v>17</v>
      </c>
      <c r="L198" s="86" t="str">
        <f t="shared" si="43"/>
        <v>167265Mix + Intocáveis SC Johnson</v>
      </c>
      <c r="M198">
        <v>167265</v>
      </c>
      <c r="N198" t="s">
        <v>346</v>
      </c>
      <c r="O198" t="s">
        <v>482</v>
      </c>
      <c r="P198" t="s">
        <v>103</v>
      </c>
      <c r="Q198" t="s">
        <v>712</v>
      </c>
      <c r="R198" t="s">
        <v>713</v>
      </c>
      <c r="S198" t="s">
        <v>459</v>
      </c>
      <c r="T198">
        <v>16.3125</v>
      </c>
      <c r="U198">
        <v>45</v>
      </c>
      <c r="V198">
        <v>58.56</v>
      </c>
      <c r="X198" s="86" t="str">
        <f t="shared" si="44"/>
        <v>168551Mix + Intocáveis SC Johnson</v>
      </c>
      <c r="Y198">
        <v>168551</v>
      </c>
      <c r="Z198" t="s">
        <v>380</v>
      </c>
      <c r="AA198" t="s">
        <v>104</v>
      </c>
      <c r="AB198" t="s">
        <v>103</v>
      </c>
      <c r="AC198" t="s">
        <v>895</v>
      </c>
      <c r="AD198" t="s">
        <v>896</v>
      </c>
      <c r="AE198" t="s">
        <v>459</v>
      </c>
      <c r="AF198">
        <v>25.875</v>
      </c>
      <c r="AG198">
        <v>45</v>
      </c>
      <c r="AH198">
        <v>72.33</v>
      </c>
      <c r="AJ198" s="86" t="str">
        <f t="shared" si="45"/>
        <v>167265Share Sub Category SC Johnson</v>
      </c>
      <c r="AK198">
        <v>167265</v>
      </c>
      <c r="AL198" t="s">
        <v>346</v>
      </c>
      <c r="AM198" t="s">
        <v>104</v>
      </c>
      <c r="AN198" t="s">
        <v>103</v>
      </c>
      <c r="AO198" t="s">
        <v>1000</v>
      </c>
      <c r="AP198" t="s">
        <v>1001</v>
      </c>
      <c r="AQ198" t="s">
        <v>457</v>
      </c>
      <c r="AR198">
        <v>25</v>
      </c>
      <c r="AS198">
        <v>25</v>
      </c>
      <c r="AT198">
        <v>70.819999999999993</v>
      </c>
      <c r="AV198" s="86" t="str">
        <f t="shared" si="46"/>
        <v>168551Share Sub Category SC Johnson</v>
      </c>
      <c r="AW198">
        <v>168551</v>
      </c>
      <c r="AX198" t="s">
        <v>380</v>
      </c>
      <c r="AY198" t="s">
        <v>460</v>
      </c>
      <c r="AZ198" t="s">
        <v>103</v>
      </c>
      <c r="BA198" t="s">
        <v>1101</v>
      </c>
      <c r="BB198" t="s">
        <v>1102</v>
      </c>
      <c r="BC198" t="s">
        <v>457</v>
      </c>
      <c r="BD198">
        <v>21.425000000000001</v>
      </c>
      <c r="BE198">
        <v>25</v>
      </c>
      <c r="BF198">
        <v>62.05</v>
      </c>
      <c r="BH198" s="86" t="str">
        <f t="shared" si="47"/>
        <v>159620Share Sub Category SC Johnson</v>
      </c>
      <c r="BI198">
        <v>159620</v>
      </c>
      <c r="BJ198" t="s">
        <v>394</v>
      </c>
      <c r="BK198" t="s">
        <v>482</v>
      </c>
      <c r="BL198" t="s">
        <v>103</v>
      </c>
      <c r="BM198" t="s">
        <v>1163</v>
      </c>
      <c r="BN198" t="s">
        <v>1164</v>
      </c>
      <c r="BO198" t="s">
        <v>457</v>
      </c>
      <c r="BP198">
        <v>17.850000000000001</v>
      </c>
      <c r="BQ198">
        <v>25</v>
      </c>
      <c r="BR198">
        <v>55.33</v>
      </c>
      <c r="BT198" s="86" t="str">
        <f t="shared" si="36"/>
        <v>152153Share Sub Loc Pao Quente SC Johnson</v>
      </c>
      <c r="BU198">
        <v>152153</v>
      </c>
      <c r="BV198" t="s">
        <v>342</v>
      </c>
      <c r="BW198" t="s">
        <v>1306</v>
      </c>
      <c r="BX198" t="s">
        <v>103</v>
      </c>
      <c r="BY198" t="s">
        <v>1333</v>
      </c>
      <c r="BZ198" t="s">
        <v>1334</v>
      </c>
      <c r="CA198" t="s">
        <v>458</v>
      </c>
      <c r="CB198">
        <v>12</v>
      </c>
      <c r="CC198">
        <v>12</v>
      </c>
      <c r="CD198">
        <v>73.69</v>
      </c>
      <c r="CF198" s="86" t="str">
        <f t="shared" si="37"/>
        <v>152753Share Sub Loc Pao Quente SC Johnson</v>
      </c>
      <c r="CG198">
        <v>152753</v>
      </c>
      <c r="CH198" t="s">
        <v>393</v>
      </c>
      <c r="CI198" t="s">
        <v>482</v>
      </c>
      <c r="CJ198" t="s">
        <v>103</v>
      </c>
      <c r="CK198" t="s">
        <v>1426</v>
      </c>
      <c r="CL198" t="s">
        <v>1427</v>
      </c>
      <c r="CM198" t="s">
        <v>458</v>
      </c>
      <c r="CN198">
        <v>9</v>
      </c>
      <c r="CO198">
        <v>12</v>
      </c>
      <c r="CP198">
        <v>82.85</v>
      </c>
      <c r="CR198" s="86" t="str">
        <f t="shared" si="38"/>
        <v>152753Share Sub Loc Pao Quente SC Johnson</v>
      </c>
      <c r="CS198">
        <v>152753</v>
      </c>
      <c r="CT198" t="s">
        <v>393</v>
      </c>
      <c r="CU198" t="s">
        <v>482</v>
      </c>
      <c r="CV198" t="s">
        <v>103</v>
      </c>
      <c r="CW198" t="s">
        <v>1556</v>
      </c>
      <c r="CX198" t="s">
        <v>1557</v>
      </c>
      <c r="CY198" t="s">
        <v>458</v>
      </c>
      <c r="CZ198">
        <v>12</v>
      </c>
      <c r="DA198">
        <v>12</v>
      </c>
      <c r="DB198">
        <v>89.29</v>
      </c>
      <c r="DD198" s="86" t="str">
        <f t="shared" si="39"/>
        <v>157153Lancamentos</v>
      </c>
      <c r="DE198">
        <v>157153</v>
      </c>
      <c r="DF198" t="s">
        <v>364</v>
      </c>
      <c r="DG198" t="s">
        <v>1306</v>
      </c>
      <c r="DH198" t="s">
        <v>103</v>
      </c>
      <c r="DI198" t="s">
        <v>1710</v>
      </c>
      <c r="DJ198" t="s">
        <v>1711</v>
      </c>
      <c r="DK198" t="s">
        <v>953</v>
      </c>
      <c r="DL198">
        <v>9</v>
      </c>
      <c r="DM198">
        <v>18</v>
      </c>
      <c r="DN198">
        <v>91.62</v>
      </c>
      <c r="DP198" s="86" t="str">
        <f t="shared" si="40"/>
        <v>156263Lancamentos</v>
      </c>
      <c r="DQ198">
        <v>156263</v>
      </c>
      <c r="DR198" t="s">
        <v>343</v>
      </c>
      <c r="DS198" t="s">
        <v>1306</v>
      </c>
      <c r="DT198" t="s">
        <v>103</v>
      </c>
      <c r="DU198" t="s">
        <v>1778</v>
      </c>
      <c r="DV198" t="s">
        <v>1779</v>
      </c>
      <c r="DW198" t="s">
        <v>953</v>
      </c>
      <c r="DX198">
        <v>18</v>
      </c>
      <c r="DY198">
        <v>18</v>
      </c>
      <c r="DZ198">
        <v>99.83</v>
      </c>
      <c r="EB198" s="86" t="str">
        <f t="shared" si="41"/>
        <v>184604Lancamentos</v>
      </c>
      <c r="EC198">
        <v>184604</v>
      </c>
      <c r="ED198" t="s">
        <v>367</v>
      </c>
      <c r="EE198" t="s">
        <v>539</v>
      </c>
      <c r="EF198" t="s">
        <v>103</v>
      </c>
      <c r="EG198" t="s">
        <v>1934</v>
      </c>
      <c r="EH198" t="s">
        <v>1935</v>
      </c>
      <c r="EI198" t="s">
        <v>953</v>
      </c>
      <c r="EJ198">
        <v>18</v>
      </c>
      <c r="EK198">
        <v>18</v>
      </c>
      <c r="EL198">
        <v>77.849999999999994</v>
      </c>
    </row>
    <row r="199" spans="1:142" x14ac:dyDescent="0.35">
      <c r="A199" s="86" t="str">
        <f t="shared" si="42"/>
        <v>167265Mix + Intocáveis SC Johnson</v>
      </c>
      <c r="B199">
        <v>167265</v>
      </c>
      <c r="C199" t="s">
        <v>346</v>
      </c>
      <c r="D199" t="s">
        <v>103</v>
      </c>
      <c r="E199" t="s">
        <v>562</v>
      </c>
      <c r="F199" t="s">
        <v>563</v>
      </c>
      <c r="G199" t="s">
        <v>459</v>
      </c>
      <c r="H199">
        <v>52.97</v>
      </c>
      <c r="I199">
        <v>24.75</v>
      </c>
      <c r="J199">
        <v>45</v>
      </c>
      <c r="L199" s="86" t="str">
        <f t="shared" si="43"/>
        <v>168551Share Sub Category SC Johnson</v>
      </c>
      <c r="M199">
        <v>168551</v>
      </c>
      <c r="N199" t="s">
        <v>380</v>
      </c>
      <c r="O199" t="s">
        <v>460</v>
      </c>
      <c r="P199" t="s">
        <v>103</v>
      </c>
      <c r="Q199" t="s">
        <v>714</v>
      </c>
      <c r="R199" t="s">
        <v>715</v>
      </c>
      <c r="S199" t="s">
        <v>457</v>
      </c>
      <c r="T199">
        <v>25.71</v>
      </c>
      <c r="U199">
        <v>30</v>
      </c>
      <c r="V199">
        <v>48.27</v>
      </c>
      <c r="X199" s="86" t="str">
        <f t="shared" si="44"/>
        <v>169160Share Sub Category SC Johnson</v>
      </c>
      <c r="Y199">
        <v>169160</v>
      </c>
      <c r="Z199" t="s">
        <v>347</v>
      </c>
      <c r="AA199" t="s">
        <v>36</v>
      </c>
      <c r="AB199" t="s">
        <v>103</v>
      </c>
      <c r="AC199" t="s">
        <v>869</v>
      </c>
      <c r="AD199" t="s">
        <v>870</v>
      </c>
      <c r="AE199" t="s">
        <v>457</v>
      </c>
      <c r="AF199">
        <v>25.71</v>
      </c>
      <c r="AG199">
        <v>30</v>
      </c>
      <c r="AH199">
        <v>76.84</v>
      </c>
      <c r="AJ199" s="86" t="str">
        <f t="shared" si="45"/>
        <v>167265Cross Merchan SC Johnson</v>
      </c>
      <c r="AK199">
        <v>167265</v>
      </c>
      <c r="AL199" t="s">
        <v>346</v>
      </c>
      <c r="AM199" t="s">
        <v>104</v>
      </c>
      <c r="AN199" t="s">
        <v>103</v>
      </c>
      <c r="AO199" t="s">
        <v>1000</v>
      </c>
      <c r="AP199" t="s">
        <v>1001</v>
      </c>
      <c r="AQ199" t="s">
        <v>111</v>
      </c>
      <c r="AR199">
        <v>2.5</v>
      </c>
      <c r="AS199">
        <v>5</v>
      </c>
      <c r="AT199">
        <v>70.819999999999993</v>
      </c>
      <c r="AV199" s="86" t="str">
        <f t="shared" si="46"/>
        <v>168551Cross Merchan SC Johnson</v>
      </c>
      <c r="AW199">
        <v>168551</v>
      </c>
      <c r="AX199" t="s">
        <v>380</v>
      </c>
      <c r="AY199" t="s">
        <v>460</v>
      </c>
      <c r="AZ199" t="s">
        <v>103</v>
      </c>
      <c r="BA199" t="s">
        <v>1101</v>
      </c>
      <c r="BB199" t="s">
        <v>1102</v>
      </c>
      <c r="BC199" t="s">
        <v>111</v>
      </c>
      <c r="BD199">
        <v>1.665</v>
      </c>
      <c r="BE199">
        <v>5</v>
      </c>
      <c r="BF199">
        <v>62.05</v>
      </c>
      <c r="BH199" s="86" t="str">
        <f t="shared" si="47"/>
        <v>159620Cross Merchan SC Johnson</v>
      </c>
      <c r="BI199">
        <v>159620</v>
      </c>
      <c r="BJ199" t="s">
        <v>394</v>
      </c>
      <c r="BK199" t="s">
        <v>482</v>
      </c>
      <c r="BL199" t="s">
        <v>103</v>
      </c>
      <c r="BM199" t="s">
        <v>1163</v>
      </c>
      <c r="BN199" t="s">
        <v>1164</v>
      </c>
      <c r="BO199" t="s">
        <v>111</v>
      </c>
      <c r="BP199">
        <v>5</v>
      </c>
      <c r="BQ199">
        <v>5</v>
      </c>
      <c r="BR199">
        <v>55.33</v>
      </c>
      <c r="BT199" s="86" t="str">
        <f t="shared" si="36"/>
        <v>152153Cross Merchan SC Johnson</v>
      </c>
      <c r="BU199">
        <v>152153</v>
      </c>
      <c r="BV199" t="s">
        <v>342</v>
      </c>
      <c r="BW199" t="s">
        <v>1306</v>
      </c>
      <c r="BX199" t="s">
        <v>103</v>
      </c>
      <c r="BY199" t="s">
        <v>1333</v>
      </c>
      <c r="BZ199" t="s">
        <v>1334</v>
      </c>
      <c r="CA199" t="s">
        <v>111</v>
      </c>
      <c r="CB199">
        <v>1.665</v>
      </c>
      <c r="CC199">
        <v>5</v>
      </c>
      <c r="CD199">
        <v>73.69</v>
      </c>
      <c r="CF199" s="86" t="str">
        <f t="shared" si="37"/>
        <v>152753Cross Merchan SC Johnson</v>
      </c>
      <c r="CG199">
        <v>152753</v>
      </c>
      <c r="CH199" t="s">
        <v>393</v>
      </c>
      <c r="CI199" t="s">
        <v>482</v>
      </c>
      <c r="CJ199" t="s">
        <v>103</v>
      </c>
      <c r="CK199" t="s">
        <v>1426</v>
      </c>
      <c r="CL199" t="s">
        <v>1427</v>
      </c>
      <c r="CM199" t="s">
        <v>111</v>
      </c>
      <c r="CN199">
        <v>5</v>
      </c>
      <c r="CO199">
        <v>5</v>
      </c>
      <c r="CP199">
        <v>82.85</v>
      </c>
      <c r="CR199" s="86" t="str">
        <f t="shared" si="38"/>
        <v>152753Cross Merchan SC Johnson</v>
      </c>
      <c r="CS199">
        <v>152753</v>
      </c>
      <c r="CT199" t="s">
        <v>393</v>
      </c>
      <c r="CU199" t="s">
        <v>482</v>
      </c>
      <c r="CV199" t="s">
        <v>103</v>
      </c>
      <c r="CW199" t="s">
        <v>1556</v>
      </c>
      <c r="CX199" t="s">
        <v>1557</v>
      </c>
      <c r="CY199" t="s">
        <v>111</v>
      </c>
      <c r="CZ199">
        <v>1.665</v>
      </c>
      <c r="DA199">
        <v>5</v>
      </c>
      <c r="DB199">
        <v>89.29</v>
      </c>
      <c r="DD199" s="86" t="str">
        <f t="shared" si="39"/>
        <v>157153Share Sub Category SC Johnson</v>
      </c>
      <c r="DE199">
        <v>157153</v>
      </c>
      <c r="DF199" t="s">
        <v>364</v>
      </c>
      <c r="DG199" t="s">
        <v>1306</v>
      </c>
      <c r="DH199" t="s">
        <v>103</v>
      </c>
      <c r="DI199" t="s">
        <v>1710</v>
      </c>
      <c r="DJ199" t="s">
        <v>1711</v>
      </c>
      <c r="DK199" t="s">
        <v>457</v>
      </c>
      <c r="DL199">
        <v>21.425000000000001</v>
      </c>
      <c r="DM199">
        <v>25</v>
      </c>
      <c r="DN199">
        <v>91.62</v>
      </c>
      <c r="DP199" s="86" t="str">
        <f t="shared" si="40"/>
        <v>156263Share Sub Category SC Johnson</v>
      </c>
      <c r="DQ199">
        <v>156263</v>
      </c>
      <c r="DR199" t="s">
        <v>343</v>
      </c>
      <c r="DS199" t="s">
        <v>1306</v>
      </c>
      <c r="DT199" t="s">
        <v>103</v>
      </c>
      <c r="DU199" t="s">
        <v>1778</v>
      </c>
      <c r="DV199" t="s">
        <v>1779</v>
      </c>
      <c r="DW199" t="s">
        <v>457</v>
      </c>
      <c r="DX199">
        <v>21.425000000000001</v>
      </c>
      <c r="DY199">
        <v>25</v>
      </c>
      <c r="DZ199">
        <v>99.83</v>
      </c>
      <c r="EB199" s="86" t="str">
        <f t="shared" si="41"/>
        <v>184604Share Sub Category SC Johnson</v>
      </c>
      <c r="EC199">
        <v>184604</v>
      </c>
      <c r="ED199" t="s">
        <v>367</v>
      </c>
      <c r="EE199" t="s">
        <v>539</v>
      </c>
      <c r="EF199" t="s">
        <v>103</v>
      </c>
      <c r="EG199" t="s">
        <v>1934</v>
      </c>
      <c r="EH199" t="s">
        <v>1935</v>
      </c>
      <c r="EI199" t="s">
        <v>457</v>
      </c>
      <c r="EJ199">
        <v>17.850000000000001</v>
      </c>
      <c r="EK199">
        <v>25</v>
      </c>
      <c r="EL199">
        <v>77.849999999999994</v>
      </c>
    </row>
    <row r="200" spans="1:142" x14ac:dyDescent="0.35">
      <c r="A200" s="86" t="str">
        <f t="shared" si="42"/>
        <v>168551Share Sub Category SC Johnson</v>
      </c>
      <c r="B200">
        <v>168551</v>
      </c>
      <c r="C200" t="s">
        <v>380</v>
      </c>
      <c r="D200" t="s">
        <v>103</v>
      </c>
      <c r="E200" t="s">
        <v>564</v>
      </c>
      <c r="F200" t="s">
        <v>565</v>
      </c>
      <c r="G200" t="s">
        <v>457</v>
      </c>
      <c r="H200">
        <v>75.41</v>
      </c>
      <c r="I200">
        <v>25.71</v>
      </c>
      <c r="J200">
        <v>30</v>
      </c>
      <c r="L200" s="86" t="str">
        <f t="shared" si="43"/>
        <v>168551Cross Merchan SC Johnson</v>
      </c>
      <c r="M200">
        <v>168551</v>
      </c>
      <c r="N200" t="s">
        <v>380</v>
      </c>
      <c r="O200" t="s">
        <v>460</v>
      </c>
      <c r="P200" t="s">
        <v>103</v>
      </c>
      <c r="Q200" t="s">
        <v>714</v>
      </c>
      <c r="R200" t="s">
        <v>715</v>
      </c>
      <c r="S200" t="s">
        <v>111</v>
      </c>
      <c r="T200">
        <v>0</v>
      </c>
      <c r="U200">
        <v>8</v>
      </c>
      <c r="V200">
        <v>48.27</v>
      </c>
      <c r="X200" s="86" t="str">
        <f t="shared" si="44"/>
        <v>169160Cross Merchan SC Johnson</v>
      </c>
      <c r="Y200">
        <v>169160</v>
      </c>
      <c r="Z200" t="s">
        <v>347</v>
      </c>
      <c r="AA200" t="s">
        <v>36</v>
      </c>
      <c r="AB200" t="s">
        <v>103</v>
      </c>
      <c r="AC200" t="s">
        <v>869</v>
      </c>
      <c r="AD200" t="s">
        <v>870</v>
      </c>
      <c r="AE200" t="s">
        <v>111</v>
      </c>
      <c r="AF200">
        <v>8</v>
      </c>
      <c r="AG200">
        <v>8</v>
      </c>
      <c r="AH200">
        <v>76.84</v>
      </c>
      <c r="AJ200" s="86" t="str">
        <f t="shared" si="45"/>
        <v>167265Share Sub Loc Pao Quente SC Johnson</v>
      </c>
      <c r="AK200">
        <v>167265</v>
      </c>
      <c r="AL200" t="s">
        <v>346</v>
      </c>
      <c r="AM200" t="s">
        <v>104</v>
      </c>
      <c r="AN200" t="s">
        <v>103</v>
      </c>
      <c r="AO200" t="s">
        <v>1000</v>
      </c>
      <c r="AP200" t="s">
        <v>1001</v>
      </c>
      <c r="AQ200" t="s">
        <v>458</v>
      </c>
      <c r="AR200">
        <v>12</v>
      </c>
      <c r="AS200">
        <v>12</v>
      </c>
      <c r="AT200">
        <v>70.819999999999993</v>
      </c>
      <c r="AV200" s="86" t="str">
        <f t="shared" si="46"/>
        <v>168551Share Sub Loc Pao Quente SC Johnson</v>
      </c>
      <c r="AW200">
        <v>168551</v>
      </c>
      <c r="AX200" t="s">
        <v>380</v>
      </c>
      <c r="AY200" t="s">
        <v>460</v>
      </c>
      <c r="AZ200" t="s">
        <v>103</v>
      </c>
      <c r="BA200" t="s">
        <v>1101</v>
      </c>
      <c r="BB200" t="s">
        <v>1102</v>
      </c>
      <c r="BC200" t="s">
        <v>458</v>
      </c>
      <c r="BD200">
        <v>12</v>
      </c>
      <c r="BE200">
        <v>12</v>
      </c>
      <c r="BF200">
        <v>62.05</v>
      </c>
      <c r="BH200" s="86" t="str">
        <f t="shared" si="47"/>
        <v>159620Share Sub Loc Pao Quente SC Johnson</v>
      </c>
      <c r="BI200">
        <v>159620</v>
      </c>
      <c r="BJ200" t="s">
        <v>394</v>
      </c>
      <c r="BK200" t="s">
        <v>482</v>
      </c>
      <c r="BL200" t="s">
        <v>103</v>
      </c>
      <c r="BM200" t="s">
        <v>1163</v>
      </c>
      <c r="BN200" t="s">
        <v>1164</v>
      </c>
      <c r="BO200" t="s">
        <v>458</v>
      </c>
      <c r="BP200">
        <v>9</v>
      </c>
      <c r="BQ200">
        <v>12</v>
      </c>
      <c r="BR200">
        <v>55.33</v>
      </c>
      <c r="BT200" s="86" t="str">
        <f t="shared" si="36"/>
        <v>152153Execucao Bonus</v>
      </c>
      <c r="BU200">
        <v>152153</v>
      </c>
      <c r="BV200" t="s">
        <v>342</v>
      </c>
      <c r="BW200" t="s">
        <v>1306</v>
      </c>
      <c r="BX200" t="s">
        <v>103</v>
      </c>
      <c r="BY200" t="s">
        <v>1333</v>
      </c>
      <c r="BZ200" t="s">
        <v>1334</v>
      </c>
      <c r="CA200" t="s">
        <v>1291</v>
      </c>
      <c r="CB200">
        <v>0</v>
      </c>
      <c r="CC200">
        <v>5</v>
      </c>
      <c r="CD200">
        <v>73.69</v>
      </c>
      <c r="CF200" s="86" t="str">
        <f t="shared" si="37"/>
        <v>152753Execucao Bonus</v>
      </c>
      <c r="CG200">
        <v>152753</v>
      </c>
      <c r="CH200" t="s">
        <v>393</v>
      </c>
      <c r="CI200" t="s">
        <v>482</v>
      </c>
      <c r="CJ200" t="s">
        <v>103</v>
      </c>
      <c r="CK200" t="s">
        <v>1426</v>
      </c>
      <c r="CL200" t="s">
        <v>1427</v>
      </c>
      <c r="CM200" t="s">
        <v>1291</v>
      </c>
      <c r="CN200">
        <v>5</v>
      </c>
      <c r="CO200">
        <v>5</v>
      </c>
      <c r="CP200">
        <v>82.85</v>
      </c>
      <c r="CR200" s="86" t="str">
        <f t="shared" si="38"/>
        <v>152753Execucao Bonus</v>
      </c>
      <c r="CS200">
        <v>152753</v>
      </c>
      <c r="CT200" t="s">
        <v>393</v>
      </c>
      <c r="CU200" t="s">
        <v>482</v>
      </c>
      <c r="CV200" t="s">
        <v>103</v>
      </c>
      <c r="CW200" t="s">
        <v>1556</v>
      </c>
      <c r="CX200" t="s">
        <v>1557</v>
      </c>
      <c r="CY200" t="s">
        <v>1291</v>
      </c>
      <c r="CZ200">
        <v>5</v>
      </c>
      <c r="DA200">
        <v>5</v>
      </c>
      <c r="DB200">
        <v>89.29</v>
      </c>
      <c r="DD200" s="86" t="str">
        <f t="shared" si="39"/>
        <v>157153Share Sub Loc Pao Quente SC Johnson</v>
      </c>
      <c r="DE200">
        <v>157153</v>
      </c>
      <c r="DF200" t="s">
        <v>364</v>
      </c>
      <c r="DG200" t="s">
        <v>1306</v>
      </c>
      <c r="DH200" t="s">
        <v>103</v>
      </c>
      <c r="DI200" t="s">
        <v>1710</v>
      </c>
      <c r="DJ200" t="s">
        <v>1711</v>
      </c>
      <c r="DK200" t="s">
        <v>458</v>
      </c>
      <c r="DL200">
        <v>12</v>
      </c>
      <c r="DM200">
        <v>12</v>
      </c>
      <c r="DN200">
        <v>91.62</v>
      </c>
      <c r="DP200" s="86" t="str">
        <f t="shared" si="40"/>
        <v>156263Share Sub Loc Pao Quente SC Johnson</v>
      </c>
      <c r="DQ200">
        <v>156263</v>
      </c>
      <c r="DR200" t="s">
        <v>343</v>
      </c>
      <c r="DS200" t="s">
        <v>1306</v>
      </c>
      <c r="DT200" t="s">
        <v>103</v>
      </c>
      <c r="DU200" t="s">
        <v>1778</v>
      </c>
      <c r="DV200" t="s">
        <v>1779</v>
      </c>
      <c r="DW200" t="s">
        <v>458</v>
      </c>
      <c r="DX200">
        <v>12</v>
      </c>
      <c r="DY200">
        <v>12</v>
      </c>
      <c r="DZ200">
        <v>99.83</v>
      </c>
      <c r="EB200" s="86" t="str">
        <f t="shared" si="41"/>
        <v>184604Share Sub Loc Pao Quente SC Johnson</v>
      </c>
      <c r="EC200">
        <v>184604</v>
      </c>
      <c r="ED200" t="s">
        <v>367</v>
      </c>
      <c r="EE200" t="s">
        <v>539</v>
      </c>
      <c r="EF200" t="s">
        <v>103</v>
      </c>
      <c r="EG200" t="s">
        <v>1934</v>
      </c>
      <c r="EH200" t="s">
        <v>1935</v>
      </c>
      <c r="EI200" t="s">
        <v>458</v>
      </c>
      <c r="EJ200">
        <v>9</v>
      </c>
      <c r="EK200">
        <v>12</v>
      </c>
      <c r="EL200">
        <v>77.849999999999994</v>
      </c>
    </row>
    <row r="201" spans="1:142" x14ac:dyDescent="0.35">
      <c r="A201" s="86" t="str">
        <f t="shared" si="42"/>
        <v>168551Cross Merchan SC Johnson</v>
      </c>
      <c r="B201">
        <v>168551</v>
      </c>
      <c r="C201" t="s">
        <v>380</v>
      </c>
      <c r="D201" t="s">
        <v>103</v>
      </c>
      <c r="E201" t="s">
        <v>564</v>
      </c>
      <c r="F201" t="s">
        <v>565</v>
      </c>
      <c r="G201" t="s">
        <v>111</v>
      </c>
      <c r="H201">
        <v>75.41</v>
      </c>
      <c r="I201">
        <v>8</v>
      </c>
      <c r="J201">
        <v>8</v>
      </c>
      <c r="L201" s="86" t="str">
        <f t="shared" si="43"/>
        <v>168551Share Sub Loc Pao Quente SC Johnson</v>
      </c>
      <c r="M201">
        <v>168551</v>
      </c>
      <c r="N201" t="s">
        <v>380</v>
      </c>
      <c r="O201" t="s">
        <v>460</v>
      </c>
      <c r="P201" t="s">
        <v>103</v>
      </c>
      <c r="Q201" t="s">
        <v>714</v>
      </c>
      <c r="R201" t="s">
        <v>715</v>
      </c>
      <c r="S201" t="s">
        <v>458</v>
      </c>
      <c r="T201">
        <v>8.5</v>
      </c>
      <c r="U201">
        <v>17</v>
      </c>
      <c r="V201">
        <v>48.27</v>
      </c>
      <c r="X201" s="86" t="str">
        <f t="shared" si="44"/>
        <v>169160Share Sub Loc Pao Quente SC Johnson</v>
      </c>
      <c r="Y201">
        <v>169160</v>
      </c>
      <c r="Z201" t="s">
        <v>347</v>
      </c>
      <c r="AA201" t="s">
        <v>36</v>
      </c>
      <c r="AB201" t="s">
        <v>103</v>
      </c>
      <c r="AC201" t="s">
        <v>869</v>
      </c>
      <c r="AD201" t="s">
        <v>870</v>
      </c>
      <c r="AE201" t="s">
        <v>458</v>
      </c>
      <c r="AF201">
        <v>12.75</v>
      </c>
      <c r="AG201">
        <v>17</v>
      </c>
      <c r="AH201">
        <v>76.84</v>
      </c>
      <c r="AJ201" s="86" t="str">
        <f t="shared" si="45"/>
        <v>167265Mix + Intocáveis SC Johnson</v>
      </c>
      <c r="AK201">
        <v>167265</v>
      </c>
      <c r="AL201" t="s">
        <v>346</v>
      </c>
      <c r="AM201" t="s">
        <v>104</v>
      </c>
      <c r="AN201" t="s">
        <v>103</v>
      </c>
      <c r="AO201" t="s">
        <v>1000</v>
      </c>
      <c r="AP201" t="s">
        <v>1001</v>
      </c>
      <c r="AQ201" t="s">
        <v>459</v>
      </c>
      <c r="AR201">
        <v>31.32</v>
      </c>
      <c r="AS201">
        <v>40</v>
      </c>
      <c r="AT201">
        <v>70.819999999999993</v>
      </c>
      <c r="AV201" s="86" t="str">
        <f t="shared" si="46"/>
        <v>168551Mix + Intocáveis SC Johnson</v>
      </c>
      <c r="AW201">
        <v>168551</v>
      </c>
      <c r="AX201" t="s">
        <v>380</v>
      </c>
      <c r="AY201" t="s">
        <v>460</v>
      </c>
      <c r="AZ201" t="s">
        <v>103</v>
      </c>
      <c r="BA201" t="s">
        <v>1101</v>
      </c>
      <c r="BB201" t="s">
        <v>1102</v>
      </c>
      <c r="BC201" t="s">
        <v>459</v>
      </c>
      <c r="BD201">
        <v>26.96</v>
      </c>
      <c r="BE201">
        <v>40</v>
      </c>
      <c r="BF201">
        <v>62.05</v>
      </c>
      <c r="BH201" s="86" t="str">
        <f t="shared" si="47"/>
        <v>159620Mix + Intocáveis SC Johnson</v>
      </c>
      <c r="BI201">
        <v>159620</v>
      </c>
      <c r="BJ201" t="s">
        <v>394</v>
      </c>
      <c r="BK201" t="s">
        <v>482</v>
      </c>
      <c r="BL201" t="s">
        <v>103</v>
      </c>
      <c r="BM201" t="s">
        <v>1163</v>
      </c>
      <c r="BN201" t="s">
        <v>1164</v>
      </c>
      <c r="BO201" t="s">
        <v>459</v>
      </c>
      <c r="BP201">
        <v>23.48</v>
      </c>
      <c r="BQ201">
        <v>40</v>
      </c>
      <c r="BR201">
        <v>55.33</v>
      </c>
      <c r="BT201" s="86" t="str">
        <f t="shared" si="36"/>
        <v>152696Lancamentos</v>
      </c>
      <c r="BU201">
        <v>152696</v>
      </c>
      <c r="BV201" t="s">
        <v>363</v>
      </c>
      <c r="BW201" t="s">
        <v>1306</v>
      </c>
      <c r="BX201" t="s">
        <v>103</v>
      </c>
      <c r="BY201" t="s">
        <v>1307</v>
      </c>
      <c r="BZ201" t="s">
        <v>1308</v>
      </c>
      <c r="CA201" t="s">
        <v>953</v>
      </c>
      <c r="CB201">
        <v>9</v>
      </c>
      <c r="CC201">
        <v>18</v>
      </c>
      <c r="CD201">
        <v>66.760000000000005</v>
      </c>
      <c r="CF201" s="86" t="str">
        <f t="shared" si="37"/>
        <v>156263Lancamentos</v>
      </c>
      <c r="CG201">
        <v>156263</v>
      </c>
      <c r="CH201" t="s">
        <v>343</v>
      </c>
      <c r="CI201" t="s">
        <v>1306</v>
      </c>
      <c r="CJ201" t="s">
        <v>103</v>
      </c>
      <c r="CK201" t="s">
        <v>1471</v>
      </c>
      <c r="CL201" t="s">
        <v>1472</v>
      </c>
      <c r="CM201" t="s">
        <v>953</v>
      </c>
      <c r="CN201">
        <v>18</v>
      </c>
      <c r="CO201">
        <v>18</v>
      </c>
      <c r="CP201">
        <v>99.4</v>
      </c>
      <c r="CR201" s="86" t="str">
        <f t="shared" si="38"/>
        <v>156263Lancamentos</v>
      </c>
      <c r="CS201">
        <v>156263</v>
      </c>
      <c r="CT201" t="s">
        <v>343</v>
      </c>
      <c r="CU201" t="s">
        <v>1306</v>
      </c>
      <c r="CV201" t="s">
        <v>103</v>
      </c>
      <c r="CW201" t="s">
        <v>1598</v>
      </c>
      <c r="CX201" t="s">
        <v>1599</v>
      </c>
      <c r="CY201" t="s">
        <v>953</v>
      </c>
      <c r="CZ201">
        <v>9</v>
      </c>
      <c r="DA201">
        <v>18</v>
      </c>
      <c r="DB201">
        <v>90.4</v>
      </c>
      <c r="DD201" s="86" t="str">
        <f t="shared" si="39"/>
        <v>157637Mix + Intocáveis SC Johnson</v>
      </c>
      <c r="DE201">
        <v>157637</v>
      </c>
      <c r="DF201" t="s">
        <v>365</v>
      </c>
      <c r="DG201" t="s">
        <v>1306</v>
      </c>
      <c r="DH201" t="s">
        <v>103</v>
      </c>
      <c r="DI201" t="s">
        <v>1712</v>
      </c>
      <c r="DJ201" t="s">
        <v>1713</v>
      </c>
      <c r="DK201" t="s">
        <v>459</v>
      </c>
      <c r="DL201">
        <v>36</v>
      </c>
      <c r="DM201">
        <v>40</v>
      </c>
      <c r="DN201">
        <v>100</v>
      </c>
      <c r="DP201" s="86" t="str">
        <f t="shared" si="40"/>
        <v>157153Mix + Intocáveis SC Johnson</v>
      </c>
      <c r="DQ201">
        <v>157153</v>
      </c>
      <c r="DR201" t="s">
        <v>364</v>
      </c>
      <c r="DS201" t="s">
        <v>1306</v>
      </c>
      <c r="DT201" t="s">
        <v>103</v>
      </c>
      <c r="DU201" t="s">
        <v>1814</v>
      </c>
      <c r="DV201" t="s">
        <v>1815</v>
      </c>
      <c r="DW201" t="s">
        <v>459</v>
      </c>
      <c r="DX201">
        <v>37.6</v>
      </c>
      <c r="DY201">
        <v>40</v>
      </c>
      <c r="DZ201">
        <v>90.02</v>
      </c>
      <c r="EB201" s="86" t="str">
        <f t="shared" si="41"/>
        <v>184994Mix + Intocáveis SC Johnson</v>
      </c>
      <c r="EC201">
        <v>184994</v>
      </c>
      <c r="ED201" t="s">
        <v>353</v>
      </c>
      <c r="EE201" t="s">
        <v>1345</v>
      </c>
      <c r="EF201" t="s">
        <v>103</v>
      </c>
      <c r="EG201" t="s">
        <v>1882</v>
      </c>
      <c r="EH201" t="s">
        <v>1883</v>
      </c>
      <c r="EI201" t="s">
        <v>459</v>
      </c>
      <c r="EJ201">
        <v>30.4</v>
      </c>
      <c r="EK201">
        <v>40</v>
      </c>
      <c r="EL201">
        <v>86.4</v>
      </c>
    </row>
    <row r="202" spans="1:142" x14ac:dyDescent="0.35">
      <c r="A202" s="86" t="str">
        <f t="shared" si="42"/>
        <v>168551Share Sub Loc Pao Quente SC Johnson</v>
      </c>
      <c r="B202">
        <v>168551</v>
      </c>
      <c r="C202" t="s">
        <v>380</v>
      </c>
      <c r="D202" t="s">
        <v>103</v>
      </c>
      <c r="E202" t="s">
        <v>564</v>
      </c>
      <c r="F202" t="s">
        <v>565</v>
      </c>
      <c r="G202" t="s">
        <v>458</v>
      </c>
      <c r="H202">
        <v>75.41</v>
      </c>
      <c r="I202">
        <v>10.199999999999999</v>
      </c>
      <c r="J202">
        <v>17</v>
      </c>
      <c r="L202" s="86" t="str">
        <f t="shared" si="43"/>
        <v>168551Mix + Intocáveis SC Johnson</v>
      </c>
      <c r="M202">
        <v>168551</v>
      </c>
      <c r="N202" t="s">
        <v>380</v>
      </c>
      <c r="O202" t="s">
        <v>460</v>
      </c>
      <c r="P202" t="s">
        <v>103</v>
      </c>
      <c r="Q202" t="s">
        <v>714</v>
      </c>
      <c r="R202" t="s">
        <v>715</v>
      </c>
      <c r="S202" t="s">
        <v>459</v>
      </c>
      <c r="T202">
        <v>14.0625</v>
      </c>
      <c r="U202">
        <v>45</v>
      </c>
      <c r="V202">
        <v>48.27</v>
      </c>
      <c r="X202" s="86" t="str">
        <f t="shared" si="44"/>
        <v>169160Mix + Intocáveis SC Johnson</v>
      </c>
      <c r="Y202">
        <v>169160</v>
      </c>
      <c r="Z202" t="s">
        <v>347</v>
      </c>
      <c r="AA202" t="s">
        <v>36</v>
      </c>
      <c r="AB202" t="s">
        <v>103</v>
      </c>
      <c r="AC202" t="s">
        <v>869</v>
      </c>
      <c r="AD202" t="s">
        <v>870</v>
      </c>
      <c r="AE202" t="s">
        <v>459</v>
      </c>
      <c r="AF202">
        <v>30.375</v>
      </c>
      <c r="AG202">
        <v>45</v>
      </c>
      <c r="AH202">
        <v>76.84</v>
      </c>
      <c r="AJ202" s="86" t="str">
        <f t="shared" si="45"/>
        <v>167265Lancamentos</v>
      </c>
      <c r="AK202">
        <v>167265</v>
      </c>
      <c r="AL202" t="s">
        <v>346</v>
      </c>
      <c r="AM202" t="s">
        <v>104</v>
      </c>
      <c r="AN202" t="s">
        <v>103</v>
      </c>
      <c r="AO202" t="s">
        <v>1000</v>
      </c>
      <c r="AP202" t="s">
        <v>1001</v>
      </c>
      <c r="AQ202" t="s">
        <v>953</v>
      </c>
      <c r="AR202">
        <v>0</v>
      </c>
      <c r="AS202">
        <v>18</v>
      </c>
      <c r="AT202">
        <v>70.819999999999993</v>
      </c>
      <c r="AV202" s="86" t="str">
        <f t="shared" si="46"/>
        <v>168551Lancamentos</v>
      </c>
      <c r="AW202">
        <v>168551</v>
      </c>
      <c r="AX202" t="s">
        <v>380</v>
      </c>
      <c r="AY202" t="s">
        <v>460</v>
      </c>
      <c r="AZ202" t="s">
        <v>103</v>
      </c>
      <c r="BA202" t="s">
        <v>1101</v>
      </c>
      <c r="BB202" t="s">
        <v>1102</v>
      </c>
      <c r="BC202" t="s">
        <v>953</v>
      </c>
      <c r="BD202">
        <v>0</v>
      </c>
      <c r="BE202">
        <v>18</v>
      </c>
      <c r="BF202">
        <v>62.05</v>
      </c>
      <c r="BH202" s="86" t="str">
        <f t="shared" si="47"/>
        <v>159620Lancamentos</v>
      </c>
      <c r="BI202">
        <v>159620</v>
      </c>
      <c r="BJ202" t="s">
        <v>394</v>
      </c>
      <c r="BK202" t="s">
        <v>482</v>
      </c>
      <c r="BL202" t="s">
        <v>103</v>
      </c>
      <c r="BM202" t="s">
        <v>1163</v>
      </c>
      <c r="BN202" t="s">
        <v>1164</v>
      </c>
      <c r="BO202" t="s">
        <v>953</v>
      </c>
      <c r="BP202">
        <v>0</v>
      </c>
      <c r="BQ202">
        <v>18</v>
      </c>
      <c r="BR202">
        <v>55.33</v>
      </c>
      <c r="BT202" s="86" t="str">
        <f t="shared" si="36"/>
        <v>152696Mix + Intocáveis SC Johnson</v>
      </c>
      <c r="BU202">
        <v>152696</v>
      </c>
      <c r="BV202" t="s">
        <v>363</v>
      </c>
      <c r="BW202" t="s">
        <v>1306</v>
      </c>
      <c r="BX202" t="s">
        <v>103</v>
      </c>
      <c r="BY202" t="s">
        <v>1307</v>
      </c>
      <c r="BZ202" t="s">
        <v>1308</v>
      </c>
      <c r="CA202" t="s">
        <v>459</v>
      </c>
      <c r="CB202">
        <v>24</v>
      </c>
      <c r="CC202">
        <v>40</v>
      </c>
      <c r="CD202">
        <v>66.760000000000005</v>
      </c>
      <c r="CF202" s="86" t="str">
        <f t="shared" si="37"/>
        <v>156263Mix + Intocáveis SC Johnson</v>
      </c>
      <c r="CG202">
        <v>156263</v>
      </c>
      <c r="CH202" t="s">
        <v>343</v>
      </c>
      <c r="CI202" t="s">
        <v>1306</v>
      </c>
      <c r="CJ202" t="s">
        <v>103</v>
      </c>
      <c r="CK202" t="s">
        <v>1471</v>
      </c>
      <c r="CL202" t="s">
        <v>1472</v>
      </c>
      <c r="CM202" t="s">
        <v>459</v>
      </c>
      <c r="CN202">
        <v>34.4</v>
      </c>
      <c r="CO202">
        <v>40</v>
      </c>
      <c r="CP202">
        <v>99.4</v>
      </c>
      <c r="CR202" s="86" t="str">
        <f t="shared" si="38"/>
        <v>156263Mix + Intocáveis SC Johnson</v>
      </c>
      <c r="CS202">
        <v>156263</v>
      </c>
      <c r="CT202" t="s">
        <v>343</v>
      </c>
      <c r="CU202" t="s">
        <v>1306</v>
      </c>
      <c r="CV202" t="s">
        <v>103</v>
      </c>
      <c r="CW202" t="s">
        <v>1598</v>
      </c>
      <c r="CX202" t="s">
        <v>1599</v>
      </c>
      <c r="CY202" t="s">
        <v>459</v>
      </c>
      <c r="CZ202">
        <v>34.4</v>
      </c>
      <c r="DA202">
        <v>40</v>
      </c>
      <c r="DB202">
        <v>90.4</v>
      </c>
      <c r="DD202" s="86" t="str">
        <f t="shared" si="39"/>
        <v>157637Execucao Bonus</v>
      </c>
      <c r="DE202">
        <v>157637</v>
      </c>
      <c r="DF202" t="s">
        <v>365</v>
      </c>
      <c r="DG202" t="s">
        <v>1306</v>
      </c>
      <c r="DH202" t="s">
        <v>103</v>
      </c>
      <c r="DI202" t="s">
        <v>1712</v>
      </c>
      <c r="DJ202" t="s">
        <v>1713</v>
      </c>
      <c r="DK202" t="s">
        <v>1291</v>
      </c>
      <c r="DL202">
        <v>4</v>
      </c>
      <c r="DM202">
        <v>5</v>
      </c>
      <c r="DN202">
        <v>100</v>
      </c>
      <c r="DP202" s="86" t="str">
        <f t="shared" si="40"/>
        <v>157153Execucao Bonus</v>
      </c>
      <c r="DQ202">
        <v>157153</v>
      </c>
      <c r="DR202" t="s">
        <v>364</v>
      </c>
      <c r="DS202" t="s">
        <v>1306</v>
      </c>
      <c r="DT202" t="s">
        <v>103</v>
      </c>
      <c r="DU202" t="s">
        <v>1814</v>
      </c>
      <c r="DV202" t="s">
        <v>1815</v>
      </c>
      <c r="DW202" t="s">
        <v>1291</v>
      </c>
      <c r="DX202">
        <v>5</v>
      </c>
      <c r="DY202">
        <v>5</v>
      </c>
      <c r="DZ202">
        <v>90.02</v>
      </c>
      <c r="EB202" s="86" t="str">
        <f t="shared" si="41"/>
        <v>184994Execucao Bonus</v>
      </c>
      <c r="EC202">
        <v>184994</v>
      </c>
      <c r="ED202" t="s">
        <v>353</v>
      </c>
      <c r="EE202" t="s">
        <v>1345</v>
      </c>
      <c r="EF202" t="s">
        <v>103</v>
      </c>
      <c r="EG202" t="s">
        <v>1882</v>
      </c>
      <c r="EH202" t="s">
        <v>1883</v>
      </c>
      <c r="EI202" t="s">
        <v>1291</v>
      </c>
      <c r="EJ202">
        <v>5</v>
      </c>
      <c r="EK202">
        <v>5</v>
      </c>
      <c r="EL202">
        <v>86.4</v>
      </c>
    </row>
    <row r="203" spans="1:142" x14ac:dyDescent="0.35">
      <c r="A203" s="86" t="str">
        <f t="shared" si="42"/>
        <v>168551Mix + Intocáveis SC Johnson</v>
      </c>
      <c r="B203">
        <v>168551</v>
      </c>
      <c r="C203" t="s">
        <v>380</v>
      </c>
      <c r="D203" t="s">
        <v>103</v>
      </c>
      <c r="E203" t="s">
        <v>564</v>
      </c>
      <c r="F203" t="s">
        <v>565</v>
      </c>
      <c r="G203" t="s">
        <v>459</v>
      </c>
      <c r="H203">
        <v>75.41</v>
      </c>
      <c r="I203">
        <v>31.5</v>
      </c>
      <c r="J203">
        <v>45</v>
      </c>
      <c r="L203" s="86" t="str">
        <f t="shared" si="43"/>
        <v>169160Share Sub Category SC Johnson</v>
      </c>
      <c r="M203">
        <v>169160</v>
      </c>
      <c r="N203" t="s">
        <v>347</v>
      </c>
      <c r="O203" t="s">
        <v>36</v>
      </c>
      <c r="P203" t="s">
        <v>103</v>
      </c>
      <c r="Q203" t="s">
        <v>716</v>
      </c>
      <c r="R203" t="s">
        <v>717</v>
      </c>
      <c r="S203" t="s">
        <v>457</v>
      </c>
      <c r="T203">
        <v>21.42</v>
      </c>
      <c r="U203">
        <v>30</v>
      </c>
      <c r="V203">
        <v>48.61</v>
      </c>
      <c r="X203" s="86" t="str">
        <f t="shared" si="44"/>
        <v>169868Share Sub Category SC Johnson</v>
      </c>
      <c r="Y203">
        <v>169868</v>
      </c>
      <c r="Z203" t="s">
        <v>396</v>
      </c>
      <c r="AA203" t="s">
        <v>36</v>
      </c>
      <c r="AB203" t="s">
        <v>103</v>
      </c>
      <c r="AC203" t="s">
        <v>841</v>
      </c>
      <c r="AD203" t="s">
        <v>842</v>
      </c>
      <c r="AE203" t="s">
        <v>457</v>
      </c>
      <c r="AF203">
        <v>25.71</v>
      </c>
      <c r="AG203">
        <v>30</v>
      </c>
      <c r="AH203">
        <v>76.84</v>
      </c>
      <c r="AJ203" s="86" t="str">
        <f t="shared" si="45"/>
        <v>168551Share Sub Category SC Johnson</v>
      </c>
      <c r="AK203">
        <v>168551</v>
      </c>
      <c r="AL203" t="s">
        <v>380</v>
      </c>
      <c r="AM203" t="s">
        <v>104</v>
      </c>
      <c r="AN203" t="s">
        <v>103</v>
      </c>
      <c r="AO203" t="s">
        <v>933</v>
      </c>
      <c r="AP203" t="s">
        <v>934</v>
      </c>
      <c r="AQ203" t="s">
        <v>457</v>
      </c>
      <c r="AR203">
        <v>21.425000000000001</v>
      </c>
      <c r="AS203">
        <v>25</v>
      </c>
      <c r="AT203">
        <v>59.89</v>
      </c>
      <c r="AV203" s="86" t="str">
        <f t="shared" si="46"/>
        <v>169868Share Sub Category SC Johnson</v>
      </c>
      <c r="AW203">
        <v>169868</v>
      </c>
      <c r="AX203" t="s">
        <v>396</v>
      </c>
      <c r="AY203" t="s">
        <v>36</v>
      </c>
      <c r="AZ203" t="s">
        <v>103</v>
      </c>
      <c r="BA203" t="s">
        <v>1103</v>
      </c>
      <c r="BB203" t="s">
        <v>1104</v>
      </c>
      <c r="BC203" t="s">
        <v>457</v>
      </c>
      <c r="BD203">
        <v>21.425000000000001</v>
      </c>
      <c r="BE203">
        <v>25</v>
      </c>
      <c r="BF203">
        <v>52.57</v>
      </c>
      <c r="BH203" s="86" t="str">
        <f t="shared" si="47"/>
        <v>160950Share Sub Category SC Johnson</v>
      </c>
      <c r="BI203">
        <v>160950</v>
      </c>
      <c r="BJ203" t="s">
        <v>344</v>
      </c>
      <c r="BK203" t="s">
        <v>36</v>
      </c>
      <c r="BL203" t="s">
        <v>103</v>
      </c>
      <c r="BM203" t="s">
        <v>1254</v>
      </c>
      <c r="BN203" t="s">
        <v>1255</v>
      </c>
      <c r="BO203" t="s">
        <v>457</v>
      </c>
      <c r="BP203">
        <v>21.425000000000001</v>
      </c>
      <c r="BQ203">
        <v>25</v>
      </c>
      <c r="BR203">
        <v>70.040000000000006</v>
      </c>
      <c r="BT203" s="86" t="str">
        <f t="shared" si="36"/>
        <v>152696Share Sub Category SC Johnson</v>
      </c>
      <c r="BU203">
        <v>152696</v>
      </c>
      <c r="BV203" t="s">
        <v>363</v>
      </c>
      <c r="BW203" t="s">
        <v>1306</v>
      </c>
      <c r="BX203" t="s">
        <v>103</v>
      </c>
      <c r="BY203" t="s">
        <v>1307</v>
      </c>
      <c r="BZ203" t="s">
        <v>1308</v>
      </c>
      <c r="CA203" t="s">
        <v>457</v>
      </c>
      <c r="CB203">
        <v>21.425000000000001</v>
      </c>
      <c r="CC203">
        <v>25</v>
      </c>
      <c r="CD203">
        <v>66.760000000000005</v>
      </c>
      <c r="CF203" s="86" t="str">
        <f t="shared" si="37"/>
        <v>156263Share Sub Category SC Johnson</v>
      </c>
      <c r="CG203">
        <v>156263</v>
      </c>
      <c r="CH203" t="s">
        <v>343</v>
      </c>
      <c r="CI203" t="s">
        <v>1306</v>
      </c>
      <c r="CJ203" t="s">
        <v>103</v>
      </c>
      <c r="CK203" t="s">
        <v>1471</v>
      </c>
      <c r="CL203" t="s">
        <v>1472</v>
      </c>
      <c r="CM203" t="s">
        <v>457</v>
      </c>
      <c r="CN203">
        <v>25</v>
      </c>
      <c r="CO203">
        <v>25</v>
      </c>
      <c r="CP203">
        <v>99.4</v>
      </c>
      <c r="CR203" s="86" t="str">
        <f t="shared" si="38"/>
        <v>156263Share Sub Category SC Johnson</v>
      </c>
      <c r="CS203">
        <v>156263</v>
      </c>
      <c r="CT203" t="s">
        <v>343</v>
      </c>
      <c r="CU203" t="s">
        <v>1306</v>
      </c>
      <c r="CV203" t="s">
        <v>103</v>
      </c>
      <c r="CW203" t="s">
        <v>1598</v>
      </c>
      <c r="CX203" t="s">
        <v>1599</v>
      </c>
      <c r="CY203" t="s">
        <v>457</v>
      </c>
      <c r="CZ203">
        <v>25</v>
      </c>
      <c r="DA203">
        <v>25</v>
      </c>
      <c r="DB203">
        <v>90.4</v>
      </c>
      <c r="DD203" s="86" t="str">
        <f t="shared" si="39"/>
        <v>157637Cross Merchan SC Johnson</v>
      </c>
      <c r="DE203">
        <v>157637</v>
      </c>
      <c r="DF203" t="s">
        <v>365</v>
      </c>
      <c r="DG203" t="s">
        <v>1306</v>
      </c>
      <c r="DH203" t="s">
        <v>103</v>
      </c>
      <c r="DI203" t="s">
        <v>1712</v>
      </c>
      <c r="DJ203" t="s">
        <v>1713</v>
      </c>
      <c r="DK203" t="s">
        <v>111</v>
      </c>
      <c r="DL203">
        <v>5</v>
      </c>
      <c r="DM203">
        <v>5</v>
      </c>
      <c r="DN203">
        <v>100</v>
      </c>
      <c r="DP203" s="86" t="str">
        <f t="shared" si="40"/>
        <v>157153Cross Merchan SC Johnson</v>
      </c>
      <c r="DQ203">
        <v>157153</v>
      </c>
      <c r="DR203" t="s">
        <v>364</v>
      </c>
      <c r="DS203" t="s">
        <v>1306</v>
      </c>
      <c r="DT203" t="s">
        <v>103</v>
      </c>
      <c r="DU203" t="s">
        <v>1814</v>
      </c>
      <c r="DV203" t="s">
        <v>1815</v>
      </c>
      <c r="DW203" t="s">
        <v>111</v>
      </c>
      <c r="DX203">
        <v>5</v>
      </c>
      <c r="DY203">
        <v>5</v>
      </c>
      <c r="DZ203">
        <v>90.02</v>
      </c>
      <c r="EB203" s="86" t="str">
        <f t="shared" si="41"/>
        <v>184994Cross Merchan SC Johnson</v>
      </c>
      <c r="EC203">
        <v>184994</v>
      </c>
      <c r="ED203" t="s">
        <v>353</v>
      </c>
      <c r="EE203" t="s">
        <v>1345</v>
      </c>
      <c r="EF203" t="s">
        <v>103</v>
      </c>
      <c r="EG203" t="s">
        <v>1882</v>
      </c>
      <c r="EH203" t="s">
        <v>1883</v>
      </c>
      <c r="EI203" t="s">
        <v>111</v>
      </c>
      <c r="EJ203">
        <v>5</v>
      </c>
      <c r="EK203">
        <v>5</v>
      </c>
      <c r="EL203">
        <v>86.4</v>
      </c>
    </row>
    <row r="204" spans="1:142" x14ac:dyDescent="0.35">
      <c r="A204" s="86" t="str">
        <f t="shared" si="42"/>
        <v>169160Share Sub Category SC Johnson</v>
      </c>
      <c r="B204">
        <v>169160</v>
      </c>
      <c r="C204" t="s">
        <v>347</v>
      </c>
      <c r="D204" t="s">
        <v>103</v>
      </c>
      <c r="E204" t="s">
        <v>566</v>
      </c>
      <c r="F204" t="s">
        <v>567</v>
      </c>
      <c r="G204" t="s">
        <v>457</v>
      </c>
      <c r="H204">
        <v>81.06</v>
      </c>
      <c r="I204">
        <v>25.71</v>
      </c>
      <c r="J204">
        <v>30</v>
      </c>
      <c r="L204" s="86" t="str">
        <f t="shared" si="43"/>
        <v>169160Cross Merchan SC Johnson</v>
      </c>
      <c r="M204">
        <v>169160</v>
      </c>
      <c r="N204" t="s">
        <v>347</v>
      </c>
      <c r="O204" t="s">
        <v>36</v>
      </c>
      <c r="P204" t="s">
        <v>103</v>
      </c>
      <c r="Q204" t="s">
        <v>716</v>
      </c>
      <c r="R204" t="s">
        <v>717</v>
      </c>
      <c r="S204" t="s">
        <v>111</v>
      </c>
      <c r="T204">
        <v>8</v>
      </c>
      <c r="U204">
        <v>8</v>
      </c>
      <c r="V204">
        <v>48.61</v>
      </c>
      <c r="X204" s="86" t="str">
        <f t="shared" si="44"/>
        <v>169868Cross Merchan SC Johnson</v>
      </c>
      <c r="Y204">
        <v>169868</v>
      </c>
      <c r="Z204" t="s">
        <v>396</v>
      </c>
      <c r="AA204" t="s">
        <v>36</v>
      </c>
      <c r="AB204" t="s">
        <v>103</v>
      </c>
      <c r="AC204" t="s">
        <v>841</v>
      </c>
      <c r="AD204" t="s">
        <v>842</v>
      </c>
      <c r="AE204" t="s">
        <v>111</v>
      </c>
      <c r="AF204">
        <v>8</v>
      </c>
      <c r="AG204">
        <v>8</v>
      </c>
      <c r="AH204">
        <v>76.84</v>
      </c>
      <c r="AJ204" s="86" t="str">
        <f t="shared" si="45"/>
        <v>168551Cross Merchan SC Johnson</v>
      </c>
      <c r="AK204">
        <v>168551</v>
      </c>
      <c r="AL204" t="s">
        <v>380</v>
      </c>
      <c r="AM204" t="s">
        <v>104</v>
      </c>
      <c r="AN204" t="s">
        <v>103</v>
      </c>
      <c r="AO204" t="s">
        <v>933</v>
      </c>
      <c r="AP204" t="s">
        <v>934</v>
      </c>
      <c r="AQ204" t="s">
        <v>111</v>
      </c>
      <c r="AR204">
        <v>2.5</v>
      </c>
      <c r="AS204">
        <v>5</v>
      </c>
      <c r="AT204">
        <v>59.89</v>
      </c>
      <c r="AV204" s="86" t="str">
        <f t="shared" si="46"/>
        <v>169868Cross Merchan SC Johnson</v>
      </c>
      <c r="AW204">
        <v>169868</v>
      </c>
      <c r="AX204" t="s">
        <v>396</v>
      </c>
      <c r="AY204" t="s">
        <v>36</v>
      </c>
      <c r="AZ204" t="s">
        <v>103</v>
      </c>
      <c r="BA204" t="s">
        <v>1103</v>
      </c>
      <c r="BB204" t="s">
        <v>1104</v>
      </c>
      <c r="BC204" t="s">
        <v>111</v>
      </c>
      <c r="BD204">
        <v>1.665</v>
      </c>
      <c r="BE204">
        <v>5</v>
      </c>
      <c r="BF204">
        <v>52.57</v>
      </c>
      <c r="BH204" s="86" t="str">
        <f t="shared" si="47"/>
        <v>160950Cross Merchan SC Johnson</v>
      </c>
      <c r="BI204">
        <v>160950</v>
      </c>
      <c r="BJ204" t="s">
        <v>344</v>
      </c>
      <c r="BK204" t="s">
        <v>36</v>
      </c>
      <c r="BL204" t="s">
        <v>103</v>
      </c>
      <c r="BM204" t="s">
        <v>1254</v>
      </c>
      <c r="BN204" t="s">
        <v>1255</v>
      </c>
      <c r="BO204" t="s">
        <v>111</v>
      </c>
      <c r="BP204">
        <v>3.335</v>
      </c>
      <c r="BQ204">
        <v>5</v>
      </c>
      <c r="BR204">
        <v>70.040000000000006</v>
      </c>
      <c r="BT204" s="86" t="str">
        <f t="shared" si="36"/>
        <v>152696Share Sub Loc Pao Quente SC Johnson</v>
      </c>
      <c r="BU204">
        <v>152696</v>
      </c>
      <c r="BV204" t="s">
        <v>363</v>
      </c>
      <c r="BW204" t="s">
        <v>1306</v>
      </c>
      <c r="BX204" t="s">
        <v>103</v>
      </c>
      <c r="BY204" t="s">
        <v>1307</v>
      </c>
      <c r="BZ204" t="s">
        <v>1308</v>
      </c>
      <c r="CA204" t="s">
        <v>458</v>
      </c>
      <c r="CB204">
        <v>9</v>
      </c>
      <c r="CC204">
        <v>12</v>
      </c>
      <c r="CD204">
        <v>66.760000000000005</v>
      </c>
      <c r="CF204" s="86" t="str">
        <f t="shared" si="37"/>
        <v>156263Share Sub Loc Pao Quente SC Johnson</v>
      </c>
      <c r="CG204">
        <v>156263</v>
      </c>
      <c r="CH204" t="s">
        <v>343</v>
      </c>
      <c r="CI204" t="s">
        <v>1306</v>
      </c>
      <c r="CJ204" t="s">
        <v>103</v>
      </c>
      <c r="CK204" t="s">
        <v>1471</v>
      </c>
      <c r="CL204" t="s">
        <v>1472</v>
      </c>
      <c r="CM204" t="s">
        <v>458</v>
      </c>
      <c r="CN204">
        <v>12</v>
      </c>
      <c r="CO204">
        <v>12</v>
      </c>
      <c r="CP204">
        <v>99.4</v>
      </c>
      <c r="CR204" s="86" t="str">
        <f t="shared" si="38"/>
        <v>156263Share Sub Loc Pao Quente SC Johnson</v>
      </c>
      <c r="CS204">
        <v>156263</v>
      </c>
      <c r="CT204" t="s">
        <v>343</v>
      </c>
      <c r="CU204" t="s">
        <v>1306</v>
      </c>
      <c r="CV204" t="s">
        <v>103</v>
      </c>
      <c r="CW204" t="s">
        <v>1598</v>
      </c>
      <c r="CX204" t="s">
        <v>1599</v>
      </c>
      <c r="CY204" t="s">
        <v>458</v>
      </c>
      <c r="CZ204">
        <v>12</v>
      </c>
      <c r="DA204">
        <v>12</v>
      </c>
      <c r="DB204">
        <v>90.4</v>
      </c>
      <c r="DD204" s="86" t="str">
        <f t="shared" si="39"/>
        <v>157637Lancamentos</v>
      </c>
      <c r="DE204">
        <v>157637</v>
      </c>
      <c r="DF204" t="s">
        <v>365</v>
      </c>
      <c r="DG204" t="s">
        <v>1306</v>
      </c>
      <c r="DH204" t="s">
        <v>103</v>
      </c>
      <c r="DI204" t="s">
        <v>1712</v>
      </c>
      <c r="DJ204" t="s">
        <v>1713</v>
      </c>
      <c r="DK204" t="s">
        <v>953</v>
      </c>
      <c r="DL204">
        <v>18</v>
      </c>
      <c r="DM204">
        <v>18</v>
      </c>
      <c r="DN204">
        <v>100</v>
      </c>
      <c r="DP204" s="86" t="str">
        <f t="shared" si="40"/>
        <v>157153Lancamentos</v>
      </c>
      <c r="DQ204">
        <v>157153</v>
      </c>
      <c r="DR204" t="s">
        <v>364</v>
      </c>
      <c r="DS204" t="s">
        <v>1306</v>
      </c>
      <c r="DT204" t="s">
        <v>103</v>
      </c>
      <c r="DU204" t="s">
        <v>1814</v>
      </c>
      <c r="DV204" t="s">
        <v>1815</v>
      </c>
      <c r="DW204" t="s">
        <v>953</v>
      </c>
      <c r="DX204">
        <v>9</v>
      </c>
      <c r="DY204">
        <v>18</v>
      </c>
      <c r="DZ204">
        <v>90.02</v>
      </c>
      <c r="EB204" s="86" t="str">
        <f t="shared" si="41"/>
        <v>184994Lancamentos</v>
      </c>
      <c r="EC204">
        <v>184994</v>
      </c>
      <c r="ED204" t="s">
        <v>353</v>
      </c>
      <c r="EE204" t="s">
        <v>1345</v>
      </c>
      <c r="EF204" t="s">
        <v>103</v>
      </c>
      <c r="EG204" t="s">
        <v>1882</v>
      </c>
      <c r="EH204" t="s">
        <v>1883</v>
      </c>
      <c r="EI204" t="s">
        <v>953</v>
      </c>
      <c r="EJ204">
        <v>9</v>
      </c>
      <c r="EK204">
        <v>18</v>
      </c>
      <c r="EL204">
        <v>86.4</v>
      </c>
    </row>
    <row r="205" spans="1:142" x14ac:dyDescent="0.35">
      <c r="A205" s="86" t="str">
        <f t="shared" si="42"/>
        <v>169160Cross Merchan SC Johnson</v>
      </c>
      <c r="B205">
        <v>169160</v>
      </c>
      <c r="C205" t="s">
        <v>347</v>
      </c>
      <c r="D205" t="s">
        <v>103</v>
      </c>
      <c r="E205" t="s">
        <v>566</v>
      </c>
      <c r="F205" t="s">
        <v>567</v>
      </c>
      <c r="G205" t="s">
        <v>111</v>
      </c>
      <c r="H205">
        <v>81.06</v>
      </c>
      <c r="I205">
        <v>8</v>
      </c>
      <c r="J205">
        <v>8</v>
      </c>
      <c r="L205" s="86" t="str">
        <f t="shared" si="43"/>
        <v>169160Share Sub Loc Pao Quente SC Johnson</v>
      </c>
      <c r="M205">
        <v>169160</v>
      </c>
      <c r="N205" t="s">
        <v>347</v>
      </c>
      <c r="O205" t="s">
        <v>36</v>
      </c>
      <c r="P205" t="s">
        <v>103</v>
      </c>
      <c r="Q205" t="s">
        <v>716</v>
      </c>
      <c r="R205" t="s">
        <v>717</v>
      </c>
      <c r="S205" t="s">
        <v>458</v>
      </c>
      <c r="T205">
        <v>8.5</v>
      </c>
      <c r="U205">
        <v>17</v>
      </c>
      <c r="V205">
        <v>48.61</v>
      </c>
      <c r="X205" s="86" t="str">
        <f t="shared" si="44"/>
        <v>169868Share Sub Loc Pao Quente SC Johnson</v>
      </c>
      <c r="Y205">
        <v>169868</v>
      </c>
      <c r="Z205" t="s">
        <v>396</v>
      </c>
      <c r="AA205" t="s">
        <v>36</v>
      </c>
      <c r="AB205" t="s">
        <v>103</v>
      </c>
      <c r="AC205" t="s">
        <v>841</v>
      </c>
      <c r="AD205" t="s">
        <v>842</v>
      </c>
      <c r="AE205" t="s">
        <v>458</v>
      </c>
      <c r="AF205">
        <v>12.75</v>
      </c>
      <c r="AG205">
        <v>17</v>
      </c>
      <c r="AH205">
        <v>76.84</v>
      </c>
      <c r="AJ205" s="86" t="str">
        <f t="shared" si="45"/>
        <v>168551Share Sub Loc Pao Quente SC Johnson</v>
      </c>
      <c r="AK205">
        <v>168551</v>
      </c>
      <c r="AL205" t="s">
        <v>380</v>
      </c>
      <c r="AM205" t="s">
        <v>104</v>
      </c>
      <c r="AN205" t="s">
        <v>103</v>
      </c>
      <c r="AO205" t="s">
        <v>933</v>
      </c>
      <c r="AP205" t="s">
        <v>934</v>
      </c>
      <c r="AQ205" t="s">
        <v>458</v>
      </c>
      <c r="AR205">
        <v>9</v>
      </c>
      <c r="AS205">
        <v>12</v>
      </c>
      <c r="AT205">
        <v>59.89</v>
      </c>
      <c r="AV205" s="86" t="str">
        <f t="shared" si="46"/>
        <v>169868Share Sub Loc Pao Quente SC Johnson</v>
      </c>
      <c r="AW205">
        <v>169868</v>
      </c>
      <c r="AX205" t="s">
        <v>396</v>
      </c>
      <c r="AY205" t="s">
        <v>36</v>
      </c>
      <c r="AZ205" t="s">
        <v>103</v>
      </c>
      <c r="BA205" t="s">
        <v>1103</v>
      </c>
      <c r="BB205" t="s">
        <v>1104</v>
      </c>
      <c r="BC205" t="s">
        <v>458</v>
      </c>
      <c r="BD205">
        <v>6</v>
      </c>
      <c r="BE205">
        <v>12</v>
      </c>
      <c r="BF205">
        <v>52.57</v>
      </c>
      <c r="BH205" s="86" t="str">
        <f t="shared" si="47"/>
        <v>160950Share Sub Loc Pao Quente SC Johnson</v>
      </c>
      <c r="BI205">
        <v>160950</v>
      </c>
      <c r="BJ205" t="s">
        <v>344</v>
      </c>
      <c r="BK205" t="s">
        <v>36</v>
      </c>
      <c r="BL205" t="s">
        <v>103</v>
      </c>
      <c r="BM205" t="s">
        <v>1254</v>
      </c>
      <c r="BN205" t="s">
        <v>1255</v>
      </c>
      <c r="BO205" t="s">
        <v>458</v>
      </c>
      <c r="BP205">
        <v>9</v>
      </c>
      <c r="BQ205">
        <v>12</v>
      </c>
      <c r="BR205">
        <v>70.040000000000006</v>
      </c>
      <c r="BT205" s="86" t="str">
        <f t="shared" si="36"/>
        <v>152696Cross Merchan SC Johnson</v>
      </c>
      <c r="BU205">
        <v>152696</v>
      </c>
      <c r="BV205" t="s">
        <v>363</v>
      </c>
      <c r="BW205" t="s">
        <v>1306</v>
      </c>
      <c r="BX205" t="s">
        <v>103</v>
      </c>
      <c r="BY205" t="s">
        <v>1307</v>
      </c>
      <c r="BZ205" t="s">
        <v>1308</v>
      </c>
      <c r="CA205" t="s">
        <v>111</v>
      </c>
      <c r="CB205">
        <v>3.335</v>
      </c>
      <c r="CC205">
        <v>5</v>
      </c>
      <c r="CD205">
        <v>66.760000000000005</v>
      </c>
      <c r="CF205" s="86" t="str">
        <f t="shared" si="37"/>
        <v>156263Cross Merchan SC Johnson</v>
      </c>
      <c r="CG205">
        <v>156263</v>
      </c>
      <c r="CH205" t="s">
        <v>343</v>
      </c>
      <c r="CI205" t="s">
        <v>1306</v>
      </c>
      <c r="CJ205" t="s">
        <v>103</v>
      </c>
      <c r="CK205" t="s">
        <v>1471</v>
      </c>
      <c r="CL205" t="s">
        <v>1472</v>
      </c>
      <c r="CM205" t="s">
        <v>111</v>
      </c>
      <c r="CN205">
        <v>5</v>
      </c>
      <c r="CO205">
        <v>5</v>
      </c>
      <c r="CP205">
        <v>99.4</v>
      </c>
      <c r="CR205" s="86" t="str">
        <f t="shared" si="38"/>
        <v>156263Cross Merchan SC Johnson</v>
      </c>
      <c r="CS205">
        <v>156263</v>
      </c>
      <c r="CT205" t="s">
        <v>343</v>
      </c>
      <c r="CU205" t="s">
        <v>1306</v>
      </c>
      <c r="CV205" t="s">
        <v>103</v>
      </c>
      <c r="CW205" t="s">
        <v>1598</v>
      </c>
      <c r="CX205" t="s">
        <v>1599</v>
      </c>
      <c r="CY205" t="s">
        <v>111</v>
      </c>
      <c r="CZ205">
        <v>5</v>
      </c>
      <c r="DA205">
        <v>5</v>
      </c>
      <c r="DB205">
        <v>90.4</v>
      </c>
      <c r="DD205" s="86" t="str">
        <f t="shared" si="39"/>
        <v>157637Share Sub Category SC Johnson</v>
      </c>
      <c r="DE205">
        <v>157637</v>
      </c>
      <c r="DF205" t="s">
        <v>365</v>
      </c>
      <c r="DG205" t="s">
        <v>1306</v>
      </c>
      <c r="DH205" t="s">
        <v>103</v>
      </c>
      <c r="DI205" t="s">
        <v>1712</v>
      </c>
      <c r="DJ205" t="s">
        <v>1713</v>
      </c>
      <c r="DK205" t="s">
        <v>457</v>
      </c>
      <c r="DL205">
        <v>25</v>
      </c>
      <c r="DM205">
        <v>25</v>
      </c>
      <c r="DN205">
        <v>100</v>
      </c>
      <c r="DP205" s="86" t="str">
        <f t="shared" si="40"/>
        <v>157153Share Sub Category SC Johnson</v>
      </c>
      <c r="DQ205">
        <v>157153</v>
      </c>
      <c r="DR205" t="s">
        <v>364</v>
      </c>
      <c r="DS205" t="s">
        <v>1306</v>
      </c>
      <c r="DT205" t="s">
        <v>103</v>
      </c>
      <c r="DU205" t="s">
        <v>1814</v>
      </c>
      <c r="DV205" t="s">
        <v>1815</v>
      </c>
      <c r="DW205" t="s">
        <v>457</v>
      </c>
      <c r="DX205">
        <v>21.425000000000001</v>
      </c>
      <c r="DY205">
        <v>25</v>
      </c>
      <c r="DZ205">
        <v>90.02</v>
      </c>
      <c r="EB205" s="86" t="str">
        <f t="shared" si="41"/>
        <v>184994Share Sub Category SC Johnson</v>
      </c>
      <c r="EC205">
        <v>184994</v>
      </c>
      <c r="ED205" t="s">
        <v>353</v>
      </c>
      <c r="EE205" t="s">
        <v>1345</v>
      </c>
      <c r="EF205" t="s">
        <v>103</v>
      </c>
      <c r="EG205" t="s">
        <v>1882</v>
      </c>
      <c r="EH205" t="s">
        <v>1883</v>
      </c>
      <c r="EI205" t="s">
        <v>457</v>
      </c>
      <c r="EJ205">
        <v>25</v>
      </c>
      <c r="EK205">
        <v>25</v>
      </c>
      <c r="EL205">
        <v>86.4</v>
      </c>
    </row>
    <row r="206" spans="1:142" x14ac:dyDescent="0.35">
      <c r="A206" s="86" t="str">
        <f t="shared" si="42"/>
        <v>169160Share Sub Loc Pao Quente SC Johnson</v>
      </c>
      <c r="B206">
        <v>169160</v>
      </c>
      <c r="C206" t="s">
        <v>347</v>
      </c>
      <c r="D206" t="s">
        <v>103</v>
      </c>
      <c r="E206" t="s">
        <v>566</v>
      </c>
      <c r="F206" t="s">
        <v>567</v>
      </c>
      <c r="G206" t="s">
        <v>458</v>
      </c>
      <c r="H206">
        <v>81.06</v>
      </c>
      <c r="I206">
        <v>13.6</v>
      </c>
      <c r="J206">
        <v>17</v>
      </c>
      <c r="L206" s="86" t="str">
        <f t="shared" si="43"/>
        <v>169160Mix + Intocáveis SC Johnson</v>
      </c>
      <c r="M206">
        <v>169160</v>
      </c>
      <c r="N206" t="s">
        <v>347</v>
      </c>
      <c r="O206" t="s">
        <v>36</v>
      </c>
      <c r="P206" t="s">
        <v>103</v>
      </c>
      <c r="Q206" t="s">
        <v>716</v>
      </c>
      <c r="R206" t="s">
        <v>717</v>
      </c>
      <c r="S206" t="s">
        <v>459</v>
      </c>
      <c r="T206">
        <v>10.6875</v>
      </c>
      <c r="U206">
        <v>45</v>
      </c>
      <c r="V206">
        <v>48.61</v>
      </c>
      <c r="X206" s="86" t="str">
        <f t="shared" si="44"/>
        <v>169868Mix + Intocáveis SC Johnson</v>
      </c>
      <c r="Y206">
        <v>169868</v>
      </c>
      <c r="Z206" t="s">
        <v>396</v>
      </c>
      <c r="AA206" t="s">
        <v>36</v>
      </c>
      <c r="AB206" t="s">
        <v>103</v>
      </c>
      <c r="AC206" t="s">
        <v>841</v>
      </c>
      <c r="AD206" t="s">
        <v>842</v>
      </c>
      <c r="AE206" t="s">
        <v>459</v>
      </c>
      <c r="AF206">
        <v>30.375</v>
      </c>
      <c r="AG206">
        <v>45</v>
      </c>
      <c r="AH206">
        <v>76.84</v>
      </c>
      <c r="AJ206" s="86" t="str">
        <f t="shared" si="45"/>
        <v>168551Mix + Intocáveis SC Johnson</v>
      </c>
      <c r="AK206">
        <v>168551</v>
      </c>
      <c r="AL206" t="s">
        <v>380</v>
      </c>
      <c r="AM206" t="s">
        <v>104</v>
      </c>
      <c r="AN206" t="s">
        <v>103</v>
      </c>
      <c r="AO206" t="s">
        <v>933</v>
      </c>
      <c r="AP206" t="s">
        <v>934</v>
      </c>
      <c r="AQ206" t="s">
        <v>459</v>
      </c>
      <c r="AR206">
        <v>26.96</v>
      </c>
      <c r="AS206">
        <v>40</v>
      </c>
      <c r="AT206">
        <v>59.89</v>
      </c>
      <c r="AV206" s="86" t="str">
        <f t="shared" si="46"/>
        <v>169868Mix + Intocáveis SC Johnson</v>
      </c>
      <c r="AW206">
        <v>169868</v>
      </c>
      <c r="AX206" t="s">
        <v>396</v>
      </c>
      <c r="AY206" t="s">
        <v>36</v>
      </c>
      <c r="AZ206" t="s">
        <v>103</v>
      </c>
      <c r="BA206" t="s">
        <v>1103</v>
      </c>
      <c r="BB206" t="s">
        <v>1104</v>
      </c>
      <c r="BC206" t="s">
        <v>459</v>
      </c>
      <c r="BD206">
        <v>23.48</v>
      </c>
      <c r="BE206">
        <v>40</v>
      </c>
      <c r="BF206">
        <v>52.57</v>
      </c>
      <c r="BH206" s="86" t="str">
        <f t="shared" si="47"/>
        <v>160950Mix + Intocáveis SC Johnson</v>
      </c>
      <c r="BI206">
        <v>160950</v>
      </c>
      <c r="BJ206" t="s">
        <v>344</v>
      </c>
      <c r="BK206" t="s">
        <v>36</v>
      </c>
      <c r="BL206" t="s">
        <v>103</v>
      </c>
      <c r="BM206" t="s">
        <v>1254</v>
      </c>
      <c r="BN206" t="s">
        <v>1255</v>
      </c>
      <c r="BO206" t="s">
        <v>459</v>
      </c>
      <c r="BP206">
        <v>18.28</v>
      </c>
      <c r="BQ206">
        <v>40</v>
      </c>
      <c r="BR206">
        <v>70.040000000000006</v>
      </c>
      <c r="BT206" s="86" t="str">
        <f t="shared" si="36"/>
        <v>152696Execucao Bonus</v>
      </c>
      <c r="BU206">
        <v>152696</v>
      </c>
      <c r="BV206" t="s">
        <v>363</v>
      </c>
      <c r="BW206" t="s">
        <v>1306</v>
      </c>
      <c r="BX206" t="s">
        <v>103</v>
      </c>
      <c r="BY206" t="s">
        <v>1307</v>
      </c>
      <c r="BZ206" t="s">
        <v>1308</v>
      </c>
      <c r="CA206" t="s">
        <v>1291</v>
      </c>
      <c r="CB206">
        <v>0</v>
      </c>
      <c r="CC206">
        <v>5</v>
      </c>
      <c r="CD206">
        <v>66.760000000000005</v>
      </c>
      <c r="CF206" s="86" t="str">
        <f t="shared" si="37"/>
        <v>156263Execucao Bonus</v>
      </c>
      <c r="CG206">
        <v>156263</v>
      </c>
      <c r="CH206" t="s">
        <v>343</v>
      </c>
      <c r="CI206" t="s">
        <v>1306</v>
      </c>
      <c r="CJ206" t="s">
        <v>103</v>
      </c>
      <c r="CK206" t="s">
        <v>1471</v>
      </c>
      <c r="CL206" t="s">
        <v>1472</v>
      </c>
      <c r="CM206" t="s">
        <v>1291</v>
      </c>
      <c r="CN206">
        <v>5</v>
      </c>
      <c r="CO206">
        <v>5</v>
      </c>
      <c r="CP206">
        <v>99.4</v>
      </c>
      <c r="CR206" s="86" t="str">
        <f t="shared" si="38"/>
        <v>156263Execucao Bonus</v>
      </c>
      <c r="CS206">
        <v>156263</v>
      </c>
      <c r="CT206" t="s">
        <v>343</v>
      </c>
      <c r="CU206" t="s">
        <v>1306</v>
      </c>
      <c r="CV206" t="s">
        <v>103</v>
      </c>
      <c r="CW206" t="s">
        <v>1598</v>
      </c>
      <c r="CX206" t="s">
        <v>1599</v>
      </c>
      <c r="CY206" t="s">
        <v>1291</v>
      </c>
      <c r="CZ206">
        <v>5</v>
      </c>
      <c r="DA206">
        <v>5</v>
      </c>
      <c r="DB206">
        <v>90.4</v>
      </c>
      <c r="DD206" s="86" t="str">
        <f t="shared" si="39"/>
        <v>157637Share Sub Loc Pao Quente SC Johnson</v>
      </c>
      <c r="DE206">
        <v>157637</v>
      </c>
      <c r="DF206" t="s">
        <v>365</v>
      </c>
      <c r="DG206" t="s">
        <v>1306</v>
      </c>
      <c r="DH206" t="s">
        <v>103</v>
      </c>
      <c r="DI206" t="s">
        <v>1712</v>
      </c>
      <c r="DJ206" t="s">
        <v>1713</v>
      </c>
      <c r="DK206" t="s">
        <v>458</v>
      </c>
      <c r="DL206">
        <v>12</v>
      </c>
      <c r="DM206">
        <v>12</v>
      </c>
      <c r="DN206">
        <v>100</v>
      </c>
      <c r="DP206" s="86" t="str">
        <f t="shared" si="40"/>
        <v>157153Share Sub Loc Pao Quente SC Johnson</v>
      </c>
      <c r="DQ206">
        <v>157153</v>
      </c>
      <c r="DR206" t="s">
        <v>364</v>
      </c>
      <c r="DS206" t="s">
        <v>1306</v>
      </c>
      <c r="DT206" t="s">
        <v>103</v>
      </c>
      <c r="DU206" t="s">
        <v>1814</v>
      </c>
      <c r="DV206" t="s">
        <v>1815</v>
      </c>
      <c r="DW206" t="s">
        <v>458</v>
      </c>
      <c r="DX206">
        <v>12</v>
      </c>
      <c r="DY206">
        <v>12</v>
      </c>
      <c r="DZ206">
        <v>90.02</v>
      </c>
      <c r="EB206" s="86" t="str">
        <f t="shared" si="41"/>
        <v>184994Share Sub Loc Pao Quente SC Johnson</v>
      </c>
      <c r="EC206">
        <v>184994</v>
      </c>
      <c r="ED206" t="s">
        <v>353</v>
      </c>
      <c r="EE206" t="s">
        <v>1345</v>
      </c>
      <c r="EF206" t="s">
        <v>103</v>
      </c>
      <c r="EG206" t="s">
        <v>1882</v>
      </c>
      <c r="EH206" t="s">
        <v>1883</v>
      </c>
      <c r="EI206" t="s">
        <v>458</v>
      </c>
      <c r="EJ206">
        <v>12</v>
      </c>
      <c r="EK206">
        <v>12</v>
      </c>
      <c r="EL206">
        <v>86.4</v>
      </c>
    </row>
    <row r="207" spans="1:142" x14ac:dyDescent="0.35">
      <c r="A207" s="86" t="str">
        <f t="shared" si="42"/>
        <v>169160Mix + Intocáveis SC Johnson</v>
      </c>
      <c r="B207">
        <v>169160</v>
      </c>
      <c r="C207" t="s">
        <v>347</v>
      </c>
      <c r="D207" t="s">
        <v>103</v>
      </c>
      <c r="E207" t="s">
        <v>566</v>
      </c>
      <c r="F207" t="s">
        <v>567</v>
      </c>
      <c r="G207" t="s">
        <v>459</v>
      </c>
      <c r="H207">
        <v>81.06</v>
      </c>
      <c r="I207">
        <v>33.75</v>
      </c>
      <c r="J207">
        <v>45</v>
      </c>
      <c r="L207" s="86" t="str">
        <f t="shared" si="43"/>
        <v>169868Share Sub Category SC Johnson</v>
      </c>
      <c r="M207">
        <v>169868</v>
      </c>
      <c r="N207" t="s">
        <v>396</v>
      </c>
      <c r="O207" t="s">
        <v>36</v>
      </c>
      <c r="P207" t="s">
        <v>103</v>
      </c>
      <c r="Q207" t="s">
        <v>718</v>
      </c>
      <c r="R207" t="s">
        <v>719</v>
      </c>
      <c r="S207" t="s">
        <v>457</v>
      </c>
      <c r="T207">
        <v>30</v>
      </c>
      <c r="U207">
        <v>30</v>
      </c>
      <c r="V207">
        <v>55.13</v>
      </c>
      <c r="X207" s="86" t="str">
        <f t="shared" si="44"/>
        <v>171117Share Sub Category SC Johnson</v>
      </c>
      <c r="Y207">
        <v>171117</v>
      </c>
      <c r="Z207" t="s">
        <v>397</v>
      </c>
      <c r="AA207" t="s">
        <v>539</v>
      </c>
      <c r="AB207" t="s">
        <v>103</v>
      </c>
      <c r="AC207" t="s">
        <v>871</v>
      </c>
      <c r="AD207" t="s">
        <v>872</v>
      </c>
      <c r="AE207" t="s">
        <v>457</v>
      </c>
      <c r="AF207">
        <v>17.13</v>
      </c>
      <c r="AG207">
        <v>30</v>
      </c>
      <c r="AH207">
        <v>29.25</v>
      </c>
      <c r="AJ207" s="86" t="str">
        <f t="shared" si="45"/>
        <v>168551Lancamentos</v>
      </c>
      <c r="AK207">
        <v>168551</v>
      </c>
      <c r="AL207" t="s">
        <v>380</v>
      </c>
      <c r="AM207" t="s">
        <v>104</v>
      </c>
      <c r="AN207" t="s">
        <v>103</v>
      </c>
      <c r="AO207" t="s">
        <v>933</v>
      </c>
      <c r="AP207" t="s">
        <v>934</v>
      </c>
      <c r="AQ207" t="s">
        <v>953</v>
      </c>
      <c r="AR207">
        <v>0</v>
      </c>
      <c r="AS207">
        <v>18</v>
      </c>
      <c r="AT207">
        <v>59.89</v>
      </c>
      <c r="AV207" s="86" t="str">
        <f t="shared" si="46"/>
        <v>169868Lancamentos</v>
      </c>
      <c r="AW207">
        <v>169868</v>
      </c>
      <c r="AX207" t="s">
        <v>396</v>
      </c>
      <c r="AY207" t="s">
        <v>36</v>
      </c>
      <c r="AZ207" t="s">
        <v>103</v>
      </c>
      <c r="BA207" t="s">
        <v>1103</v>
      </c>
      <c r="BB207" t="s">
        <v>1104</v>
      </c>
      <c r="BC207" t="s">
        <v>953</v>
      </c>
      <c r="BD207">
        <v>0</v>
      </c>
      <c r="BE207">
        <v>18</v>
      </c>
      <c r="BF207">
        <v>52.57</v>
      </c>
      <c r="BH207" s="86" t="str">
        <f t="shared" si="47"/>
        <v>160950Lancamentos</v>
      </c>
      <c r="BI207">
        <v>160950</v>
      </c>
      <c r="BJ207" t="s">
        <v>344</v>
      </c>
      <c r="BK207" t="s">
        <v>36</v>
      </c>
      <c r="BL207" t="s">
        <v>103</v>
      </c>
      <c r="BM207" t="s">
        <v>1254</v>
      </c>
      <c r="BN207" t="s">
        <v>1255</v>
      </c>
      <c r="BO207" t="s">
        <v>953</v>
      </c>
      <c r="BP207">
        <v>18</v>
      </c>
      <c r="BQ207">
        <v>18</v>
      </c>
      <c r="BR207">
        <v>70.040000000000006</v>
      </c>
      <c r="BT207" s="86" t="str">
        <f t="shared" si="36"/>
        <v>152753Lancamentos</v>
      </c>
      <c r="BU207">
        <v>152753</v>
      </c>
      <c r="BV207" t="s">
        <v>393</v>
      </c>
      <c r="BW207" t="s">
        <v>482</v>
      </c>
      <c r="BX207" t="s">
        <v>103</v>
      </c>
      <c r="BY207" t="s">
        <v>1309</v>
      </c>
      <c r="BZ207" t="s">
        <v>1310</v>
      </c>
      <c r="CA207" t="s">
        <v>953</v>
      </c>
      <c r="CB207">
        <v>9</v>
      </c>
      <c r="CC207">
        <v>18</v>
      </c>
      <c r="CD207">
        <v>60.45</v>
      </c>
      <c r="CF207" s="86" t="str">
        <f t="shared" si="37"/>
        <v>157153Lancamentos</v>
      </c>
      <c r="CG207">
        <v>157153</v>
      </c>
      <c r="CH207" t="s">
        <v>364</v>
      </c>
      <c r="CI207" t="s">
        <v>1306</v>
      </c>
      <c r="CJ207" t="s">
        <v>103</v>
      </c>
      <c r="CK207" t="s">
        <v>1473</v>
      </c>
      <c r="CL207" t="s">
        <v>1474</v>
      </c>
      <c r="CM207" t="s">
        <v>953</v>
      </c>
      <c r="CN207">
        <v>9</v>
      </c>
      <c r="CO207">
        <v>18</v>
      </c>
      <c r="CP207">
        <v>90.83</v>
      </c>
      <c r="CR207" s="86" t="str">
        <f t="shared" si="38"/>
        <v>157153Lancamentos</v>
      </c>
      <c r="CS207">
        <v>157153</v>
      </c>
      <c r="CT207" t="s">
        <v>364</v>
      </c>
      <c r="CU207" t="s">
        <v>1306</v>
      </c>
      <c r="CV207" t="s">
        <v>103</v>
      </c>
      <c r="CW207" t="s">
        <v>1525</v>
      </c>
      <c r="CX207" t="s">
        <v>1526</v>
      </c>
      <c r="CY207" t="s">
        <v>953</v>
      </c>
      <c r="CZ207">
        <v>18</v>
      </c>
      <c r="DA207">
        <v>18</v>
      </c>
      <c r="DB207">
        <v>99.2</v>
      </c>
      <c r="DD207" s="86" t="str">
        <f t="shared" si="39"/>
        <v>159620Mix + Intocáveis SC Johnson</v>
      </c>
      <c r="DE207">
        <v>159620</v>
      </c>
      <c r="DF207" t="s">
        <v>394</v>
      </c>
      <c r="DG207" t="s">
        <v>482</v>
      </c>
      <c r="DH207" t="s">
        <v>103</v>
      </c>
      <c r="DI207" t="s">
        <v>1666</v>
      </c>
      <c r="DJ207" t="s">
        <v>1667</v>
      </c>
      <c r="DK207" t="s">
        <v>459</v>
      </c>
      <c r="DL207">
        <v>31.2</v>
      </c>
      <c r="DM207">
        <v>40</v>
      </c>
      <c r="DN207">
        <v>92.62</v>
      </c>
      <c r="DP207" s="86" t="str">
        <f t="shared" si="40"/>
        <v>157637Mix + Intocáveis SC Johnson</v>
      </c>
      <c r="DQ207">
        <v>157637</v>
      </c>
      <c r="DR207" t="s">
        <v>365</v>
      </c>
      <c r="DS207" t="s">
        <v>1306</v>
      </c>
      <c r="DT207" t="s">
        <v>103</v>
      </c>
      <c r="DU207" t="s">
        <v>1816</v>
      </c>
      <c r="DV207" t="s">
        <v>1817</v>
      </c>
      <c r="DW207" t="s">
        <v>459</v>
      </c>
      <c r="DX207">
        <v>35.200000000000003</v>
      </c>
      <c r="DY207">
        <v>40</v>
      </c>
      <c r="DZ207">
        <v>100</v>
      </c>
    </row>
    <row r="208" spans="1:142" x14ac:dyDescent="0.35">
      <c r="A208" s="86" t="str">
        <f t="shared" si="42"/>
        <v>169868Share Sub Category SC Johnson</v>
      </c>
      <c r="B208">
        <v>169868</v>
      </c>
      <c r="C208" t="s">
        <v>396</v>
      </c>
      <c r="D208" t="s">
        <v>103</v>
      </c>
      <c r="E208" t="s">
        <v>568</v>
      </c>
      <c r="F208" t="s">
        <v>569</v>
      </c>
      <c r="G208" t="s">
        <v>457</v>
      </c>
      <c r="H208">
        <v>52.08</v>
      </c>
      <c r="I208">
        <v>17.13</v>
      </c>
      <c r="J208">
        <v>30</v>
      </c>
      <c r="L208" s="86" t="str">
        <f t="shared" si="43"/>
        <v>169868Cross Merchan SC Johnson</v>
      </c>
      <c r="M208">
        <v>169868</v>
      </c>
      <c r="N208" t="s">
        <v>396</v>
      </c>
      <c r="O208" t="s">
        <v>36</v>
      </c>
      <c r="P208" t="s">
        <v>103</v>
      </c>
      <c r="Q208" t="s">
        <v>718</v>
      </c>
      <c r="R208" t="s">
        <v>719</v>
      </c>
      <c r="S208" t="s">
        <v>111</v>
      </c>
      <c r="T208">
        <v>0</v>
      </c>
      <c r="U208">
        <v>8</v>
      </c>
      <c r="V208">
        <v>55.13</v>
      </c>
      <c r="X208" s="86" t="str">
        <f t="shared" si="44"/>
        <v>171117Cross Merchan SC Johnson</v>
      </c>
      <c r="Y208">
        <v>171117</v>
      </c>
      <c r="Z208" t="s">
        <v>397</v>
      </c>
      <c r="AA208" t="s">
        <v>539</v>
      </c>
      <c r="AB208" t="s">
        <v>103</v>
      </c>
      <c r="AC208" t="s">
        <v>871</v>
      </c>
      <c r="AD208" t="s">
        <v>872</v>
      </c>
      <c r="AE208" t="s">
        <v>111</v>
      </c>
      <c r="AF208">
        <v>0</v>
      </c>
      <c r="AG208">
        <v>8</v>
      </c>
      <c r="AH208">
        <v>29.25</v>
      </c>
      <c r="AJ208" s="86" t="str">
        <f t="shared" si="45"/>
        <v>169868Share Sub Category SC Johnson</v>
      </c>
      <c r="AK208">
        <v>169868</v>
      </c>
      <c r="AL208" t="s">
        <v>396</v>
      </c>
      <c r="AM208" t="s">
        <v>36</v>
      </c>
      <c r="AN208" t="s">
        <v>103</v>
      </c>
      <c r="AO208" t="s">
        <v>964</v>
      </c>
      <c r="AP208" t="s">
        <v>965</v>
      </c>
      <c r="AQ208" t="s">
        <v>457</v>
      </c>
      <c r="AR208">
        <v>21.425000000000001</v>
      </c>
      <c r="AS208">
        <v>25</v>
      </c>
      <c r="AT208">
        <v>65.09</v>
      </c>
      <c r="AV208" s="86" t="str">
        <f t="shared" si="46"/>
        <v>178205Share Sub Category SC Johnson</v>
      </c>
      <c r="AW208">
        <v>178205</v>
      </c>
      <c r="AX208" t="s">
        <v>381</v>
      </c>
      <c r="AY208" t="s">
        <v>460</v>
      </c>
      <c r="AZ208" t="s">
        <v>103</v>
      </c>
      <c r="BA208" t="s">
        <v>1105</v>
      </c>
      <c r="BB208" t="s">
        <v>1106</v>
      </c>
      <c r="BC208" t="s">
        <v>457</v>
      </c>
      <c r="BD208">
        <v>25</v>
      </c>
      <c r="BE208">
        <v>25</v>
      </c>
      <c r="BF208">
        <v>62.23</v>
      </c>
      <c r="BH208" s="86" t="str">
        <f t="shared" si="47"/>
        <v>164006Share Sub Category SC Johnson</v>
      </c>
      <c r="BI208">
        <v>164006</v>
      </c>
      <c r="BJ208" t="s">
        <v>395</v>
      </c>
      <c r="BK208" t="s">
        <v>482</v>
      </c>
      <c r="BL208" t="s">
        <v>103</v>
      </c>
      <c r="BM208" t="s">
        <v>1205</v>
      </c>
      <c r="BN208" t="s">
        <v>1206</v>
      </c>
      <c r="BO208" t="s">
        <v>457</v>
      </c>
      <c r="BP208">
        <v>21.425000000000001</v>
      </c>
      <c r="BQ208">
        <v>25</v>
      </c>
      <c r="BR208">
        <v>56.45</v>
      </c>
      <c r="BT208" s="86" t="str">
        <f t="shared" si="36"/>
        <v>152753Mix + Intocáveis SC Johnson</v>
      </c>
      <c r="BU208">
        <v>152753</v>
      </c>
      <c r="BV208" t="s">
        <v>393</v>
      </c>
      <c r="BW208" t="s">
        <v>482</v>
      </c>
      <c r="BX208" t="s">
        <v>103</v>
      </c>
      <c r="BY208" t="s">
        <v>1309</v>
      </c>
      <c r="BZ208" t="s">
        <v>1310</v>
      </c>
      <c r="CA208" t="s">
        <v>459</v>
      </c>
      <c r="CB208">
        <v>25.6</v>
      </c>
      <c r="CC208">
        <v>40</v>
      </c>
      <c r="CD208">
        <v>60.45</v>
      </c>
      <c r="CF208" s="86" t="str">
        <f t="shared" si="37"/>
        <v>157153Mix + Intocáveis SC Johnson</v>
      </c>
      <c r="CG208">
        <v>157153</v>
      </c>
      <c r="CH208" t="s">
        <v>364</v>
      </c>
      <c r="CI208" t="s">
        <v>1306</v>
      </c>
      <c r="CJ208" t="s">
        <v>103</v>
      </c>
      <c r="CK208" t="s">
        <v>1473</v>
      </c>
      <c r="CL208" t="s">
        <v>1474</v>
      </c>
      <c r="CM208" t="s">
        <v>459</v>
      </c>
      <c r="CN208">
        <v>38.4</v>
      </c>
      <c r="CO208">
        <v>40</v>
      </c>
      <c r="CP208">
        <v>90.83</v>
      </c>
      <c r="CR208" s="86" t="str">
        <f t="shared" si="38"/>
        <v>157153Mix + Intocáveis SC Johnson</v>
      </c>
      <c r="CS208">
        <v>157153</v>
      </c>
      <c r="CT208" t="s">
        <v>364</v>
      </c>
      <c r="CU208" t="s">
        <v>1306</v>
      </c>
      <c r="CV208" t="s">
        <v>103</v>
      </c>
      <c r="CW208" t="s">
        <v>1525</v>
      </c>
      <c r="CX208" t="s">
        <v>1526</v>
      </c>
      <c r="CY208" t="s">
        <v>459</v>
      </c>
      <c r="CZ208">
        <v>39.200000000000003</v>
      </c>
      <c r="DA208">
        <v>40</v>
      </c>
      <c r="DB208">
        <v>99.2</v>
      </c>
      <c r="DD208" s="86" t="str">
        <f t="shared" si="39"/>
        <v>159620Execucao Bonus</v>
      </c>
      <c r="DE208">
        <v>159620</v>
      </c>
      <c r="DF208" t="s">
        <v>394</v>
      </c>
      <c r="DG208" t="s">
        <v>482</v>
      </c>
      <c r="DH208" t="s">
        <v>103</v>
      </c>
      <c r="DI208" t="s">
        <v>1666</v>
      </c>
      <c r="DJ208" t="s">
        <v>1667</v>
      </c>
      <c r="DK208" t="s">
        <v>1291</v>
      </c>
      <c r="DL208">
        <v>5</v>
      </c>
      <c r="DM208">
        <v>5</v>
      </c>
      <c r="DN208">
        <v>92.62</v>
      </c>
      <c r="DP208" s="86" t="str">
        <f t="shared" si="40"/>
        <v>157637Execucao Bonus</v>
      </c>
      <c r="DQ208">
        <v>157637</v>
      </c>
      <c r="DR208" t="s">
        <v>365</v>
      </c>
      <c r="DS208" t="s">
        <v>1306</v>
      </c>
      <c r="DT208" t="s">
        <v>103</v>
      </c>
      <c r="DU208" t="s">
        <v>1816</v>
      </c>
      <c r="DV208" t="s">
        <v>1817</v>
      </c>
      <c r="DW208" t="s">
        <v>1291</v>
      </c>
      <c r="DX208">
        <v>4.8</v>
      </c>
      <c r="DY208">
        <v>5</v>
      </c>
      <c r="DZ208">
        <v>100</v>
      </c>
    </row>
    <row r="209" spans="1:130" x14ac:dyDescent="0.35">
      <c r="A209" s="86" t="str">
        <f t="shared" si="42"/>
        <v>169868Cross Merchan SC Johnson</v>
      </c>
      <c r="B209">
        <v>169868</v>
      </c>
      <c r="C209" t="s">
        <v>396</v>
      </c>
      <c r="D209" t="s">
        <v>103</v>
      </c>
      <c r="E209" t="s">
        <v>568</v>
      </c>
      <c r="F209" t="s">
        <v>569</v>
      </c>
      <c r="G209" t="s">
        <v>111</v>
      </c>
      <c r="H209">
        <v>52.08</v>
      </c>
      <c r="I209">
        <v>0</v>
      </c>
      <c r="J209">
        <v>8</v>
      </c>
      <c r="L209" s="86" t="str">
        <f t="shared" si="43"/>
        <v>169868Share Sub Loc Pao Quente SC Johnson</v>
      </c>
      <c r="M209">
        <v>169868</v>
      </c>
      <c r="N209" t="s">
        <v>396</v>
      </c>
      <c r="O209" t="s">
        <v>36</v>
      </c>
      <c r="P209" t="s">
        <v>103</v>
      </c>
      <c r="Q209" t="s">
        <v>718</v>
      </c>
      <c r="R209" t="s">
        <v>719</v>
      </c>
      <c r="S209" t="s">
        <v>458</v>
      </c>
      <c r="T209">
        <v>12.75</v>
      </c>
      <c r="U209">
        <v>17</v>
      </c>
      <c r="V209">
        <v>55.13</v>
      </c>
      <c r="X209" s="86" t="str">
        <f t="shared" si="44"/>
        <v>171117Share Sub Loc Pao Quente SC Johnson</v>
      </c>
      <c r="Y209">
        <v>171117</v>
      </c>
      <c r="Z209" t="s">
        <v>397</v>
      </c>
      <c r="AA209" t="s">
        <v>539</v>
      </c>
      <c r="AB209" t="s">
        <v>103</v>
      </c>
      <c r="AC209" t="s">
        <v>871</v>
      </c>
      <c r="AD209" t="s">
        <v>872</v>
      </c>
      <c r="AE209" t="s">
        <v>458</v>
      </c>
      <c r="AF209">
        <v>4.25</v>
      </c>
      <c r="AG209">
        <v>17</v>
      </c>
      <c r="AH209">
        <v>29.25</v>
      </c>
      <c r="AJ209" s="86" t="str">
        <f t="shared" si="45"/>
        <v>169868Cross Merchan SC Johnson</v>
      </c>
      <c r="AK209">
        <v>169868</v>
      </c>
      <c r="AL209" t="s">
        <v>396</v>
      </c>
      <c r="AM209" t="s">
        <v>36</v>
      </c>
      <c r="AN209" t="s">
        <v>103</v>
      </c>
      <c r="AO209" t="s">
        <v>964</v>
      </c>
      <c r="AP209" t="s">
        <v>965</v>
      </c>
      <c r="AQ209" t="s">
        <v>111</v>
      </c>
      <c r="AR209">
        <v>2.5</v>
      </c>
      <c r="AS209">
        <v>5</v>
      </c>
      <c r="AT209">
        <v>65.09</v>
      </c>
      <c r="AV209" s="86" t="str">
        <f t="shared" si="46"/>
        <v>178205Cross Merchan SC Johnson</v>
      </c>
      <c r="AW209">
        <v>178205</v>
      </c>
      <c r="AX209" t="s">
        <v>381</v>
      </c>
      <c r="AY209" t="s">
        <v>460</v>
      </c>
      <c r="AZ209" t="s">
        <v>103</v>
      </c>
      <c r="BA209" t="s">
        <v>1105</v>
      </c>
      <c r="BB209" t="s">
        <v>1106</v>
      </c>
      <c r="BC209" t="s">
        <v>111</v>
      </c>
      <c r="BD209">
        <v>1.665</v>
      </c>
      <c r="BE209">
        <v>5</v>
      </c>
      <c r="BF209">
        <v>62.23</v>
      </c>
      <c r="BH209" s="86" t="str">
        <f t="shared" si="47"/>
        <v>164006Cross Merchan SC Johnson</v>
      </c>
      <c r="BI209">
        <v>164006</v>
      </c>
      <c r="BJ209" t="s">
        <v>395</v>
      </c>
      <c r="BK209" t="s">
        <v>482</v>
      </c>
      <c r="BL209" t="s">
        <v>103</v>
      </c>
      <c r="BM209" t="s">
        <v>1205</v>
      </c>
      <c r="BN209" t="s">
        <v>1206</v>
      </c>
      <c r="BO209" t="s">
        <v>111</v>
      </c>
      <c r="BP209">
        <v>1.665</v>
      </c>
      <c r="BQ209">
        <v>5</v>
      </c>
      <c r="BR209">
        <v>56.45</v>
      </c>
      <c r="BT209" s="86" t="str">
        <f t="shared" si="36"/>
        <v>152753Share Sub Category SC Johnson</v>
      </c>
      <c r="BU209">
        <v>152753</v>
      </c>
      <c r="BV209" t="s">
        <v>393</v>
      </c>
      <c r="BW209" t="s">
        <v>482</v>
      </c>
      <c r="BX209" t="s">
        <v>103</v>
      </c>
      <c r="BY209" t="s">
        <v>1309</v>
      </c>
      <c r="BZ209" t="s">
        <v>1310</v>
      </c>
      <c r="CA209" t="s">
        <v>457</v>
      </c>
      <c r="CB209">
        <v>17.850000000000001</v>
      </c>
      <c r="CC209">
        <v>25</v>
      </c>
      <c r="CD209">
        <v>60.45</v>
      </c>
      <c r="CF209" s="86" t="str">
        <f t="shared" si="37"/>
        <v>157153Share Sub Category SC Johnson</v>
      </c>
      <c r="CG209">
        <v>157153</v>
      </c>
      <c r="CH209" t="s">
        <v>364</v>
      </c>
      <c r="CI209" t="s">
        <v>1306</v>
      </c>
      <c r="CJ209" t="s">
        <v>103</v>
      </c>
      <c r="CK209" t="s">
        <v>1473</v>
      </c>
      <c r="CL209" t="s">
        <v>1474</v>
      </c>
      <c r="CM209" t="s">
        <v>457</v>
      </c>
      <c r="CN209">
        <v>21.425000000000001</v>
      </c>
      <c r="CO209">
        <v>25</v>
      </c>
      <c r="CP209">
        <v>90.83</v>
      </c>
      <c r="CR209" s="86" t="str">
        <f t="shared" si="38"/>
        <v>157153Share Sub Category SC Johnson</v>
      </c>
      <c r="CS209">
        <v>157153</v>
      </c>
      <c r="CT209" t="s">
        <v>364</v>
      </c>
      <c r="CU209" t="s">
        <v>1306</v>
      </c>
      <c r="CV209" t="s">
        <v>103</v>
      </c>
      <c r="CW209" t="s">
        <v>1525</v>
      </c>
      <c r="CX209" t="s">
        <v>1526</v>
      </c>
      <c r="CY209" t="s">
        <v>457</v>
      </c>
      <c r="CZ209">
        <v>25</v>
      </c>
      <c r="DA209">
        <v>25</v>
      </c>
      <c r="DB209">
        <v>99.2</v>
      </c>
      <c r="DD209" s="86" t="str">
        <f t="shared" si="39"/>
        <v>159620Cross Merchan SC Johnson</v>
      </c>
      <c r="DE209">
        <v>159620</v>
      </c>
      <c r="DF209" t="s">
        <v>394</v>
      </c>
      <c r="DG209" t="s">
        <v>482</v>
      </c>
      <c r="DH209" t="s">
        <v>103</v>
      </c>
      <c r="DI209" t="s">
        <v>1666</v>
      </c>
      <c r="DJ209" t="s">
        <v>1667</v>
      </c>
      <c r="DK209" t="s">
        <v>111</v>
      </c>
      <c r="DL209">
        <v>5</v>
      </c>
      <c r="DM209">
        <v>5</v>
      </c>
      <c r="DN209">
        <v>92.62</v>
      </c>
      <c r="DP209" s="86" t="str">
        <f t="shared" si="40"/>
        <v>157637Cross Merchan SC Johnson</v>
      </c>
      <c r="DQ209">
        <v>157637</v>
      </c>
      <c r="DR209" t="s">
        <v>365</v>
      </c>
      <c r="DS209" t="s">
        <v>1306</v>
      </c>
      <c r="DT209" t="s">
        <v>103</v>
      </c>
      <c r="DU209" t="s">
        <v>1816</v>
      </c>
      <c r="DV209" t="s">
        <v>1817</v>
      </c>
      <c r="DW209" t="s">
        <v>111</v>
      </c>
      <c r="DX209">
        <v>5</v>
      </c>
      <c r="DY209">
        <v>5</v>
      </c>
      <c r="DZ209">
        <v>100</v>
      </c>
    </row>
    <row r="210" spans="1:130" x14ac:dyDescent="0.35">
      <c r="A210" s="86" t="str">
        <f t="shared" si="42"/>
        <v>169868Share Sub Loc Pao Quente SC Johnson</v>
      </c>
      <c r="B210">
        <v>169868</v>
      </c>
      <c r="C210" t="s">
        <v>396</v>
      </c>
      <c r="D210" t="s">
        <v>103</v>
      </c>
      <c r="E210" t="s">
        <v>568</v>
      </c>
      <c r="F210" t="s">
        <v>569</v>
      </c>
      <c r="G210" t="s">
        <v>458</v>
      </c>
      <c r="H210">
        <v>52.08</v>
      </c>
      <c r="I210">
        <v>10.199999999999999</v>
      </c>
      <c r="J210">
        <v>17</v>
      </c>
      <c r="L210" s="86" t="str">
        <f t="shared" si="43"/>
        <v>169868Mix + Intocáveis SC Johnson</v>
      </c>
      <c r="M210">
        <v>169868</v>
      </c>
      <c r="N210" t="s">
        <v>396</v>
      </c>
      <c r="O210" t="s">
        <v>36</v>
      </c>
      <c r="P210" t="s">
        <v>103</v>
      </c>
      <c r="Q210" t="s">
        <v>718</v>
      </c>
      <c r="R210" t="s">
        <v>719</v>
      </c>
      <c r="S210" t="s">
        <v>459</v>
      </c>
      <c r="T210">
        <v>12.375</v>
      </c>
      <c r="U210">
        <v>45</v>
      </c>
      <c r="V210">
        <v>55.13</v>
      </c>
      <c r="X210" s="86" t="str">
        <f t="shared" si="44"/>
        <v>171117Mix + Intocáveis SC Johnson</v>
      </c>
      <c r="Y210">
        <v>171117</v>
      </c>
      <c r="Z210" t="s">
        <v>397</v>
      </c>
      <c r="AA210" t="s">
        <v>539</v>
      </c>
      <c r="AB210" t="s">
        <v>103</v>
      </c>
      <c r="AC210" t="s">
        <v>871</v>
      </c>
      <c r="AD210" t="s">
        <v>872</v>
      </c>
      <c r="AE210" t="s">
        <v>459</v>
      </c>
      <c r="AF210">
        <v>7.875</v>
      </c>
      <c r="AG210">
        <v>45</v>
      </c>
      <c r="AH210">
        <v>29.25</v>
      </c>
      <c r="AJ210" s="86" t="str">
        <f t="shared" si="45"/>
        <v>169868Share Sub Loc Pao Quente SC Johnson</v>
      </c>
      <c r="AK210">
        <v>169868</v>
      </c>
      <c r="AL210" t="s">
        <v>396</v>
      </c>
      <c r="AM210" t="s">
        <v>36</v>
      </c>
      <c r="AN210" t="s">
        <v>103</v>
      </c>
      <c r="AO210" t="s">
        <v>964</v>
      </c>
      <c r="AP210" t="s">
        <v>965</v>
      </c>
      <c r="AQ210" t="s">
        <v>458</v>
      </c>
      <c r="AR210">
        <v>9</v>
      </c>
      <c r="AS210">
        <v>12</v>
      </c>
      <c r="AT210">
        <v>65.09</v>
      </c>
      <c r="AV210" s="86" t="str">
        <f t="shared" si="46"/>
        <v>178205Share Sub Loc Pao Quente SC Johnson</v>
      </c>
      <c r="AW210">
        <v>178205</v>
      </c>
      <c r="AX210" t="s">
        <v>381</v>
      </c>
      <c r="AY210" t="s">
        <v>460</v>
      </c>
      <c r="AZ210" t="s">
        <v>103</v>
      </c>
      <c r="BA210" t="s">
        <v>1105</v>
      </c>
      <c r="BB210" t="s">
        <v>1106</v>
      </c>
      <c r="BC210" t="s">
        <v>458</v>
      </c>
      <c r="BD210">
        <v>6</v>
      </c>
      <c r="BE210">
        <v>12</v>
      </c>
      <c r="BF210">
        <v>62.23</v>
      </c>
      <c r="BH210" s="86" t="str">
        <f t="shared" si="47"/>
        <v>164006Share Sub Loc Pao Quente SC Johnson</v>
      </c>
      <c r="BI210">
        <v>164006</v>
      </c>
      <c r="BJ210" t="s">
        <v>395</v>
      </c>
      <c r="BK210" t="s">
        <v>482</v>
      </c>
      <c r="BL210" t="s">
        <v>103</v>
      </c>
      <c r="BM210" t="s">
        <v>1205</v>
      </c>
      <c r="BN210" t="s">
        <v>1206</v>
      </c>
      <c r="BO210" t="s">
        <v>458</v>
      </c>
      <c r="BP210">
        <v>9</v>
      </c>
      <c r="BQ210">
        <v>12</v>
      </c>
      <c r="BR210">
        <v>56.45</v>
      </c>
      <c r="BT210" s="86" t="str">
        <f t="shared" si="36"/>
        <v>152753Share Sub Loc Pao Quente SC Johnson</v>
      </c>
      <c r="BU210">
        <v>152753</v>
      </c>
      <c r="BV210" t="s">
        <v>393</v>
      </c>
      <c r="BW210" t="s">
        <v>482</v>
      </c>
      <c r="BX210" t="s">
        <v>103</v>
      </c>
      <c r="BY210" t="s">
        <v>1309</v>
      </c>
      <c r="BZ210" t="s">
        <v>1310</v>
      </c>
      <c r="CA210" t="s">
        <v>458</v>
      </c>
      <c r="CB210">
        <v>3</v>
      </c>
      <c r="CC210">
        <v>12</v>
      </c>
      <c r="CD210">
        <v>60.45</v>
      </c>
      <c r="CF210" s="86" t="str">
        <f t="shared" si="37"/>
        <v>157153Share Sub Loc Pao Quente SC Johnson</v>
      </c>
      <c r="CG210">
        <v>157153</v>
      </c>
      <c r="CH210" t="s">
        <v>364</v>
      </c>
      <c r="CI210" t="s">
        <v>1306</v>
      </c>
      <c r="CJ210" t="s">
        <v>103</v>
      </c>
      <c r="CK210" t="s">
        <v>1473</v>
      </c>
      <c r="CL210" t="s">
        <v>1474</v>
      </c>
      <c r="CM210" t="s">
        <v>458</v>
      </c>
      <c r="CN210">
        <v>12</v>
      </c>
      <c r="CO210">
        <v>12</v>
      </c>
      <c r="CP210">
        <v>90.83</v>
      </c>
      <c r="CR210" s="86" t="str">
        <f t="shared" si="38"/>
        <v>157153Share Sub Loc Pao Quente SC Johnson</v>
      </c>
      <c r="CS210">
        <v>157153</v>
      </c>
      <c r="CT210" t="s">
        <v>364</v>
      </c>
      <c r="CU210" t="s">
        <v>1306</v>
      </c>
      <c r="CV210" t="s">
        <v>103</v>
      </c>
      <c r="CW210" t="s">
        <v>1525</v>
      </c>
      <c r="CX210" t="s">
        <v>1526</v>
      </c>
      <c r="CY210" t="s">
        <v>458</v>
      </c>
      <c r="CZ210">
        <v>12</v>
      </c>
      <c r="DA210">
        <v>12</v>
      </c>
      <c r="DB210">
        <v>99.2</v>
      </c>
      <c r="DD210" s="86" t="str">
        <f t="shared" si="39"/>
        <v>159620Lancamentos</v>
      </c>
      <c r="DE210">
        <v>159620</v>
      </c>
      <c r="DF210" t="s">
        <v>394</v>
      </c>
      <c r="DG210" t="s">
        <v>482</v>
      </c>
      <c r="DH210" t="s">
        <v>103</v>
      </c>
      <c r="DI210" t="s">
        <v>1666</v>
      </c>
      <c r="DJ210" t="s">
        <v>1667</v>
      </c>
      <c r="DK210" t="s">
        <v>953</v>
      </c>
      <c r="DL210">
        <v>18</v>
      </c>
      <c r="DM210">
        <v>18</v>
      </c>
      <c r="DN210">
        <v>92.62</v>
      </c>
      <c r="DP210" s="86" t="str">
        <f t="shared" si="40"/>
        <v>157637Lancamentos</v>
      </c>
      <c r="DQ210">
        <v>157637</v>
      </c>
      <c r="DR210" t="s">
        <v>365</v>
      </c>
      <c r="DS210" t="s">
        <v>1306</v>
      </c>
      <c r="DT210" t="s">
        <v>103</v>
      </c>
      <c r="DU210" t="s">
        <v>1816</v>
      </c>
      <c r="DV210" t="s">
        <v>1817</v>
      </c>
      <c r="DW210" t="s">
        <v>953</v>
      </c>
      <c r="DX210">
        <v>18</v>
      </c>
      <c r="DY210">
        <v>18</v>
      </c>
      <c r="DZ210">
        <v>100</v>
      </c>
    </row>
    <row r="211" spans="1:130" x14ac:dyDescent="0.35">
      <c r="A211" s="86" t="str">
        <f t="shared" si="42"/>
        <v>169868Mix + Intocáveis SC Johnson</v>
      </c>
      <c r="B211">
        <v>169868</v>
      </c>
      <c r="C211" t="s">
        <v>396</v>
      </c>
      <c r="D211" t="s">
        <v>103</v>
      </c>
      <c r="E211" t="s">
        <v>568</v>
      </c>
      <c r="F211" t="s">
        <v>569</v>
      </c>
      <c r="G211" t="s">
        <v>459</v>
      </c>
      <c r="H211">
        <v>52.08</v>
      </c>
      <c r="I211">
        <v>24.75</v>
      </c>
      <c r="J211">
        <v>45</v>
      </c>
      <c r="L211" s="86" t="str">
        <f t="shared" si="43"/>
        <v>171117Share Sub Category SC Johnson</v>
      </c>
      <c r="M211">
        <v>171117</v>
      </c>
      <c r="N211" t="s">
        <v>397</v>
      </c>
      <c r="O211" t="s">
        <v>539</v>
      </c>
      <c r="P211" t="s">
        <v>103</v>
      </c>
      <c r="Q211" t="s">
        <v>720</v>
      </c>
      <c r="R211" t="s">
        <v>721</v>
      </c>
      <c r="S211" t="s">
        <v>457</v>
      </c>
      <c r="T211">
        <v>8.58</v>
      </c>
      <c r="U211">
        <v>30</v>
      </c>
      <c r="V211">
        <v>19.579999999999998</v>
      </c>
      <c r="X211" s="86" t="str">
        <f t="shared" si="44"/>
        <v>178205Share Sub Category SC Johnson</v>
      </c>
      <c r="Y211">
        <v>178205</v>
      </c>
      <c r="Z211" t="s">
        <v>381</v>
      </c>
      <c r="AA211" t="s">
        <v>460</v>
      </c>
      <c r="AB211" t="s">
        <v>103</v>
      </c>
      <c r="AC211" t="s">
        <v>781</v>
      </c>
      <c r="AD211" t="s">
        <v>782</v>
      </c>
      <c r="AE211" t="s">
        <v>457</v>
      </c>
      <c r="AF211">
        <v>25.71</v>
      </c>
      <c r="AG211">
        <v>30</v>
      </c>
      <c r="AH211">
        <v>81.34</v>
      </c>
      <c r="AJ211" s="86" t="str">
        <f t="shared" si="45"/>
        <v>169868Mix + Intocáveis SC Johnson</v>
      </c>
      <c r="AK211">
        <v>169868</v>
      </c>
      <c r="AL211" t="s">
        <v>396</v>
      </c>
      <c r="AM211" t="s">
        <v>36</v>
      </c>
      <c r="AN211" t="s">
        <v>103</v>
      </c>
      <c r="AO211" t="s">
        <v>964</v>
      </c>
      <c r="AP211" t="s">
        <v>965</v>
      </c>
      <c r="AQ211" t="s">
        <v>459</v>
      </c>
      <c r="AR211">
        <v>32.159999999999997</v>
      </c>
      <c r="AS211">
        <v>40</v>
      </c>
      <c r="AT211">
        <v>65.09</v>
      </c>
      <c r="AV211" s="86" t="str">
        <f t="shared" si="46"/>
        <v>178205Mix + Intocáveis SC Johnson</v>
      </c>
      <c r="AW211">
        <v>178205</v>
      </c>
      <c r="AX211" t="s">
        <v>381</v>
      </c>
      <c r="AY211" t="s">
        <v>460</v>
      </c>
      <c r="AZ211" t="s">
        <v>103</v>
      </c>
      <c r="BA211" t="s">
        <v>1105</v>
      </c>
      <c r="BB211" t="s">
        <v>1106</v>
      </c>
      <c r="BC211" t="s">
        <v>459</v>
      </c>
      <c r="BD211">
        <v>29.56</v>
      </c>
      <c r="BE211">
        <v>40</v>
      </c>
      <c r="BF211">
        <v>62.23</v>
      </c>
      <c r="BH211" s="86" t="str">
        <f t="shared" si="47"/>
        <v>164006Mix + Intocáveis SC Johnson</v>
      </c>
      <c r="BI211">
        <v>164006</v>
      </c>
      <c r="BJ211" t="s">
        <v>395</v>
      </c>
      <c r="BK211" t="s">
        <v>482</v>
      </c>
      <c r="BL211" t="s">
        <v>103</v>
      </c>
      <c r="BM211" t="s">
        <v>1205</v>
      </c>
      <c r="BN211" t="s">
        <v>1206</v>
      </c>
      <c r="BO211" t="s">
        <v>459</v>
      </c>
      <c r="BP211">
        <v>24.36</v>
      </c>
      <c r="BQ211">
        <v>40</v>
      </c>
      <c r="BR211">
        <v>56.45</v>
      </c>
      <c r="BT211" s="86" t="str">
        <f t="shared" si="36"/>
        <v>152753Cross Merchan SC Johnson</v>
      </c>
      <c r="BU211">
        <v>152753</v>
      </c>
      <c r="BV211" t="s">
        <v>393</v>
      </c>
      <c r="BW211" t="s">
        <v>482</v>
      </c>
      <c r="BX211" t="s">
        <v>103</v>
      </c>
      <c r="BY211" t="s">
        <v>1309</v>
      </c>
      <c r="BZ211" t="s">
        <v>1310</v>
      </c>
      <c r="CA211" t="s">
        <v>111</v>
      </c>
      <c r="CB211">
        <v>5</v>
      </c>
      <c r="CC211">
        <v>5</v>
      </c>
      <c r="CD211">
        <v>60.45</v>
      </c>
      <c r="CF211" s="86" t="str">
        <f t="shared" si="37"/>
        <v>157153Cross Merchan SC Johnson</v>
      </c>
      <c r="CG211">
        <v>157153</v>
      </c>
      <c r="CH211" t="s">
        <v>364</v>
      </c>
      <c r="CI211" t="s">
        <v>1306</v>
      </c>
      <c r="CJ211" t="s">
        <v>103</v>
      </c>
      <c r="CK211" t="s">
        <v>1473</v>
      </c>
      <c r="CL211" t="s">
        <v>1474</v>
      </c>
      <c r="CM211" t="s">
        <v>111</v>
      </c>
      <c r="CN211">
        <v>5</v>
      </c>
      <c r="CO211">
        <v>5</v>
      </c>
      <c r="CP211">
        <v>90.83</v>
      </c>
      <c r="CR211" s="86" t="str">
        <f t="shared" si="38"/>
        <v>157153Cross Merchan SC Johnson</v>
      </c>
      <c r="CS211">
        <v>157153</v>
      </c>
      <c r="CT211" t="s">
        <v>364</v>
      </c>
      <c r="CU211" t="s">
        <v>1306</v>
      </c>
      <c r="CV211" t="s">
        <v>103</v>
      </c>
      <c r="CW211" t="s">
        <v>1525</v>
      </c>
      <c r="CX211" t="s">
        <v>1526</v>
      </c>
      <c r="CY211" t="s">
        <v>111</v>
      </c>
      <c r="CZ211">
        <v>5</v>
      </c>
      <c r="DA211">
        <v>5</v>
      </c>
      <c r="DB211">
        <v>99.2</v>
      </c>
      <c r="DD211" s="86" t="str">
        <f t="shared" si="39"/>
        <v>159620Share Sub Category SC Johnson</v>
      </c>
      <c r="DE211">
        <v>159620</v>
      </c>
      <c r="DF211" t="s">
        <v>394</v>
      </c>
      <c r="DG211" t="s">
        <v>482</v>
      </c>
      <c r="DH211" t="s">
        <v>103</v>
      </c>
      <c r="DI211" t="s">
        <v>1666</v>
      </c>
      <c r="DJ211" t="s">
        <v>1667</v>
      </c>
      <c r="DK211" t="s">
        <v>457</v>
      </c>
      <c r="DL211">
        <v>21.425000000000001</v>
      </c>
      <c r="DM211">
        <v>25</v>
      </c>
      <c r="DN211">
        <v>92.62</v>
      </c>
      <c r="DP211" s="86" t="str">
        <f t="shared" si="40"/>
        <v>157637Share Sub Category SC Johnson</v>
      </c>
      <c r="DQ211">
        <v>157637</v>
      </c>
      <c r="DR211" t="s">
        <v>365</v>
      </c>
      <c r="DS211" t="s">
        <v>1306</v>
      </c>
      <c r="DT211" t="s">
        <v>103</v>
      </c>
      <c r="DU211" t="s">
        <v>1816</v>
      </c>
      <c r="DV211" t="s">
        <v>1817</v>
      </c>
      <c r="DW211" t="s">
        <v>457</v>
      </c>
      <c r="DX211">
        <v>25</v>
      </c>
      <c r="DY211">
        <v>25</v>
      </c>
      <c r="DZ211">
        <v>100</v>
      </c>
    </row>
    <row r="212" spans="1:130" x14ac:dyDescent="0.35">
      <c r="A212" s="86" t="str">
        <f t="shared" si="42"/>
        <v>171117Share Sub Category SC Johnson</v>
      </c>
      <c r="B212">
        <v>171117</v>
      </c>
      <c r="C212" t="s">
        <v>397</v>
      </c>
      <c r="D212" t="s">
        <v>103</v>
      </c>
      <c r="E212" t="s">
        <v>570</v>
      </c>
      <c r="F212" t="s">
        <v>571</v>
      </c>
      <c r="G212" t="s">
        <v>457</v>
      </c>
      <c r="H212">
        <v>27.78</v>
      </c>
      <c r="I212">
        <v>8.58</v>
      </c>
      <c r="J212">
        <v>30</v>
      </c>
      <c r="L212" s="86" t="str">
        <f t="shared" si="43"/>
        <v>171117Cross Merchan SC Johnson</v>
      </c>
      <c r="M212">
        <v>171117</v>
      </c>
      <c r="N212" t="s">
        <v>397</v>
      </c>
      <c r="O212" t="s">
        <v>539</v>
      </c>
      <c r="P212" t="s">
        <v>103</v>
      </c>
      <c r="Q212" t="s">
        <v>720</v>
      </c>
      <c r="R212" t="s">
        <v>721</v>
      </c>
      <c r="S212" t="s">
        <v>111</v>
      </c>
      <c r="T212">
        <v>0</v>
      </c>
      <c r="U212">
        <v>8</v>
      </c>
      <c r="V212">
        <v>19.579999999999998</v>
      </c>
      <c r="X212" s="86" t="str">
        <f t="shared" si="44"/>
        <v>178205Cross Merchan SC Johnson</v>
      </c>
      <c r="Y212">
        <v>178205</v>
      </c>
      <c r="Z212" t="s">
        <v>381</v>
      </c>
      <c r="AA212" t="s">
        <v>460</v>
      </c>
      <c r="AB212" t="s">
        <v>103</v>
      </c>
      <c r="AC212" t="s">
        <v>781</v>
      </c>
      <c r="AD212" t="s">
        <v>782</v>
      </c>
      <c r="AE212" t="s">
        <v>111</v>
      </c>
      <c r="AF212">
        <v>8</v>
      </c>
      <c r="AG212">
        <v>8</v>
      </c>
      <c r="AH212">
        <v>81.34</v>
      </c>
      <c r="AJ212" s="86" t="str">
        <f t="shared" si="45"/>
        <v>169868Lancamentos</v>
      </c>
      <c r="AK212">
        <v>169868</v>
      </c>
      <c r="AL212" t="s">
        <v>396</v>
      </c>
      <c r="AM212" t="s">
        <v>36</v>
      </c>
      <c r="AN212" t="s">
        <v>103</v>
      </c>
      <c r="AO212" t="s">
        <v>964</v>
      </c>
      <c r="AP212" t="s">
        <v>965</v>
      </c>
      <c r="AQ212" t="s">
        <v>953</v>
      </c>
      <c r="AR212">
        <v>0</v>
      </c>
      <c r="AS212">
        <v>18</v>
      </c>
      <c r="AT212">
        <v>65.09</v>
      </c>
      <c r="AV212" s="86" t="str">
        <f t="shared" si="46"/>
        <v>178205Lancamentos</v>
      </c>
      <c r="AW212">
        <v>178205</v>
      </c>
      <c r="AX212" t="s">
        <v>381</v>
      </c>
      <c r="AY212" t="s">
        <v>460</v>
      </c>
      <c r="AZ212" t="s">
        <v>103</v>
      </c>
      <c r="BA212" t="s">
        <v>1105</v>
      </c>
      <c r="BB212" t="s">
        <v>1106</v>
      </c>
      <c r="BC212" t="s">
        <v>953</v>
      </c>
      <c r="BD212">
        <v>0</v>
      </c>
      <c r="BE212">
        <v>18</v>
      </c>
      <c r="BF212">
        <v>62.23</v>
      </c>
      <c r="BH212" s="86" t="str">
        <f t="shared" si="47"/>
        <v>164006Lancamentos</v>
      </c>
      <c r="BI212">
        <v>164006</v>
      </c>
      <c r="BJ212" t="s">
        <v>395</v>
      </c>
      <c r="BK212" t="s">
        <v>482</v>
      </c>
      <c r="BL212" t="s">
        <v>103</v>
      </c>
      <c r="BM212" t="s">
        <v>1205</v>
      </c>
      <c r="BN212" t="s">
        <v>1206</v>
      </c>
      <c r="BO212" t="s">
        <v>953</v>
      </c>
      <c r="BP212">
        <v>0</v>
      </c>
      <c r="BQ212">
        <v>18</v>
      </c>
      <c r="BR212">
        <v>56.45</v>
      </c>
      <c r="BT212" s="86" t="str">
        <f t="shared" si="36"/>
        <v>152753Execucao Bonus</v>
      </c>
      <c r="BU212">
        <v>152753</v>
      </c>
      <c r="BV212" t="s">
        <v>393</v>
      </c>
      <c r="BW212" t="s">
        <v>482</v>
      </c>
      <c r="BX212" t="s">
        <v>103</v>
      </c>
      <c r="BY212" t="s">
        <v>1309</v>
      </c>
      <c r="BZ212" t="s">
        <v>1310</v>
      </c>
      <c r="CA212" t="s">
        <v>1291</v>
      </c>
      <c r="CB212">
        <v>0</v>
      </c>
      <c r="CC212">
        <v>5</v>
      </c>
      <c r="CD212">
        <v>60.45</v>
      </c>
      <c r="CF212" s="86" t="str">
        <f t="shared" si="37"/>
        <v>157153Execucao Bonus</v>
      </c>
      <c r="CG212">
        <v>157153</v>
      </c>
      <c r="CH212" t="s">
        <v>364</v>
      </c>
      <c r="CI212" t="s">
        <v>1306</v>
      </c>
      <c r="CJ212" t="s">
        <v>103</v>
      </c>
      <c r="CK212" t="s">
        <v>1473</v>
      </c>
      <c r="CL212" t="s">
        <v>1474</v>
      </c>
      <c r="CM212" t="s">
        <v>1291</v>
      </c>
      <c r="CN212">
        <v>5</v>
      </c>
      <c r="CO212">
        <v>5</v>
      </c>
      <c r="CP212">
        <v>90.83</v>
      </c>
      <c r="CR212" s="86" t="str">
        <f t="shared" si="38"/>
        <v>157153Execucao Bonus</v>
      </c>
      <c r="CS212">
        <v>157153</v>
      </c>
      <c r="CT212" t="s">
        <v>364</v>
      </c>
      <c r="CU212" t="s">
        <v>1306</v>
      </c>
      <c r="CV212" t="s">
        <v>103</v>
      </c>
      <c r="CW212" t="s">
        <v>1525</v>
      </c>
      <c r="CX212" t="s">
        <v>1526</v>
      </c>
      <c r="CY212" t="s">
        <v>1291</v>
      </c>
      <c r="CZ212">
        <v>0</v>
      </c>
      <c r="DA212">
        <v>5</v>
      </c>
      <c r="DB212">
        <v>99.2</v>
      </c>
      <c r="DD212" s="86" t="str">
        <f t="shared" si="39"/>
        <v>159620Share Sub Loc Pao Quente SC Johnson</v>
      </c>
      <c r="DE212">
        <v>159620</v>
      </c>
      <c r="DF212" t="s">
        <v>394</v>
      </c>
      <c r="DG212" t="s">
        <v>482</v>
      </c>
      <c r="DH212" t="s">
        <v>103</v>
      </c>
      <c r="DI212" t="s">
        <v>1666</v>
      </c>
      <c r="DJ212" t="s">
        <v>1667</v>
      </c>
      <c r="DK212" t="s">
        <v>458</v>
      </c>
      <c r="DL212">
        <v>12</v>
      </c>
      <c r="DM212">
        <v>12</v>
      </c>
      <c r="DN212">
        <v>92.62</v>
      </c>
      <c r="DP212" s="86" t="str">
        <f t="shared" si="40"/>
        <v>157637Share Sub Loc Pao Quente SC Johnson</v>
      </c>
      <c r="DQ212">
        <v>157637</v>
      </c>
      <c r="DR212" t="s">
        <v>365</v>
      </c>
      <c r="DS212" t="s">
        <v>1306</v>
      </c>
      <c r="DT212" t="s">
        <v>103</v>
      </c>
      <c r="DU212" t="s">
        <v>1816</v>
      </c>
      <c r="DV212" t="s">
        <v>1817</v>
      </c>
      <c r="DW212" t="s">
        <v>458</v>
      </c>
      <c r="DX212">
        <v>12</v>
      </c>
      <c r="DY212">
        <v>12</v>
      </c>
      <c r="DZ212">
        <v>100</v>
      </c>
    </row>
    <row r="213" spans="1:130" x14ac:dyDescent="0.35">
      <c r="A213" s="86" t="str">
        <f t="shared" si="42"/>
        <v>171117Cross Merchan SC Johnson</v>
      </c>
      <c r="B213">
        <v>171117</v>
      </c>
      <c r="C213" t="s">
        <v>397</v>
      </c>
      <c r="D213" t="s">
        <v>103</v>
      </c>
      <c r="E213" t="s">
        <v>570</v>
      </c>
      <c r="F213" t="s">
        <v>571</v>
      </c>
      <c r="G213" t="s">
        <v>111</v>
      </c>
      <c r="H213">
        <v>27.78</v>
      </c>
      <c r="I213">
        <v>0</v>
      </c>
      <c r="J213">
        <v>8</v>
      </c>
      <c r="L213" s="86" t="str">
        <f t="shared" si="43"/>
        <v>171117Share Sub Loc Pao Quente SC Johnson</v>
      </c>
      <c r="M213">
        <v>171117</v>
      </c>
      <c r="N213" t="s">
        <v>397</v>
      </c>
      <c r="O213" t="s">
        <v>539</v>
      </c>
      <c r="P213" t="s">
        <v>103</v>
      </c>
      <c r="Q213" t="s">
        <v>720</v>
      </c>
      <c r="R213" t="s">
        <v>721</v>
      </c>
      <c r="S213" t="s">
        <v>458</v>
      </c>
      <c r="T213">
        <v>4.25</v>
      </c>
      <c r="U213">
        <v>17</v>
      </c>
      <c r="V213">
        <v>19.579999999999998</v>
      </c>
      <c r="X213" s="86" t="str">
        <f t="shared" si="44"/>
        <v>178205Share Sub Loc Pao Quente SC Johnson</v>
      </c>
      <c r="Y213">
        <v>178205</v>
      </c>
      <c r="Z213" t="s">
        <v>381</v>
      </c>
      <c r="AA213" t="s">
        <v>460</v>
      </c>
      <c r="AB213" t="s">
        <v>103</v>
      </c>
      <c r="AC213" t="s">
        <v>781</v>
      </c>
      <c r="AD213" t="s">
        <v>782</v>
      </c>
      <c r="AE213" t="s">
        <v>458</v>
      </c>
      <c r="AF213">
        <v>12.75</v>
      </c>
      <c r="AG213">
        <v>17</v>
      </c>
      <c r="AH213">
        <v>81.34</v>
      </c>
      <c r="AJ213" s="86" t="str">
        <f t="shared" si="45"/>
        <v>178205Share Sub Category SC Johnson</v>
      </c>
      <c r="AK213">
        <v>178205</v>
      </c>
      <c r="AL213" t="s">
        <v>381</v>
      </c>
      <c r="AM213" t="s">
        <v>460</v>
      </c>
      <c r="AN213" t="s">
        <v>103</v>
      </c>
      <c r="AO213" t="s">
        <v>935</v>
      </c>
      <c r="AP213" t="s">
        <v>936</v>
      </c>
      <c r="AQ213" t="s">
        <v>457</v>
      </c>
      <c r="AR213">
        <v>25</v>
      </c>
      <c r="AS213">
        <v>25</v>
      </c>
      <c r="AT213">
        <v>63.06</v>
      </c>
      <c r="AV213" s="86" t="str">
        <f t="shared" si="46"/>
        <v>181619Share Sub Category SC Johnson</v>
      </c>
      <c r="AW213">
        <v>181619</v>
      </c>
      <c r="AX213" t="s">
        <v>382</v>
      </c>
      <c r="AY213" t="s">
        <v>1004</v>
      </c>
      <c r="AZ213" t="s">
        <v>103</v>
      </c>
      <c r="BA213" t="s">
        <v>1107</v>
      </c>
      <c r="BB213" t="s">
        <v>1108</v>
      </c>
      <c r="BC213" t="s">
        <v>457</v>
      </c>
      <c r="BD213">
        <v>17.850000000000001</v>
      </c>
      <c r="BE213">
        <v>25</v>
      </c>
      <c r="BF213">
        <v>49.07</v>
      </c>
      <c r="BH213" s="86" t="str">
        <f t="shared" si="47"/>
        <v>166873Share Sub Category SC Johnson</v>
      </c>
      <c r="BI213">
        <v>166873</v>
      </c>
      <c r="BJ213" t="s">
        <v>345</v>
      </c>
      <c r="BK213" t="s">
        <v>36</v>
      </c>
      <c r="BL213" t="s">
        <v>103</v>
      </c>
      <c r="BM213" t="s">
        <v>1207</v>
      </c>
      <c r="BN213" t="s">
        <v>1208</v>
      </c>
      <c r="BO213" t="s">
        <v>457</v>
      </c>
      <c r="BP213">
        <v>21.425000000000001</v>
      </c>
      <c r="BQ213">
        <v>25</v>
      </c>
      <c r="BR213">
        <v>79.959999999999994</v>
      </c>
      <c r="BT213" s="86" t="str">
        <f t="shared" si="36"/>
        <v>156263Lancamentos</v>
      </c>
      <c r="BU213">
        <v>156263</v>
      </c>
      <c r="BV213" t="s">
        <v>343</v>
      </c>
      <c r="BW213" t="s">
        <v>1306</v>
      </c>
      <c r="BX213" t="s">
        <v>103</v>
      </c>
      <c r="BY213" t="s">
        <v>1335</v>
      </c>
      <c r="BZ213" t="s">
        <v>1336</v>
      </c>
      <c r="CA213" t="s">
        <v>953</v>
      </c>
      <c r="CB213">
        <v>9</v>
      </c>
      <c r="CC213">
        <v>18</v>
      </c>
      <c r="CD213">
        <v>62.38</v>
      </c>
      <c r="CF213" s="86" t="str">
        <f t="shared" si="37"/>
        <v>157637Lancamentos</v>
      </c>
      <c r="CG213">
        <v>157637</v>
      </c>
      <c r="CH213" t="s">
        <v>365</v>
      </c>
      <c r="CI213" t="s">
        <v>1306</v>
      </c>
      <c r="CJ213" t="s">
        <v>103</v>
      </c>
      <c r="CK213" t="s">
        <v>1509</v>
      </c>
      <c r="CL213" t="s">
        <v>1510</v>
      </c>
      <c r="CM213" t="s">
        <v>953</v>
      </c>
      <c r="CN213">
        <v>9</v>
      </c>
      <c r="CO213">
        <v>18</v>
      </c>
      <c r="CP213">
        <v>85.42</v>
      </c>
      <c r="CR213" s="86" t="str">
        <f t="shared" si="38"/>
        <v>157637Lancamentos</v>
      </c>
      <c r="CS213">
        <v>157637</v>
      </c>
      <c r="CT213" t="s">
        <v>365</v>
      </c>
      <c r="CU213" t="s">
        <v>1306</v>
      </c>
      <c r="CV213" t="s">
        <v>103</v>
      </c>
      <c r="CW213" t="s">
        <v>1600</v>
      </c>
      <c r="CX213" t="s">
        <v>1601</v>
      </c>
      <c r="CY213" t="s">
        <v>953</v>
      </c>
      <c r="CZ213">
        <v>18</v>
      </c>
      <c r="DA213">
        <v>18</v>
      </c>
      <c r="DB213">
        <v>91.45</v>
      </c>
      <c r="DD213" s="86" t="str">
        <f t="shared" si="39"/>
        <v>160950Mix + Intocáveis SC Johnson</v>
      </c>
      <c r="DE213">
        <v>160950</v>
      </c>
      <c r="DF213" t="s">
        <v>344</v>
      </c>
      <c r="DG213" t="s">
        <v>1306</v>
      </c>
      <c r="DH213" t="s">
        <v>103</v>
      </c>
      <c r="DI213" t="s">
        <v>1714</v>
      </c>
      <c r="DJ213" t="s">
        <v>1715</v>
      </c>
      <c r="DK213" t="s">
        <v>459</v>
      </c>
      <c r="DL213">
        <v>36</v>
      </c>
      <c r="DM213">
        <v>40</v>
      </c>
      <c r="DN213">
        <v>88.42</v>
      </c>
      <c r="DP213" s="86" t="str">
        <f t="shared" si="40"/>
        <v>159620Mix + Intocáveis SC Johnson</v>
      </c>
      <c r="DQ213">
        <v>159620</v>
      </c>
      <c r="DR213" t="s">
        <v>394</v>
      </c>
      <c r="DS213" t="s">
        <v>482</v>
      </c>
      <c r="DT213" t="s">
        <v>103</v>
      </c>
      <c r="DU213" t="s">
        <v>1848</v>
      </c>
      <c r="DV213" t="s">
        <v>1849</v>
      </c>
      <c r="DW213" t="s">
        <v>459</v>
      </c>
      <c r="DX213">
        <v>30.4</v>
      </c>
      <c r="DY213">
        <v>40</v>
      </c>
      <c r="DZ213">
        <v>82.83</v>
      </c>
    </row>
    <row r="214" spans="1:130" x14ac:dyDescent="0.35">
      <c r="A214" s="86" t="str">
        <f t="shared" si="42"/>
        <v>171117Share Sub Loc Pao Quente SC Johnson</v>
      </c>
      <c r="B214">
        <v>171117</v>
      </c>
      <c r="C214" t="s">
        <v>397</v>
      </c>
      <c r="D214" t="s">
        <v>103</v>
      </c>
      <c r="E214" t="s">
        <v>570</v>
      </c>
      <c r="F214" t="s">
        <v>571</v>
      </c>
      <c r="G214" t="s">
        <v>458</v>
      </c>
      <c r="H214">
        <v>27.78</v>
      </c>
      <c r="I214">
        <v>10.199999999999999</v>
      </c>
      <c r="J214">
        <v>17</v>
      </c>
      <c r="L214" s="86" t="str">
        <f t="shared" si="43"/>
        <v>171117Mix + Intocáveis SC Johnson</v>
      </c>
      <c r="M214">
        <v>171117</v>
      </c>
      <c r="N214" t="s">
        <v>397</v>
      </c>
      <c r="O214" t="s">
        <v>539</v>
      </c>
      <c r="P214" t="s">
        <v>103</v>
      </c>
      <c r="Q214" t="s">
        <v>720</v>
      </c>
      <c r="R214" t="s">
        <v>721</v>
      </c>
      <c r="S214" t="s">
        <v>459</v>
      </c>
      <c r="T214">
        <v>6.75</v>
      </c>
      <c r="U214">
        <v>45</v>
      </c>
      <c r="V214">
        <v>19.579999999999998</v>
      </c>
      <c r="X214" s="86" t="str">
        <f t="shared" si="44"/>
        <v>178205Mix + Intocáveis SC Johnson</v>
      </c>
      <c r="Y214">
        <v>178205</v>
      </c>
      <c r="Z214" t="s">
        <v>381</v>
      </c>
      <c r="AA214" t="s">
        <v>460</v>
      </c>
      <c r="AB214" t="s">
        <v>103</v>
      </c>
      <c r="AC214" t="s">
        <v>781</v>
      </c>
      <c r="AD214" t="s">
        <v>782</v>
      </c>
      <c r="AE214" t="s">
        <v>459</v>
      </c>
      <c r="AF214">
        <v>34.875</v>
      </c>
      <c r="AG214">
        <v>45</v>
      </c>
      <c r="AH214">
        <v>81.34</v>
      </c>
      <c r="AJ214" s="86" t="str">
        <f t="shared" si="45"/>
        <v>178205Cross Merchan SC Johnson</v>
      </c>
      <c r="AK214">
        <v>178205</v>
      </c>
      <c r="AL214" t="s">
        <v>381</v>
      </c>
      <c r="AM214" t="s">
        <v>460</v>
      </c>
      <c r="AN214" t="s">
        <v>103</v>
      </c>
      <c r="AO214" t="s">
        <v>935</v>
      </c>
      <c r="AP214" t="s">
        <v>936</v>
      </c>
      <c r="AQ214" t="s">
        <v>111</v>
      </c>
      <c r="AR214">
        <v>2.5</v>
      </c>
      <c r="AS214">
        <v>5</v>
      </c>
      <c r="AT214">
        <v>63.06</v>
      </c>
      <c r="AV214" s="86" t="str">
        <f t="shared" si="46"/>
        <v>181619Cross Merchan SC Johnson</v>
      </c>
      <c r="AW214">
        <v>181619</v>
      </c>
      <c r="AX214" t="s">
        <v>382</v>
      </c>
      <c r="AY214" t="s">
        <v>1004</v>
      </c>
      <c r="AZ214" t="s">
        <v>103</v>
      </c>
      <c r="BA214" t="s">
        <v>1107</v>
      </c>
      <c r="BB214" t="s">
        <v>1108</v>
      </c>
      <c r="BC214" t="s">
        <v>111</v>
      </c>
      <c r="BD214">
        <v>1.665</v>
      </c>
      <c r="BE214">
        <v>5</v>
      </c>
      <c r="BF214">
        <v>49.07</v>
      </c>
      <c r="BH214" s="86" t="str">
        <f t="shared" si="47"/>
        <v>166873Cross Merchan SC Johnson</v>
      </c>
      <c r="BI214">
        <v>166873</v>
      </c>
      <c r="BJ214" t="s">
        <v>345</v>
      </c>
      <c r="BK214" t="s">
        <v>36</v>
      </c>
      <c r="BL214" t="s">
        <v>103</v>
      </c>
      <c r="BM214" t="s">
        <v>1207</v>
      </c>
      <c r="BN214" t="s">
        <v>1208</v>
      </c>
      <c r="BO214" t="s">
        <v>111</v>
      </c>
      <c r="BP214">
        <v>3.335</v>
      </c>
      <c r="BQ214">
        <v>5</v>
      </c>
      <c r="BR214">
        <v>79.959999999999994</v>
      </c>
      <c r="BT214" s="86" t="str">
        <f t="shared" si="36"/>
        <v>156263Mix + Intocáveis SC Johnson</v>
      </c>
      <c r="BU214">
        <v>156263</v>
      </c>
      <c r="BV214" t="s">
        <v>343</v>
      </c>
      <c r="BW214" t="s">
        <v>1306</v>
      </c>
      <c r="BX214" t="s">
        <v>103</v>
      </c>
      <c r="BY214" t="s">
        <v>1335</v>
      </c>
      <c r="BZ214" t="s">
        <v>1336</v>
      </c>
      <c r="CA214" t="s">
        <v>459</v>
      </c>
      <c r="CB214">
        <v>23.2</v>
      </c>
      <c r="CC214">
        <v>40</v>
      </c>
      <c r="CD214">
        <v>62.38</v>
      </c>
      <c r="CF214" s="86" t="str">
        <f t="shared" si="37"/>
        <v>157637Mix + Intocáveis SC Johnson</v>
      </c>
      <c r="CG214">
        <v>157637</v>
      </c>
      <c r="CH214" t="s">
        <v>365</v>
      </c>
      <c r="CI214" t="s">
        <v>1306</v>
      </c>
      <c r="CJ214" t="s">
        <v>103</v>
      </c>
      <c r="CK214" t="s">
        <v>1509</v>
      </c>
      <c r="CL214" t="s">
        <v>1510</v>
      </c>
      <c r="CM214" t="s">
        <v>459</v>
      </c>
      <c r="CN214">
        <v>36</v>
      </c>
      <c r="CO214">
        <v>40</v>
      </c>
      <c r="CP214">
        <v>85.42</v>
      </c>
      <c r="CR214" s="86" t="str">
        <f t="shared" si="38"/>
        <v>157637Mix + Intocáveis SC Johnson</v>
      </c>
      <c r="CS214">
        <v>157637</v>
      </c>
      <c r="CT214" t="s">
        <v>365</v>
      </c>
      <c r="CU214" t="s">
        <v>1306</v>
      </c>
      <c r="CV214" t="s">
        <v>103</v>
      </c>
      <c r="CW214" t="s">
        <v>1600</v>
      </c>
      <c r="CX214" t="s">
        <v>1601</v>
      </c>
      <c r="CY214" t="s">
        <v>459</v>
      </c>
      <c r="CZ214">
        <v>33.6</v>
      </c>
      <c r="DA214">
        <v>40</v>
      </c>
      <c r="DB214">
        <v>91.45</v>
      </c>
      <c r="DD214" s="86" t="str">
        <f t="shared" si="39"/>
        <v>160950Execucao Bonus</v>
      </c>
      <c r="DE214">
        <v>160950</v>
      </c>
      <c r="DF214" t="s">
        <v>344</v>
      </c>
      <c r="DG214" t="s">
        <v>1306</v>
      </c>
      <c r="DH214" t="s">
        <v>103</v>
      </c>
      <c r="DI214" t="s">
        <v>1714</v>
      </c>
      <c r="DJ214" t="s">
        <v>1715</v>
      </c>
      <c r="DK214" t="s">
        <v>1291</v>
      </c>
      <c r="DL214">
        <v>5</v>
      </c>
      <c r="DM214">
        <v>5</v>
      </c>
      <c r="DN214">
        <v>88.42</v>
      </c>
      <c r="DP214" s="86" t="str">
        <f t="shared" si="40"/>
        <v>159620Execucao Bonus</v>
      </c>
      <c r="DQ214">
        <v>159620</v>
      </c>
      <c r="DR214" t="s">
        <v>394</v>
      </c>
      <c r="DS214" t="s">
        <v>482</v>
      </c>
      <c r="DT214" t="s">
        <v>103</v>
      </c>
      <c r="DU214" t="s">
        <v>1848</v>
      </c>
      <c r="DV214" t="s">
        <v>1849</v>
      </c>
      <c r="DW214" t="s">
        <v>1291</v>
      </c>
      <c r="DX214">
        <v>5</v>
      </c>
      <c r="DY214">
        <v>5</v>
      </c>
      <c r="DZ214">
        <v>82.83</v>
      </c>
    </row>
    <row r="215" spans="1:130" x14ac:dyDescent="0.35">
      <c r="A215" s="86" t="str">
        <f t="shared" si="42"/>
        <v>171117Mix + Intocáveis SC Johnson</v>
      </c>
      <c r="B215">
        <v>171117</v>
      </c>
      <c r="C215" t="s">
        <v>397</v>
      </c>
      <c r="D215" t="s">
        <v>103</v>
      </c>
      <c r="E215" t="s">
        <v>570</v>
      </c>
      <c r="F215" t="s">
        <v>571</v>
      </c>
      <c r="G215" t="s">
        <v>459</v>
      </c>
      <c r="H215">
        <v>27.78</v>
      </c>
      <c r="I215">
        <v>9</v>
      </c>
      <c r="J215">
        <v>45</v>
      </c>
      <c r="L215" s="86" t="str">
        <f t="shared" si="43"/>
        <v>178205Share Sub Category SC Johnson</v>
      </c>
      <c r="M215">
        <v>178205</v>
      </c>
      <c r="N215" t="s">
        <v>381</v>
      </c>
      <c r="O215" t="s">
        <v>460</v>
      </c>
      <c r="P215" t="s">
        <v>103</v>
      </c>
      <c r="Q215" t="s">
        <v>722</v>
      </c>
      <c r="R215" t="s">
        <v>723</v>
      </c>
      <c r="S215" t="s">
        <v>457</v>
      </c>
      <c r="T215">
        <v>25.71</v>
      </c>
      <c r="U215">
        <v>30</v>
      </c>
      <c r="V215">
        <v>65.709999999999994</v>
      </c>
      <c r="X215" s="86" t="str">
        <f t="shared" si="44"/>
        <v>181619Share Sub Category SC Johnson</v>
      </c>
      <c r="Y215">
        <v>181619</v>
      </c>
      <c r="Z215" t="s">
        <v>382</v>
      </c>
      <c r="AA215" t="s">
        <v>104</v>
      </c>
      <c r="AB215" t="s">
        <v>103</v>
      </c>
      <c r="AC215" t="s">
        <v>897</v>
      </c>
      <c r="AD215" t="s">
        <v>898</v>
      </c>
      <c r="AE215" t="s">
        <v>457</v>
      </c>
      <c r="AF215">
        <v>25.71</v>
      </c>
      <c r="AG215">
        <v>30</v>
      </c>
      <c r="AH215">
        <v>80.209999999999994</v>
      </c>
      <c r="AJ215" s="86" t="str">
        <f t="shared" si="45"/>
        <v>178205Share Sub Loc Pao Quente SC Johnson</v>
      </c>
      <c r="AK215">
        <v>178205</v>
      </c>
      <c r="AL215" t="s">
        <v>381</v>
      </c>
      <c r="AM215" t="s">
        <v>460</v>
      </c>
      <c r="AN215" t="s">
        <v>103</v>
      </c>
      <c r="AO215" t="s">
        <v>935</v>
      </c>
      <c r="AP215" t="s">
        <v>936</v>
      </c>
      <c r="AQ215" t="s">
        <v>458</v>
      </c>
      <c r="AR215">
        <v>6</v>
      </c>
      <c r="AS215">
        <v>12</v>
      </c>
      <c r="AT215">
        <v>63.06</v>
      </c>
      <c r="AV215" s="86" t="str">
        <f t="shared" si="46"/>
        <v>181619Share Sub Loc Pao Quente SC Johnson</v>
      </c>
      <c r="AW215">
        <v>181619</v>
      </c>
      <c r="AX215" t="s">
        <v>382</v>
      </c>
      <c r="AY215" t="s">
        <v>1004</v>
      </c>
      <c r="AZ215" t="s">
        <v>103</v>
      </c>
      <c r="BA215" t="s">
        <v>1107</v>
      </c>
      <c r="BB215" t="s">
        <v>1108</v>
      </c>
      <c r="BC215" t="s">
        <v>458</v>
      </c>
      <c r="BD215">
        <v>0</v>
      </c>
      <c r="BE215">
        <v>12</v>
      </c>
      <c r="BF215">
        <v>49.07</v>
      </c>
      <c r="BH215" s="86" t="str">
        <f t="shared" si="47"/>
        <v>166873Share Sub Loc Pao Quente SC Johnson</v>
      </c>
      <c r="BI215">
        <v>166873</v>
      </c>
      <c r="BJ215" t="s">
        <v>345</v>
      </c>
      <c r="BK215" t="s">
        <v>36</v>
      </c>
      <c r="BL215" t="s">
        <v>103</v>
      </c>
      <c r="BM215" t="s">
        <v>1207</v>
      </c>
      <c r="BN215" t="s">
        <v>1208</v>
      </c>
      <c r="BO215" t="s">
        <v>458</v>
      </c>
      <c r="BP215">
        <v>12</v>
      </c>
      <c r="BQ215">
        <v>12</v>
      </c>
      <c r="BR215">
        <v>79.959999999999994</v>
      </c>
      <c r="BT215" s="86" t="str">
        <f t="shared" si="36"/>
        <v>156263Share Sub Category SC Johnson</v>
      </c>
      <c r="BU215">
        <v>156263</v>
      </c>
      <c r="BV215" t="s">
        <v>343</v>
      </c>
      <c r="BW215" t="s">
        <v>1306</v>
      </c>
      <c r="BX215" t="s">
        <v>103</v>
      </c>
      <c r="BY215" t="s">
        <v>1335</v>
      </c>
      <c r="BZ215" t="s">
        <v>1336</v>
      </c>
      <c r="CA215" t="s">
        <v>457</v>
      </c>
      <c r="CB215">
        <v>17.850000000000001</v>
      </c>
      <c r="CC215">
        <v>25</v>
      </c>
      <c r="CD215">
        <v>62.38</v>
      </c>
      <c r="CF215" s="86" t="str">
        <f t="shared" si="37"/>
        <v>157637Share Sub Category SC Johnson</v>
      </c>
      <c r="CG215">
        <v>157637</v>
      </c>
      <c r="CH215" t="s">
        <v>365</v>
      </c>
      <c r="CI215" t="s">
        <v>1306</v>
      </c>
      <c r="CJ215" t="s">
        <v>103</v>
      </c>
      <c r="CK215" t="s">
        <v>1509</v>
      </c>
      <c r="CL215" t="s">
        <v>1510</v>
      </c>
      <c r="CM215" t="s">
        <v>457</v>
      </c>
      <c r="CN215">
        <v>21.425000000000001</v>
      </c>
      <c r="CO215">
        <v>25</v>
      </c>
      <c r="CP215">
        <v>85.42</v>
      </c>
      <c r="CR215" s="86" t="str">
        <f t="shared" si="38"/>
        <v>157637Share Sub Category SC Johnson</v>
      </c>
      <c r="CS215">
        <v>157637</v>
      </c>
      <c r="CT215" t="s">
        <v>365</v>
      </c>
      <c r="CU215" t="s">
        <v>1306</v>
      </c>
      <c r="CV215" t="s">
        <v>103</v>
      </c>
      <c r="CW215" t="s">
        <v>1600</v>
      </c>
      <c r="CX215" t="s">
        <v>1601</v>
      </c>
      <c r="CY215" t="s">
        <v>457</v>
      </c>
      <c r="CZ215">
        <v>17.850000000000001</v>
      </c>
      <c r="DA215">
        <v>25</v>
      </c>
      <c r="DB215">
        <v>91.45</v>
      </c>
      <c r="DD215" s="86" t="str">
        <f t="shared" si="39"/>
        <v>160950Cross Merchan SC Johnson</v>
      </c>
      <c r="DE215">
        <v>160950</v>
      </c>
      <c r="DF215" t="s">
        <v>344</v>
      </c>
      <c r="DG215" t="s">
        <v>1306</v>
      </c>
      <c r="DH215" t="s">
        <v>103</v>
      </c>
      <c r="DI215" t="s">
        <v>1714</v>
      </c>
      <c r="DJ215" t="s">
        <v>1715</v>
      </c>
      <c r="DK215" t="s">
        <v>111</v>
      </c>
      <c r="DL215">
        <v>5</v>
      </c>
      <c r="DM215">
        <v>5</v>
      </c>
      <c r="DN215">
        <v>88.42</v>
      </c>
      <c r="DP215" s="86" t="str">
        <f t="shared" si="40"/>
        <v>159620Cross Merchan SC Johnson</v>
      </c>
      <c r="DQ215">
        <v>159620</v>
      </c>
      <c r="DR215" t="s">
        <v>394</v>
      </c>
      <c r="DS215" t="s">
        <v>482</v>
      </c>
      <c r="DT215" t="s">
        <v>103</v>
      </c>
      <c r="DU215" t="s">
        <v>1848</v>
      </c>
      <c r="DV215" t="s">
        <v>1849</v>
      </c>
      <c r="DW215" t="s">
        <v>111</v>
      </c>
      <c r="DX215">
        <v>5</v>
      </c>
      <c r="DY215">
        <v>5</v>
      </c>
      <c r="DZ215">
        <v>82.83</v>
      </c>
    </row>
    <row r="216" spans="1:130" x14ac:dyDescent="0.35">
      <c r="A216" s="86" t="str">
        <f t="shared" si="42"/>
        <v>178205Share Sub Category SC Johnson</v>
      </c>
      <c r="B216">
        <v>178205</v>
      </c>
      <c r="C216" t="s">
        <v>381</v>
      </c>
      <c r="D216" t="s">
        <v>103</v>
      </c>
      <c r="E216" t="s">
        <v>572</v>
      </c>
      <c r="F216" t="s">
        <v>573</v>
      </c>
      <c r="G216" t="s">
        <v>457</v>
      </c>
      <c r="H216">
        <v>46.01</v>
      </c>
      <c r="I216">
        <v>25.71</v>
      </c>
      <c r="J216">
        <v>30</v>
      </c>
      <c r="L216" s="86" t="str">
        <f t="shared" si="43"/>
        <v>178205Cross Merchan SC Johnson</v>
      </c>
      <c r="M216">
        <v>178205</v>
      </c>
      <c r="N216" t="s">
        <v>381</v>
      </c>
      <c r="O216" t="s">
        <v>460</v>
      </c>
      <c r="P216" t="s">
        <v>103</v>
      </c>
      <c r="Q216" t="s">
        <v>722</v>
      </c>
      <c r="R216" t="s">
        <v>723</v>
      </c>
      <c r="S216" t="s">
        <v>111</v>
      </c>
      <c r="T216">
        <v>0</v>
      </c>
      <c r="U216">
        <v>8</v>
      </c>
      <c r="V216">
        <v>65.709999999999994</v>
      </c>
      <c r="X216" s="86" t="str">
        <f t="shared" si="44"/>
        <v>181619Cross Merchan SC Johnson</v>
      </c>
      <c r="Y216">
        <v>181619</v>
      </c>
      <c r="Z216" t="s">
        <v>382</v>
      </c>
      <c r="AA216" t="s">
        <v>104</v>
      </c>
      <c r="AB216" t="s">
        <v>103</v>
      </c>
      <c r="AC216" t="s">
        <v>897</v>
      </c>
      <c r="AD216" t="s">
        <v>898</v>
      </c>
      <c r="AE216" t="s">
        <v>111</v>
      </c>
      <c r="AF216">
        <v>8</v>
      </c>
      <c r="AG216">
        <v>8</v>
      </c>
      <c r="AH216">
        <v>80.209999999999994</v>
      </c>
      <c r="AJ216" s="86" t="str">
        <f t="shared" si="45"/>
        <v>178205Mix + Intocáveis SC Johnson</v>
      </c>
      <c r="AK216">
        <v>178205</v>
      </c>
      <c r="AL216" t="s">
        <v>381</v>
      </c>
      <c r="AM216" t="s">
        <v>460</v>
      </c>
      <c r="AN216" t="s">
        <v>103</v>
      </c>
      <c r="AO216" t="s">
        <v>935</v>
      </c>
      <c r="AP216" t="s">
        <v>936</v>
      </c>
      <c r="AQ216" t="s">
        <v>459</v>
      </c>
      <c r="AR216">
        <v>29.56</v>
      </c>
      <c r="AS216">
        <v>40</v>
      </c>
      <c r="AT216">
        <v>63.06</v>
      </c>
      <c r="AV216" s="86" t="str">
        <f t="shared" si="46"/>
        <v>181619Mix + Intocáveis SC Johnson</v>
      </c>
      <c r="AW216">
        <v>181619</v>
      </c>
      <c r="AX216" t="s">
        <v>382</v>
      </c>
      <c r="AY216" t="s">
        <v>1004</v>
      </c>
      <c r="AZ216" t="s">
        <v>103</v>
      </c>
      <c r="BA216" t="s">
        <v>1107</v>
      </c>
      <c r="BB216" t="s">
        <v>1108</v>
      </c>
      <c r="BC216" t="s">
        <v>459</v>
      </c>
      <c r="BD216">
        <v>29.56</v>
      </c>
      <c r="BE216">
        <v>40</v>
      </c>
      <c r="BF216">
        <v>49.07</v>
      </c>
      <c r="BH216" s="86" t="str">
        <f t="shared" si="47"/>
        <v>166873Mix + Intocáveis SC Johnson</v>
      </c>
      <c r="BI216">
        <v>166873</v>
      </c>
      <c r="BJ216" t="s">
        <v>345</v>
      </c>
      <c r="BK216" t="s">
        <v>36</v>
      </c>
      <c r="BL216" t="s">
        <v>103</v>
      </c>
      <c r="BM216" t="s">
        <v>1207</v>
      </c>
      <c r="BN216" t="s">
        <v>1208</v>
      </c>
      <c r="BO216" t="s">
        <v>459</v>
      </c>
      <c r="BP216">
        <v>25.2</v>
      </c>
      <c r="BQ216">
        <v>40</v>
      </c>
      <c r="BR216">
        <v>79.959999999999994</v>
      </c>
      <c r="BT216" s="86" t="str">
        <f t="shared" si="36"/>
        <v>156263Share Sub Loc Pao Quente SC Johnson</v>
      </c>
      <c r="BU216">
        <v>156263</v>
      </c>
      <c r="BV216" t="s">
        <v>343</v>
      </c>
      <c r="BW216" t="s">
        <v>1306</v>
      </c>
      <c r="BX216" t="s">
        <v>103</v>
      </c>
      <c r="BY216" t="s">
        <v>1335</v>
      </c>
      <c r="BZ216" t="s">
        <v>1336</v>
      </c>
      <c r="CA216" t="s">
        <v>458</v>
      </c>
      <c r="CB216">
        <v>9</v>
      </c>
      <c r="CC216">
        <v>12</v>
      </c>
      <c r="CD216">
        <v>62.38</v>
      </c>
      <c r="CF216" s="86" t="str">
        <f t="shared" si="37"/>
        <v>157637Share Sub Loc Pao Quente SC Johnson</v>
      </c>
      <c r="CG216">
        <v>157637</v>
      </c>
      <c r="CH216" t="s">
        <v>365</v>
      </c>
      <c r="CI216" t="s">
        <v>1306</v>
      </c>
      <c r="CJ216" t="s">
        <v>103</v>
      </c>
      <c r="CK216" t="s">
        <v>1509</v>
      </c>
      <c r="CL216" t="s">
        <v>1510</v>
      </c>
      <c r="CM216" t="s">
        <v>458</v>
      </c>
      <c r="CN216">
        <v>9</v>
      </c>
      <c r="CO216">
        <v>12</v>
      </c>
      <c r="CP216">
        <v>85.42</v>
      </c>
      <c r="CR216" s="86" t="str">
        <f t="shared" si="38"/>
        <v>157637Share Sub Loc Pao Quente SC Johnson</v>
      </c>
      <c r="CS216">
        <v>157637</v>
      </c>
      <c r="CT216" t="s">
        <v>365</v>
      </c>
      <c r="CU216" t="s">
        <v>1306</v>
      </c>
      <c r="CV216" t="s">
        <v>103</v>
      </c>
      <c r="CW216" t="s">
        <v>1600</v>
      </c>
      <c r="CX216" t="s">
        <v>1601</v>
      </c>
      <c r="CY216" t="s">
        <v>458</v>
      </c>
      <c r="CZ216">
        <v>12</v>
      </c>
      <c r="DA216">
        <v>12</v>
      </c>
      <c r="DB216">
        <v>91.45</v>
      </c>
      <c r="DD216" s="86" t="str">
        <f t="shared" si="39"/>
        <v>160950Lancamentos</v>
      </c>
      <c r="DE216">
        <v>160950</v>
      </c>
      <c r="DF216" t="s">
        <v>344</v>
      </c>
      <c r="DG216" t="s">
        <v>1306</v>
      </c>
      <c r="DH216" t="s">
        <v>103</v>
      </c>
      <c r="DI216" t="s">
        <v>1714</v>
      </c>
      <c r="DJ216" t="s">
        <v>1715</v>
      </c>
      <c r="DK216" t="s">
        <v>953</v>
      </c>
      <c r="DL216">
        <v>9</v>
      </c>
      <c r="DM216">
        <v>18</v>
      </c>
      <c r="DN216">
        <v>88.42</v>
      </c>
      <c r="DP216" s="86" t="str">
        <f t="shared" si="40"/>
        <v>159620Lancamentos</v>
      </c>
      <c r="DQ216">
        <v>159620</v>
      </c>
      <c r="DR216" t="s">
        <v>394</v>
      </c>
      <c r="DS216" t="s">
        <v>482</v>
      </c>
      <c r="DT216" t="s">
        <v>103</v>
      </c>
      <c r="DU216" t="s">
        <v>1848</v>
      </c>
      <c r="DV216" t="s">
        <v>1849</v>
      </c>
      <c r="DW216" t="s">
        <v>953</v>
      </c>
      <c r="DX216">
        <v>9</v>
      </c>
      <c r="DY216">
        <v>18</v>
      </c>
      <c r="DZ216">
        <v>82.83</v>
      </c>
    </row>
    <row r="217" spans="1:130" x14ac:dyDescent="0.35">
      <c r="A217" s="86" t="str">
        <f t="shared" si="42"/>
        <v>178205Cross Merchan SC Johnson</v>
      </c>
      <c r="B217">
        <v>178205</v>
      </c>
      <c r="C217" t="s">
        <v>381</v>
      </c>
      <c r="D217" t="s">
        <v>103</v>
      </c>
      <c r="E217" t="s">
        <v>572</v>
      </c>
      <c r="F217" t="s">
        <v>573</v>
      </c>
      <c r="G217" t="s">
        <v>111</v>
      </c>
      <c r="H217">
        <v>46.01</v>
      </c>
      <c r="I217">
        <v>0</v>
      </c>
      <c r="J217">
        <v>8</v>
      </c>
      <c r="L217" s="86" t="str">
        <f t="shared" si="43"/>
        <v>178205Share Sub Loc Pao Quente SC Johnson</v>
      </c>
      <c r="M217">
        <v>178205</v>
      </c>
      <c r="N217" t="s">
        <v>381</v>
      </c>
      <c r="O217" t="s">
        <v>460</v>
      </c>
      <c r="P217" t="s">
        <v>103</v>
      </c>
      <c r="Q217" t="s">
        <v>722</v>
      </c>
      <c r="R217" t="s">
        <v>723</v>
      </c>
      <c r="S217" t="s">
        <v>458</v>
      </c>
      <c r="T217">
        <v>8.5</v>
      </c>
      <c r="U217">
        <v>17</v>
      </c>
      <c r="V217">
        <v>65.709999999999994</v>
      </c>
      <c r="X217" s="86" t="str">
        <f t="shared" si="44"/>
        <v>181619Share Sub Loc Pao Quente SC Johnson</v>
      </c>
      <c r="Y217">
        <v>181619</v>
      </c>
      <c r="Z217" t="s">
        <v>382</v>
      </c>
      <c r="AA217" t="s">
        <v>104</v>
      </c>
      <c r="AB217" t="s">
        <v>103</v>
      </c>
      <c r="AC217" t="s">
        <v>897</v>
      </c>
      <c r="AD217" t="s">
        <v>898</v>
      </c>
      <c r="AE217" t="s">
        <v>458</v>
      </c>
      <c r="AF217">
        <v>12.75</v>
      </c>
      <c r="AG217">
        <v>17</v>
      </c>
      <c r="AH217">
        <v>80.209999999999994</v>
      </c>
      <c r="AJ217" s="86" t="str">
        <f t="shared" si="45"/>
        <v>178205Lancamentos</v>
      </c>
      <c r="AK217">
        <v>178205</v>
      </c>
      <c r="AL217" t="s">
        <v>381</v>
      </c>
      <c r="AM217" t="s">
        <v>460</v>
      </c>
      <c r="AN217" t="s">
        <v>103</v>
      </c>
      <c r="AO217" t="s">
        <v>935</v>
      </c>
      <c r="AP217" t="s">
        <v>936</v>
      </c>
      <c r="AQ217" t="s">
        <v>953</v>
      </c>
      <c r="AR217">
        <v>0</v>
      </c>
      <c r="AS217">
        <v>18</v>
      </c>
      <c r="AT217">
        <v>63.06</v>
      </c>
      <c r="AV217" s="86" t="str">
        <f t="shared" si="46"/>
        <v>181619Lancamentos</v>
      </c>
      <c r="AW217">
        <v>181619</v>
      </c>
      <c r="AX217" t="s">
        <v>382</v>
      </c>
      <c r="AY217" t="s">
        <v>1004</v>
      </c>
      <c r="AZ217" t="s">
        <v>103</v>
      </c>
      <c r="BA217" t="s">
        <v>1107</v>
      </c>
      <c r="BB217" t="s">
        <v>1108</v>
      </c>
      <c r="BC217" t="s">
        <v>953</v>
      </c>
      <c r="BD217">
        <v>0</v>
      </c>
      <c r="BE217">
        <v>18</v>
      </c>
      <c r="BF217">
        <v>49.07</v>
      </c>
      <c r="BH217" s="86" t="str">
        <f t="shared" si="47"/>
        <v>166873Lancamentos</v>
      </c>
      <c r="BI217">
        <v>166873</v>
      </c>
      <c r="BJ217" t="s">
        <v>345</v>
      </c>
      <c r="BK217" t="s">
        <v>36</v>
      </c>
      <c r="BL217" t="s">
        <v>103</v>
      </c>
      <c r="BM217" t="s">
        <v>1207</v>
      </c>
      <c r="BN217" t="s">
        <v>1208</v>
      </c>
      <c r="BO217" t="s">
        <v>953</v>
      </c>
      <c r="BP217">
        <v>18</v>
      </c>
      <c r="BQ217">
        <v>18</v>
      </c>
      <c r="BR217">
        <v>79.959999999999994</v>
      </c>
      <c r="BT217" s="86" t="str">
        <f t="shared" si="36"/>
        <v>156263Cross Merchan SC Johnson</v>
      </c>
      <c r="BU217">
        <v>156263</v>
      </c>
      <c r="BV217" t="s">
        <v>343</v>
      </c>
      <c r="BW217" t="s">
        <v>1306</v>
      </c>
      <c r="BX217" t="s">
        <v>103</v>
      </c>
      <c r="BY217" t="s">
        <v>1335</v>
      </c>
      <c r="BZ217" t="s">
        <v>1336</v>
      </c>
      <c r="CA217" t="s">
        <v>111</v>
      </c>
      <c r="CB217">
        <v>3.335</v>
      </c>
      <c r="CC217">
        <v>5</v>
      </c>
      <c r="CD217">
        <v>62.38</v>
      </c>
      <c r="CF217" s="86" t="str">
        <f t="shared" si="37"/>
        <v>157637Cross Merchan SC Johnson</v>
      </c>
      <c r="CG217">
        <v>157637</v>
      </c>
      <c r="CH217" t="s">
        <v>365</v>
      </c>
      <c r="CI217" t="s">
        <v>1306</v>
      </c>
      <c r="CJ217" t="s">
        <v>103</v>
      </c>
      <c r="CK217" t="s">
        <v>1509</v>
      </c>
      <c r="CL217" t="s">
        <v>1510</v>
      </c>
      <c r="CM217" t="s">
        <v>111</v>
      </c>
      <c r="CN217">
        <v>5</v>
      </c>
      <c r="CO217">
        <v>5</v>
      </c>
      <c r="CP217">
        <v>85.42</v>
      </c>
      <c r="CR217" s="86" t="str">
        <f t="shared" si="38"/>
        <v>157637Cross Merchan SC Johnson</v>
      </c>
      <c r="CS217">
        <v>157637</v>
      </c>
      <c r="CT217" t="s">
        <v>365</v>
      </c>
      <c r="CU217" t="s">
        <v>1306</v>
      </c>
      <c r="CV217" t="s">
        <v>103</v>
      </c>
      <c r="CW217" t="s">
        <v>1600</v>
      </c>
      <c r="CX217" t="s">
        <v>1601</v>
      </c>
      <c r="CY217" t="s">
        <v>111</v>
      </c>
      <c r="CZ217">
        <v>5</v>
      </c>
      <c r="DA217">
        <v>5</v>
      </c>
      <c r="DB217">
        <v>91.45</v>
      </c>
      <c r="DD217" s="86" t="str">
        <f t="shared" si="39"/>
        <v>160950Share Sub Category SC Johnson</v>
      </c>
      <c r="DE217">
        <v>160950</v>
      </c>
      <c r="DF217" t="s">
        <v>344</v>
      </c>
      <c r="DG217" t="s">
        <v>1306</v>
      </c>
      <c r="DH217" t="s">
        <v>103</v>
      </c>
      <c r="DI217" t="s">
        <v>1714</v>
      </c>
      <c r="DJ217" t="s">
        <v>1715</v>
      </c>
      <c r="DK217" t="s">
        <v>457</v>
      </c>
      <c r="DL217">
        <v>21.425000000000001</v>
      </c>
      <c r="DM217">
        <v>25</v>
      </c>
      <c r="DN217">
        <v>88.42</v>
      </c>
      <c r="DP217" s="86" t="str">
        <f t="shared" si="40"/>
        <v>159620Share Sub Category SC Johnson</v>
      </c>
      <c r="DQ217">
        <v>159620</v>
      </c>
      <c r="DR217" t="s">
        <v>394</v>
      </c>
      <c r="DS217" t="s">
        <v>482</v>
      </c>
      <c r="DT217" t="s">
        <v>103</v>
      </c>
      <c r="DU217" t="s">
        <v>1848</v>
      </c>
      <c r="DV217" t="s">
        <v>1849</v>
      </c>
      <c r="DW217" t="s">
        <v>457</v>
      </c>
      <c r="DX217">
        <v>21.425000000000001</v>
      </c>
      <c r="DY217">
        <v>25</v>
      </c>
      <c r="DZ217">
        <v>82.83</v>
      </c>
    </row>
    <row r="218" spans="1:130" x14ac:dyDescent="0.35">
      <c r="A218" s="86" t="str">
        <f t="shared" si="42"/>
        <v>178205Share Sub Loc Pao Quente SC Johnson</v>
      </c>
      <c r="B218">
        <v>178205</v>
      </c>
      <c r="C218" t="s">
        <v>381</v>
      </c>
      <c r="D218" t="s">
        <v>103</v>
      </c>
      <c r="E218" t="s">
        <v>572</v>
      </c>
      <c r="F218" t="s">
        <v>573</v>
      </c>
      <c r="G218" t="s">
        <v>458</v>
      </c>
      <c r="H218">
        <v>46.01</v>
      </c>
      <c r="I218">
        <v>6.8</v>
      </c>
      <c r="J218">
        <v>17</v>
      </c>
      <c r="L218" s="86" t="str">
        <f t="shared" si="43"/>
        <v>178205Mix + Intocáveis SC Johnson</v>
      </c>
      <c r="M218">
        <v>178205</v>
      </c>
      <c r="N218" t="s">
        <v>381</v>
      </c>
      <c r="O218" t="s">
        <v>460</v>
      </c>
      <c r="P218" t="s">
        <v>103</v>
      </c>
      <c r="Q218" t="s">
        <v>722</v>
      </c>
      <c r="R218" t="s">
        <v>723</v>
      </c>
      <c r="S218" t="s">
        <v>459</v>
      </c>
      <c r="T218">
        <v>31.5</v>
      </c>
      <c r="U218">
        <v>45</v>
      </c>
      <c r="V218">
        <v>65.709999999999994</v>
      </c>
      <c r="X218" s="86" t="str">
        <f t="shared" si="44"/>
        <v>181619Mix + Intocáveis SC Johnson</v>
      </c>
      <c r="Y218">
        <v>181619</v>
      </c>
      <c r="Z218" t="s">
        <v>382</v>
      </c>
      <c r="AA218" t="s">
        <v>104</v>
      </c>
      <c r="AB218" t="s">
        <v>103</v>
      </c>
      <c r="AC218" t="s">
        <v>897</v>
      </c>
      <c r="AD218" t="s">
        <v>898</v>
      </c>
      <c r="AE218" t="s">
        <v>459</v>
      </c>
      <c r="AF218">
        <v>33.75</v>
      </c>
      <c r="AG218">
        <v>45</v>
      </c>
      <c r="AH218">
        <v>80.209999999999994</v>
      </c>
      <c r="AJ218" s="86" t="str">
        <f t="shared" si="45"/>
        <v>181800Share Sub Category SC Johnson</v>
      </c>
      <c r="AK218">
        <v>181800</v>
      </c>
      <c r="AL218" t="s">
        <v>348</v>
      </c>
      <c r="AM218" t="s">
        <v>104</v>
      </c>
      <c r="AN218" t="s">
        <v>103</v>
      </c>
      <c r="AO218" t="s">
        <v>966</v>
      </c>
      <c r="AP218" t="s">
        <v>967</v>
      </c>
      <c r="AQ218" t="s">
        <v>457</v>
      </c>
      <c r="AR218">
        <v>25</v>
      </c>
      <c r="AS218">
        <v>25</v>
      </c>
      <c r="AT218">
        <v>66.540000000000006</v>
      </c>
      <c r="AV218" s="86" t="str">
        <f t="shared" si="46"/>
        <v>182419Share Sub Category SC Johnson</v>
      </c>
      <c r="AW218">
        <v>182419</v>
      </c>
      <c r="AX218" t="s">
        <v>361</v>
      </c>
      <c r="AY218" t="s">
        <v>477</v>
      </c>
      <c r="AZ218" t="s">
        <v>103</v>
      </c>
      <c r="BA218" t="s">
        <v>1029</v>
      </c>
      <c r="BB218" t="s">
        <v>1030</v>
      </c>
      <c r="BC218" t="s">
        <v>457</v>
      </c>
      <c r="BD218">
        <v>14.275</v>
      </c>
      <c r="BE218">
        <v>25</v>
      </c>
      <c r="BF218">
        <v>46.27</v>
      </c>
      <c r="BH218" s="86" t="str">
        <f t="shared" si="47"/>
        <v>167265Share Sub Category SC Johnson</v>
      </c>
      <c r="BI218">
        <v>167265</v>
      </c>
      <c r="BJ218" t="s">
        <v>346</v>
      </c>
      <c r="BK218" t="s">
        <v>482</v>
      </c>
      <c r="BL218" t="s">
        <v>103</v>
      </c>
      <c r="BM218" t="s">
        <v>1209</v>
      </c>
      <c r="BN218" t="s">
        <v>1210</v>
      </c>
      <c r="BO218" t="s">
        <v>457</v>
      </c>
      <c r="BP218">
        <v>21.425000000000001</v>
      </c>
      <c r="BQ218">
        <v>25</v>
      </c>
      <c r="BR218">
        <v>58.57</v>
      </c>
      <c r="BT218" s="86" t="str">
        <f t="shared" si="36"/>
        <v>156263Execucao Bonus</v>
      </c>
      <c r="BU218">
        <v>156263</v>
      </c>
      <c r="BV218" t="s">
        <v>343</v>
      </c>
      <c r="BW218" t="s">
        <v>1306</v>
      </c>
      <c r="BX218" t="s">
        <v>103</v>
      </c>
      <c r="BY218" t="s">
        <v>1335</v>
      </c>
      <c r="BZ218" t="s">
        <v>1336</v>
      </c>
      <c r="CA218" t="s">
        <v>1291</v>
      </c>
      <c r="CB218">
        <v>0</v>
      </c>
      <c r="CC218">
        <v>5</v>
      </c>
      <c r="CD218">
        <v>62.38</v>
      </c>
      <c r="CF218" s="86" t="str">
        <f t="shared" si="37"/>
        <v>157637Execucao Bonus</v>
      </c>
      <c r="CG218">
        <v>157637</v>
      </c>
      <c r="CH218" t="s">
        <v>365</v>
      </c>
      <c r="CI218" t="s">
        <v>1306</v>
      </c>
      <c r="CJ218" t="s">
        <v>103</v>
      </c>
      <c r="CK218" t="s">
        <v>1509</v>
      </c>
      <c r="CL218" t="s">
        <v>1510</v>
      </c>
      <c r="CM218" t="s">
        <v>1291</v>
      </c>
      <c r="CN218">
        <v>5</v>
      </c>
      <c r="CO218">
        <v>5</v>
      </c>
      <c r="CP218">
        <v>85.42</v>
      </c>
      <c r="CR218" s="86" t="str">
        <f t="shared" si="38"/>
        <v>157637Execucao Bonus</v>
      </c>
      <c r="CS218">
        <v>157637</v>
      </c>
      <c r="CT218" t="s">
        <v>365</v>
      </c>
      <c r="CU218" t="s">
        <v>1306</v>
      </c>
      <c r="CV218" t="s">
        <v>103</v>
      </c>
      <c r="CW218" t="s">
        <v>1600</v>
      </c>
      <c r="CX218" t="s">
        <v>1601</v>
      </c>
      <c r="CY218" t="s">
        <v>1291</v>
      </c>
      <c r="CZ218">
        <v>5</v>
      </c>
      <c r="DA218">
        <v>5</v>
      </c>
      <c r="DB218">
        <v>91.45</v>
      </c>
      <c r="DD218" s="86" t="str">
        <f t="shared" si="39"/>
        <v>160950Share Sub Loc Pao Quente SC Johnson</v>
      </c>
      <c r="DE218">
        <v>160950</v>
      </c>
      <c r="DF218" t="s">
        <v>344</v>
      </c>
      <c r="DG218" t="s">
        <v>1306</v>
      </c>
      <c r="DH218" t="s">
        <v>103</v>
      </c>
      <c r="DI218" t="s">
        <v>1714</v>
      </c>
      <c r="DJ218" t="s">
        <v>1715</v>
      </c>
      <c r="DK218" t="s">
        <v>458</v>
      </c>
      <c r="DL218">
        <v>12</v>
      </c>
      <c r="DM218">
        <v>12</v>
      </c>
      <c r="DN218">
        <v>88.42</v>
      </c>
      <c r="DP218" s="86" t="str">
        <f t="shared" si="40"/>
        <v>159620Share Sub Loc Pao Quente SC Johnson</v>
      </c>
      <c r="DQ218">
        <v>159620</v>
      </c>
      <c r="DR218" t="s">
        <v>394</v>
      </c>
      <c r="DS218" t="s">
        <v>482</v>
      </c>
      <c r="DT218" t="s">
        <v>103</v>
      </c>
      <c r="DU218" t="s">
        <v>1848</v>
      </c>
      <c r="DV218" t="s">
        <v>1849</v>
      </c>
      <c r="DW218" t="s">
        <v>458</v>
      </c>
      <c r="DX218">
        <v>12</v>
      </c>
      <c r="DY218">
        <v>12</v>
      </c>
      <c r="DZ218">
        <v>82.83</v>
      </c>
    </row>
    <row r="219" spans="1:130" x14ac:dyDescent="0.35">
      <c r="A219" s="86" t="str">
        <f t="shared" si="42"/>
        <v>178205Mix + Intocáveis SC Johnson</v>
      </c>
      <c r="B219">
        <v>178205</v>
      </c>
      <c r="C219" t="s">
        <v>381</v>
      </c>
      <c r="D219" t="s">
        <v>103</v>
      </c>
      <c r="E219" t="s">
        <v>572</v>
      </c>
      <c r="F219" t="s">
        <v>573</v>
      </c>
      <c r="G219" t="s">
        <v>459</v>
      </c>
      <c r="H219">
        <v>46.01</v>
      </c>
      <c r="I219">
        <v>13.5</v>
      </c>
      <c r="J219">
        <v>45</v>
      </c>
      <c r="L219" s="86" t="str">
        <f t="shared" si="43"/>
        <v>181619Share Sub Category SC Johnson</v>
      </c>
      <c r="M219">
        <v>181619</v>
      </c>
      <c r="N219" t="s">
        <v>382</v>
      </c>
      <c r="O219" t="s">
        <v>104</v>
      </c>
      <c r="P219" t="s">
        <v>103</v>
      </c>
      <c r="Q219" t="s">
        <v>724</v>
      </c>
      <c r="R219" t="s">
        <v>725</v>
      </c>
      <c r="S219" t="s">
        <v>457</v>
      </c>
      <c r="T219">
        <v>25.71</v>
      </c>
      <c r="U219">
        <v>30</v>
      </c>
      <c r="V219">
        <v>86.71</v>
      </c>
      <c r="X219" s="86" t="str">
        <f t="shared" si="44"/>
        <v>181800Share Sub Category SC Johnson</v>
      </c>
      <c r="Y219">
        <v>181800</v>
      </c>
      <c r="Z219" t="s">
        <v>348</v>
      </c>
      <c r="AA219" t="s">
        <v>477</v>
      </c>
      <c r="AB219" t="s">
        <v>103</v>
      </c>
      <c r="AC219" t="s">
        <v>873</v>
      </c>
      <c r="AD219" t="s">
        <v>874</v>
      </c>
      <c r="AE219" t="s">
        <v>457</v>
      </c>
      <c r="AF219">
        <v>25.71</v>
      </c>
      <c r="AG219">
        <v>30</v>
      </c>
      <c r="AH219">
        <v>80.459999999999994</v>
      </c>
      <c r="AJ219" s="86" t="str">
        <f t="shared" si="45"/>
        <v>181800Cross Merchan SC Johnson</v>
      </c>
      <c r="AK219">
        <v>181800</v>
      </c>
      <c r="AL219" t="s">
        <v>348</v>
      </c>
      <c r="AM219" t="s">
        <v>104</v>
      </c>
      <c r="AN219" t="s">
        <v>103</v>
      </c>
      <c r="AO219" t="s">
        <v>966</v>
      </c>
      <c r="AP219" t="s">
        <v>967</v>
      </c>
      <c r="AQ219" t="s">
        <v>111</v>
      </c>
      <c r="AR219">
        <v>2.5</v>
      </c>
      <c r="AS219">
        <v>5</v>
      </c>
      <c r="AT219">
        <v>66.540000000000006</v>
      </c>
      <c r="AV219" s="86" t="str">
        <f t="shared" si="46"/>
        <v>182419Cross Merchan SC Johnson</v>
      </c>
      <c r="AW219">
        <v>182419</v>
      </c>
      <c r="AX219" t="s">
        <v>361</v>
      </c>
      <c r="AY219" t="s">
        <v>477</v>
      </c>
      <c r="AZ219" t="s">
        <v>103</v>
      </c>
      <c r="BA219" t="s">
        <v>1029</v>
      </c>
      <c r="BB219" t="s">
        <v>1030</v>
      </c>
      <c r="BC219" t="s">
        <v>111</v>
      </c>
      <c r="BD219">
        <v>0</v>
      </c>
      <c r="BE219">
        <v>5</v>
      </c>
      <c r="BF219">
        <v>46.27</v>
      </c>
      <c r="BH219" s="86" t="str">
        <f t="shared" si="47"/>
        <v>167265Cross Merchan SC Johnson</v>
      </c>
      <c r="BI219">
        <v>167265</v>
      </c>
      <c r="BJ219" t="s">
        <v>346</v>
      </c>
      <c r="BK219" t="s">
        <v>482</v>
      </c>
      <c r="BL219" t="s">
        <v>103</v>
      </c>
      <c r="BM219" t="s">
        <v>1209</v>
      </c>
      <c r="BN219" t="s">
        <v>1210</v>
      </c>
      <c r="BO219" t="s">
        <v>111</v>
      </c>
      <c r="BP219">
        <v>1.665</v>
      </c>
      <c r="BQ219">
        <v>5</v>
      </c>
      <c r="BR219">
        <v>58.57</v>
      </c>
      <c r="BT219" s="86" t="str">
        <f t="shared" si="36"/>
        <v>157153Lancamentos</v>
      </c>
      <c r="BU219">
        <v>157153</v>
      </c>
      <c r="BV219" t="s">
        <v>364</v>
      </c>
      <c r="BW219" t="s">
        <v>1306</v>
      </c>
      <c r="BX219" t="s">
        <v>103</v>
      </c>
      <c r="BY219" t="s">
        <v>1311</v>
      </c>
      <c r="BZ219" t="s">
        <v>1312</v>
      </c>
      <c r="CA219" t="s">
        <v>953</v>
      </c>
      <c r="CB219">
        <v>9</v>
      </c>
      <c r="CC219">
        <v>18</v>
      </c>
      <c r="CD219">
        <v>61.59</v>
      </c>
      <c r="CF219" s="86" t="str">
        <f t="shared" si="37"/>
        <v>159620Lancamentos</v>
      </c>
      <c r="CG219">
        <v>159620</v>
      </c>
      <c r="CH219" t="s">
        <v>394</v>
      </c>
      <c r="CI219" t="s">
        <v>482</v>
      </c>
      <c r="CJ219" t="s">
        <v>103</v>
      </c>
      <c r="CK219" t="s">
        <v>1428</v>
      </c>
      <c r="CL219" t="s">
        <v>1429</v>
      </c>
      <c r="CM219" t="s">
        <v>953</v>
      </c>
      <c r="CN219">
        <v>18</v>
      </c>
      <c r="CO219">
        <v>18</v>
      </c>
      <c r="CP219">
        <v>93.8</v>
      </c>
      <c r="CR219" s="86" t="str">
        <f t="shared" si="38"/>
        <v>159620Lancamentos</v>
      </c>
      <c r="CS219">
        <v>159620</v>
      </c>
      <c r="CT219" t="s">
        <v>394</v>
      </c>
      <c r="CU219" t="s">
        <v>482</v>
      </c>
      <c r="CV219" t="s">
        <v>103</v>
      </c>
      <c r="CW219" t="s">
        <v>1558</v>
      </c>
      <c r="CX219" t="s">
        <v>1559</v>
      </c>
      <c r="CY219" t="s">
        <v>953</v>
      </c>
      <c r="CZ219">
        <v>0</v>
      </c>
      <c r="DA219">
        <v>18</v>
      </c>
      <c r="DB219">
        <v>76.599999999999994</v>
      </c>
      <c r="DD219" s="86" t="str">
        <f t="shared" si="39"/>
        <v>164006Mix + Intocáveis SC Johnson</v>
      </c>
      <c r="DE219">
        <v>164006</v>
      </c>
      <c r="DF219" t="s">
        <v>395</v>
      </c>
      <c r="DG219" t="s">
        <v>482</v>
      </c>
      <c r="DH219" t="s">
        <v>103</v>
      </c>
      <c r="DI219" t="s">
        <v>1716</v>
      </c>
      <c r="DJ219" t="s">
        <v>1717</v>
      </c>
      <c r="DK219" t="s">
        <v>459</v>
      </c>
      <c r="DL219">
        <v>27.2</v>
      </c>
      <c r="DM219">
        <v>40</v>
      </c>
      <c r="DN219">
        <v>92.2</v>
      </c>
      <c r="DP219" s="86" t="str">
        <f t="shared" si="40"/>
        <v>160950Mix + Intocáveis SC Johnson</v>
      </c>
      <c r="DQ219">
        <v>160950</v>
      </c>
      <c r="DR219" t="s">
        <v>344</v>
      </c>
      <c r="DS219" t="s">
        <v>1306</v>
      </c>
      <c r="DT219" t="s">
        <v>103</v>
      </c>
      <c r="DU219" t="s">
        <v>1780</v>
      </c>
      <c r="DV219" t="s">
        <v>1781</v>
      </c>
      <c r="DW219" t="s">
        <v>459</v>
      </c>
      <c r="DX219">
        <v>28</v>
      </c>
      <c r="DY219">
        <v>40</v>
      </c>
      <c r="DZ219">
        <v>91.33</v>
      </c>
    </row>
    <row r="220" spans="1:130" x14ac:dyDescent="0.35">
      <c r="A220" s="86" t="str">
        <f t="shared" si="42"/>
        <v>181619Share Sub Category SC Johnson</v>
      </c>
      <c r="B220">
        <v>181619</v>
      </c>
      <c r="C220" t="s">
        <v>382</v>
      </c>
      <c r="D220" t="s">
        <v>103</v>
      </c>
      <c r="E220" t="s">
        <v>574</v>
      </c>
      <c r="F220" t="s">
        <v>575</v>
      </c>
      <c r="G220" t="s">
        <v>457</v>
      </c>
      <c r="H220">
        <v>68.53</v>
      </c>
      <c r="I220">
        <v>25.71</v>
      </c>
      <c r="J220">
        <v>30</v>
      </c>
      <c r="L220" s="86" t="str">
        <f t="shared" si="43"/>
        <v>181619Cross Merchan SC Johnson</v>
      </c>
      <c r="M220">
        <v>181619</v>
      </c>
      <c r="N220" t="s">
        <v>382</v>
      </c>
      <c r="O220" t="s">
        <v>104</v>
      </c>
      <c r="P220" t="s">
        <v>103</v>
      </c>
      <c r="Q220" t="s">
        <v>724</v>
      </c>
      <c r="R220" t="s">
        <v>725</v>
      </c>
      <c r="S220" t="s">
        <v>111</v>
      </c>
      <c r="T220">
        <v>8</v>
      </c>
      <c r="U220">
        <v>8</v>
      </c>
      <c r="V220">
        <v>86.71</v>
      </c>
      <c r="X220" s="86" t="str">
        <f t="shared" si="44"/>
        <v>181800Cross Merchan SC Johnson</v>
      </c>
      <c r="Y220">
        <v>181800</v>
      </c>
      <c r="Z220" t="s">
        <v>348</v>
      </c>
      <c r="AA220" t="s">
        <v>477</v>
      </c>
      <c r="AB220" t="s">
        <v>103</v>
      </c>
      <c r="AC220" t="s">
        <v>873</v>
      </c>
      <c r="AD220" t="s">
        <v>874</v>
      </c>
      <c r="AE220" t="s">
        <v>111</v>
      </c>
      <c r="AF220">
        <v>8</v>
      </c>
      <c r="AG220">
        <v>8</v>
      </c>
      <c r="AH220">
        <v>80.459999999999994</v>
      </c>
      <c r="AJ220" s="86" t="str">
        <f t="shared" si="45"/>
        <v>181800Share Sub Loc Pao Quente SC Johnson</v>
      </c>
      <c r="AK220">
        <v>181800</v>
      </c>
      <c r="AL220" t="s">
        <v>348</v>
      </c>
      <c r="AM220" t="s">
        <v>104</v>
      </c>
      <c r="AN220" t="s">
        <v>103</v>
      </c>
      <c r="AO220" t="s">
        <v>966</v>
      </c>
      <c r="AP220" t="s">
        <v>967</v>
      </c>
      <c r="AQ220" t="s">
        <v>458</v>
      </c>
      <c r="AR220">
        <v>6</v>
      </c>
      <c r="AS220">
        <v>12</v>
      </c>
      <c r="AT220">
        <v>66.540000000000006</v>
      </c>
      <c r="AV220" s="86" t="str">
        <f t="shared" si="46"/>
        <v>182419Share Sub Loc Pao Quente SC Johnson</v>
      </c>
      <c r="AW220">
        <v>182419</v>
      </c>
      <c r="AX220" t="s">
        <v>361</v>
      </c>
      <c r="AY220" t="s">
        <v>477</v>
      </c>
      <c r="AZ220" t="s">
        <v>103</v>
      </c>
      <c r="BA220" t="s">
        <v>1029</v>
      </c>
      <c r="BB220" t="s">
        <v>1030</v>
      </c>
      <c r="BC220" t="s">
        <v>458</v>
      </c>
      <c r="BD220">
        <v>12</v>
      </c>
      <c r="BE220">
        <v>12</v>
      </c>
      <c r="BF220">
        <v>46.27</v>
      </c>
      <c r="BH220" s="86" t="str">
        <f t="shared" si="47"/>
        <v>167265Share Sub Loc Pao Quente SC Johnson</v>
      </c>
      <c r="BI220">
        <v>167265</v>
      </c>
      <c r="BJ220" t="s">
        <v>346</v>
      </c>
      <c r="BK220" t="s">
        <v>482</v>
      </c>
      <c r="BL220" t="s">
        <v>103</v>
      </c>
      <c r="BM220" t="s">
        <v>1209</v>
      </c>
      <c r="BN220" t="s">
        <v>1210</v>
      </c>
      <c r="BO220" t="s">
        <v>458</v>
      </c>
      <c r="BP220">
        <v>12</v>
      </c>
      <c r="BQ220">
        <v>12</v>
      </c>
      <c r="BR220">
        <v>58.57</v>
      </c>
      <c r="BT220" s="86" t="str">
        <f t="shared" si="36"/>
        <v>157153Mix + Intocáveis SC Johnson</v>
      </c>
      <c r="BU220">
        <v>157153</v>
      </c>
      <c r="BV220" t="s">
        <v>364</v>
      </c>
      <c r="BW220" t="s">
        <v>1306</v>
      </c>
      <c r="BX220" t="s">
        <v>103</v>
      </c>
      <c r="BY220" t="s">
        <v>1311</v>
      </c>
      <c r="BZ220" t="s">
        <v>1312</v>
      </c>
      <c r="CA220" t="s">
        <v>459</v>
      </c>
      <c r="CB220">
        <v>22.4</v>
      </c>
      <c r="CC220">
        <v>40</v>
      </c>
      <c r="CD220">
        <v>61.59</v>
      </c>
      <c r="CF220" s="86" t="str">
        <f t="shared" si="37"/>
        <v>159620Mix + Intocáveis SC Johnson</v>
      </c>
      <c r="CG220">
        <v>159620</v>
      </c>
      <c r="CH220" t="s">
        <v>394</v>
      </c>
      <c r="CI220" t="s">
        <v>482</v>
      </c>
      <c r="CJ220" t="s">
        <v>103</v>
      </c>
      <c r="CK220" t="s">
        <v>1428</v>
      </c>
      <c r="CL220" t="s">
        <v>1429</v>
      </c>
      <c r="CM220" t="s">
        <v>459</v>
      </c>
      <c r="CN220">
        <v>28.8</v>
      </c>
      <c r="CO220">
        <v>40</v>
      </c>
      <c r="CP220">
        <v>93.8</v>
      </c>
      <c r="CR220" s="86" t="str">
        <f t="shared" si="38"/>
        <v>159620Mix + Intocáveis SC Johnson</v>
      </c>
      <c r="CS220">
        <v>159620</v>
      </c>
      <c r="CT220" t="s">
        <v>394</v>
      </c>
      <c r="CU220" t="s">
        <v>482</v>
      </c>
      <c r="CV220" t="s">
        <v>103</v>
      </c>
      <c r="CW220" t="s">
        <v>1558</v>
      </c>
      <c r="CX220" t="s">
        <v>1559</v>
      </c>
      <c r="CY220" t="s">
        <v>459</v>
      </c>
      <c r="CZ220">
        <v>29.6</v>
      </c>
      <c r="DA220">
        <v>40</v>
      </c>
      <c r="DB220">
        <v>76.599999999999994</v>
      </c>
      <c r="DD220" s="86" t="str">
        <f t="shared" si="39"/>
        <v>164006Execucao Bonus</v>
      </c>
      <c r="DE220">
        <v>164006</v>
      </c>
      <c r="DF220" t="s">
        <v>395</v>
      </c>
      <c r="DG220" t="s">
        <v>482</v>
      </c>
      <c r="DH220" t="s">
        <v>103</v>
      </c>
      <c r="DI220" t="s">
        <v>1716</v>
      </c>
      <c r="DJ220" t="s">
        <v>1717</v>
      </c>
      <c r="DK220" t="s">
        <v>1291</v>
      </c>
      <c r="DL220">
        <v>5</v>
      </c>
      <c r="DM220">
        <v>5</v>
      </c>
      <c r="DN220">
        <v>92.2</v>
      </c>
      <c r="DP220" s="86" t="str">
        <f t="shared" si="40"/>
        <v>160950Execucao Bonus</v>
      </c>
      <c r="DQ220">
        <v>160950</v>
      </c>
      <c r="DR220" t="s">
        <v>344</v>
      </c>
      <c r="DS220" t="s">
        <v>1306</v>
      </c>
      <c r="DT220" t="s">
        <v>103</v>
      </c>
      <c r="DU220" t="s">
        <v>1780</v>
      </c>
      <c r="DV220" t="s">
        <v>1781</v>
      </c>
      <c r="DW220" t="s">
        <v>1291</v>
      </c>
      <c r="DX220">
        <v>5</v>
      </c>
      <c r="DY220">
        <v>5</v>
      </c>
      <c r="DZ220">
        <v>91.33</v>
      </c>
    </row>
    <row r="221" spans="1:130" x14ac:dyDescent="0.35">
      <c r="A221" s="86" t="str">
        <f t="shared" si="42"/>
        <v>181619Cross Merchan SC Johnson</v>
      </c>
      <c r="B221">
        <v>181619</v>
      </c>
      <c r="C221" t="s">
        <v>382</v>
      </c>
      <c r="D221" t="s">
        <v>103</v>
      </c>
      <c r="E221" t="s">
        <v>574</v>
      </c>
      <c r="F221" t="s">
        <v>575</v>
      </c>
      <c r="G221" t="s">
        <v>111</v>
      </c>
      <c r="H221">
        <v>68.53</v>
      </c>
      <c r="I221">
        <v>0</v>
      </c>
      <c r="J221">
        <v>8</v>
      </c>
      <c r="L221" s="86" t="str">
        <f t="shared" si="43"/>
        <v>181619Share Sub Loc Pao Quente SC Johnson</v>
      </c>
      <c r="M221">
        <v>181619</v>
      </c>
      <c r="N221" t="s">
        <v>382</v>
      </c>
      <c r="O221" t="s">
        <v>104</v>
      </c>
      <c r="P221" t="s">
        <v>103</v>
      </c>
      <c r="Q221" t="s">
        <v>724</v>
      </c>
      <c r="R221" t="s">
        <v>725</v>
      </c>
      <c r="S221" t="s">
        <v>458</v>
      </c>
      <c r="T221">
        <v>17</v>
      </c>
      <c r="U221">
        <v>17</v>
      </c>
      <c r="V221">
        <v>86.71</v>
      </c>
      <c r="X221" s="86" t="str">
        <f t="shared" si="44"/>
        <v>181800Share Sub Loc Pao Quente SC Johnson</v>
      </c>
      <c r="Y221">
        <v>181800</v>
      </c>
      <c r="Z221" t="s">
        <v>348</v>
      </c>
      <c r="AA221" t="s">
        <v>477</v>
      </c>
      <c r="AB221" t="s">
        <v>103</v>
      </c>
      <c r="AC221" t="s">
        <v>873</v>
      </c>
      <c r="AD221" t="s">
        <v>874</v>
      </c>
      <c r="AE221" t="s">
        <v>458</v>
      </c>
      <c r="AF221">
        <v>8.5</v>
      </c>
      <c r="AG221">
        <v>17</v>
      </c>
      <c r="AH221">
        <v>80.459999999999994</v>
      </c>
      <c r="AJ221" s="86" t="str">
        <f t="shared" si="45"/>
        <v>181800Mix + Intocáveis SC Johnson</v>
      </c>
      <c r="AK221">
        <v>181800</v>
      </c>
      <c r="AL221" t="s">
        <v>348</v>
      </c>
      <c r="AM221" t="s">
        <v>104</v>
      </c>
      <c r="AN221" t="s">
        <v>103</v>
      </c>
      <c r="AO221" t="s">
        <v>966</v>
      </c>
      <c r="AP221" t="s">
        <v>967</v>
      </c>
      <c r="AQ221" t="s">
        <v>459</v>
      </c>
      <c r="AR221">
        <v>33.04</v>
      </c>
      <c r="AS221">
        <v>40</v>
      </c>
      <c r="AT221">
        <v>66.540000000000006</v>
      </c>
      <c r="AV221" s="86" t="str">
        <f t="shared" si="46"/>
        <v>182419Mix + Intocáveis SC Johnson</v>
      </c>
      <c r="AW221">
        <v>182419</v>
      </c>
      <c r="AX221" t="s">
        <v>361</v>
      </c>
      <c r="AY221" t="s">
        <v>477</v>
      </c>
      <c r="AZ221" t="s">
        <v>103</v>
      </c>
      <c r="BA221" t="s">
        <v>1029</v>
      </c>
      <c r="BB221" t="s">
        <v>1030</v>
      </c>
      <c r="BC221" t="s">
        <v>459</v>
      </c>
      <c r="BD221">
        <v>20</v>
      </c>
      <c r="BE221">
        <v>40</v>
      </c>
      <c r="BF221">
        <v>46.27</v>
      </c>
      <c r="BH221" s="86" t="str">
        <f t="shared" si="47"/>
        <v>167265Mix + Intocáveis SC Johnson</v>
      </c>
      <c r="BI221">
        <v>167265</v>
      </c>
      <c r="BJ221" t="s">
        <v>346</v>
      </c>
      <c r="BK221" t="s">
        <v>482</v>
      </c>
      <c r="BL221" t="s">
        <v>103</v>
      </c>
      <c r="BM221" t="s">
        <v>1209</v>
      </c>
      <c r="BN221" t="s">
        <v>1210</v>
      </c>
      <c r="BO221" t="s">
        <v>459</v>
      </c>
      <c r="BP221">
        <v>23.48</v>
      </c>
      <c r="BQ221">
        <v>40</v>
      </c>
      <c r="BR221">
        <v>58.57</v>
      </c>
      <c r="BT221" s="86" t="str">
        <f t="shared" si="36"/>
        <v>157153Share Sub Category SC Johnson</v>
      </c>
      <c r="BU221">
        <v>157153</v>
      </c>
      <c r="BV221" t="s">
        <v>364</v>
      </c>
      <c r="BW221" t="s">
        <v>1306</v>
      </c>
      <c r="BX221" t="s">
        <v>103</v>
      </c>
      <c r="BY221" t="s">
        <v>1311</v>
      </c>
      <c r="BZ221" t="s">
        <v>1312</v>
      </c>
      <c r="CA221" t="s">
        <v>457</v>
      </c>
      <c r="CB221">
        <v>17.850000000000001</v>
      </c>
      <c r="CC221">
        <v>25</v>
      </c>
      <c r="CD221">
        <v>61.59</v>
      </c>
      <c r="CF221" s="86" t="str">
        <f t="shared" si="37"/>
        <v>159620Share Sub Category SC Johnson</v>
      </c>
      <c r="CG221">
        <v>159620</v>
      </c>
      <c r="CH221" t="s">
        <v>394</v>
      </c>
      <c r="CI221" t="s">
        <v>482</v>
      </c>
      <c r="CJ221" t="s">
        <v>103</v>
      </c>
      <c r="CK221" t="s">
        <v>1428</v>
      </c>
      <c r="CL221" t="s">
        <v>1429</v>
      </c>
      <c r="CM221" t="s">
        <v>457</v>
      </c>
      <c r="CN221">
        <v>25</v>
      </c>
      <c r="CO221">
        <v>25</v>
      </c>
      <c r="CP221">
        <v>93.8</v>
      </c>
      <c r="CR221" s="86" t="str">
        <f t="shared" si="38"/>
        <v>159620Share Sub Category SC Johnson</v>
      </c>
      <c r="CS221">
        <v>159620</v>
      </c>
      <c r="CT221" t="s">
        <v>394</v>
      </c>
      <c r="CU221" t="s">
        <v>482</v>
      </c>
      <c r="CV221" t="s">
        <v>103</v>
      </c>
      <c r="CW221" t="s">
        <v>1558</v>
      </c>
      <c r="CX221" t="s">
        <v>1559</v>
      </c>
      <c r="CY221" t="s">
        <v>457</v>
      </c>
      <c r="CZ221">
        <v>25</v>
      </c>
      <c r="DA221">
        <v>25</v>
      </c>
      <c r="DB221">
        <v>76.599999999999994</v>
      </c>
      <c r="DD221" s="86" t="str">
        <f t="shared" si="39"/>
        <v>164006Cross Merchan SC Johnson</v>
      </c>
      <c r="DE221">
        <v>164006</v>
      </c>
      <c r="DF221" t="s">
        <v>395</v>
      </c>
      <c r="DG221" t="s">
        <v>482</v>
      </c>
      <c r="DH221" t="s">
        <v>103</v>
      </c>
      <c r="DI221" t="s">
        <v>1716</v>
      </c>
      <c r="DJ221" t="s">
        <v>1717</v>
      </c>
      <c r="DK221" t="s">
        <v>111</v>
      </c>
      <c r="DL221">
        <v>5</v>
      </c>
      <c r="DM221">
        <v>5</v>
      </c>
      <c r="DN221">
        <v>92.2</v>
      </c>
      <c r="DP221" s="86" t="str">
        <f t="shared" si="40"/>
        <v>160950Cross Merchan SC Johnson</v>
      </c>
      <c r="DQ221">
        <v>160950</v>
      </c>
      <c r="DR221" t="s">
        <v>344</v>
      </c>
      <c r="DS221" t="s">
        <v>1306</v>
      </c>
      <c r="DT221" t="s">
        <v>103</v>
      </c>
      <c r="DU221" t="s">
        <v>1780</v>
      </c>
      <c r="DV221" t="s">
        <v>1781</v>
      </c>
      <c r="DW221" t="s">
        <v>111</v>
      </c>
      <c r="DX221">
        <v>3.335</v>
      </c>
      <c r="DY221">
        <v>5</v>
      </c>
      <c r="DZ221">
        <v>91.33</v>
      </c>
    </row>
    <row r="222" spans="1:130" x14ac:dyDescent="0.35">
      <c r="A222" s="86" t="str">
        <f t="shared" si="42"/>
        <v>181619Share Sub Loc Pao Quente SC Johnson</v>
      </c>
      <c r="B222">
        <v>181619</v>
      </c>
      <c r="C222" t="s">
        <v>382</v>
      </c>
      <c r="D222" t="s">
        <v>103</v>
      </c>
      <c r="E222" t="s">
        <v>574</v>
      </c>
      <c r="F222" t="s">
        <v>575</v>
      </c>
      <c r="G222" t="s">
        <v>458</v>
      </c>
      <c r="H222">
        <v>68.53</v>
      </c>
      <c r="I222">
        <v>10.199999999999999</v>
      </c>
      <c r="J222">
        <v>17</v>
      </c>
      <c r="L222" s="86" t="str">
        <f t="shared" si="43"/>
        <v>181619Mix + Intocáveis SC Johnson</v>
      </c>
      <c r="M222">
        <v>181619</v>
      </c>
      <c r="N222" t="s">
        <v>382</v>
      </c>
      <c r="O222" t="s">
        <v>104</v>
      </c>
      <c r="P222" t="s">
        <v>103</v>
      </c>
      <c r="Q222" t="s">
        <v>724</v>
      </c>
      <c r="R222" t="s">
        <v>725</v>
      </c>
      <c r="S222" t="s">
        <v>459</v>
      </c>
      <c r="T222">
        <v>36</v>
      </c>
      <c r="U222">
        <v>45</v>
      </c>
      <c r="V222">
        <v>86.71</v>
      </c>
      <c r="X222" s="86" t="str">
        <f t="shared" si="44"/>
        <v>181800Mix + Intocáveis SC Johnson</v>
      </c>
      <c r="Y222">
        <v>181800</v>
      </c>
      <c r="Z222" t="s">
        <v>348</v>
      </c>
      <c r="AA222" t="s">
        <v>477</v>
      </c>
      <c r="AB222" t="s">
        <v>103</v>
      </c>
      <c r="AC222" t="s">
        <v>873</v>
      </c>
      <c r="AD222" t="s">
        <v>874</v>
      </c>
      <c r="AE222" t="s">
        <v>459</v>
      </c>
      <c r="AF222">
        <v>38.25</v>
      </c>
      <c r="AG222">
        <v>45</v>
      </c>
      <c r="AH222">
        <v>80.459999999999994</v>
      </c>
      <c r="AJ222" s="86" t="str">
        <f t="shared" si="45"/>
        <v>181800Lancamentos</v>
      </c>
      <c r="AK222">
        <v>181800</v>
      </c>
      <c r="AL222" t="s">
        <v>348</v>
      </c>
      <c r="AM222" t="s">
        <v>104</v>
      </c>
      <c r="AN222" t="s">
        <v>103</v>
      </c>
      <c r="AO222" t="s">
        <v>966</v>
      </c>
      <c r="AP222" t="s">
        <v>967</v>
      </c>
      <c r="AQ222" t="s">
        <v>953</v>
      </c>
      <c r="AR222">
        <v>0</v>
      </c>
      <c r="AS222">
        <v>18</v>
      </c>
      <c r="AT222">
        <v>66.540000000000006</v>
      </c>
      <c r="AV222" s="86" t="str">
        <f t="shared" si="46"/>
        <v>182419Lancamentos</v>
      </c>
      <c r="AW222">
        <v>182419</v>
      </c>
      <c r="AX222" t="s">
        <v>361</v>
      </c>
      <c r="AY222" t="s">
        <v>477</v>
      </c>
      <c r="AZ222" t="s">
        <v>103</v>
      </c>
      <c r="BA222" t="s">
        <v>1029</v>
      </c>
      <c r="BB222" t="s">
        <v>1030</v>
      </c>
      <c r="BC222" t="s">
        <v>953</v>
      </c>
      <c r="BD222">
        <v>0</v>
      </c>
      <c r="BE222">
        <v>18</v>
      </c>
      <c r="BF222">
        <v>46.27</v>
      </c>
      <c r="BH222" s="86" t="str">
        <f t="shared" si="47"/>
        <v>167265Lancamentos</v>
      </c>
      <c r="BI222">
        <v>167265</v>
      </c>
      <c r="BJ222" t="s">
        <v>346</v>
      </c>
      <c r="BK222" t="s">
        <v>482</v>
      </c>
      <c r="BL222" t="s">
        <v>103</v>
      </c>
      <c r="BM222" t="s">
        <v>1209</v>
      </c>
      <c r="BN222" t="s">
        <v>1210</v>
      </c>
      <c r="BO222" t="s">
        <v>953</v>
      </c>
      <c r="BP222">
        <v>0</v>
      </c>
      <c r="BQ222">
        <v>18</v>
      </c>
      <c r="BR222">
        <v>58.57</v>
      </c>
      <c r="BT222" s="86" t="str">
        <f t="shared" si="36"/>
        <v>157153Share Sub Loc Pao Quente SC Johnson</v>
      </c>
      <c r="BU222">
        <v>157153</v>
      </c>
      <c r="BV222" t="s">
        <v>364</v>
      </c>
      <c r="BW222" t="s">
        <v>1306</v>
      </c>
      <c r="BX222" t="s">
        <v>103</v>
      </c>
      <c r="BY222" t="s">
        <v>1311</v>
      </c>
      <c r="BZ222" t="s">
        <v>1312</v>
      </c>
      <c r="CA222" t="s">
        <v>458</v>
      </c>
      <c r="CB222">
        <v>9</v>
      </c>
      <c r="CC222">
        <v>12</v>
      </c>
      <c r="CD222">
        <v>61.59</v>
      </c>
      <c r="CF222" s="86" t="str">
        <f t="shared" si="37"/>
        <v>159620Share Sub Loc Pao Quente SC Johnson</v>
      </c>
      <c r="CG222">
        <v>159620</v>
      </c>
      <c r="CH222" t="s">
        <v>394</v>
      </c>
      <c r="CI222" t="s">
        <v>482</v>
      </c>
      <c r="CJ222" t="s">
        <v>103</v>
      </c>
      <c r="CK222" t="s">
        <v>1428</v>
      </c>
      <c r="CL222" t="s">
        <v>1429</v>
      </c>
      <c r="CM222" t="s">
        <v>458</v>
      </c>
      <c r="CN222">
        <v>12</v>
      </c>
      <c r="CO222">
        <v>12</v>
      </c>
      <c r="CP222">
        <v>93.8</v>
      </c>
      <c r="CR222" s="86" t="str">
        <f t="shared" si="38"/>
        <v>159620Share Sub Loc Pao Quente SC Johnson</v>
      </c>
      <c r="CS222">
        <v>159620</v>
      </c>
      <c r="CT222" t="s">
        <v>394</v>
      </c>
      <c r="CU222" t="s">
        <v>482</v>
      </c>
      <c r="CV222" t="s">
        <v>103</v>
      </c>
      <c r="CW222" t="s">
        <v>1558</v>
      </c>
      <c r="CX222" t="s">
        <v>1559</v>
      </c>
      <c r="CY222" t="s">
        <v>458</v>
      </c>
      <c r="CZ222">
        <v>12</v>
      </c>
      <c r="DA222">
        <v>12</v>
      </c>
      <c r="DB222">
        <v>76.599999999999994</v>
      </c>
      <c r="DD222" s="86" t="str">
        <f t="shared" si="39"/>
        <v>164006Lancamentos</v>
      </c>
      <c r="DE222">
        <v>164006</v>
      </c>
      <c r="DF222" t="s">
        <v>395</v>
      </c>
      <c r="DG222" t="s">
        <v>482</v>
      </c>
      <c r="DH222" t="s">
        <v>103</v>
      </c>
      <c r="DI222" t="s">
        <v>1716</v>
      </c>
      <c r="DJ222" t="s">
        <v>1717</v>
      </c>
      <c r="DK222" t="s">
        <v>953</v>
      </c>
      <c r="DL222">
        <v>18</v>
      </c>
      <c r="DM222">
        <v>18</v>
      </c>
      <c r="DN222">
        <v>92.2</v>
      </c>
      <c r="DP222" s="86" t="str">
        <f t="shared" si="40"/>
        <v>160950Lancamentos</v>
      </c>
      <c r="DQ222">
        <v>160950</v>
      </c>
      <c r="DR222" t="s">
        <v>344</v>
      </c>
      <c r="DS222" t="s">
        <v>1306</v>
      </c>
      <c r="DT222" t="s">
        <v>103</v>
      </c>
      <c r="DU222" t="s">
        <v>1780</v>
      </c>
      <c r="DV222" t="s">
        <v>1781</v>
      </c>
      <c r="DW222" t="s">
        <v>953</v>
      </c>
      <c r="DX222">
        <v>18</v>
      </c>
      <c r="DY222">
        <v>18</v>
      </c>
      <c r="DZ222">
        <v>91.33</v>
      </c>
    </row>
    <row r="223" spans="1:130" x14ac:dyDescent="0.35">
      <c r="A223" s="86" t="str">
        <f t="shared" si="42"/>
        <v>181619Mix + Intocáveis SC Johnson</v>
      </c>
      <c r="B223">
        <v>181619</v>
      </c>
      <c r="C223" t="s">
        <v>382</v>
      </c>
      <c r="D223" t="s">
        <v>103</v>
      </c>
      <c r="E223" t="s">
        <v>574</v>
      </c>
      <c r="F223" t="s">
        <v>575</v>
      </c>
      <c r="G223" t="s">
        <v>459</v>
      </c>
      <c r="H223">
        <v>68.53</v>
      </c>
      <c r="I223">
        <v>32.625</v>
      </c>
      <c r="J223">
        <v>45</v>
      </c>
      <c r="L223" s="86" t="str">
        <f t="shared" si="43"/>
        <v>181800Share Sub Category SC Johnson</v>
      </c>
      <c r="M223">
        <v>181800</v>
      </c>
      <c r="N223" t="s">
        <v>348</v>
      </c>
      <c r="O223" t="s">
        <v>477</v>
      </c>
      <c r="P223" t="s">
        <v>103</v>
      </c>
      <c r="Q223" t="s">
        <v>726</v>
      </c>
      <c r="R223" t="s">
        <v>727</v>
      </c>
      <c r="S223" t="s">
        <v>457</v>
      </c>
      <c r="T223">
        <v>25.71</v>
      </c>
      <c r="U223">
        <v>30</v>
      </c>
      <c r="V223">
        <v>68.209999999999994</v>
      </c>
      <c r="X223" s="86" t="str">
        <f t="shared" si="44"/>
        <v>182419Share Sub Category SC Johnson</v>
      </c>
      <c r="Y223">
        <v>182419</v>
      </c>
      <c r="Z223" t="s">
        <v>361</v>
      </c>
      <c r="AA223" t="s">
        <v>477</v>
      </c>
      <c r="AB223" t="s">
        <v>103</v>
      </c>
      <c r="AC223" t="s">
        <v>875</v>
      </c>
      <c r="AD223" t="s">
        <v>876</v>
      </c>
      <c r="AE223" t="s">
        <v>457</v>
      </c>
      <c r="AF223">
        <v>8.58</v>
      </c>
      <c r="AG223">
        <v>30</v>
      </c>
      <c r="AH223">
        <v>39.58</v>
      </c>
      <c r="AJ223" s="86" t="str">
        <f t="shared" si="45"/>
        <v>182419Share Sub Category SC Johnson</v>
      </c>
      <c r="AK223">
        <v>182419</v>
      </c>
      <c r="AL223" t="s">
        <v>361</v>
      </c>
      <c r="AM223" t="s">
        <v>104</v>
      </c>
      <c r="AN223" t="s">
        <v>103</v>
      </c>
      <c r="AO223" t="s">
        <v>937</v>
      </c>
      <c r="AP223" t="s">
        <v>938</v>
      </c>
      <c r="AQ223" t="s">
        <v>457</v>
      </c>
      <c r="AR223">
        <v>25</v>
      </c>
      <c r="AS223">
        <v>25</v>
      </c>
      <c r="AT223">
        <v>63.94</v>
      </c>
      <c r="AV223" s="86" t="str">
        <f t="shared" si="46"/>
        <v>182592Share Sub Category SC Johnson</v>
      </c>
      <c r="AW223">
        <v>182592</v>
      </c>
      <c r="AX223" t="s">
        <v>398</v>
      </c>
      <c r="AY223" t="s">
        <v>482</v>
      </c>
      <c r="AZ223" t="s">
        <v>103</v>
      </c>
      <c r="BA223" t="s">
        <v>1109</v>
      </c>
      <c r="BB223" t="s">
        <v>1110</v>
      </c>
      <c r="BC223" t="s">
        <v>457</v>
      </c>
      <c r="BD223">
        <v>21.425000000000001</v>
      </c>
      <c r="BE223">
        <v>25</v>
      </c>
      <c r="BF223">
        <v>64.25</v>
      </c>
      <c r="BH223" s="86" t="str">
        <f t="shared" si="47"/>
        <v>168551Share Sub Category SC Johnson</v>
      </c>
      <c r="BI223">
        <v>168551</v>
      </c>
      <c r="BJ223" t="s">
        <v>380</v>
      </c>
      <c r="BK223" t="s">
        <v>460</v>
      </c>
      <c r="BL223" t="s">
        <v>103</v>
      </c>
      <c r="BM223" t="s">
        <v>1151</v>
      </c>
      <c r="BN223" t="s">
        <v>1152</v>
      </c>
      <c r="BO223" t="s">
        <v>457</v>
      </c>
      <c r="BP223">
        <v>21.425000000000001</v>
      </c>
      <c r="BQ223">
        <v>25</v>
      </c>
      <c r="BR223">
        <v>88.59</v>
      </c>
      <c r="BT223" s="86" t="str">
        <f t="shared" si="36"/>
        <v>157153Cross Merchan SC Johnson</v>
      </c>
      <c r="BU223">
        <v>157153</v>
      </c>
      <c r="BV223" t="s">
        <v>364</v>
      </c>
      <c r="BW223" t="s">
        <v>1306</v>
      </c>
      <c r="BX223" t="s">
        <v>103</v>
      </c>
      <c r="BY223" t="s">
        <v>1311</v>
      </c>
      <c r="BZ223" t="s">
        <v>1312</v>
      </c>
      <c r="CA223" t="s">
        <v>111</v>
      </c>
      <c r="CB223">
        <v>3.335</v>
      </c>
      <c r="CC223">
        <v>5</v>
      </c>
      <c r="CD223">
        <v>61.59</v>
      </c>
      <c r="CF223" s="86" t="str">
        <f t="shared" si="37"/>
        <v>159620Cross Merchan SC Johnson</v>
      </c>
      <c r="CG223">
        <v>159620</v>
      </c>
      <c r="CH223" t="s">
        <v>394</v>
      </c>
      <c r="CI223" t="s">
        <v>482</v>
      </c>
      <c r="CJ223" t="s">
        <v>103</v>
      </c>
      <c r="CK223" t="s">
        <v>1428</v>
      </c>
      <c r="CL223" t="s">
        <v>1429</v>
      </c>
      <c r="CM223" t="s">
        <v>111</v>
      </c>
      <c r="CN223">
        <v>5</v>
      </c>
      <c r="CO223">
        <v>5</v>
      </c>
      <c r="CP223">
        <v>93.8</v>
      </c>
      <c r="CR223" s="86" t="str">
        <f t="shared" si="38"/>
        <v>159620Cross Merchan SC Johnson</v>
      </c>
      <c r="CS223">
        <v>159620</v>
      </c>
      <c r="CT223" t="s">
        <v>394</v>
      </c>
      <c r="CU223" t="s">
        <v>482</v>
      </c>
      <c r="CV223" t="s">
        <v>103</v>
      </c>
      <c r="CW223" t="s">
        <v>1558</v>
      </c>
      <c r="CX223" t="s">
        <v>1559</v>
      </c>
      <c r="CY223" t="s">
        <v>111</v>
      </c>
      <c r="CZ223">
        <v>5</v>
      </c>
      <c r="DA223">
        <v>5</v>
      </c>
      <c r="DB223">
        <v>76.599999999999994</v>
      </c>
      <c r="DD223" s="86" t="str">
        <f t="shared" si="39"/>
        <v>164006Share Sub Category SC Johnson</v>
      </c>
      <c r="DE223">
        <v>164006</v>
      </c>
      <c r="DF223" t="s">
        <v>395</v>
      </c>
      <c r="DG223" t="s">
        <v>482</v>
      </c>
      <c r="DH223" t="s">
        <v>103</v>
      </c>
      <c r="DI223" t="s">
        <v>1716</v>
      </c>
      <c r="DJ223" t="s">
        <v>1717</v>
      </c>
      <c r="DK223" t="s">
        <v>457</v>
      </c>
      <c r="DL223">
        <v>25</v>
      </c>
      <c r="DM223">
        <v>25</v>
      </c>
      <c r="DN223">
        <v>92.2</v>
      </c>
      <c r="DP223" s="86" t="str">
        <f t="shared" si="40"/>
        <v>160950Share Sub Category SC Johnson</v>
      </c>
      <c r="DQ223">
        <v>160950</v>
      </c>
      <c r="DR223" t="s">
        <v>344</v>
      </c>
      <c r="DS223" t="s">
        <v>1306</v>
      </c>
      <c r="DT223" t="s">
        <v>103</v>
      </c>
      <c r="DU223" t="s">
        <v>1780</v>
      </c>
      <c r="DV223" t="s">
        <v>1781</v>
      </c>
      <c r="DW223" t="s">
        <v>457</v>
      </c>
      <c r="DX223">
        <v>25</v>
      </c>
      <c r="DY223">
        <v>25</v>
      </c>
      <c r="DZ223">
        <v>91.33</v>
      </c>
    </row>
    <row r="224" spans="1:130" x14ac:dyDescent="0.35">
      <c r="A224" s="86" t="str">
        <f t="shared" si="42"/>
        <v>181800Share Sub Category SC Johnson</v>
      </c>
      <c r="B224">
        <v>181800</v>
      </c>
      <c r="C224" t="s">
        <v>348</v>
      </c>
      <c r="D224" t="s">
        <v>103</v>
      </c>
      <c r="E224" t="s">
        <v>576</v>
      </c>
      <c r="F224" t="s">
        <v>577</v>
      </c>
      <c r="G224" t="s">
        <v>457</v>
      </c>
      <c r="H224">
        <v>74.260000000000005</v>
      </c>
      <c r="I224">
        <v>25.71</v>
      </c>
      <c r="J224">
        <v>30</v>
      </c>
      <c r="L224" s="86" t="str">
        <f t="shared" si="43"/>
        <v>181800Cross Merchan SC Johnson</v>
      </c>
      <c r="M224">
        <v>181800</v>
      </c>
      <c r="N224" t="s">
        <v>348</v>
      </c>
      <c r="O224" t="s">
        <v>477</v>
      </c>
      <c r="P224" t="s">
        <v>103</v>
      </c>
      <c r="Q224" t="s">
        <v>726</v>
      </c>
      <c r="R224" t="s">
        <v>727</v>
      </c>
      <c r="S224" t="s">
        <v>111</v>
      </c>
      <c r="T224">
        <v>0</v>
      </c>
      <c r="U224">
        <v>8</v>
      </c>
      <c r="V224">
        <v>68.209999999999994</v>
      </c>
      <c r="X224" s="86" t="str">
        <f t="shared" si="44"/>
        <v>182419Cross Merchan SC Johnson</v>
      </c>
      <c r="Y224">
        <v>182419</v>
      </c>
      <c r="Z224" t="s">
        <v>361</v>
      </c>
      <c r="AA224" t="s">
        <v>477</v>
      </c>
      <c r="AB224" t="s">
        <v>103</v>
      </c>
      <c r="AC224" t="s">
        <v>875</v>
      </c>
      <c r="AD224" t="s">
        <v>876</v>
      </c>
      <c r="AE224" t="s">
        <v>111</v>
      </c>
      <c r="AF224">
        <v>0</v>
      </c>
      <c r="AG224">
        <v>8</v>
      </c>
      <c r="AH224">
        <v>39.58</v>
      </c>
      <c r="AJ224" s="86" t="str">
        <f t="shared" si="45"/>
        <v>182419Cross Merchan SC Johnson</v>
      </c>
      <c r="AK224">
        <v>182419</v>
      </c>
      <c r="AL224" t="s">
        <v>361</v>
      </c>
      <c r="AM224" t="s">
        <v>104</v>
      </c>
      <c r="AN224" t="s">
        <v>103</v>
      </c>
      <c r="AO224" t="s">
        <v>937</v>
      </c>
      <c r="AP224" t="s">
        <v>938</v>
      </c>
      <c r="AQ224" t="s">
        <v>111</v>
      </c>
      <c r="AR224">
        <v>2.5</v>
      </c>
      <c r="AS224">
        <v>5</v>
      </c>
      <c r="AT224">
        <v>63.94</v>
      </c>
      <c r="AV224" s="86" t="str">
        <f t="shared" si="46"/>
        <v>182592Cross Merchan SC Johnson</v>
      </c>
      <c r="AW224">
        <v>182592</v>
      </c>
      <c r="AX224" t="s">
        <v>398</v>
      </c>
      <c r="AY224" t="s">
        <v>482</v>
      </c>
      <c r="AZ224" t="s">
        <v>103</v>
      </c>
      <c r="BA224" t="s">
        <v>1109</v>
      </c>
      <c r="BB224" t="s">
        <v>1110</v>
      </c>
      <c r="BC224" t="s">
        <v>111</v>
      </c>
      <c r="BD224">
        <v>1.665</v>
      </c>
      <c r="BE224">
        <v>5</v>
      </c>
      <c r="BF224">
        <v>64.25</v>
      </c>
      <c r="BH224" s="86" t="str">
        <f t="shared" si="47"/>
        <v>168551Cross Merchan SC Johnson</v>
      </c>
      <c r="BI224">
        <v>168551</v>
      </c>
      <c r="BJ224" t="s">
        <v>380</v>
      </c>
      <c r="BK224" t="s">
        <v>460</v>
      </c>
      <c r="BL224" t="s">
        <v>103</v>
      </c>
      <c r="BM224" t="s">
        <v>1151</v>
      </c>
      <c r="BN224" t="s">
        <v>1152</v>
      </c>
      <c r="BO224" t="s">
        <v>111</v>
      </c>
      <c r="BP224">
        <v>5</v>
      </c>
      <c r="BQ224">
        <v>5</v>
      </c>
      <c r="BR224">
        <v>88.59</v>
      </c>
      <c r="BT224" s="86" t="str">
        <f t="shared" si="36"/>
        <v>157153Execucao Bonus</v>
      </c>
      <c r="BU224">
        <v>157153</v>
      </c>
      <c r="BV224" t="s">
        <v>364</v>
      </c>
      <c r="BW224" t="s">
        <v>1306</v>
      </c>
      <c r="BX224" t="s">
        <v>103</v>
      </c>
      <c r="BY224" t="s">
        <v>1311</v>
      </c>
      <c r="BZ224" t="s">
        <v>1312</v>
      </c>
      <c r="CA224" t="s">
        <v>1291</v>
      </c>
      <c r="CB224">
        <v>0</v>
      </c>
      <c r="CC224">
        <v>5</v>
      </c>
      <c r="CD224">
        <v>61.59</v>
      </c>
      <c r="CF224" s="86" t="str">
        <f t="shared" si="37"/>
        <v>159620Execucao Bonus</v>
      </c>
      <c r="CG224">
        <v>159620</v>
      </c>
      <c r="CH224" t="s">
        <v>394</v>
      </c>
      <c r="CI224" t="s">
        <v>482</v>
      </c>
      <c r="CJ224" t="s">
        <v>103</v>
      </c>
      <c r="CK224" t="s">
        <v>1428</v>
      </c>
      <c r="CL224" t="s">
        <v>1429</v>
      </c>
      <c r="CM224" t="s">
        <v>1291</v>
      </c>
      <c r="CN224">
        <v>5</v>
      </c>
      <c r="CO224">
        <v>5</v>
      </c>
      <c r="CP224">
        <v>93.8</v>
      </c>
      <c r="CR224" s="86" t="str">
        <f t="shared" si="38"/>
        <v>159620Execucao Bonus</v>
      </c>
      <c r="CS224">
        <v>159620</v>
      </c>
      <c r="CT224" t="s">
        <v>394</v>
      </c>
      <c r="CU224" t="s">
        <v>482</v>
      </c>
      <c r="CV224" t="s">
        <v>103</v>
      </c>
      <c r="CW224" t="s">
        <v>1558</v>
      </c>
      <c r="CX224" t="s">
        <v>1559</v>
      </c>
      <c r="CY224" t="s">
        <v>1291</v>
      </c>
      <c r="CZ224">
        <v>5</v>
      </c>
      <c r="DA224">
        <v>5</v>
      </c>
      <c r="DB224">
        <v>76.599999999999994</v>
      </c>
      <c r="DD224" s="86" t="str">
        <f t="shared" si="39"/>
        <v>164006Share Sub Loc Pao Quente SC Johnson</v>
      </c>
      <c r="DE224">
        <v>164006</v>
      </c>
      <c r="DF224" t="s">
        <v>395</v>
      </c>
      <c r="DG224" t="s">
        <v>482</v>
      </c>
      <c r="DH224" t="s">
        <v>103</v>
      </c>
      <c r="DI224" t="s">
        <v>1716</v>
      </c>
      <c r="DJ224" t="s">
        <v>1717</v>
      </c>
      <c r="DK224" t="s">
        <v>458</v>
      </c>
      <c r="DL224">
        <v>12</v>
      </c>
      <c r="DM224">
        <v>12</v>
      </c>
      <c r="DN224">
        <v>92.2</v>
      </c>
      <c r="DP224" s="86" t="str">
        <f t="shared" si="40"/>
        <v>160950Share Sub Loc Pao Quente SC Johnson</v>
      </c>
      <c r="DQ224">
        <v>160950</v>
      </c>
      <c r="DR224" t="s">
        <v>344</v>
      </c>
      <c r="DS224" t="s">
        <v>1306</v>
      </c>
      <c r="DT224" t="s">
        <v>103</v>
      </c>
      <c r="DU224" t="s">
        <v>1780</v>
      </c>
      <c r="DV224" t="s">
        <v>1781</v>
      </c>
      <c r="DW224" t="s">
        <v>458</v>
      </c>
      <c r="DX224">
        <v>12</v>
      </c>
      <c r="DY224">
        <v>12</v>
      </c>
      <c r="DZ224">
        <v>91.33</v>
      </c>
    </row>
    <row r="225" spans="1:130" x14ac:dyDescent="0.35">
      <c r="A225" s="86" t="str">
        <f t="shared" si="42"/>
        <v>181800Cross Merchan SC Johnson</v>
      </c>
      <c r="B225">
        <v>181800</v>
      </c>
      <c r="C225" t="s">
        <v>348</v>
      </c>
      <c r="D225" t="s">
        <v>103</v>
      </c>
      <c r="E225" t="s">
        <v>576</v>
      </c>
      <c r="F225" t="s">
        <v>577</v>
      </c>
      <c r="G225" t="s">
        <v>111</v>
      </c>
      <c r="H225">
        <v>74.260000000000005</v>
      </c>
      <c r="I225">
        <v>8</v>
      </c>
      <c r="J225">
        <v>8</v>
      </c>
      <c r="L225" s="86" t="str">
        <f t="shared" si="43"/>
        <v>181800Share Sub Loc Pao Quente SC Johnson</v>
      </c>
      <c r="M225">
        <v>181800</v>
      </c>
      <c r="N225" t="s">
        <v>348</v>
      </c>
      <c r="O225" t="s">
        <v>477</v>
      </c>
      <c r="P225" t="s">
        <v>103</v>
      </c>
      <c r="Q225" t="s">
        <v>726</v>
      </c>
      <c r="R225" t="s">
        <v>727</v>
      </c>
      <c r="S225" t="s">
        <v>458</v>
      </c>
      <c r="T225">
        <v>4.25</v>
      </c>
      <c r="U225">
        <v>17</v>
      </c>
      <c r="V225">
        <v>68.209999999999994</v>
      </c>
      <c r="X225" s="86" t="str">
        <f t="shared" si="44"/>
        <v>182419Share Sub Loc Pao Quente SC Johnson</v>
      </c>
      <c r="Y225">
        <v>182419</v>
      </c>
      <c r="Z225" t="s">
        <v>361</v>
      </c>
      <c r="AA225" t="s">
        <v>477</v>
      </c>
      <c r="AB225" t="s">
        <v>103</v>
      </c>
      <c r="AC225" t="s">
        <v>875</v>
      </c>
      <c r="AD225" t="s">
        <v>876</v>
      </c>
      <c r="AE225" t="s">
        <v>458</v>
      </c>
      <c r="AF225">
        <v>8.5</v>
      </c>
      <c r="AG225">
        <v>17</v>
      </c>
      <c r="AH225">
        <v>39.58</v>
      </c>
      <c r="AJ225" s="86" t="str">
        <f t="shared" si="45"/>
        <v>182419Share Sub Loc Pao Quente SC Johnson</v>
      </c>
      <c r="AK225">
        <v>182419</v>
      </c>
      <c r="AL225" t="s">
        <v>361</v>
      </c>
      <c r="AM225" t="s">
        <v>104</v>
      </c>
      <c r="AN225" t="s">
        <v>103</v>
      </c>
      <c r="AO225" t="s">
        <v>937</v>
      </c>
      <c r="AP225" t="s">
        <v>938</v>
      </c>
      <c r="AQ225" t="s">
        <v>458</v>
      </c>
      <c r="AR225">
        <v>6</v>
      </c>
      <c r="AS225">
        <v>12</v>
      </c>
      <c r="AT225">
        <v>63.94</v>
      </c>
      <c r="AV225" s="86" t="str">
        <f t="shared" si="46"/>
        <v>182592Share Sub Loc Pao Quente SC Johnson</v>
      </c>
      <c r="AW225">
        <v>182592</v>
      </c>
      <c r="AX225" t="s">
        <v>398</v>
      </c>
      <c r="AY225" t="s">
        <v>482</v>
      </c>
      <c r="AZ225" t="s">
        <v>103</v>
      </c>
      <c r="BA225" t="s">
        <v>1109</v>
      </c>
      <c r="BB225" t="s">
        <v>1110</v>
      </c>
      <c r="BC225" t="s">
        <v>458</v>
      </c>
      <c r="BD225">
        <v>9</v>
      </c>
      <c r="BE225">
        <v>12</v>
      </c>
      <c r="BF225">
        <v>64.25</v>
      </c>
      <c r="BH225" s="86" t="str">
        <f t="shared" si="47"/>
        <v>168551Share Sub Loc Pao Quente SC Johnson</v>
      </c>
      <c r="BI225">
        <v>168551</v>
      </c>
      <c r="BJ225" t="s">
        <v>380</v>
      </c>
      <c r="BK225" t="s">
        <v>460</v>
      </c>
      <c r="BL225" t="s">
        <v>103</v>
      </c>
      <c r="BM225" t="s">
        <v>1151</v>
      </c>
      <c r="BN225" t="s">
        <v>1152</v>
      </c>
      <c r="BO225" t="s">
        <v>458</v>
      </c>
      <c r="BP225">
        <v>12</v>
      </c>
      <c r="BQ225">
        <v>12</v>
      </c>
      <c r="BR225">
        <v>88.59</v>
      </c>
      <c r="BT225" s="86" t="str">
        <f t="shared" si="36"/>
        <v>157637Lancamentos</v>
      </c>
      <c r="BU225">
        <v>157637</v>
      </c>
      <c r="BV225" t="s">
        <v>365</v>
      </c>
      <c r="BW225" t="s">
        <v>1306</v>
      </c>
      <c r="BX225" t="s">
        <v>103</v>
      </c>
      <c r="BY225" t="s">
        <v>1313</v>
      </c>
      <c r="BZ225" t="s">
        <v>1314</v>
      </c>
      <c r="CA225" t="s">
        <v>953</v>
      </c>
      <c r="CB225">
        <v>9</v>
      </c>
      <c r="CC225">
        <v>18</v>
      </c>
      <c r="CD225">
        <v>71.36</v>
      </c>
      <c r="CF225" s="86" t="str">
        <f t="shared" si="37"/>
        <v>160950Lancamentos</v>
      </c>
      <c r="CG225">
        <v>160950</v>
      </c>
      <c r="CH225" t="s">
        <v>344</v>
      </c>
      <c r="CI225" t="s">
        <v>1306</v>
      </c>
      <c r="CJ225" t="s">
        <v>103</v>
      </c>
      <c r="CK225" t="s">
        <v>1412</v>
      </c>
      <c r="CL225" t="s">
        <v>1413</v>
      </c>
      <c r="CM225" t="s">
        <v>953</v>
      </c>
      <c r="CN225">
        <v>9</v>
      </c>
      <c r="CO225">
        <v>18</v>
      </c>
      <c r="CP225">
        <v>58.03</v>
      </c>
      <c r="CR225" s="86" t="str">
        <f t="shared" si="38"/>
        <v>164006Lancamentos</v>
      </c>
      <c r="CS225">
        <v>164006</v>
      </c>
      <c r="CT225" t="s">
        <v>395</v>
      </c>
      <c r="CU225" t="s">
        <v>482</v>
      </c>
      <c r="CV225" t="s">
        <v>103</v>
      </c>
      <c r="CW225" t="s">
        <v>1560</v>
      </c>
      <c r="CX225" t="s">
        <v>1561</v>
      </c>
      <c r="CY225" t="s">
        <v>953</v>
      </c>
      <c r="CZ225">
        <v>18</v>
      </c>
      <c r="DA225">
        <v>18</v>
      </c>
      <c r="DB225">
        <v>89.8</v>
      </c>
      <c r="DD225" s="86" t="str">
        <f t="shared" si="39"/>
        <v>166873Mix + Intocáveis SC Johnson</v>
      </c>
      <c r="DE225">
        <v>166873</v>
      </c>
      <c r="DF225" t="s">
        <v>345</v>
      </c>
      <c r="DG225" t="s">
        <v>1306</v>
      </c>
      <c r="DH225" t="s">
        <v>103</v>
      </c>
      <c r="DI225" t="s">
        <v>1718</v>
      </c>
      <c r="DJ225" t="s">
        <v>1719</v>
      </c>
      <c r="DK225" t="s">
        <v>459</v>
      </c>
      <c r="DL225">
        <v>36.799999999999997</v>
      </c>
      <c r="DM225">
        <v>40</v>
      </c>
      <c r="DN225">
        <v>98.23</v>
      </c>
      <c r="DP225" s="86" t="str">
        <f t="shared" si="40"/>
        <v>164006Mix + Intocáveis SC Johnson</v>
      </c>
      <c r="DQ225">
        <v>164006</v>
      </c>
      <c r="DR225" t="s">
        <v>395</v>
      </c>
      <c r="DS225" t="s">
        <v>482</v>
      </c>
      <c r="DT225" t="s">
        <v>103</v>
      </c>
      <c r="DU225" t="s">
        <v>1818</v>
      </c>
      <c r="DV225" t="s">
        <v>1819</v>
      </c>
      <c r="DW225" t="s">
        <v>459</v>
      </c>
      <c r="DX225">
        <v>27.2</v>
      </c>
      <c r="DY225">
        <v>40</v>
      </c>
      <c r="DZ225">
        <v>85.05</v>
      </c>
    </row>
    <row r="226" spans="1:130" x14ac:dyDescent="0.35">
      <c r="A226" s="86" t="str">
        <f t="shared" si="42"/>
        <v>181800Share Sub Loc Pao Quente SC Johnson</v>
      </c>
      <c r="B226">
        <v>181800</v>
      </c>
      <c r="C226" t="s">
        <v>348</v>
      </c>
      <c r="D226" t="s">
        <v>103</v>
      </c>
      <c r="E226" t="s">
        <v>576</v>
      </c>
      <c r="F226" t="s">
        <v>577</v>
      </c>
      <c r="G226" t="s">
        <v>458</v>
      </c>
      <c r="H226">
        <v>74.260000000000005</v>
      </c>
      <c r="I226">
        <v>6.8</v>
      </c>
      <c r="J226">
        <v>17</v>
      </c>
      <c r="L226" s="86" t="str">
        <f t="shared" si="43"/>
        <v>181800Mix + Intocáveis SC Johnson</v>
      </c>
      <c r="M226">
        <v>181800</v>
      </c>
      <c r="N226" t="s">
        <v>348</v>
      </c>
      <c r="O226" t="s">
        <v>477</v>
      </c>
      <c r="P226" t="s">
        <v>103</v>
      </c>
      <c r="Q226" t="s">
        <v>726</v>
      </c>
      <c r="R226" t="s">
        <v>727</v>
      </c>
      <c r="S226" t="s">
        <v>459</v>
      </c>
      <c r="T226">
        <v>38.25</v>
      </c>
      <c r="U226">
        <v>45</v>
      </c>
      <c r="V226">
        <v>68.209999999999994</v>
      </c>
      <c r="X226" s="86" t="str">
        <f t="shared" si="44"/>
        <v>182419Mix + Intocáveis SC Johnson</v>
      </c>
      <c r="Y226">
        <v>182419</v>
      </c>
      <c r="Z226" t="s">
        <v>361</v>
      </c>
      <c r="AA226" t="s">
        <v>477</v>
      </c>
      <c r="AB226" t="s">
        <v>103</v>
      </c>
      <c r="AC226" t="s">
        <v>875</v>
      </c>
      <c r="AD226" t="s">
        <v>876</v>
      </c>
      <c r="AE226" t="s">
        <v>459</v>
      </c>
      <c r="AF226">
        <v>22.5</v>
      </c>
      <c r="AG226">
        <v>45</v>
      </c>
      <c r="AH226">
        <v>39.58</v>
      </c>
      <c r="AJ226" s="86" t="str">
        <f t="shared" si="45"/>
        <v>182419Mix + Intocáveis SC Johnson</v>
      </c>
      <c r="AK226">
        <v>182419</v>
      </c>
      <c r="AL226" t="s">
        <v>361</v>
      </c>
      <c r="AM226" t="s">
        <v>104</v>
      </c>
      <c r="AN226" t="s">
        <v>103</v>
      </c>
      <c r="AO226" t="s">
        <v>937</v>
      </c>
      <c r="AP226" t="s">
        <v>938</v>
      </c>
      <c r="AQ226" t="s">
        <v>459</v>
      </c>
      <c r="AR226">
        <v>30.44</v>
      </c>
      <c r="AS226">
        <v>40</v>
      </c>
      <c r="AT226">
        <v>63.94</v>
      </c>
      <c r="AV226" s="86" t="str">
        <f t="shared" si="46"/>
        <v>182592Mix + Intocáveis SC Johnson</v>
      </c>
      <c r="AW226">
        <v>182592</v>
      </c>
      <c r="AX226" t="s">
        <v>398</v>
      </c>
      <c r="AY226" t="s">
        <v>482</v>
      </c>
      <c r="AZ226" t="s">
        <v>103</v>
      </c>
      <c r="BA226" t="s">
        <v>1109</v>
      </c>
      <c r="BB226" t="s">
        <v>1110</v>
      </c>
      <c r="BC226" t="s">
        <v>459</v>
      </c>
      <c r="BD226">
        <v>32.159999999999997</v>
      </c>
      <c r="BE226">
        <v>40</v>
      </c>
      <c r="BF226">
        <v>64.25</v>
      </c>
      <c r="BH226" s="86" t="str">
        <f t="shared" si="47"/>
        <v>168551Mix + Intocáveis SC Johnson</v>
      </c>
      <c r="BI226">
        <v>168551</v>
      </c>
      <c r="BJ226" t="s">
        <v>380</v>
      </c>
      <c r="BK226" t="s">
        <v>460</v>
      </c>
      <c r="BL226" t="s">
        <v>103</v>
      </c>
      <c r="BM226" t="s">
        <v>1151</v>
      </c>
      <c r="BN226" t="s">
        <v>1152</v>
      </c>
      <c r="BO226" t="s">
        <v>459</v>
      </c>
      <c r="BP226">
        <v>32.159999999999997</v>
      </c>
      <c r="BQ226">
        <v>40</v>
      </c>
      <c r="BR226">
        <v>88.59</v>
      </c>
      <c r="BT226" s="86" t="str">
        <f t="shared" si="36"/>
        <v>157637Mix + Intocáveis SC Johnson</v>
      </c>
      <c r="BU226">
        <v>157637</v>
      </c>
      <c r="BV226" t="s">
        <v>365</v>
      </c>
      <c r="BW226" t="s">
        <v>1306</v>
      </c>
      <c r="BX226" t="s">
        <v>103</v>
      </c>
      <c r="BY226" t="s">
        <v>1313</v>
      </c>
      <c r="BZ226" t="s">
        <v>1314</v>
      </c>
      <c r="CA226" t="s">
        <v>459</v>
      </c>
      <c r="CB226">
        <v>25.6</v>
      </c>
      <c r="CC226">
        <v>40</v>
      </c>
      <c r="CD226">
        <v>71.36</v>
      </c>
      <c r="CF226" s="86" t="str">
        <f t="shared" si="37"/>
        <v>160950Mix + Intocáveis SC Johnson</v>
      </c>
      <c r="CG226">
        <v>160950</v>
      </c>
      <c r="CH226" t="s">
        <v>344</v>
      </c>
      <c r="CI226" t="s">
        <v>1306</v>
      </c>
      <c r="CJ226" t="s">
        <v>103</v>
      </c>
      <c r="CK226" t="s">
        <v>1412</v>
      </c>
      <c r="CL226" t="s">
        <v>1413</v>
      </c>
      <c r="CM226" t="s">
        <v>459</v>
      </c>
      <c r="CN226">
        <v>13.6</v>
      </c>
      <c r="CO226">
        <v>40</v>
      </c>
      <c r="CP226">
        <v>58.03</v>
      </c>
      <c r="CR226" s="86" t="str">
        <f t="shared" si="38"/>
        <v>164006Mix + Intocáveis SC Johnson</v>
      </c>
      <c r="CS226">
        <v>164006</v>
      </c>
      <c r="CT226" t="s">
        <v>395</v>
      </c>
      <c r="CU226" t="s">
        <v>482</v>
      </c>
      <c r="CV226" t="s">
        <v>103</v>
      </c>
      <c r="CW226" t="s">
        <v>1560</v>
      </c>
      <c r="CX226" t="s">
        <v>1561</v>
      </c>
      <c r="CY226" t="s">
        <v>459</v>
      </c>
      <c r="CZ226">
        <v>24.8</v>
      </c>
      <c r="DA226">
        <v>40</v>
      </c>
      <c r="DB226">
        <v>89.8</v>
      </c>
      <c r="DD226" s="86" t="str">
        <f t="shared" si="39"/>
        <v>166873Execucao Bonus</v>
      </c>
      <c r="DE226">
        <v>166873</v>
      </c>
      <c r="DF226" t="s">
        <v>345</v>
      </c>
      <c r="DG226" t="s">
        <v>1306</v>
      </c>
      <c r="DH226" t="s">
        <v>103</v>
      </c>
      <c r="DI226" t="s">
        <v>1718</v>
      </c>
      <c r="DJ226" t="s">
        <v>1719</v>
      </c>
      <c r="DK226" t="s">
        <v>1291</v>
      </c>
      <c r="DL226">
        <v>5</v>
      </c>
      <c r="DM226">
        <v>5</v>
      </c>
      <c r="DN226">
        <v>98.23</v>
      </c>
      <c r="DP226" s="86" t="str">
        <f t="shared" si="40"/>
        <v>164006Execucao Bonus</v>
      </c>
      <c r="DQ226">
        <v>164006</v>
      </c>
      <c r="DR226" t="s">
        <v>395</v>
      </c>
      <c r="DS226" t="s">
        <v>482</v>
      </c>
      <c r="DT226" t="s">
        <v>103</v>
      </c>
      <c r="DU226" t="s">
        <v>1818</v>
      </c>
      <c r="DV226" t="s">
        <v>1819</v>
      </c>
      <c r="DW226" t="s">
        <v>1291</v>
      </c>
      <c r="DX226">
        <v>5</v>
      </c>
      <c r="DY226">
        <v>5</v>
      </c>
      <c r="DZ226">
        <v>85.05</v>
      </c>
    </row>
    <row r="227" spans="1:130" x14ac:dyDescent="0.35">
      <c r="A227" s="86" t="str">
        <f t="shared" si="42"/>
        <v>181800Mix + Intocáveis SC Johnson</v>
      </c>
      <c r="B227">
        <v>181800</v>
      </c>
      <c r="C227" t="s">
        <v>348</v>
      </c>
      <c r="D227" t="s">
        <v>103</v>
      </c>
      <c r="E227" t="s">
        <v>576</v>
      </c>
      <c r="F227" t="s">
        <v>577</v>
      </c>
      <c r="G227" t="s">
        <v>459</v>
      </c>
      <c r="H227">
        <v>74.260000000000005</v>
      </c>
      <c r="I227">
        <v>33.75</v>
      </c>
      <c r="J227">
        <v>45</v>
      </c>
      <c r="L227" s="86" t="str">
        <f t="shared" si="43"/>
        <v>182419Share Sub Category SC Johnson</v>
      </c>
      <c r="M227">
        <v>182419</v>
      </c>
      <c r="N227" t="s">
        <v>361</v>
      </c>
      <c r="O227" t="s">
        <v>477</v>
      </c>
      <c r="P227" t="s">
        <v>103</v>
      </c>
      <c r="Q227" t="s">
        <v>728</v>
      </c>
      <c r="R227" t="s">
        <v>729</v>
      </c>
      <c r="S227" t="s">
        <v>457</v>
      </c>
      <c r="T227">
        <v>12.87</v>
      </c>
      <c r="U227">
        <v>30</v>
      </c>
      <c r="V227">
        <v>37.369999999999997</v>
      </c>
      <c r="X227" s="86" t="str">
        <f t="shared" si="44"/>
        <v>182592Share Sub Category SC Johnson</v>
      </c>
      <c r="Y227">
        <v>182592</v>
      </c>
      <c r="Z227" t="s">
        <v>398</v>
      </c>
      <c r="AA227" t="s">
        <v>104</v>
      </c>
      <c r="AB227" t="s">
        <v>103</v>
      </c>
      <c r="AC227" t="s">
        <v>807</v>
      </c>
      <c r="AD227" t="s">
        <v>808</v>
      </c>
      <c r="AE227" t="s">
        <v>457</v>
      </c>
      <c r="AF227">
        <v>25.71</v>
      </c>
      <c r="AG227">
        <v>30</v>
      </c>
      <c r="AH227">
        <v>79.34</v>
      </c>
      <c r="AJ227" s="86" t="str">
        <f t="shared" si="45"/>
        <v>182419Lancamentos</v>
      </c>
      <c r="AK227">
        <v>182419</v>
      </c>
      <c r="AL227" t="s">
        <v>361</v>
      </c>
      <c r="AM227" t="s">
        <v>104</v>
      </c>
      <c r="AN227" t="s">
        <v>103</v>
      </c>
      <c r="AO227" t="s">
        <v>937</v>
      </c>
      <c r="AP227" t="s">
        <v>938</v>
      </c>
      <c r="AQ227" t="s">
        <v>953</v>
      </c>
      <c r="AR227">
        <v>0</v>
      </c>
      <c r="AS227">
        <v>18</v>
      </c>
      <c r="AT227">
        <v>63.94</v>
      </c>
      <c r="AV227" s="86" t="str">
        <f t="shared" si="46"/>
        <v>182592Lancamentos</v>
      </c>
      <c r="AW227">
        <v>182592</v>
      </c>
      <c r="AX227" t="s">
        <v>398</v>
      </c>
      <c r="AY227" t="s">
        <v>482</v>
      </c>
      <c r="AZ227" t="s">
        <v>103</v>
      </c>
      <c r="BA227" t="s">
        <v>1109</v>
      </c>
      <c r="BB227" t="s">
        <v>1110</v>
      </c>
      <c r="BC227" t="s">
        <v>953</v>
      </c>
      <c r="BD227">
        <v>0</v>
      </c>
      <c r="BE227">
        <v>18</v>
      </c>
      <c r="BF227">
        <v>64.25</v>
      </c>
      <c r="BH227" s="86" t="str">
        <f t="shared" si="47"/>
        <v>168551Lancamentos</v>
      </c>
      <c r="BI227">
        <v>168551</v>
      </c>
      <c r="BJ227" t="s">
        <v>380</v>
      </c>
      <c r="BK227" t="s">
        <v>460</v>
      </c>
      <c r="BL227" t="s">
        <v>103</v>
      </c>
      <c r="BM227" t="s">
        <v>1151</v>
      </c>
      <c r="BN227" t="s">
        <v>1152</v>
      </c>
      <c r="BO227" t="s">
        <v>953</v>
      </c>
      <c r="BP227">
        <v>18</v>
      </c>
      <c r="BQ227">
        <v>18</v>
      </c>
      <c r="BR227">
        <v>88.59</v>
      </c>
      <c r="BT227" s="86" t="str">
        <f t="shared" si="36"/>
        <v>157637Share Sub Category SC Johnson</v>
      </c>
      <c r="BU227">
        <v>157637</v>
      </c>
      <c r="BV227" t="s">
        <v>365</v>
      </c>
      <c r="BW227" t="s">
        <v>1306</v>
      </c>
      <c r="BX227" t="s">
        <v>103</v>
      </c>
      <c r="BY227" t="s">
        <v>1313</v>
      </c>
      <c r="BZ227" t="s">
        <v>1314</v>
      </c>
      <c r="CA227" t="s">
        <v>457</v>
      </c>
      <c r="CB227">
        <v>21.425000000000001</v>
      </c>
      <c r="CC227">
        <v>25</v>
      </c>
      <c r="CD227">
        <v>71.36</v>
      </c>
      <c r="CF227" s="86" t="str">
        <f t="shared" si="37"/>
        <v>160950Share Sub Category SC Johnson</v>
      </c>
      <c r="CG227">
        <v>160950</v>
      </c>
      <c r="CH227" t="s">
        <v>344</v>
      </c>
      <c r="CI227" t="s">
        <v>1306</v>
      </c>
      <c r="CJ227" t="s">
        <v>103</v>
      </c>
      <c r="CK227" t="s">
        <v>1412</v>
      </c>
      <c r="CL227" t="s">
        <v>1413</v>
      </c>
      <c r="CM227" t="s">
        <v>457</v>
      </c>
      <c r="CN227">
        <v>21.425000000000001</v>
      </c>
      <c r="CO227">
        <v>25</v>
      </c>
      <c r="CP227">
        <v>58.03</v>
      </c>
      <c r="CR227" s="86" t="str">
        <f t="shared" si="38"/>
        <v>164006Share Sub Category SC Johnson</v>
      </c>
      <c r="CS227">
        <v>164006</v>
      </c>
      <c r="CT227" t="s">
        <v>395</v>
      </c>
      <c r="CU227" t="s">
        <v>482</v>
      </c>
      <c r="CV227" t="s">
        <v>103</v>
      </c>
      <c r="CW227" t="s">
        <v>1560</v>
      </c>
      <c r="CX227" t="s">
        <v>1561</v>
      </c>
      <c r="CY227" t="s">
        <v>457</v>
      </c>
      <c r="CZ227">
        <v>25</v>
      </c>
      <c r="DA227">
        <v>25</v>
      </c>
      <c r="DB227">
        <v>89.8</v>
      </c>
      <c r="DD227" s="86" t="str">
        <f t="shared" si="39"/>
        <v>166873Cross Merchan SC Johnson</v>
      </c>
      <c r="DE227">
        <v>166873</v>
      </c>
      <c r="DF227" t="s">
        <v>345</v>
      </c>
      <c r="DG227" t="s">
        <v>1306</v>
      </c>
      <c r="DH227" t="s">
        <v>103</v>
      </c>
      <c r="DI227" t="s">
        <v>1718</v>
      </c>
      <c r="DJ227" t="s">
        <v>1719</v>
      </c>
      <c r="DK227" t="s">
        <v>111</v>
      </c>
      <c r="DL227">
        <v>5</v>
      </c>
      <c r="DM227">
        <v>5</v>
      </c>
      <c r="DN227">
        <v>98.23</v>
      </c>
      <c r="DP227" s="86" t="str">
        <f t="shared" si="40"/>
        <v>164006Cross Merchan SC Johnson</v>
      </c>
      <c r="DQ227">
        <v>164006</v>
      </c>
      <c r="DR227" t="s">
        <v>395</v>
      </c>
      <c r="DS227" t="s">
        <v>482</v>
      </c>
      <c r="DT227" t="s">
        <v>103</v>
      </c>
      <c r="DU227" t="s">
        <v>1818</v>
      </c>
      <c r="DV227" t="s">
        <v>1819</v>
      </c>
      <c r="DW227" t="s">
        <v>111</v>
      </c>
      <c r="DX227">
        <v>5</v>
      </c>
      <c r="DY227">
        <v>5</v>
      </c>
      <c r="DZ227">
        <v>85.05</v>
      </c>
    </row>
    <row r="228" spans="1:130" x14ac:dyDescent="0.35">
      <c r="A228" s="86" t="str">
        <f t="shared" si="42"/>
        <v>182419Share Sub Category SC Johnson</v>
      </c>
      <c r="B228">
        <v>182419</v>
      </c>
      <c r="C228" t="s">
        <v>361</v>
      </c>
      <c r="D228" t="s">
        <v>103</v>
      </c>
      <c r="E228" t="s">
        <v>578</v>
      </c>
      <c r="F228" t="s">
        <v>579</v>
      </c>
      <c r="G228" t="s">
        <v>457</v>
      </c>
      <c r="H228">
        <v>52.03</v>
      </c>
      <c r="I228">
        <v>17.13</v>
      </c>
      <c r="J228">
        <v>30</v>
      </c>
      <c r="L228" s="86" t="str">
        <f t="shared" si="43"/>
        <v>182419Cross Merchan SC Johnson</v>
      </c>
      <c r="M228">
        <v>182419</v>
      </c>
      <c r="N228" t="s">
        <v>361</v>
      </c>
      <c r="O228" t="s">
        <v>477</v>
      </c>
      <c r="P228" t="s">
        <v>103</v>
      </c>
      <c r="Q228" t="s">
        <v>728</v>
      </c>
      <c r="R228" t="s">
        <v>729</v>
      </c>
      <c r="S228" t="s">
        <v>111</v>
      </c>
      <c r="T228">
        <v>0</v>
      </c>
      <c r="U228">
        <v>8</v>
      </c>
      <c r="V228">
        <v>37.369999999999997</v>
      </c>
      <c r="X228" s="86" t="str">
        <f t="shared" si="44"/>
        <v>182592Cross Merchan SC Johnson</v>
      </c>
      <c r="Y228">
        <v>182592</v>
      </c>
      <c r="Z228" t="s">
        <v>398</v>
      </c>
      <c r="AA228" t="s">
        <v>104</v>
      </c>
      <c r="AB228" t="s">
        <v>103</v>
      </c>
      <c r="AC228" t="s">
        <v>807</v>
      </c>
      <c r="AD228" t="s">
        <v>808</v>
      </c>
      <c r="AE228" t="s">
        <v>111</v>
      </c>
      <c r="AF228">
        <v>8</v>
      </c>
      <c r="AG228">
        <v>8</v>
      </c>
      <c r="AH228">
        <v>79.34</v>
      </c>
      <c r="AJ228" s="86" t="str">
        <f t="shared" si="45"/>
        <v>182592Share Sub Category SC Johnson</v>
      </c>
      <c r="AK228">
        <v>182592</v>
      </c>
      <c r="AL228" t="s">
        <v>398</v>
      </c>
      <c r="AM228" t="s">
        <v>104</v>
      </c>
      <c r="AN228" t="s">
        <v>103</v>
      </c>
      <c r="AO228" t="s">
        <v>990</v>
      </c>
      <c r="AP228" t="s">
        <v>991</v>
      </c>
      <c r="AQ228" t="s">
        <v>457</v>
      </c>
      <c r="AR228">
        <v>21.425000000000001</v>
      </c>
      <c r="AS228">
        <v>25</v>
      </c>
      <c r="AT228">
        <v>63.37</v>
      </c>
      <c r="AV228" s="86" t="str">
        <f t="shared" si="46"/>
        <v>182636Share Sub Category SC Johnson</v>
      </c>
      <c r="AW228">
        <v>182636</v>
      </c>
      <c r="AX228" t="s">
        <v>349</v>
      </c>
      <c r="AY228" t="s">
        <v>36</v>
      </c>
      <c r="AZ228" t="s">
        <v>103</v>
      </c>
      <c r="BA228" t="s">
        <v>1111</v>
      </c>
      <c r="BB228" t="s">
        <v>1112</v>
      </c>
      <c r="BC228" t="s">
        <v>457</v>
      </c>
      <c r="BD228">
        <v>25</v>
      </c>
      <c r="BE228">
        <v>25</v>
      </c>
      <c r="BF228">
        <v>48.32</v>
      </c>
      <c r="BH228" s="86" t="str">
        <f t="shared" si="47"/>
        <v>169868Share Sub Category SC Johnson</v>
      </c>
      <c r="BI228">
        <v>169868</v>
      </c>
      <c r="BJ228" t="s">
        <v>396</v>
      </c>
      <c r="BK228" t="s">
        <v>36</v>
      </c>
      <c r="BL228" t="s">
        <v>103</v>
      </c>
      <c r="BM228" t="s">
        <v>1256</v>
      </c>
      <c r="BN228" t="s">
        <v>1257</v>
      </c>
      <c r="BO228" t="s">
        <v>457</v>
      </c>
      <c r="BP228">
        <v>17.850000000000001</v>
      </c>
      <c r="BQ228">
        <v>25</v>
      </c>
      <c r="BR228">
        <v>59.27</v>
      </c>
      <c r="BT228" s="86" t="str">
        <f t="shared" si="36"/>
        <v>157637Share Sub Loc Pao Quente SC Johnson</v>
      </c>
      <c r="BU228">
        <v>157637</v>
      </c>
      <c r="BV228" t="s">
        <v>365</v>
      </c>
      <c r="BW228" t="s">
        <v>1306</v>
      </c>
      <c r="BX228" t="s">
        <v>103</v>
      </c>
      <c r="BY228" t="s">
        <v>1313</v>
      </c>
      <c r="BZ228" t="s">
        <v>1314</v>
      </c>
      <c r="CA228" t="s">
        <v>458</v>
      </c>
      <c r="CB228">
        <v>12</v>
      </c>
      <c r="CC228">
        <v>12</v>
      </c>
      <c r="CD228">
        <v>71.36</v>
      </c>
      <c r="CF228" s="86" t="str">
        <f t="shared" si="37"/>
        <v>160950Share Sub Loc Pao Quente SC Johnson</v>
      </c>
      <c r="CG228">
        <v>160950</v>
      </c>
      <c r="CH228" t="s">
        <v>344</v>
      </c>
      <c r="CI228" t="s">
        <v>1306</v>
      </c>
      <c r="CJ228" t="s">
        <v>103</v>
      </c>
      <c r="CK228" t="s">
        <v>1412</v>
      </c>
      <c r="CL228" t="s">
        <v>1413</v>
      </c>
      <c r="CM228" t="s">
        <v>458</v>
      </c>
      <c r="CN228">
        <v>9</v>
      </c>
      <c r="CO228">
        <v>12</v>
      </c>
      <c r="CP228">
        <v>58.03</v>
      </c>
      <c r="CR228" s="86" t="str">
        <f t="shared" si="38"/>
        <v>164006Share Sub Loc Pao Quente SC Johnson</v>
      </c>
      <c r="CS228">
        <v>164006</v>
      </c>
      <c r="CT228" t="s">
        <v>395</v>
      </c>
      <c r="CU228" t="s">
        <v>482</v>
      </c>
      <c r="CV228" t="s">
        <v>103</v>
      </c>
      <c r="CW228" t="s">
        <v>1560</v>
      </c>
      <c r="CX228" t="s">
        <v>1561</v>
      </c>
      <c r="CY228" t="s">
        <v>458</v>
      </c>
      <c r="CZ228">
        <v>12</v>
      </c>
      <c r="DA228">
        <v>12</v>
      </c>
      <c r="DB228">
        <v>89.8</v>
      </c>
      <c r="DD228" s="86" t="str">
        <f t="shared" si="39"/>
        <v>166873Lancamentos</v>
      </c>
      <c r="DE228">
        <v>166873</v>
      </c>
      <c r="DF228" t="s">
        <v>345</v>
      </c>
      <c r="DG228" t="s">
        <v>1306</v>
      </c>
      <c r="DH228" t="s">
        <v>103</v>
      </c>
      <c r="DI228" t="s">
        <v>1718</v>
      </c>
      <c r="DJ228" t="s">
        <v>1719</v>
      </c>
      <c r="DK228" t="s">
        <v>953</v>
      </c>
      <c r="DL228">
        <v>18</v>
      </c>
      <c r="DM228">
        <v>18</v>
      </c>
      <c r="DN228">
        <v>98.23</v>
      </c>
      <c r="DP228" s="86" t="str">
        <f t="shared" si="40"/>
        <v>164006Lancamentos</v>
      </c>
      <c r="DQ228">
        <v>164006</v>
      </c>
      <c r="DR228" t="s">
        <v>395</v>
      </c>
      <c r="DS228" t="s">
        <v>482</v>
      </c>
      <c r="DT228" t="s">
        <v>103</v>
      </c>
      <c r="DU228" t="s">
        <v>1818</v>
      </c>
      <c r="DV228" t="s">
        <v>1819</v>
      </c>
      <c r="DW228" t="s">
        <v>953</v>
      </c>
      <c r="DX228">
        <v>18</v>
      </c>
      <c r="DY228">
        <v>18</v>
      </c>
      <c r="DZ228">
        <v>85.05</v>
      </c>
    </row>
    <row r="229" spans="1:130" x14ac:dyDescent="0.35">
      <c r="A229" s="86" t="str">
        <f t="shared" si="42"/>
        <v>182419Cross Merchan SC Johnson</v>
      </c>
      <c r="B229">
        <v>182419</v>
      </c>
      <c r="C229" t="s">
        <v>361</v>
      </c>
      <c r="D229" t="s">
        <v>103</v>
      </c>
      <c r="E229" t="s">
        <v>578</v>
      </c>
      <c r="F229" t="s">
        <v>579</v>
      </c>
      <c r="G229" t="s">
        <v>111</v>
      </c>
      <c r="H229">
        <v>52.03</v>
      </c>
      <c r="I229">
        <v>0</v>
      </c>
      <c r="J229">
        <v>8</v>
      </c>
      <c r="L229" s="86" t="str">
        <f t="shared" si="43"/>
        <v>182419Share Sub Loc Pao Quente SC Johnson</v>
      </c>
      <c r="M229">
        <v>182419</v>
      </c>
      <c r="N229" t="s">
        <v>361</v>
      </c>
      <c r="O229" t="s">
        <v>477</v>
      </c>
      <c r="P229" t="s">
        <v>103</v>
      </c>
      <c r="Q229" t="s">
        <v>728</v>
      </c>
      <c r="R229" t="s">
        <v>729</v>
      </c>
      <c r="S229" t="s">
        <v>458</v>
      </c>
      <c r="T229">
        <v>4.25</v>
      </c>
      <c r="U229">
        <v>17</v>
      </c>
      <c r="V229">
        <v>37.369999999999997</v>
      </c>
      <c r="X229" s="86" t="str">
        <f t="shared" si="44"/>
        <v>182592Share Sub Loc Pao Quente SC Johnson</v>
      </c>
      <c r="Y229">
        <v>182592</v>
      </c>
      <c r="Z229" t="s">
        <v>398</v>
      </c>
      <c r="AA229" t="s">
        <v>104</v>
      </c>
      <c r="AB229" t="s">
        <v>103</v>
      </c>
      <c r="AC229" t="s">
        <v>807</v>
      </c>
      <c r="AD229" t="s">
        <v>808</v>
      </c>
      <c r="AE229" t="s">
        <v>458</v>
      </c>
      <c r="AF229">
        <v>8.5</v>
      </c>
      <c r="AG229">
        <v>17</v>
      </c>
      <c r="AH229">
        <v>79.34</v>
      </c>
      <c r="AJ229" s="86" t="str">
        <f t="shared" si="45"/>
        <v>182592Cross Merchan SC Johnson</v>
      </c>
      <c r="AK229">
        <v>182592</v>
      </c>
      <c r="AL229" t="s">
        <v>398</v>
      </c>
      <c r="AM229" t="s">
        <v>104</v>
      </c>
      <c r="AN229" t="s">
        <v>103</v>
      </c>
      <c r="AO229" t="s">
        <v>990</v>
      </c>
      <c r="AP229" t="s">
        <v>991</v>
      </c>
      <c r="AQ229" t="s">
        <v>111</v>
      </c>
      <c r="AR229">
        <v>2.5</v>
      </c>
      <c r="AS229">
        <v>5</v>
      </c>
      <c r="AT229">
        <v>63.37</v>
      </c>
      <c r="AV229" s="86" t="str">
        <f t="shared" si="46"/>
        <v>182636Cross Merchan SC Johnson</v>
      </c>
      <c r="AW229">
        <v>182636</v>
      </c>
      <c r="AX229" t="s">
        <v>349</v>
      </c>
      <c r="AY229" t="s">
        <v>36</v>
      </c>
      <c r="AZ229" t="s">
        <v>103</v>
      </c>
      <c r="BA229" t="s">
        <v>1111</v>
      </c>
      <c r="BB229" t="s">
        <v>1112</v>
      </c>
      <c r="BC229" t="s">
        <v>111</v>
      </c>
      <c r="BD229">
        <v>1.665</v>
      </c>
      <c r="BE229">
        <v>5</v>
      </c>
      <c r="BF229">
        <v>48.32</v>
      </c>
      <c r="BH229" s="86" t="str">
        <f t="shared" si="47"/>
        <v>169868Cross Merchan SC Johnson</v>
      </c>
      <c r="BI229">
        <v>169868</v>
      </c>
      <c r="BJ229" t="s">
        <v>396</v>
      </c>
      <c r="BK229" t="s">
        <v>36</v>
      </c>
      <c r="BL229" t="s">
        <v>103</v>
      </c>
      <c r="BM229" t="s">
        <v>1256</v>
      </c>
      <c r="BN229" t="s">
        <v>1257</v>
      </c>
      <c r="BO229" t="s">
        <v>111</v>
      </c>
      <c r="BP229">
        <v>3.335</v>
      </c>
      <c r="BQ229">
        <v>5</v>
      </c>
      <c r="BR229">
        <v>59.27</v>
      </c>
      <c r="BT229" s="86" t="str">
        <f t="shared" si="36"/>
        <v>157637Cross Merchan SC Johnson</v>
      </c>
      <c r="BU229">
        <v>157637</v>
      </c>
      <c r="BV229" t="s">
        <v>365</v>
      </c>
      <c r="BW229" t="s">
        <v>1306</v>
      </c>
      <c r="BX229" t="s">
        <v>103</v>
      </c>
      <c r="BY229" t="s">
        <v>1313</v>
      </c>
      <c r="BZ229" t="s">
        <v>1314</v>
      </c>
      <c r="CA229" t="s">
        <v>111</v>
      </c>
      <c r="CB229">
        <v>3.335</v>
      </c>
      <c r="CC229">
        <v>5</v>
      </c>
      <c r="CD229">
        <v>71.36</v>
      </c>
      <c r="CF229" s="86" t="str">
        <f t="shared" si="37"/>
        <v>160950Cross Merchan SC Johnson</v>
      </c>
      <c r="CG229">
        <v>160950</v>
      </c>
      <c r="CH229" t="s">
        <v>344</v>
      </c>
      <c r="CI229" t="s">
        <v>1306</v>
      </c>
      <c r="CJ229" t="s">
        <v>103</v>
      </c>
      <c r="CK229" t="s">
        <v>1412</v>
      </c>
      <c r="CL229" t="s">
        <v>1413</v>
      </c>
      <c r="CM229" t="s">
        <v>111</v>
      </c>
      <c r="CN229">
        <v>5</v>
      </c>
      <c r="CO229">
        <v>5</v>
      </c>
      <c r="CP229">
        <v>58.03</v>
      </c>
      <c r="CR229" s="86" t="str">
        <f t="shared" si="38"/>
        <v>164006Cross Merchan SC Johnson</v>
      </c>
      <c r="CS229">
        <v>164006</v>
      </c>
      <c r="CT229" t="s">
        <v>395</v>
      </c>
      <c r="CU229" t="s">
        <v>482</v>
      </c>
      <c r="CV229" t="s">
        <v>103</v>
      </c>
      <c r="CW229" t="s">
        <v>1560</v>
      </c>
      <c r="CX229" t="s">
        <v>1561</v>
      </c>
      <c r="CY229" t="s">
        <v>111</v>
      </c>
      <c r="CZ229">
        <v>5</v>
      </c>
      <c r="DA229">
        <v>5</v>
      </c>
      <c r="DB229">
        <v>89.8</v>
      </c>
      <c r="DD229" s="86" t="str">
        <f t="shared" si="39"/>
        <v>166873Share Sub Category SC Johnson</v>
      </c>
      <c r="DE229">
        <v>166873</v>
      </c>
      <c r="DF229" t="s">
        <v>345</v>
      </c>
      <c r="DG229" t="s">
        <v>1306</v>
      </c>
      <c r="DH229" t="s">
        <v>103</v>
      </c>
      <c r="DI229" t="s">
        <v>1718</v>
      </c>
      <c r="DJ229" t="s">
        <v>1719</v>
      </c>
      <c r="DK229" t="s">
        <v>457</v>
      </c>
      <c r="DL229">
        <v>21.425000000000001</v>
      </c>
      <c r="DM229">
        <v>25</v>
      </c>
      <c r="DN229">
        <v>98.23</v>
      </c>
      <c r="DP229" s="86" t="str">
        <f t="shared" si="40"/>
        <v>164006Share Sub Category SC Johnson</v>
      </c>
      <c r="DQ229">
        <v>164006</v>
      </c>
      <c r="DR229" t="s">
        <v>395</v>
      </c>
      <c r="DS229" t="s">
        <v>482</v>
      </c>
      <c r="DT229" t="s">
        <v>103</v>
      </c>
      <c r="DU229" t="s">
        <v>1818</v>
      </c>
      <c r="DV229" t="s">
        <v>1819</v>
      </c>
      <c r="DW229" t="s">
        <v>457</v>
      </c>
      <c r="DX229">
        <v>17.850000000000001</v>
      </c>
      <c r="DY229">
        <v>25</v>
      </c>
      <c r="DZ229">
        <v>85.05</v>
      </c>
    </row>
    <row r="230" spans="1:130" x14ac:dyDescent="0.35">
      <c r="A230" s="86" t="str">
        <f t="shared" si="42"/>
        <v>182419Share Sub Loc Pao Quente SC Johnson</v>
      </c>
      <c r="B230">
        <v>182419</v>
      </c>
      <c r="C230" t="s">
        <v>361</v>
      </c>
      <c r="D230" t="s">
        <v>103</v>
      </c>
      <c r="E230" t="s">
        <v>578</v>
      </c>
      <c r="F230" t="s">
        <v>579</v>
      </c>
      <c r="G230" t="s">
        <v>458</v>
      </c>
      <c r="H230">
        <v>52.03</v>
      </c>
      <c r="I230">
        <v>3.4</v>
      </c>
      <c r="J230">
        <v>17</v>
      </c>
      <c r="L230" s="86" t="str">
        <f t="shared" si="43"/>
        <v>182419Mix + Intocáveis SC Johnson</v>
      </c>
      <c r="M230">
        <v>182419</v>
      </c>
      <c r="N230" t="s">
        <v>361</v>
      </c>
      <c r="O230" t="s">
        <v>477</v>
      </c>
      <c r="P230" t="s">
        <v>103</v>
      </c>
      <c r="Q230" t="s">
        <v>728</v>
      </c>
      <c r="R230" t="s">
        <v>729</v>
      </c>
      <c r="S230" t="s">
        <v>459</v>
      </c>
      <c r="T230">
        <v>20.25</v>
      </c>
      <c r="U230">
        <v>45</v>
      </c>
      <c r="V230">
        <v>37.369999999999997</v>
      </c>
      <c r="X230" s="86" t="str">
        <f t="shared" si="44"/>
        <v>182592Mix + Intocáveis SC Johnson</v>
      </c>
      <c r="Y230">
        <v>182592</v>
      </c>
      <c r="Z230" t="s">
        <v>398</v>
      </c>
      <c r="AA230" t="s">
        <v>104</v>
      </c>
      <c r="AB230" t="s">
        <v>103</v>
      </c>
      <c r="AC230" t="s">
        <v>807</v>
      </c>
      <c r="AD230" t="s">
        <v>808</v>
      </c>
      <c r="AE230" t="s">
        <v>459</v>
      </c>
      <c r="AF230">
        <v>37.125</v>
      </c>
      <c r="AG230">
        <v>45</v>
      </c>
      <c r="AH230">
        <v>79.34</v>
      </c>
      <c r="AJ230" s="86" t="str">
        <f t="shared" si="45"/>
        <v>182592Share Sub Loc Pao Quente SC Johnson</v>
      </c>
      <c r="AK230">
        <v>182592</v>
      </c>
      <c r="AL230" t="s">
        <v>398</v>
      </c>
      <c r="AM230" t="s">
        <v>104</v>
      </c>
      <c r="AN230" t="s">
        <v>103</v>
      </c>
      <c r="AO230" t="s">
        <v>990</v>
      </c>
      <c r="AP230" t="s">
        <v>991</v>
      </c>
      <c r="AQ230" t="s">
        <v>458</v>
      </c>
      <c r="AR230">
        <v>9</v>
      </c>
      <c r="AS230">
        <v>12</v>
      </c>
      <c r="AT230">
        <v>63.37</v>
      </c>
      <c r="AV230" s="86" t="str">
        <f t="shared" si="46"/>
        <v>182636Share Sub Loc Pao Quente SC Johnson</v>
      </c>
      <c r="AW230">
        <v>182636</v>
      </c>
      <c r="AX230" t="s">
        <v>349</v>
      </c>
      <c r="AY230" t="s">
        <v>36</v>
      </c>
      <c r="AZ230" t="s">
        <v>103</v>
      </c>
      <c r="BA230" t="s">
        <v>1111</v>
      </c>
      <c r="BB230" t="s">
        <v>1112</v>
      </c>
      <c r="BC230" t="s">
        <v>458</v>
      </c>
      <c r="BD230">
        <v>6</v>
      </c>
      <c r="BE230">
        <v>12</v>
      </c>
      <c r="BF230">
        <v>48.32</v>
      </c>
      <c r="BH230" s="86" t="str">
        <f t="shared" si="47"/>
        <v>169868Share Sub Loc Pao Quente SC Johnson</v>
      </c>
      <c r="BI230">
        <v>169868</v>
      </c>
      <c r="BJ230" t="s">
        <v>396</v>
      </c>
      <c r="BK230" t="s">
        <v>36</v>
      </c>
      <c r="BL230" t="s">
        <v>103</v>
      </c>
      <c r="BM230" t="s">
        <v>1256</v>
      </c>
      <c r="BN230" t="s">
        <v>1257</v>
      </c>
      <c r="BO230" t="s">
        <v>458</v>
      </c>
      <c r="BP230">
        <v>12</v>
      </c>
      <c r="BQ230">
        <v>12</v>
      </c>
      <c r="BR230">
        <v>59.27</v>
      </c>
      <c r="BT230" s="86" t="str">
        <f t="shared" si="36"/>
        <v>157637Execucao Bonus</v>
      </c>
      <c r="BU230">
        <v>157637</v>
      </c>
      <c r="BV230" t="s">
        <v>365</v>
      </c>
      <c r="BW230" t="s">
        <v>1306</v>
      </c>
      <c r="BX230" t="s">
        <v>103</v>
      </c>
      <c r="BY230" t="s">
        <v>1313</v>
      </c>
      <c r="BZ230" t="s">
        <v>1314</v>
      </c>
      <c r="CA230" t="s">
        <v>1291</v>
      </c>
      <c r="CB230">
        <v>0</v>
      </c>
      <c r="CC230">
        <v>5</v>
      </c>
      <c r="CD230">
        <v>71.36</v>
      </c>
      <c r="CF230" s="86" t="str">
        <f t="shared" si="37"/>
        <v>160950Execucao Bonus</v>
      </c>
      <c r="CG230">
        <v>160950</v>
      </c>
      <c r="CH230" t="s">
        <v>344</v>
      </c>
      <c r="CI230" t="s">
        <v>1306</v>
      </c>
      <c r="CJ230" t="s">
        <v>103</v>
      </c>
      <c r="CK230" t="s">
        <v>1412</v>
      </c>
      <c r="CL230" t="s">
        <v>1413</v>
      </c>
      <c r="CM230" t="s">
        <v>1291</v>
      </c>
      <c r="CN230">
        <v>0</v>
      </c>
      <c r="CO230">
        <v>5</v>
      </c>
      <c r="CP230">
        <v>58.03</v>
      </c>
      <c r="CR230" s="86" t="str">
        <f t="shared" si="38"/>
        <v>164006Execucao Bonus</v>
      </c>
      <c r="CS230">
        <v>164006</v>
      </c>
      <c r="CT230" t="s">
        <v>395</v>
      </c>
      <c r="CU230" t="s">
        <v>482</v>
      </c>
      <c r="CV230" t="s">
        <v>103</v>
      </c>
      <c r="CW230" t="s">
        <v>1560</v>
      </c>
      <c r="CX230" t="s">
        <v>1561</v>
      </c>
      <c r="CY230" t="s">
        <v>1291</v>
      </c>
      <c r="CZ230">
        <v>5</v>
      </c>
      <c r="DA230">
        <v>5</v>
      </c>
      <c r="DB230">
        <v>89.8</v>
      </c>
      <c r="DD230" s="86" t="str">
        <f t="shared" si="39"/>
        <v>166873Share Sub Loc Pao Quente SC Johnson</v>
      </c>
      <c r="DE230">
        <v>166873</v>
      </c>
      <c r="DF230" t="s">
        <v>345</v>
      </c>
      <c r="DG230" t="s">
        <v>1306</v>
      </c>
      <c r="DH230" t="s">
        <v>103</v>
      </c>
      <c r="DI230" t="s">
        <v>1718</v>
      </c>
      <c r="DJ230" t="s">
        <v>1719</v>
      </c>
      <c r="DK230" t="s">
        <v>458</v>
      </c>
      <c r="DL230">
        <v>12</v>
      </c>
      <c r="DM230">
        <v>12</v>
      </c>
      <c r="DN230">
        <v>98.23</v>
      </c>
      <c r="DP230" s="86" t="str">
        <f t="shared" si="40"/>
        <v>164006Share Sub Loc Pao Quente SC Johnson</v>
      </c>
      <c r="DQ230">
        <v>164006</v>
      </c>
      <c r="DR230" t="s">
        <v>395</v>
      </c>
      <c r="DS230" t="s">
        <v>482</v>
      </c>
      <c r="DT230" t="s">
        <v>103</v>
      </c>
      <c r="DU230" t="s">
        <v>1818</v>
      </c>
      <c r="DV230" t="s">
        <v>1819</v>
      </c>
      <c r="DW230" t="s">
        <v>458</v>
      </c>
      <c r="DX230">
        <v>12</v>
      </c>
      <c r="DY230">
        <v>12</v>
      </c>
      <c r="DZ230">
        <v>85.05</v>
      </c>
    </row>
    <row r="231" spans="1:130" x14ac:dyDescent="0.35">
      <c r="A231" s="86" t="str">
        <f t="shared" si="42"/>
        <v>182419Mix + Intocáveis SC Johnson</v>
      </c>
      <c r="B231">
        <v>182419</v>
      </c>
      <c r="C231" t="s">
        <v>361</v>
      </c>
      <c r="D231" t="s">
        <v>103</v>
      </c>
      <c r="E231" t="s">
        <v>578</v>
      </c>
      <c r="F231" t="s">
        <v>579</v>
      </c>
      <c r="G231" t="s">
        <v>459</v>
      </c>
      <c r="H231">
        <v>52.03</v>
      </c>
      <c r="I231">
        <v>31.5</v>
      </c>
      <c r="J231">
        <v>45</v>
      </c>
      <c r="L231" s="86" t="str">
        <f t="shared" si="43"/>
        <v>182592Share Sub Category SC Johnson</v>
      </c>
      <c r="M231">
        <v>182592</v>
      </c>
      <c r="N231" t="s">
        <v>398</v>
      </c>
      <c r="O231" t="s">
        <v>482</v>
      </c>
      <c r="P231" t="s">
        <v>103</v>
      </c>
      <c r="Q231" t="s">
        <v>730</v>
      </c>
      <c r="R231" t="s">
        <v>731</v>
      </c>
      <c r="S231" t="s">
        <v>457</v>
      </c>
      <c r="T231">
        <v>25.71</v>
      </c>
      <c r="U231">
        <v>30</v>
      </c>
      <c r="V231">
        <v>46.84</v>
      </c>
      <c r="X231" s="86" t="str">
        <f t="shared" si="44"/>
        <v>182636Share Sub Category SC Johnson</v>
      </c>
      <c r="Y231">
        <v>182636</v>
      </c>
      <c r="Z231" t="s">
        <v>349</v>
      </c>
      <c r="AA231" t="s">
        <v>36</v>
      </c>
      <c r="AB231" t="s">
        <v>103</v>
      </c>
      <c r="AC231" t="s">
        <v>767</v>
      </c>
      <c r="AD231" t="s">
        <v>768</v>
      </c>
      <c r="AE231" t="s">
        <v>457</v>
      </c>
      <c r="AF231">
        <v>21.42</v>
      </c>
      <c r="AG231">
        <v>30</v>
      </c>
      <c r="AH231">
        <v>51.42</v>
      </c>
      <c r="AJ231" s="86" t="str">
        <f t="shared" si="45"/>
        <v>182592Mix + Intocáveis SC Johnson</v>
      </c>
      <c r="AK231">
        <v>182592</v>
      </c>
      <c r="AL231" t="s">
        <v>398</v>
      </c>
      <c r="AM231" t="s">
        <v>104</v>
      </c>
      <c r="AN231" t="s">
        <v>103</v>
      </c>
      <c r="AO231" t="s">
        <v>990</v>
      </c>
      <c r="AP231" t="s">
        <v>991</v>
      </c>
      <c r="AQ231" t="s">
        <v>459</v>
      </c>
      <c r="AR231">
        <v>30.44</v>
      </c>
      <c r="AS231">
        <v>40</v>
      </c>
      <c r="AT231">
        <v>63.37</v>
      </c>
      <c r="AV231" s="86" t="str">
        <f t="shared" si="46"/>
        <v>182636Mix + Intocáveis SC Johnson</v>
      </c>
      <c r="AW231">
        <v>182636</v>
      </c>
      <c r="AX231" t="s">
        <v>349</v>
      </c>
      <c r="AY231" t="s">
        <v>36</v>
      </c>
      <c r="AZ231" t="s">
        <v>103</v>
      </c>
      <c r="BA231" t="s">
        <v>1111</v>
      </c>
      <c r="BB231" t="s">
        <v>1112</v>
      </c>
      <c r="BC231" t="s">
        <v>459</v>
      </c>
      <c r="BD231">
        <v>15.66</v>
      </c>
      <c r="BE231">
        <v>40</v>
      </c>
      <c r="BF231">
        <v>48.32</v>
      </c>
      <c r="BH231" s="86" t="str">
        <f t="shared" si="47"/>
        <v>169868Mix + Intocáveis SC Johnson</v>
      </c>
      <c r="BI231">
        <v>169868</v>
      </c>
      <c r="BJ231" t="s">
        <v>396</v>
      </c>
      <c r="BK231" t="s">
        <v>36</v>
      </c>
      <c r="BL231" t="s">
        <v>103</v>
      </c>
      <c r="BM231" t="s">
        <v>1256</v>
      </c>
      <c r="BN231" t="s">
        <v>1257</v>
      </c>
      <c r="BO231" t="s">
        <v>459</v>
      </c>
      <c r="BP231">
        <v>26.08</v>
      </c>
      <c r="BQ231">
        <v>40</v>
      </c>
      <c r="BR231">
        <v>59.27</v>
      </c>
      <c r="BT231" s="86" t="str">
        <f t="shared" si="36"/>
        <v>159620Lancamentos</v>
      </c>
      <c r="BU231">
        <v>159620</v>
      </c>
      <c r="BV231" t="s">
        <v>394</v>
      </c>
      <c r="BW231" t="s">
        <v>482</v>
      </c>
      <c r="BX231" t="s">
        <v>103</v>
      </c>
      <c r="BY231" t="s">
        <v>1315</v>
      </c>
      <c r="BZ231" t="s">
        <v>1316</v>
      </c>
      <c r="CA231" t="s">
        <v>953</v>
      </c>
      <c r="CB231">
        <v>0</v>
      </c>
      <c r="CC231">
        <v>18</v>
      </c>
      <c r="CD231">
        <v>69.83</v>
      </c>
      <c r="CF231" s="86" t="str">
        <f t="shared" si="37"/>
        <v>164006Lancamentos</v>
      </c>
      <c r="CG231">
        <v>164006</v>
      </c>
      <c r="CH231" t="s">
        <v>395</v>
      </c>
      <c r="CI231" t="s">
        <v>482</v>
      </c>
      <c r="CJ231" t="s">
        <v>103</v>
      </c>
      <c r="CK231" t="s">
        <v>1499</v>
      </c>
      <c r="CL231" t="s">
        <v>1500</v>
      </c>
      <c r="CM231" t="s">
        <v>953</v>
      </c>
      <c r="CN231">
        <v>18</v>
      </c>
      <c r="CO231">
        <v>18</v>
      </c>
      <c r="CP231">
        <v>95.4</v>
      </c>
      <c r="CR231" s="86" t="str">
        <f t="shared" si="38"/>
        <v>166873Lancamentos</v>
      </c>
      <c r="CS231">
        <v>166873</v>
      </c>
      <c r="CT231" t="s">
        <v>345</v>
      </c>
      <c r="CU231" t="s">
        <v>1306</v>
      </c>
      <c r="CV231" t="s">
        <v>103</v>
      </c>
      <c r="CW231" t="s">
        <v>1602</v>
      </c>
      <c r="CX231" t="s">
        <v>1603</v>
      </c>
      <c r="CY231" t="s">
        <v>953</v>
      </c>
      <c r="CZ231">
        <v>18</v>
      </c>
      <c r="DA231">
        <v>18</v>
      </c>
      <c r="DB231">
        <v>102.6</v>
      </c>
      <c r="DD231" s="86" t="str">
        <f t="shared" si="39"/>
        <v>167265Mix + Intocáveis SC Johnson</v>
      </c>
      <c r="DE231">
        <v>167265</v>
      </c>
      <c r="DF231" t="s">
        <v>346</v>
      </c>
      <c r="DG231" t="s">
        <v>482</v>
      </c>
      <c r="DH231" t="s">
        <v>103</v>
      </c>
      <c r="DI231" t="s">
        <v>1720</v>
      </c>
      <c r="DJ231" t="s">
        <v>1721</v>
      </c>
      <c r="DK231" t="s">
        <v>459</v>
      </c>
      <c r="DL231">
        <v>29.6</v>
      </c>
      <c r="DM231">
        <v>40</v>
      </c>
      <c r="DN231">
        <v>94.6</v>
      </c>
      <c r="DP231" s="86" t="str">
        <f t="shared" si="40"/>
        <v>167265Mix + Intocáveis SC Johnson</v>
      </c>
      <c r="DQ231">
        <v>167265</v>
      </c>
      <c r="DR231" t="s">
        <v>346</v>
      </c>
      <c r="DS231" t="s">
        <v>482</v>
      </c>
      <c r="DT231" t="s">
        <v>103</v>
      </c>
      <c r="DU231" t="s">
        <v>1820</v>
      </c>
      <c r="DV231" t="s">
        <v>1821</v>
      </c>
      <c r="DW231" t="s">
        <v>459</v>
      </c>
      <c r="DX231">
        <v>26.4</v>
      </c>
      <c r="DY231">
        <v>40</v>
      </c>
      <c r="DZ231">
        <v>87.83</v>
      </c>
    </row>
    <row r="232" spans="1:130" x14ac:dyDescent="0.35">
      <c r="A232" s="86" t="str">
        <f t="shared" si="42"/>
        <v>182592Share Sub Category SC Johnson</v>
      </c>
      <c r="B232">
        <v>182592</v>
      </c>
      <c r="C232" t="s">
        <v>398</v>
      </c>
      <c r="D232" t="s">
        <v>103</v>
      </c>
      <c r="E232" t="s">
        <v>580</v>
      </c>
      <c r="F232" t="s">
        <v>581</v>
      </c>
      <c r="G232" t="s">
        <v>457</v>
      </c>
      <c r="H232">
        <v>48.82</v>
      </c>
      <c r="I232">
        <v>25.71</v>
      </c>
      <c r="J232">
        <v>30</v>
      </c>
      <c r="L232" s="86" t="str">
        <f t="shared" si="43"/>
        <v>182592Cross Merchan SC Johnson</v>
      </c>
      <c r="M232">
        <v>182592</v>
      </c>
      <c r="N232" t="s">
        <v>398</v>
      </c>
      <c r="O232" t="s">
        <v>482</v>
      </c>
      <c r="P232" t="s">
        <v>103</v>
      </c>
      <c r="Q232" t="s">
        <v>730</v>
      </c>
      <c r="R232" t="s">
        <v>731</v>
      </c>
      <c r="S232" t="s">
        <v>111</v>
      </c>
      <c r="T232">
        <v>0</v>
      </c>
      <c r="U232">
        <v>8</v>
      </c>
      <c r="V232">
        <v>46.84</v>
      </c>
      <c r="X232" s="86" t="str">
        <f t="shared" si="44"/>
        <v>182636Cross Merchan SC Johnson</v>
      </c>
      <c r="Y232">
        <v>182636</v>
      </c>
      <c r="Z232" t="s">
        <v>349</v>
      </c>
      <c r="AA232" t="s">
        <v>36</v>
      </c>
      <c r="AB232" t="s">
        <v>103</v>
      </c>
      <c r="AC232" t="s">
        <v>767</v>
      </c>
      <c r="AD232" t="s">
        <v>768</v>
      </c>
      <c r="AE232" t="s">
        <v>111</v>
      </c>
      <c r="AF232">
        <v>8</v>
      </c>
      <c r="AG232">
        <v>8</v>
      </c>
      <c r="AH232">
        <v>51.42</v>
      </c>
      <c r="AJ232" s="86" t="str">
        <f t="shared" si="45"/>
        <v>182592Lancamentos</v>
      </c>
      <c r="AK232">
        <v>182592</v>
      </c>
      <c r="AL232" t="s">
        <v>398</v>
      </c>
      <c r="AM232" t="s">
        <v>104</v>
      </c>
      <c r="AN232" t="s">
        <v>103</v>
      </c>
      <c r="AO232" t="s">
        <v>990</v>
      </c>
      <c r="AP232" t="s">
        <v>991</v>
      </c>
      <c r="AQ232" t="s">
        <v>953</v>
      </c>
      <c r="AR232">
        <v>0</v>
      </c>
      <c r="AS232">
        <v>18</v>
      </c>
      <c r="AT232">
        <v>63.37</v>
      </c>
      <c r="AV232" s="86" t="str">
        <f t="shared" si="46"/>
        <v>182636Lancamentos</v>
      </c>
      <c r="AW232">
        <v>182636</v>
      </c>
      <c r="AX232" t="s">
        <v>349</v>
      </c>
      <c r="AY232" t="s">
        <v>36</v>
      </c>
      <c r="AZ232" t="s">
        <v>103</v>
      </c>
      <c r="BA232" t="s">
        <v>1111</v>
      </c>
      <c r="BB232" t="s">
        <v>1112</v>
      </c>
      <c r="BC232" t="s">
        <v>953</v>
      </c>
      <c r="BD232">
        <v>0</v>
      </c>
      <c r="BE232">
        <v>18</v>
      </c>
      <c r="BF232">
        <v>48.32</v>
      </c>
      <c r="BH232" s="86" t="str">
        <f t="shared" si="47"/>
        <v>169868Lancamentos</v>
      </c>
      <c r="BI232">
        <v>169868</v>
      </c>
      <c r="BJ232" t="s">
        <v>396</v>
      </c>
      <c r="BK232" t="s">
        <v>36</v>
      </c>
      <c r="BL232" t="s">
        <v>103</v>
      </c>
      <c r="BM232" t="s">
        <v>1256</v>
      </c>
      <c r="BN232" t="s">
        <v>1257</v>
      </c>
      <c r="BO232" t="s">
        <v>953</v>
      </c>
      <c r="BP232">
        <v>0</v>
      </c>
      <c r="BQ232">
        <v>18</v>
      </c>
      <c r="BR232">
        <v>59.27</v>
      </c>
      <c r="BT232" s="86" t="str">
        <f t="shared" si="36"/>
        <v>159620Mix + Intocáveis SC Johnson</v>
      </c>
      <c r="BU232">
        <v>159620</v>
      </c>
      <c r="BV232" t="s">
        <v>394</v>
      </c>
      <c r="BW232" t="s">
        <v>482</v>
      </c>
      <c r="BX232" t="s">
        <v>103</v>
      </c>
      <c r="BY232" t="s">
        <v>1315</v>
      </c>
      <c r="BZ232" t="s">
        <v>1316</v>
      </c>
      <c r="CA232" t="s">
        <v>459</v>
      </c>
      <c r="CB232">
        <v>26.4</v>
      </c>
      <c r="CC232">
        <v>40</v>
      </c>
      <c r="CD232">
        <v>69.83</v>
      </c>
      <c r="CF232" s="86" t="str">
        <f t="shared" si="37"/>
        <v>164006Mix + Intocáveis SC Johnson</v>
      </c>
      <c r="CG232">
        <v>164006</v>
      </c>
      <c r="CH232" t="s">
        <v>395</v>
      </c>
      <c r="CI232" t="s">
        <v>482</v>
      </c>
      <c r="CJ232" t="s">
        <v>103</v>
      </c>
      <c r="CK232" t="s">
        <v>1499</v>
      </c>
      <c r="CL232" t="s">
        <v>1500</v>
      </c>
      <c r="CM232" t="s">
        <v>459</v>
      </c>
      <c r="CN232">
        <v>30.4</v>
      </c>
      <c r="CO232">
        <v>40</v>
      </c>
      <c r="CP232">
        <v>95.4</v>
      </c>
      <c r="CR232" s="86" t="str">
        <f t="shared" si="38"/>
        <v>166873Mix + Intocáveis SC Johnson</v>
      </c>
      <c r="CS232">
        <v>166873</v>
      </c>
      <c r="CT232" t="s">
        <v>345</v>
      </c>
      <c r="CU232" t="s">
        <v>1306</v>
      </c>
      <c r="CV232" t="s">
        <v>103</v>
      </c>
      <c r="CW232" t="s">
        <v>1602</v>
      </c>
      <c r="CX232" t="s">
        <v>1603</v>
      </c>
      <c r="CY232" t="s">
        <v>459</v>
      </c>
      <c r="CZ232">
        <v>37.6</v>
      </c>
      <c r="DA232">
        <v>40</v>
      </c>
      <c r="DB232">
        <v>102.6</v>
      </c>
      <c r="DD232" s="86" t="str">
        <f t="shared" si="39"/>
        <v>167265Execucao Bonus</v>
      </c>
      <c r="DE232">
        <v>167265</v>
      </c>
      <c r="DF232" t="s">
        <v>346</v>
      </c>
      <c r="DG232" t="s">
        <v>482</v>
      </c>
      <c r="DH232" t="s">
        <v>103</v>
      </c>
      <c r="DI232" t="s">
        <v>1720</v>
      </c>
      <c r="DJ232" t="s">
        <v>1721</v>
      </c>
      <c r="DK232" t="s">
        <v>1291</v>
      </c>
      <c r="DL232">
        <v>5</v>
      </c>
      <c r="DM232">
        <v>5</v>
      </c>
      <c r="DN232">
        <v>94.6</v>
      </c>
      <c r="DP232" s="86" t="str">
        <f t="shared" si="40"/>
        <v>167265Execucao Bonus</v>
      </c>
      <c r="DQ232">
        <v>167265</v>
      </c>
      <c r="DR232" t="s">
        <v>346</v>
      </c>
      <c r="DS232" t="s">
        <v>482</v>
      </c>
      <c r="DT232" t="s">
        <v>103</v>
      </c>
      <c r="DU232" t="s">
        <v>1820</v>
      </c>
      <c r="DV232" t="s">
        <v>1821</v>
      </c>
      <c r="DW232" t="s">
        <v>1291</v>
      </c>
      <c r="DX232">
        <v>5</v>
      </c>
      <c r="DY232">
        <v>5</v>
      </c>
      <c r="DZ232">
        <v>87.83</v>
      </c>
    </row>
    <row r="233" spans="1:130" x14ac:dyDescent="0.35">
      <c r="A233" s="86" t="str">
        <f t="shared" si="42"/>
        <v>182592Cross Merchan SC Johnson</v>
      </c>
      <c r="B233">
        <v>182592</v>
      </c>
      <c r="C233" t="s">
        <v>398</v>
      </c>
      <c r="D233" t="s">
        <v>103</v>
      </c>
      <c r="E233" t="s">
        <v>580</v>
      </c>
      <c r="F233" t="s">
        <v>581</v>
      </c>
      <c r="G233" t="s">
        <v>111</v>
      </c>
      <c r="H233">
        <v>48.82</v>
      </c>
      <c r="I233">
        <v>0</v>
      </c>
      <c r="J233">
        <v>8</v>
      </c>
      <c r="L233" s="86" t="str">
        <f t="shared" si="43"/>
        <v>182592Share Sub Loc Pao Quente SC Johnson</v>
      </c>
      <c r="M233">
        <v>182592</v>
      </c>
      <c r="N233" t="s">
        <v>398</v>
      </c>
      <c r="O233" t="s">
        <v>482</v>
      </c>
      <c r="P233" t="s">
        <v>103</v>
      </c>
      <c r="Q233" t="s">
        <v>730</v>
      </c>
      <c r="R233" t="s">
        <v>731</v>
      </c>
      <c r="S233" t="s">
        <v>458</v>
      </c>
      <c r="T233">
        <v>4.25</v>
      </c>
      <c r="U233">
        <v>17</v>
      </c>
      <c r="V233">
        <v>46.84</v>
      </c>
      <c r="X233" s="86" t="str">
        <f t="shared" si="44"/>
        <v>182636Share Sub Loc Pao Quente SC Johnson</v>
      </c>
      <c r="Y233">
        <v>182636</v>
      </c>
      <c r="Z233" t="s">
        <v>349</v>
      </c>
      <c r="AA233" t="s">
        <v>36</v>
      </c>
      <c r="AB233" t="s">
        <v>103</v>
      </c>
      <c r="AC233" t="s">
        <v>767</v>
      </c>
      <c r="AD233" t="s">
        <v>768</v>
      </c>
      <c r="AE233" t="s">
        <v>458</v>
      </c>
      <c r="AF233">
        <v>8.5</v>
      </c>
      <c r="AG233">
        <v>17</v>
      </c>
      <c r="AH233">
        <v>51.42</v>
      </c>
      <c r="AJ233" s="86" t="str">
        <f t="shared" si="45"/>
        <v>182636Share Sub Category SC Johnson</v>
      </c>
      <c r="AK233">
        <v>182636</v>
      </c>
      <c r="AL233" t="s">
        <v>349</v>
      </c>
      <c r="AM233" t="s">
        <v>36</v>
      </c>
      <c r="AN233" t="s">
        <v>103</v>
      </c>
      <c r="AO233" t="s">
        <v>939</v>
      </c>
      <c r="AP233" t="s">
        <v>940</v>
      </c>
      <c r="AQ233" t="s">
        <v>457</v>
      </c>
      <c r="AR233">
        <v>14.275</v>
      </c>
      <c r="AS233">
        <v>25</v>
      </c>
      <c r="AT233">
        <v>47.97</v>
      </c>
      <c r="AV233" s="86" t="str">
        <f t="shared" si="46"/>
        <v>182637Share Sub Category SC Johnson</v>
      </c>
      <c r="AW233">
        <v>182637</v>
      </c>
      <c r="AX233" t="s">
        <v>366</v>
      </c>
      <c r="AY233" t="s">
        <v>36</v>
      </c>
      <c r="AZ233" t="s">
        <v>103</v>
      </c>
      <c r="BA233" t="s">
        <v>1113</v>
      </c>
      <c r="BB233" t="s">
        <v>1114</v>
      </c>
      <c r="BC233" t="s">
        <v>457</v>
      </c>
      <c r="BD233">
        <v>25</v>
      </c>
      <c r="BE233">
        <v>25</v>
      </c>
      <c r="BF233">
        <v>78.510000000000005</v>
      </c>
      <c r="BH233" s="86" t="str">
        <f t="shared" si="47"/>
        <v>178205Share Sub Category SC Johnson</v>
      </c>
      <c r="BI233">
        <v>178205</v>
      </c>
      <c r="BJ233" t="s">
        <v>381</v>
      </c>
      <c r="BK233" t="s">
        <v>460</v>
      </c>
      <c r="BL233" t="s">
        <v>103</v>
      </c>
      <c r="BM233" t="s">
        <v>1258</v>
      </c>
      <c r="BN233" t="s">
        <v>1259</v>
      </c>
      <c r="BO233" t="s">
        <v>457</v>
      </c>
      <c r="BP233">
        <v>25</v>
      </c>
      <c r="BQ233">
        <v>25</v>
      </c>
      <c r="BR233">
        <v>60.02</v>
      </c>
      <c r="BT233" s="86" t="str">
        <f t="shared" si="36"/>
        <v>159620Share Sub Category SC Johnson</v>
      </c>
      <c r="BU233">
        <v>159620</v>
      </c>
      <c r="BV233" t="s">
        <v>394</v>
      </c>
      <c r="BW233" t="s">
        <v>482</v>
      </c>
      <c r="BX233" t="s">
        <v>103</v>
      </c>
      <c r="BY233" t="s">
        <v>1315</v>
      </c>
      <c r="BZ233" t="s">
        <v>1316</v>
      </c>
      <c r="CA233" t="s">
        <v>457</v>
      </c>
      <c r="CB233">
        <v>21.425000000000001</v>
      </c>
      <c r="CC233">
        <v>25</v>
      </c>
      <c r="CD233">
        <v>69.83</v>
      </c>
      <c r="CF233" s="86" t="str">
        <f t="shared" si="37"/>
        <v>164006Share Sub Category SC Johnson</v>
      </c>
      <c r="CG233">
        <v>164006</v>
      </c>
      <c r="CH233" t="s">
        <v>395</v>
      </c>
      <c r="CI233" t="s">
        <v>482</v>
      </c>
      <c r="CJ233" t="s">
        <v>103</v>
      </c>
      <c r="CK233" t="s">
        <v>1499</v>
      </c>
      <c r="CL233" t="s">
        <v>1500</v>
      </c>
      <c r="CM233" t="s">
        <v>457</v>
      </c>
      <c r="CN233">
        <v>25</v>
      </c>
      <c r="CO233">
        <v>25</v>
      </c>
      <c r="CP233">
        <v>95.4</v>
      </c>
      <c r="CR233" s="86" t="str">
        <f t="shared" si="38"/>
        <v>166873Share Sub Category SC Johnson</v>
      </c>
      <c r="CS233">
        <v>166873</v>
      </c>
      <c r="CT233" t="s">
        <v>345</v>
      </c>
      <c r="CU233" t="s">
        <v>1306</v>
      </c>
      <c r="CV233" t="s">
        <v>103</v>
      </c>
      <c r="CW233" t="s">
        <v>1602</v>
      </c>
      <c r="CX233" t="s">
        <v>1603</v>
      </c>
      <c r="CY233" t="s">
        <v>457</v>
      </c>
      <c r="CZ233">
        <v>25</v>
      </c>
      <c r="DA233">
        <v>25</v>
      </c>
      <c r="DB233">
        <v>102.6</v>
      </c>
      <c r="DD233" s="86" t="str">
        <f t="shared" si="39"/>
        <v>167265Cross Merchan SC Johnson</v>
      </c>
      <c r="DE233">
        <v>167265</v>
      </c>
      <c r="DF233" t="s">
        <v>346</v>
      </c>
      <c r="DG233" t="s">
        <v>482</v>
      </c>
      <c r="DH233" t="s">
        <v>103</v>
      </c>
      <c r="DI233" t="s">
        <v>1720</v>
      </c>
      <c r="DJ233" t="s">
        <v>1721</v>
      </c>
      <c r="DK233" t="s">
        <v>111</v>
      </c>
      <c r="DL233">
        <v>5</v>
      </c>
      <c r="DM233">
        <v>5</v>
      </c>
      <c r="DN233">
        <v>94.6</v>
      </c>
      <c r="DP233" s="86" t="str">
        <f t="shared" si="40"/>
        <v>167265Cross Merchan SC Johnson</v>
      </c>
      <c r="DQ233">
        <v>167265</v>
      </c>
      <c r="DR233" t="s">
        <v>346</v>
      </c>
      <c r="DS233" t="s">
        <v>482</v>
      </c>
      <c r="DT233" t="s">
        <v>103</v>
      </c>
      <c r="DU233" t="s">
        <v>1820</v>
      </c>
      <c r="DV233" t="s">
        <v>1821</v>
      </c>
      <c r="DW233" t="s">
        <v>111</v>
      </c>
      <c r="DX233">
        <v>5</v>
      </c>
      <c r="DY233">
        <v>5</v>
      </c>
      <c r="DZ233">
        <v>87.83</v>
      </c>
    </row>
    <row r="234" spans="1:130" x14ac:dyDescent="0.35">
      <c r="A234" s="86" t="str">
        <f t="shared" si="42"/>
        <v>182592Share Sub Loc Pao Quente SC Johnson</v>
      </c>
      <c r="B234">
        <v>182592</v>
      </c>
      <c r="C234" t="s">
        <v>398</v>
      </c>
      <c r="D234" t="s">
        <v>103</v>
      </c>
      <c r="E234" t="s">
        <v>580</v>
      </c>
      <c r="F234" t="s">
        <v>581</v>
      </c>
      <c r="G234" t="s">
        <v>458</v>
      </c>
      <c r="H234">
        <v>48.82</v>
      </c>
      <c r="I234">
        <v>6.8</v>
      </c>
      <c r="J234">
        <v>17</v>
      </c>
      <c r="L234" s="86" t="str">
        <f t="shared" si="43"/>
        <v>182592Mix + Intocáveis SC Johnson</v>
      </c>
      <c r="M234">
        <v>182592</v>
      </c>
      <c r="N234" t="s">
        <v>398</v>
      </c>
      <c r="O234" t="s">
        <v>482</v>
      </c>
      <c r="P234" t="s">
        <v>103</v>
      </c>
      <c r="Q234" t="s">
        <v>730</v>
      </c>
      <c r="R234" t="s">
        <v>731</v>
      </c>
      <c r="S234" t="s">
        <v>459</v>
      </c>
      <c r="T234">
        <v>16.875</v>
      </c>
      <c r="U234">
        <v>45</v>
      </c>
      <c r="V234">
        <v>46.84</v>
      </c>
      <c r="X234" s="86" t="str">
        <f t="shared" si="44"/>
        <v>182636Mix + Intocáveis SC Johnson</v>
      </c>
      <c r="Y234">
        <v>182636</v>
      </c>
      <c r="Z234" t="s">
        <v>349</v>
      </c>
      <c r="AA234" t="s">
        <v>36</v>
      </c>
      <c r="AB234" t="s">
        <v>103</v>
      </c>
      <c r="AC234" t="s">
        <v>767</v>
      </c>
      <c r="AD234" t="s">
        <v>768</v>
      </c>
      <c r="AE234" t="s">
        <v>459</v>
      </c>
      <c r="AF234">
        <v>13.5</v>
      </c>
      <c r="AG234">
        <v>45</v>
      </c>
      <c r="AH234">
        <v>51.42</v>
      </c>
      <c r="AJ234" s="86" t="str">
        <f t="shared" si="45"/>
        <v>182636Cross Merchan SC Johnson</v>
      </c>
      <c r="AK234">
        <v>182636</v>
      </c>
      <c r="AL234" t="s">
        <v>349</v>
      </c>
      <c r="AM234" t="s">
        <v>36</v>
      </c>
      <c r="AN234" t="s">
        <v>103</v>
      </c>
      <c r="AO234" t="s">
        <v>939</v>
      </c>
      <c r="AP234" t="s">
        <v>940</v>
      </c>
      <c r="AQ234" t="s">
        <v>111</v>
      </c>
      <c r="AR234">
        <v>2.5</v>
      </c>
      <c r="AS234">
        <v>5</v>
      </c>
      <c r="AT234">
        <v>47.97</v>
      </c>
      <c r="AV234" s="86" t="str">
        <f t="shared" si="46"/>
        <v>182637Cross Merchan SC Johnson</v>
      </c>
      <c r="AW234">
        <v>182637</v>
      </c>
      <c r="AX234" t="s">
        <v>366</v>
      </c>
      <c r="AY234" t="s">
        <v>36</v>
      </c>
      <c r="AZ234" t="s">
        <v>103</v>
      </c>
      <c r="BA234" t="s">
        <v>1113</v>
      </c>
      <c r="BB234" t="s">
        <v>1114</v>
      </c>
      <c r="BC234" t="s">
        <v>111</v>
      </c>
      <c r="BD234">
        <v>1.665</v>
      </c>
      <c r="BE234">
        <v>5</v>
      </c>
      <c r="BF234">
        <v>78.510000000000005</v>
      </c>
      <c r="BH234" s="86" t="str">
        <f t="shared" si="47"/>
        <v>178205Cross Merchan SC Johnson</v>
      </c>
      <c r="BI234">
        <v>178205</v>
      </c>
      <c r="BJ234" t="s">
        <v>381</v>
      </c>
      <c r="BK234" t="s">
        <v>460</v>
      </c>
      <c r="BL234" t="s">
        <v>103</v>
      </c>
      <c r="BM234" t="s">
        <v>1258</v>
      </c>
      <c r="BN234" t="s">
        <v>1259</v>
      </c>
      <c r="BO234" t="s">
        <v>111</v>
      </c>
      <c r="BP234">
        <v>1.665</v>
      </c>
      <c r="BQ234">
        <v>5</v>
      </c>
      <c r="BR234">
        <v>60.02</v>
      </c>
      <c r="BT234" s="86" t="str">
        <f t="shared" si="36"/>
        <v>159620Share Sub Loc Pao Quente SC Johnson</v>
      </c>
      <c r="BU234">
        <v>159620</v>
      </c>
      <c r="BV234" t="s">
        <v>394</v>
      </c>
      <c r="BW234" t="s">
        <v>482</v>
      </c>
      <c r="BX234" t="s">
        <v>103</v>
      </c>
      <c r="BY234" t="s">
        <v>1315</v>
      </c>
      <c r="BZ234" t="s">
        <v>1316</v>
      </c>
      <c r="CA234" t="s">
        <v>458</v>
      </c>
      <c r="CB234">
        <v>12</v>
      </c>
      <c r="CC234">
        <v>12</v>
      </c>
      <c r="CD234">
        <v>69.83</v>
      </c>
      <c r="CF234" s="86" t="str">
        <f t="shared" si="37"/>
        <v>164006Share Sub Loc Pao Quente SC Johnson</v>
      </c>
      <c r="CG234">
        <v>164006</v>
      </c>
      <c r="CH234" t="s">
        <v>395</v>
      </c>
      <c r="CI234" t="s">
        <v>482</v>
      </c>
      <c r="CJ234" t="s">
        <v>103</v>
      </c>
      <c r="CK234" t="s">
        <v>1499</v>
      </c>
      <c r="CL234" t="s">
        <v>1500</v>
      </c>
      <c r="CM234" t="s">
        <v>458</v>
      </c>
      <c r="CN234">
        <v>12</v>
      </c>
      <c r="CO234">
        <v>12</v>
      </c>
      <c r="CP234">
        <v>95.4</v>
      </c>
      <c r="CR234" s="86" t="str">
        <f t="shared" si="38"/>
        <v>166873Share Sub Loc Pao Quente SC Johnson</v>
      </c>
      <c r="CS234">
        <v>166873</v>
      </c>
      <c r="CT234" t="s">
        <v>345</v>
      </c>
      <c r="CU234" t="s">
        <v>1306</v>
      </c>
      <c r="CV234" t="s">
        <v>103</v>
      </c>
      <c r="CW234" t="s">
        <v>1602</v>
      </c>
      <c r="CX234" t="s">
        <v>1603</v>
      </c>
      <c r="CY234" t="s">
        <v>458</v>
      </c>
      <c r="CZ234">
        <v>12</v>
      </c>
      <c r="DA234">
        <v>12</v>
      </c>
      <c r="DB234">
        <v>102.6</v>
      </c>
      <c r="DD234" s="86" t="str">
        <f t="shared" si="39"/>
        <v>167265Lancamentos</v>
      </c>
      <c r="DE234">
        <v>167265</v>
      </c>
      <c r="DF234" t="s">
        <v>346</v>
      </c>
      <c r="DG234" t="s">
        <v>482</v>
      </c>
      <c r="DH234" t="s">
        <v>103</v>
      </c>
      <c r="DI234" t="s">
        <v>1720</v>
      </c>
      <c r="DJ234" t="s">
        <v>1721</v>
      </c>
      <c r="DK234" t="s">
        <v>953</v>
      </c>
      <c r="DL234">
        <v>18</v>
      </c>
      <c r="DM234">
        <v>18</v>
      </c>
      <c r="DN234">
        <v>94.6</v>
      </c>
      <c r="DP234" s="86" t="str">
        <f t="shared" si="40"/>
        <v>167265Lancamentos</v>
      </c>
      <c r="DQ234">
        <v>167265</v>
      </c>
      <c r="DR234" t="s">
        <v>346</v>
      </c>
      <c r="DS234" t="s">
        <v>482</v>
      </c>
      <c r="DT234" t="s">
        <v>103</v>
      </c>
      <c r="DU234" t="s">
        <v>1820</v>
      </c>
      <c r="DV234" t="s">
        <v>1821</v>
      </c>
      <c r="DW234" t="s">
        <v>953</v>
      </c>
      <c r="DX234">
        <v>18</v>
      </c>
      <c r="DY234">
        <v>18</v>
      </c>
      <c r="DZ234">
        <v>87.83</v>
      </c>
    </row>
    <row r="235" spans="1:130" x14ac:dyDescent="0.35">
      <c r="A235" s="86" t="str">
        <f t="shared" si="42"/>
        <v>182592Mix + Intocáveis SC Johnson</v>
      </c>
      <c r="B235">
        <v>182592</v>
      </c>
      <c r="C235" t="s">
        <v>398</v>
      </c>
      <c r="D235" t="s">
        <v>103</v>
      </c>
      <c r="E235" t="s">
        <v>580</v>
      </c>
      <c r="F235" t="s">
        <v>581</v>
      </c>
      <c r="G235" t="s">
        <v>459</v>
      </c>
      <c r="H235">
        <v>48.82</v>
      </c>
      <c r="I235">
        <v>16.3125</v>
      </c>
      <c r="J235">
        <v>45</v>
      </c>
      <c r="L235" s="86" t="str">
        <f t="shared" si="43"/>
        <v>182636Share Sub Category SC Johnson</v>
      </c>
      <c r="M235">
        <v>182636</v>
      </c>
      <c r="N235" t="s">
        <v>349</v>
      </c>
      <c r="O235" t="s">
        <v>36</v>
      </c>
      <c r="P235" t="s">
        <v>103</v>
      </c>
      <c r="Q235" t="s">
        <v>732</v>
      </c>
      <c r="R235" t="s">
        <v>733</v>
      </c>
      <c r="S235" t="s">
        <v>457</v>
      </c>
      <c r="T235">
        <v>25.71</v>
      </c>
      <c r="U235">
        <v>30</v>
      </c>
      <c r="V235">
        <v>65.84</v>
      </c>
      <c r="X235" s="86" t="str">
        <f t="shared" si="44"/>
        <v>182637Share Sub Category SC Johnson</v>
      </c>
      <c r="Y235">
        <v>182637</v>
      </c>
      <c r="Z235" t="s">
        <v>366</v>
      </c>
      <c r="AA235" t="s">
        <v>36</v>
      </c>
      <c r="AB235" t="s">
        <v>103</v>
      </c>
      <c r="AC235" t="s">
        <v>819</v>
      </c>
      <c r="AD235" t="s">
        <v>820</v>
      </c>
      <c r="AE235" t="s">
        <v>457</v>
      </c>
      <c r="AF235">
        <v>25.71</v>
      </c>
      <c r="AG235">
        <v>30</v>
      </c>
      <c r="AH235">
        <v>79.09</v>
      </c>
      <c r="AJ235" s="86" t="str">
        <f t="shared" si="45"/>
        <v>182636Share Sub Loc Pao Quente SC Johnson</v>
      </c>
      <c r="AK235">
        <v>182636</v>
      </c>
      <c r="AL235" t="s">
        <v>349</v>
      </c>
      <c r="AM235" t="s">
        <v>36</v>
      </c>
      <c r="AN235" t="s">
        <v>103</v>
      </c>
      <c r="AO235" t="s">
        <v>939</v>
      </c>
      <c r="AP235" t="s">
        <v>940</v>
      </c>
      <c r="AQ235" t="s">
        <v>458</v>
      </c>
      <c r="AR235">
        <v>6</v>
      </c>
      <c r="AS235">
        <v>12</v>
      </c>
      <c r="AT235">
        <v>47.97</v>
      </c>
      <c r="AV235" s="86" t="str">
        <f t="shared" si="46"/>
        <v>182637Share Sub Loc Pao Quente SC Johnson</v>
      </c>
      <c r="AW235">
        <v>182637</v>
      </c>
      <c r="AX235" t="s">
        <v>366</v>
      </c>
      <c r="AY235" t="s">
        <v>36</v>
      </c>
      <c r="AZ235" t="s">
        <v>103</v>
      </c>
      <c r="BA235" t="s">
        <v>1113</v>
      </c>
      <c r="BB235" t="s">
        <v>1114</v>
      </c>
      <c r="BC235" t="s">
        <v>458</v>
      </c>
      <c r="BD235">
        <v>6</v>
      </c>
      <c r="BE235">
        <v>12</v>
      </c>
      <c r="BF235">
        <v>78.510000000000005</v>
      </c>
      <c r="BH235" s="86" t="str">
        <f t="shared" si="47"/>
        <v>178205Share Sub Loc Pao Quente SC Johnson</v>
      </c>
      <c r="BI235">
        <v>178205</v>
      </c>
      <c r="BJ235" t="s">
        <v>381</v>
      </c>
      <c r="BK235" t="s">
        <v>460</v>
      </c>
      <c r="BL235" t="s">
        <v>103</v>
      </c>
      <c r="BM235" t="s">
        <v>1258</v>
      </c>
      <c r="BN235" t="s">
        <v>1259</v>
      </c>
      <c r="BO235" t="s">
        <v>458</v>
      </c>
      <c r="BP235">
        <v>9</v>
      </c>
      <c r="BQ235">
        <v>12</v>
      </c>
      <c r="BR235">
        <v>60.02</v>
      </c>
      <c r="BT235" s="86" t="str">
        <f t="shared" si="36"/>
        <v>159620Cross Merchan SC Johnson</v>
      </c>
      <c r="BU235">
        <v>159620</v>
      </c>
      <c r="BV235" t="s">
        <v>394</v>
      </c>
      <c r="BW235" t="s">
        <v>482</v>
      </c>
      <c r="BX235" t="s">
        <v>103</v>
      </c>
      <c r="BY235" t="s">
        <v>1315</v>
      </c>
      <c r="BZ235" t="s">
        <v>1316</v>
      </c>
      <c r="CA235" t="s">
        <v>111</v>
      </c>
      <c r="CB235">
        <v>5</v>
      </c>
      <c r="CC235">
        <v>5</v>
      </c>
      <c r="CD235">
        <v>69.83</v>
      </c>
      <c r="CF235" s="86" t="str">
        <f t="shared" si="37"/>
        <v>164006Cross Merchan SC Johnson</v>
      </c>
      <c r="CG235">
        <v>164006</v>
      </c>
      <c r="CH235" t="s">
        <v>395</v>
      </c>
      <c r="CI235" t="s">
        <v>482</v>
      </c>
      <c r="CJ235" t="s">
        <v>103</v>
      </c>
      <c r="CK235" t="s">
        <v>1499</v>
      </c>
      <c r="CL235" t="s">
        <v>1500</v>
      </c>
      <c r="CM235" t="s">
        <v>111</v>
      </c>
      <c r="CN235">
        <v>5</v>
      </c>
      <c r="CO235">
        <v>5</v>
      </c>
      <c r="CP235">
        <v>95.4</v>
      </c>
      <c r="CR235" s="86" t="str">
        <f t="shared" si="38"/>
        <v>166873Cross Merchan SC Johnson</v>
      </c>
      <c r="CS235">
        <v>166873</v>
      </c>
      <c r="CT235" t="s">
        <v>345</v>
      </c>
      <c r="CU235" t="s">
        <v>1306</v>
      </c>
      <c r="CV235" t="s">
        <v>103</v>
      </c>
      <c r="CW235" t="s">
        <v>1602</v>
      </c>
      <c r="CX235" t="s">
        <v>1603</v>
      </c>
      <c r="CY235" t="s">
        <v>111</v>
      </c>
      <c r="CZ235">
        <v>5</v>
      </c>
      <c r="DA235">
        <v>5</v>
      </c>
      <c r="DB235">
        <v>102.6</v>
      </c>
      <c r="DD235" s="86" t="str">
        <f t="shared" si="39"/>
        <v>167265Share Sub Category SC Johnson</v>
      </c>
      <c r="DE235">
        <v>167265</v>
      </c>
      <c r="DF235" t="s">
        <v>346</v>
      </c>
      <c r="DG235" t="s">
        <v>482</v>
      </c>
      <c r="DH235" t="s">
        <v>103</v>
      </c>
      <c r="DI235" t="s">
        <v>1720</v>
      </c>
      <c r="DJ235" t="s">
        <v>1721</v>
      </c>
      <c r="DK235" t="s">
        <v>457</v>
      </c>
      <c r="DL235">
        <v>25</v>
      </c>
      <c r="DM235">
        <v>25</v>
      </c>
      <c r="DN235">
        <v>94.6</v>
      </c>
      <c r="DP235" s="86" t="str">
        <f t="shared" si="40"/>
        <v>167265Share Sub Category SC Johnson</v>
      </c>
      <c r="DQ235">
        <v>167265</v>
      </c>
      <c r="DR235" t="s">
        <v>346</v>
      </c>
      <c r="DS235" t="s">
        <v>482</v>
      </c>
      <c r="DT235" t="s">
        <v>103</v>
      </c>
      <c r="DU235" t="s">
        <v>1820</v>
      </c>
      <c r="DV235" t="s">
        <v>1821</v>
      </c>
      <c r="DW235" t="s">
        <v>457</v>
      </c>
      <c r="DX235">
        <v>21.425000000000001</v>
      </c>
      <c r="DY235">
        <v>25</v>
      </c>
      <c r="DZ235">
        <v>87.83</v>
      </c>
    </row>
    <row r="236" spans="1:130" x14ac:dyDescent="0.35">
      <c r="A236" s="86" t="str">
        <f t="shared" si="42"/>
        <v>182636Share Sub Category SC Johnson</v>
      </c>
      <c r="B236">
        <v>182636</v>
      </c>
      <c r="C236" t="s">
        <v>349</v>
      </c>
      <c r="D236" t="s">
        <v>103</v>
      </c>
      <c r="E236" t="s">
        <v>582</v>
      </c>
      <c r="F236" t="s">
        <v>583</v>
      </c>
      <c r="G236" t="s">
        <v>457</v>
      </c>
      <c r="H236">
        <v>63.12</v>
      </c>
      <c r="I236">
        <v>21.42</v>
      </c>
      <c r="J236">
        <v>30</v>
      </c>
      <c r="L236" s="86" t="str">
        <f t="shared" si="43"/>
        <v>182636Cross Merchan SC Johnson</v>
      </c>
      <c r="M236">
        <v>182636</v>
      </c>
      <c r="N236" t="s">
        <v>349</v>
      </c>
      <c r="O236" t="s">
        <v>36</v>
      </c>
      <c r="P236" t="s">
        <v>103</v>
      </c>
      <c r="Q236" t="s">
        <v>732</v>
      </c>
      <c r="R236" t="s">
        <v>733</v>
      </c>
      <c r="S236" t="s">
        <v>111</v>
      </c>
      <c r="T236">
        <v>8</v>
      </c>
      <c r="U236">
        <v>8</v>
      </c>
      <c r="V236">
        <v>65.84</v>
      </c>
      <c r="X236" s="86" t="str">
        <f t="shared" si="44"/>
        <v>182637Cross Merchan SC Johnson</v>
      </c>
      <c r="Y236">
        <v>182637</v>
      </c>
      <c r="Z236" t="s">
        <v>366</v>
      </c>
      <c r="AA236" t="s">
        <v>36</v>
      </c>
      <c r="AB236" t="s">
        <v>103</v>
      </c>
      <c r="AC236" t="s">
        <v>819</v>
      </c>
      <c r="AD236" t="s">
        <v>820</v>
      </c>
      <c r="AE236" t="s">
        <v>111</v>
      </c>
      <c r="AF236">
        <v>8</v>
      </c>
      <c r="AG236">
        <v>8</v>
      </c>
      <c r="AH236">
        <v>79.09</v>
      </c>
      <c r="AJ236" s="86" t="str">
        <f t="shared" si="45"/>
        <v>182636Mix + Intocáveis SC Johnson</v>
      </c>
      <c r="AK236">
        <v>182636</v>
      </c>
      <c r="AL236" t="s">
        <v>349</v>
      </c>
      <c r="AM236" t="s">
        <v>36</v>
      </c>
      <c r="AN236" t="s">
        <v>103</v>
      </c>
      <c r="AO236" t="s">
        <v>939</v>
      </c>
      <c r="AP236" t="s">
        <v>940</v>
      </c>
      <c r="AQ236" t="s">
        <v>459</v>
      </c>
      <c r="AR236">
        <v>25.2</v>
      </c>
      <c r="AS236">
        <v>40</v>
      </c>
      <c r="AT236">
        <v>47.97</v>
      </c>
      <c r="AV236" s="86" t="str">
        <f t="shared" si="46"/>
        <v>182637Mix + Intocáveis SC Johnson</v>
      </c>
      <c r="AW236">
        <v>182637</v>
      </c>
      <c r="AX236" t="s">
        <v>366</v>
      </c>
      <c r="AY236" t="s">
        <v>36</v>
      </c>
      <c r="AZ236" t="s">
        <v>103</v>
      </c>
      <c r="BA236" t="s">
        <v>1113</v>
      </c>
      <c r="BB236" t="s">
        <v>1114</v>
      </c>
      <c r="BC236" t="s">
        <v>459</v>
      </c>
      <c r="BD236">
        <v>27.84</v>
      </c>
      <c r="BE236">
        <v>40</v>
      </c>
      <c r="BF236">
        <v>78.510000000000005</v>
      </c>
      <c r="BH236" s="86" t="str">
        <f t="shared" si="47"/>
        <v>178205Mix + Intocáveis SC Johnson</v>
      </c>
      <c r="BI236">
        <v>178205</v>
      </c>
      <c r="BJ236" t="s">
        <v>381</v>
      </c>
      <c r="BK236" t="s">
        <v>460</v>
      </c>
      <c r="BL236" t="s">
        <v>103</v>
      </c>
      <c r="BM236" t="s">
        <v>1258</v>
      </c>
      <c r="BN236" t="s">
        <v>1259</v>
      </c>
      <c r="BO236" t="s">
        <v>459</v>
      </c>
      <c r="BP236">
        <v>24.36</v>
      </c>
      <c r="BQ236">
        <v>40</v>
      </c>
      <c r="BR236">
        <v>60.02</v>
      </c>
      <c r="BT236" s="86" t="str">
        <f t="shared" si="36"/>
        <v>159620Execucao Bonus</v>
      </c>
      <c r="BU236">
        <v>159620</v>
      </c>
      <c r="BV236" t="s">
        <v>394</v>
      </c>
      <c r="BW236" t="s">
        <v>482</v>
      </c>
      <c r="BX236" t="s">
        <v>103</v>
      </c>
      <c r="BY236" t="s">
        <v>1315</v>
      </c>
      <c r="BZ236" t="s">
        <v>1316</v>
      </c>
      <c r="CA236" t="s">
        <v>1291</v>
      </c>
      <c r="CB236">
        <v>5</v>
      </c>
      <c r="CC236">
        <v>5</v>
      </c>
      <c r="CD236">
        <v>69.83</v>
      </c>
      <c r="CF236" s="86" t="str">
        <f t="shared" si="37"/>
        <v>164006Execucao Bonus</v>
      </c>
      <c r="CG236">
        <v>164006</v>
      </c>
      <c r="CH236" t="s">
        <v>395</v>
      </c>
      <c r="CI236" t="s">
        <v>482</v>
      </c>
      <c r="CJ236" t="s">
        <v>103</v>
      </c>
      <c r="CK236" t="s">
        <v>1499</v>
      </c>
      <c r="CL236" t="s">
        <v>1500</v>
      </c>
      <c r="CM236" t="s">
        <v>1291</v>
      </c>
      <c r="CN236">
        <v>5</v>
      </c>
      <c r="CO236">
        <v>5</v>
      </c>
      <c r="CP236">
        <v>95.4</v>
      </c>
      <c r="CR236" s="86" t="str">
        <f t="shared" si="38"/>
        <v>166873Execucao Bonus</v>
      </c>
      <c r="CS236">
        <v>166873</v>
      </c>
      <c r="CT236" t="s">
        <v>345</v>
      </c>
      <c r="CU236" t="s">
        <v>1306</v>
      </c>
      <c r="CV236" t="s">
        <v>103</v>
      </c>
      <c r="CW236" t="s">
        <v>1602</v>
      </c>
      <c r="CX236" t="s">
        <v>1603</v>
      </c>
      <c r="CY236" t="s">
        <v>1291</v>
      </c>
      <c r="CZ236">
        <v>2.4</v>
      </c>
      <c r="DA236">
        <v>5</v>
      </c>
      <c r="DB236">
        <v>102.6</v>
      </c>
      <c r="DD236" s="86" t="str">
        <f t="shared" si="39"/>
        <v>167265Share Sub Loc Pao Quente SC Johnson</v>
      </c>
      <c r="DE236">
        <v>167265</v>
      </c>
      <c r="DF236" t="s">
        <v>346</v>
      </c>
      <c r="DG236" t="s">
        <v>482</v>
      </c>
      <c r="DH236" t="s">
        <v>103</v>
      </c>
      <c r="DI236" t="s">
        <v>1720</v>
      </c>
      <c r="DJ236" t="s">
        <v>1721</v>
      </c>
      <c r="DK236" t="s">
        <v>458</v>
      </c>
      <c r="DL236">
        <v>12</v>
      </c>
      <c r="DM236">
        <v>12</v>
      </c>
      <c r="DN236">
        <v>94.6</v>
      </c>
      <c r="DP236" s="86" t="str">
        <f t="shared" si="40"/>
        <v>167265Share Sub Loc Pao Quente SC Johnson</v>
      </c>
      <c r="DQ236">
        <v>167265</v>
      </c>
      <c r="DR236" t="s">
        <v>346</v>
      </c>
      <c r="DS236" t="s">
        <v>482</v>
      </c>
      <c r="DT236" t="s">
        <v>103</v>
      </c>
      <c r="DU236" t="s">
        <v>1820</v>
      </c>
      <c r="DV236" t="s">
        <v>1821</v>
      </c>
      <c r="DW236" t="s">
        <v>458</v>
      </c>
      <c r="DX236">
        <v>12</v>
      </c>
      <c r="DY236">
        <v>12</v>
      </c>
      <c r="DZ236">
        <v>87.83</v>
      </c>
    </row>
    <row r="237" spans="1:130" x14ac:dyDescent="0.35">
      <c r="A237" s="86" t="str">
        <f t="shared" si="42"/>
        <v>182636Cross Merchan SC Johnson</v>
      </c>
      <c r="B237">
        <v>182636</v>
      </c>
      <c r="C237" t="s">
        <v>349</v>
      </c>
      <c r="D237" t="s">
        <v>103</v>
      </c>
      <c r="E237" t="s">
        <v>582</v>
      </c>
      <c r="F237" t="s">
        <v>583</v>
      </c>
      <c r="G237" t="s">
        <v>111</v>
      </c>
      <c r="H237">
        <v>63.12</v>
      </c>
      <c r="I237">
        <v>0</v>
      </c>
      <c r="J237">
        <v>8</v>
      </c>
      <c r="L237" s="86" t="str">
        <f t="shared" si="43"/>
        <v>182636Share Sub Loc Pao Quente SC Johnson</v>
      </c>
      <c r="M237">
        <v>182636</v>
      </c>
      <c r="N237" t="s">
        <v>349</v>
      </c>
      <c r="O237" t="s">
        <v>36</v>
      </c>
      <c r="P237" t="s">
        <v>103</v>
      </c>
      <c r="Q237" t="s">
        <v>732</v>
      </c>
      <c r="R237" t="s">
        <v>733</v>
      </c>
      <c r="S237" t="s">
        <v>458</v>
      </c>
      <c r="T237">
        <v>8.5</v>
      </c>
      <c r="U237">
        <v>17</v>
      </c>
      <c r="V237">
        <v>65.84</v>
      </c>
      <c r="X237" s="86" t="str">
        <f t="shared" si="44"/>
        <v>182637Share Sub Loc Pao Quente SC Johnson</v>
      </c>
      <c r="Y237">
        <v>182637</v>
      </c>
      <c r="Z237" t="s">
        <v>366</v>
      </c>
      <c r="AA237" t="s">
        <v>36</v>
      </c>
      <c r="AB237" t="s">
        <v>103</v>
      </c>
      <c r="AC237" t="s">
        <v>819</v>
      </c>
      <c r="AD237" t="s">
        <v>820</v>
      </c>
      <c r="AE237" t="s">
        <v>458</v>
      </c>
      <c r="AF237">
        <v>12.75</v>
      </c>
      <c r="AG237">
        <v>17</v>
      </c>
      <c r="AH237">
        <v>79.09</v>
      </c>
      <c r="AJ237" s="86" t="str">
        <f t="shared" si="45"/>
        <v>182636Lancamentos</v>
      </c>
      <c r="AK237">
        <v>182636</v>
      </c>
      <c r="AL237" t="s">
        <v>349</v>
      </c>
      <c r="AM237" t="s">
        <v>36</v>
      </c>
      <c r="AN237" t="s">
        <v>103</v>
      </c>
      <c r="AO237" t="s">
        <v>939</v>
      </c>
      <c r="AP237" t="s">
        <v>940</v>
      </c>
      <c r="AQ237" t="s">
        <v>953</v>
      </c>
      <c r="AR237">
        <v>0</v>
      </c>
      <c r="AS237">
        <v>18</v>
      </c>
      <c r="AT237">
        <v>47.97</v>
      </c>
      <c r="AV237" s="86" t="str">
        <f t="shared" si="46"/>
        <v>182637Lancamentos</v>
      </c>
      <c r="AW237">
        <v>182637</v>
      </c>
      <c r="AX237" t="s">
        <v>366</v>
      </c>
      <c r="AY237" t="s">
        <v>36</v>
      </c>
      <c r="AZ237" t="s">
        <v>103</v>
      </c>
      <c r="BA237" t="s">
        <v>1113</v>
      </c>
      <c r="BB237" t="s">
        <v>1114</v>
      </c>
      <c r="BC237" t="s">
        <v>953</v>
      </c>
      <c r="BD237">
        <v>18</v>
      </c>
      <c r="BE237">
        <v>18</v>
      </c>
      <c r="BF237">
        <v>78.510000000000005</v>
      </c>
      <c r="BH237" s="86" t="str">
        <f t="shared" si="47"/>
        <v>178205Lancamentos</v>
      </c>
      <c r="BI237">
        <v>178205</v>
      </c>
      <c r="BJ237" t="s">
        <v>381</v>
      </c>
      <c r="BK237" t="s">
        <v>460</v>
      </c>
      <c r="BL237" t="s">
        <v>103</v>
      </c>
      <c r="BM237" t="s">
        <v>1258</v>
      </c>
      <c r="BN237" t="s">
        <v>1259</v>
      </c>
      <c r="BO237" t="s">
        <v>953</v>
      </c>
      <c r="BP237">
        <v>0</v>
      </c>
      <c r="BQ237">
        <v>18</v>
      </c>
      <c r="BR237">
        <v>60.02</v>
      </c>
      <c r="BT237" s="86" t="str">
        <f t="shared" si="36"/>
        <v>160950Lancamentos</v>
      </c>
      <c r="BU237">
        <v>160950</v>
      </c>
      <c r="BV237" t="s">
        <v>344</v>
      </c>
      <c r="BW237" t="s">
        <v>1306</v>
      </c>
      <c r="BX237" t="s">
        <v>103</v>
      </c>
      <c r="BY237" t="s">
        <v>1396</v>
      </c>
      <c r="BZ237" t="s">
        <v>1397</v>
      </c>
      <c r="CA237" t="s">
        <v>953</v>
      </c>
      <c r="CB237">
        <v>9</v>
      </c>
      <c r="CC237">
        <v>18</v>
      </c>
      <c r="CD237">
        <v>77.22</v>
      </c>
      <c r="CF237" s="86" t="str">
        <f t="shared" si="37"/>
        <v>166873Lancamentos</v>
      </c>
      <c r="CG237">
        <v>166873</v>
      </c>
      <c r="CH237" t="s">
        <v>345</v>
      </c>
      <c r="CI237" t="s">
        <v>1306</v>
      </c>
      <c r="CJ237" t="s">
        <v>103</v>
      </c>
      <c r="CK237" t="s">
        <v>1511</v>
      </c>
      <c r="CL237" t="s">
        <v>1512</v>
      </c>
      <c r="CM237" t="s">
        <v>953</v>
      </c>
      <c r="CN237">
        <v>18</v>
      </c>
      <c r="CO237">
        <v>18</v>
      </c>
      <c r="CP237">
        <v>101.8</v>
      </c>
      <c r="CR237" s="86" t="str">
        <f t="shared" si="38"/>
        <v>167265Lancamentos</v>
      </c>
      <c r="CS237">
        <v>167265</v>
      </c>
      <c r="CT237" t="s">
        <v>346</v>
      </c>
      <c r="CU237" t="s">
        <v>482</v>
      </c>
      <c r="CV237" t="s">
        <v>103</v>
      </c>
      <c r="CW237" t="s">
        <v>1562</v>
      </c>
      <c r="CX237" t="s">
        <v>1563</v>
      </c>
      <c r="CY237" t="s">
        <v>953</v>
      </c>
      <c r="CZ237">
        <v>18</v>
      </c>
      <c r="DA237">
        <v>18</v>
      </c>
      <c r="DB237">
        <v>76.400000000000006</v>
      </c>
      <c r="DD237" s="86" t="str">
        <f t="shared" si="39"/>
        <v>168551Mix + Intocáveis SC Johnson</v>
      </c>
      <c r="DE237">
        <v>168551</v>
      </c>
      <c r="DF237" t="s">
        <v>380</v>
      </c>
      <c r="DG237" t="s">
        <v>1345</v>
      </c>
      <c r="DH237" t="s">
        <v>103</v>
      </c>
      <c r="DI237" t="s">
        <v>1644</v>
      </c>
      <c r="DJ237" t="s">
        <v>1645</v>
      </c>
      <c r="DK237" t="s">
        <v>459</v>
      </c>
      <c r="DL237">
        <v>36.799999999999997</v>
      </c>
      <c r="DM237">
        <v>40</v>
      </c>
      <c r="DN237">
        <v>92.8</v>
      </c>
      <c r="DP237" s="86" t="str">
        <f t="shared" si="40"/>
        <v>168551Mix + Intocáveis SC Johnson</v>
      </c>
      <c r="DQ237">
        <v>168551</v>
      </c>
      <c r="DR237" t="s">
        <v>380</v>
      </c>
      <c r="DS237" t="s">
        <v>1345</v>
      </c>
      <c r="DT237" t="s">
        <v>103</v>
      </c>
      <c r="DU237" t="s">
        <v>1854</v>
      </c>
      <c r="DV237" t="s">
        <v>1855</v>
      </c>
      <c r="DW237" t="s">
        <v>459</v>
      </c>
      <c r="DX237">
        <v>36.799999999999997</v>
      </c>
      <c r="DY237">
        <v>40</v>
      </c>
      <c r="DZ237">
        <v>98.8</v>
      </c>
    </row>
    <row r="238" spans="1:130" x14ac:dyDescent="0.35">
      <c r="A238" s="86" t="str">
        <f t="shared" si="42"/>
        <v>182636Share Sub Loc Pao Quente SC Johnson</v>
      </c>
      <c r="B238">
        <v>182636</v>
      </c>
      <c r="C238" t="s">
        <v>349</v>
      </c>
      <c r="D238" t="s">
        <v>103</v>
      </c>
      <c r="E238" t="s">
        <v>582</v>
      </c>
      <c r="F238" t="s">
        <v>583</v>
      </c>
      <c r="G238" t="s">
        <v>458</v>
      </c>
      <c r="H238">
        <v>63.12</v>
      </c>
      <c r="I238">
        <v>10.199999999999999</v>
      </c>
      <c r="J238">
        <v>17</v>
      </c>
      <c r="L238" s="86" t="str">
        <f t="shared" si="43"/>
        <v>182636Mix + Intocáveis SC Johnson</v>
      </c>
      <c r="M238">
        <v>182636</v>
      </c>
      <c r="N238" t="s">
        <v>349</v>
      </c>
      <c r="O238" t="s">
        <v>36</v>
      </c>
      <c r="P238" t="s">
        <v>103</v>
      </c>
      <c r="Q238" t="s">
        <v>732</v>
      </c>
      <c r="R238" t="s">
        <v>733</v>
      </c>
      <c r="S238" t="s">
        <v>459</v>
      </c>
      <c r="T238">
        <v>23.625</v>
      </c>
      <c r="U238">
        <v>45</v>
      </c>
      <c r="V238">
        <v>65.84</v>
      </c>
      <c r="X238" s="86" t="str">
        <f t="shared" si="44"/>
        <v>182637Mix + Intocáveis SC Johnson</v>
      </c>
      <c r="Y238">
        <v>182637</v>
      </c>
      <c r="Z238" t="s">
        <v>366</v>
      </c>
      <c r="AA238" t="s">
        <v>36</v>
      </c>
      <c r="AB238" t="s">
        <v>103</v>
      </c>
      <c r="AC238" t="s">
        <v>819</v>
      </c>
      <c r="AD238" t="s">
        <v>820</v>
      </c>
      <c r="AE238" t="s">
        <v>459</v>
      </c>
      <c r="AF238">
        <v>32.625</v>
      </c>
      <c r="AG238">
        <v>45</v>
      </c>
      <c r="AH238">
        <v>79.09</v>
      </c>
      <c r="AJ238" s="86" t="str">
        <f t="shared" si="45"/>
        <v>182637Share Sub Category SC Johnson</v>
      </c>
      <c r="AK238">
        <v>182637</v>
      </c>
      <c r="AL238" t="s">
        <v>366</v>
      </c>
      <c r="AM238" t="s">
        <v>36</v>
      </c>
      <c r="AN238" t="s">
        <v>103</v>
      </c>
      <c r="AO238" t="s">
        <v>978</v>
      </c>
      <c r="AP238" t="s">
        <v>979</v>
      </c>
      <c r="AQ238" t="s">
        <v>457</v>
      </c>
      <c r="AR238">
        <v>25</v>
      </c>
      <c r="AS238">
        <v>25</v>
      </c>
      <c r="AT238">
        <v>64.819999999999993</v>
      </c>
      <c r="AV238" s="86" t="str">
        <f t="shared" si="46"/>
        <v>182638Share Sub Category SC Johnson</v>
      </c>
      <c r="AW238">
        <v>182638</v>
      </c>
      <c r="AX238" t="s">
        <v>399</v>
      </c>
      <c r="AY238" t="s">
        <v>36</v>
      </c>
      <c r="AZ238" t="s">
        <v>103</v>
      </c>
      <c r="BA238" t="s">
        <v>1115</v>
      </c>
      <c r="BB238" t="s">
        <v>1116</v>
      </c>
      <c r="BC238" t="s">
        <v>457</v>
      </c>
      <c r="BD238">
        <v>21.425000000000001</v>
      </c>
      <c r="BE238">
        <v>25</v>
      </c>
      <c r="BF238">
        <v>60.77</v>
      </c>
      <c r="BH238" s="86" t="str">
        <f t="shared" si="47"/>
        <v>181619Share Sub Category SC Johnson</v>
      </c>
      <c r="BI238">
        <v>181619</v>
      </c>
      <c r="BJ238" t="s">
        <v>382</v>
      </c>
      <c r="BK238" t="s">
        <v>1004</v>
      </c>
      <c r="BL238" t="s">
        <v>103</v>
      </c>
      <c r="BM238" t="s">
        <v>1211</v>
      </c>
      <c r="BN238" t="s">
        <v>1212</v>
      </c>
      <c r="BO238" t="s">
        <v>457</v>
      </c>
      <c r="BP238">
        <v>21.425000000000001</v>
      </c>
      <c r="BQ238">
        <v>25</v>
      </c>
      <c r="BR238">
        <v>75.27</v>
      </c>
      <c r="BT238" s="86" t="str">
        <f t="shared" si="36"/>
        <v>160950Mix + Intocáveis SC Johnson</v>
      </c>
      <c r="BU238">
        <v>160950</v>
      </c>
      <c r="BV238" t="s">
        <v>344</v>
      </c>
      <c r="BW238" t="s">
        <v>1306</v>
      </c>
      <c r="BX238" t="s">
        <v>103</v>
      </c>
      <c r="BY238" t="s">
        <v>1396</v>
      </c>
      <c r="BZ238" t="s">
        <v>1397</v>
      </c>
      <c r="CA238" t="s">
        <v>459</v>
      </c>
      <c r="CB238">
        <v>32.799999999999997</v>
      </c>
      <c r="CC238">
        <v>40</v>
      </c>
      <c r="CD238">
        <v>77.22</v>
      </c>
      <c r="CF238" s="86" t="str">
        <f t="shared" si="37"/>
        <v>166873Mix + Intocáveis SC Johnson</v>
      </c>
      <c r="CG238">
        <v>166873</v>
      </c>
      <c r="CH238" t="s">
        <v>345</v>
      </c>
      <c r="CI238" t="s">
        <v>1306</v>
      </c>
      <c r="CJ238" t="s">
        <v>103</v>
      </c>
      <c r="CK238" t="s">
        <v>1511</v>
      </c>
      <c r="CL238" t="s">
        <v>1512</v>
      </c>
      <c r="CM238" t="s">
        <v>459</v>
      </c>
      <c r="CN238">
        <v>36.799999999999997</v>
      </c>
      <c r="CO238">
        <v>40</v>
      </c>
      <c r="CP238">
        <v>101.8</v>
      </c>
      <c r="CR238" s="86" t="str">
        <f t="shared" si="38"/>
        <v>167265Mix + Intocáveis SC Johnson</v>
      </c>
      <c r="CS238">
        <v>167265</v>
      </c>
      <c r="CT238" t="s">
        <v>346</v>
      </c>
      <c r="CU238" t="s">
        <v>482</v>
      </c>
      <c r="CV238" t="s">
        <v>103</v>
      </c>
      <c r="CW238" t="s">
        <v>1562</v>
      </c>
      <c r="CX238" t="s">
        <v>1563</v>
      </c>
      <c r="CY238" t="s">
        <v>459</v>
      </c>
      <c r="CZ238">
        <v>14.4</v>
      </c>
      <c r="DA238">
        <v>40</v>
      </c>
      <c r="DB238">
        <v>76.400000000000006</v>
      </c>
      <c r="DD238" s="86" t="str">
        <f t="shared" si="39"/>
        <v>168551Execucao Bonus</v>
      </c>
      <c r="DE238">
        <v>168551</v>
      </c>
      <c r="DF238" t="s">
        <v>380</v>
      </c>
      <c r="DG238" t="s">
        <v>1345</v>
      </c>
      <c r="DH238" t="s">
        <v>103</v>
      </c>
      <c r="DI238" t="s">
        <v>1644</v>
      </c>
      <c r="DJ238" t="s">
        <v>1645</v>
      </c>
      <c r="DK238" t="s">
        <v>1291</v>
      </c>
      <c r="DL238">
        <v>5</v>
      </c>
      <c r="DM238">
        <v>5</v>
      </c>
      <c r="DN238">
        <v>92.8</v>
      </c>
      <c r="DP238" s="86" t="str">
        <f t="shared" si="40"/>
        <v>168551Execucao Bonus</v>
      </c>
      <c r="DQ238">
        <v>168551</v>
      </c>
      <c r="DR238" t="s">
        <v>380</v>
      </c>
      <c r="DS238" t="s">
        <v>1345</v>
      </c>
      <c r="DT238" t="s">
        <v>103</v>
      </c>
      <c r="DU238" t="s">
        <v>1854</v>
      </c>
      <c r="DV238" t="s">
        <v>1855</v>
      </c>
      <c r="DW238" t="s">
        <v>1291</v>
      </c>
      <c r="DX238">
        <v>5</v>
      </c>
      <c r="DY238">
        <v>5</v>
      </c>
      <c r="DZ238">
        <v>98.8</v>
      </c>
    </row>
    <row r="239" spans="1:130" x14ac:dyDescent="0.35">
      <c r="A239" s="86" t="str">
        <f t="shared" si="42"/>
        <v>182636Mix + Intocáveis SC Johnson</v>
      </c>
      <c r="B239">
        <v>182636</v>
      </c>
      <c r="C239" t="s">
        <v>349</v>
      </c>
      <c r="D239" t="s">
        <v>103</v>
      </c>
      <c r="E239" t="s">
        <v>582</v>
      </c>
      <c r="F239" t="s">
        <v>583</v>
      </c>
      <c r="G239" t="s">
        <v>459</v>
      </c>
      <c r="H239">
        <v>63.12</v>
      </c>
      <c r="I239">
        <v>31.5</v>
      </c>
      <c r="J239">
        <v>45</v>
      </c>
      <c r="L239" s="86" t="str">
        <f t="shared" si="43"/>
        <v>182637Share Sub Category SC Johnson</v>
      </c>
      <c r="M239">
        <v>182637</v>
      </c>
      <c r="N239" t="s">
        <v>366</v>
      </c>
      <c r="O239" t="s">
        <v>36</v>
      </c>
      <c r="P239" t="s">
        <v>103</v>
      </c>
      <c r="Q239" t="s">
        <v>734</v>
      </c>
      <c r="R239" t="s">
        <v>735</v>
      </c>
      <c r="S239" t="s">
        <v>457</v>
      </c>
      <c r="T239">
        <v>25.71</v>
      </c>
      <c r="U239">
        <v>30</v>
      </c>
      <c r="V239">
        <v>84.46</v>
      </c>
      <c r="X239" s="86" t="str">
        <f t="shared" si="44"/>
        <v>182638Share Sub Category SC Johnson</v>
      </c>
      <c r="Y239">
        <v>182638</v>
      </c>
      <c r="Z239" t="s">
        <v>399</v>
      </c>
      <c r="AA239" t="s">
        <v>36</v>
      </c>
      <c r="AB239" t="s">
        <v>103</v>
      </c>
      <c r="AC239" t="s">
        <v>769</v>
      </c>
      <c r="AD239" t="s">
        <v>770</v>
      </c>
      <c r="AE239" t="s">
        <v>457</v>
      </c>
      <c r="AF239">
        <v>21.42</v>
      </c>
      <c r="AG239">
        <v>30</v>
      </c>
      <c r="AH239">
        <v>66.92</v>
      </c>
      <c r="AJ239" s="86" t="str">
        <f t="shared" si="45"/>
        <v>182637Cross Merchan SC Johnson</v>
      </c>
      <c r="AK239">
        <v>182637</v>
      </c>
      <c r="AL239" t="s">
        <v>366</v>
      </c>
      <c r="AM239" t="s">
        <v>36</v>
      </c>
      <c r="AN239" t="s">
        <v>103</v>
      </c>
      <c r="AO239" t="s">
        <v>978</v>
      </c>
      <c r="AP239" t="s">
        <v>979</v>
      </c>
      <c r="AQ239" t="s">
        <v>111</v>
      </c>
      <c r="AR239">
        <v>2.5</v>
      </c>
      <c r="AS239">
        <v>5</v>
      </c>
      <c r="AT239">
        <v>64.819999999999993</v>
      </c>
      <c r="AV239" s="86" t="str">
        <f t="shared" si="46"/>
        <v>182638Cross Merchan SC Johnson</v>
      </c>
      <c r="AW239">
        <v>182638</v>
      </c>
      <c r="AX239" t="s">
        <v>399</v>
      </c>
      <c r="AY239" t="s">
        <v>36</v>
      </c>
      <c r="AZ239" t="s">
        <v>103</v>
      </c>
      <c r="BA239" t="s">
        <v>1115</v>
      </c>
      <c r="BB239" t="s">
        <v>1116</v>
      </c>
      <c r="BC239" t="s">
        <v>111</v>
      </c>
      <c r="BD239">
        <v>1.665</v>
      </c>
      <c r="BE239">
        <v>5</v>
      </c>
      <c r="BF239">
        <v>60.77</v>
      </c>
      <c r="BH239" s="86" t="str">
        <f t="shared" si="47"/>
        <v>181619Cross Merchan SC Johnson</v>
      </c>
      <c r="BI239">
        <v>181619</v>
      </c>
      <c r="BJ239" t="s">
        <v>382</v>
      </c>
      <c r="BK239" t="s">
        <v>1004</v>
      </c>
      <c r="BL239" t="s">
        <v>103</v>
      </c>
      <c r="BM239" t="s">
        <v>1211</v>
      </c>
      <c r="BN239" t="s">
        <v>1212</v>
      </c>
      <c r="BO239" t="s">
        <v>111</v>
      </c>
      <c r="BP239">
        <v>5</v>
      </c>
      <c r="BQ239">
        <v>5</v>
      </c>
      <c r="BR239">
        <v>75.27</v>
      </c>
      <c r="BT239" s="86" t="str">
        <f t="shared" si="36"/>
        <v>160950Share Sub Category SC Johnson</v>
      </c>
      <c r="BU239">
        <v>160950</v>
      </c>
      <c r="BV239" t="s">
        <v>344</v>
      </c>
      <c r="BW239" t="s">
        <v>1306</v>
      </c>
      <c r="BX239" t="s">
        <v>103</v>
      </c>
      <c r="BY239" t="s">
        <v>1396</v>
      </c>
      <c r="BZ239" t="s">
        <v>1397</v>
      </c>
      <c r="CA239" t="s">
        <v>457</v>
      </c>
      <c r="CB239">
        <v>21.425000000000001</v>
      </c>
      <c r="CC239">
        <v>25</v>
      </c>
      <c r="CD239">
        <v>77.22</v>
      </c>
      <c r="CF239" s="86" t="str">
        <f t="shared" si="37"/>
        <v>166873Share Sub Category SC Johnson</v>
      </c>
      <c r="CG239">
        <v>166873</v>
      </c>
      <c r="CH239" t="s">
        <v>345</v>
      </c>
      <c r="CI239" t="s">
        <v>1306</v>
      </c>
      <c r="CJ239" t="s">
        <v>103</v>
      </c>
      <c r="CK239" t="s">
        <v>1511</v>
      </c>
      <c r="CL239" t="s">
        <v>1512</v>
      </c>
      <c r="CM239" t="s">
        <v>457</v>
      </c>
      <c r="CN239">
        <v>25</v>
      </c>
      <c r="CO239">
        <v>25</v>
      </c>
      <c r="CP239">
        <v>101.8</v>
      </c>
      <c r="CR239" s="86" t="str">
        <f t="shared" si="38"/>
        <v>167265Share Sub Category SC Johnson</v>
      </c>
      <c r="CS239">
        <v>167265</v>
      </c>
      <c r="CT239" t="s">
        <v>346</v>
      </c>
      <c r="CU239" t="s">
        <v>482</v>
      </c>
      <c r="CV239" t="s">
        <v>103</v>
      </c>
      <c r="CW239" t="s">
        <v>1562</v>
      </c>
      <c r="CX239" t="s">
        <v>1563</v>
      </c>
      <c r="CY239" t="s">
        <v>457</v>
      </c>
      <c r="CZ239">
        <v>25</v>
      </c>
      <c r="DA239">
        <v>25</v>
      </c>
      <c r="DB239">
        <v>76.400000000000006</v>
      </c>
      <c r="DD239" s="86" t="str">
        <f t="shared" si="39"/>
        <v>168551Cross Merchan SC Johnson</v>
      </c>
      <c r="DE239">
        <v>168551</v>
      </c>
      <c r="DF239" t="s">
        <v>380</v>
      </c>
      <c r="DG239" t="s">
        <v>1345</v>
      </c>
      <c r="DH239" t="s">
        <v>103</v>
      </c>
      <c r="DI239" t="s">
        <v>1644</v>
      </c>
      <c r="DJ239" t="s">
        <v>1645</v>
      </c>
      <c r="DK239" t="s">
        <v>111</v>
      </c>
      <c r="DL239">
        <v>5</v>
      </c>
      <c r="DM239">
        <v>5</v>
      </c>
      <c r="DN239">
        <v>92.8</v>
      </c>
      <c r="DP239" s="86" t="str">
        <f t="shared" si="40"/>
        <v>168551Cross Merchan SC Johnson</v>
      </c>
      <c r="DQ239">
        <v>168551</v>
      </c>
      <c r="DR239" t="s">
        <v>380</v>
      </c>
      <c r="DS239" t="s">
        <v>1345</v>
      </c>
      <c r="DT239" t="s">
        <v>103</v>
      </c>
      <c r="DU239" t="s">
        <v>1854</v>
      </c>
      <c r="DV239" t="s">
        <v>1855</v>
      </c>
      <c r="DW239" t="s">
        <v>111</v>
      </c>
      <c r="DX239">
        <v>5</v>
      </c>
      <c r="DY239">
        <v>5</v>
      </c>
      <c r="DZ239">
        <v>98.8</v>
      </c>
    </row>
    <row r="240" spans="1:130" x14ac:dyDescent="0.35">
      <c r="A240" s="86" t="str">
        <f t="shared" si="42"/>
        <v>182637Share Sub Category SC Johnson</v>
      </c>
      <c r="B240">
        <v>182637</v>
      </c>
      <c r="C240" t="s">
        <v>366</v>
      </c>
      <c r="D240" t="s">
        <v>103</v>
      </c>
      <c r="E240" t="s">
        <v>584</v>
      </c>
      <c r="F240" t="s">
        <v>585</v>
      </c>
      <c r="G240" t="s">
        <v>457</v>
      </c>
      <c r="H240">
        <v>63.39</v>
      </c>
      <c r="I240">
        <v>30</v>
      </c>
      <c r="J240">
        <v>30</v>
      </c>
      <c r="L240" s="86" t="str">
        <f t="shared" si="43"/>
        <v>182637Cross Merchan SC Johnson</v>
      </c>
      <c r="M240">
        <v>182637</v>
      </c>
      <c r="N240" t="s">
        <v>366</v>
      </c>
      <c r="O240" t="s">
        <v>36</v>
      </c>
      <c r="P240" t="s">
        <v>103</v>
      </c>
      <c r="Q240" t="s">
        <v>734</v>
      </c>
      <c r="R240" t="s">
        <v>735</v>
      </c>
      <c r="S240" t="s">
        <v>111</v>
      </c>
      <c r="T240">
        <v>8</v>
      </c>
      <c r="U240">
        <v>8</v>
      </c>
      <c r="V240">
        <v>84.46</v>
      </c>
      <c r="X240" s="86" t="str">
        <f t="shared" si="44"/>
        <v>182638Cross Merchan SC Johnson</v>
      </c>
      <c r="Y240">
        <v>182638</v>
      </c>
      <c r="Z240" t="s">
        <v>399</v>
      </c>
      <c r="AA240" t="s">
        <v>36</v>
      </c>
      <c r="AB240" t="s">
        <v>103</v>
      </c>
      <c r="AC240" t="s">
        <v>769</v>
      </c>
      <c r="AD240" t="s">
        <v>770</v>
      </c>
      <c r="AE240" t="s">
        <v>111</v>
      </c>
      <c r="AF240">
        <v>8</v>
      </c>
      <c r="AG240">
        <v>8</v>
      </c>
      <c r="AH240">
        <v>66.92</v>
      </c>
      <c r="AJ240" s="86" t="str">
        <f t="shared" si="45"/>
        <v>182637Share Sub Loc Pao Quente SC Johnson</v>
      </c>
      <c r="AK240">
        <v>182637</v>
      </c>
      <c r="AL240" t="s">
        <v>366</v>
      </c>
      <c r="AM240" t="s">
        <v>36</v>
      </c>
      <c r="AN240" t="s">
        <v>103</v>
      </c>
      <c r="AO240" t="s">
        <v>978</v>
      </c>
      <c r="AP240" t="s">
        <v>979</v>
      </c>
      <c r="AQ240" t="s">
        <v>458</v>
      </c>
      <c r="AR240">
        <v>6</v>
      </c>
      <c r="AS240">
        <v>12</v>
      </c>
      <c r="AT240">
        <v>64.819999999999993</v>
      </c>
      <c r="AV240" s="86" t="str">
        <f t="shared" si="46"/>
        <v>182638Share Sub Loc Pao Quente SC Johnson</v>
      </c>
      <c r="AW240">
        <v>182638</v>
      </c>
      <c r="AX240" t="s">
        <v>399</v>
      </c>
      <c r="AY240" t="s">
        <v>36</v>
      </c>
      <c r="AZ240" t="s">
        <v>103</v>
      </c>
      <c r="BA240" t="s">
        <v>1115</v>
      </c>
      <c r="BB240" t="s">
        <v>1116</v>
      </c>
      <c r="BC240" t="s">
        <v>458</v>
      </c>
      <c r="BD240">
        <v>9</v>
      </c>
      <c r="BE240">
        <v>12</v>
      </c>
      <c r="BF240">
        <v>60.77</v>
      </c>
      <c r="BH240" s="86" t="str">
        <f t="shared" si="47"/>
        <v>181619Share Sub Loc Pao Quente SC Johnson</v>
      </c>
      <c r="BI240">
        <v>181619</v>
      </c>
      <c r="BJ240" t="s">
        <v>382</v>
      </c>
      <c r="BK240" t="s">
        <v>1004</v>
      </c>
      <c r="BL240" t="s">
        <v>103</v>
      </c>
      <c r="BM240" t="s">
        <v>1211</v>
      </c>
      <c r="BN240" t="s">
        <v>1212</v>
      </c>
      <c r="BO240" t="s">
        <v>458</v>
      </c>
      <c r="BP240">
        <v>3</v>
      </c>
      <c r="BQ240">
        <v>12</v>
      </c>
      <c r="BR240">
        <v>75.27</v>
      </c>
      <c r="BT240" s="86" t="str">
        <f t="shared" si="36"/>
        <v>160950Share Sub Loc Pao Quente SC Johnson</v>
      </c>
      <c r="BU240">
        <v>160950</v>
      </c>
      <c r="BV240" t="s">
        <v>344</v>
      </c>
      <c r="BW240" t="s">
        <v>1306</v>
      </c>
      <c r="BX240" t="s">
        <v>103</v>
      </c>
      <c r="BY240" t="s">
        <v>1396</v>
      </c>
      <c r="BZ240" t="s">
        <v>1397</v>
      </c>
      <c r="CA240" t="s">
        <v>458</v>
      </c>
      <c r="CB240">
        <v>9</v>
      </c>
      <c r="CC240">
        <v>12</v>
      </c>
      <c r="CD240">
        <v>77.22</v>
      </c>
      <c r="CF240" s="86" t="str">
        <f t="shared" si="37"/>
        <v>166873Share Sub Loc Pao Quente SC Johnson</v>
      </c>
      <c r="CG240">
        <v>166873</v>
      </c>
      <c r="CH240" t="s">
        <v>345</v>
      </c>
      <c r="CI240" t="s">
        <v>1306</v>
      </c>
      <c r="CJ240" t="s">
        <v>103</v>
      </c>
      <c r="CK240" t="s">
        <v>1511</v>
      </c>
      <c r="CL240" t="s">
        <v>1512</v>
      </c>
      <c r="CM240" t="s">
        <v>458</v>
      </c>
      <c r="CN240">
        <v>12</v>
      </c>
      <c r="CO240">
        <v>12</v>
      </c>
      <c r="CP240">
        <v>101.8</v>
      </c>
      <c r="CR240" s="86" t="str">
        <f t="shared" si="38"/>
        <v>167265Share Sub Loc Pao Quente SC Johnson</v>
      </c>
      <c r="CS240">
        <v>167265</v>
      </c>
      <c r="CT240" t="s">
        <v>346</v>
      </c>
      <c r="CU240" t="s">
        <v>482</v>
      </c>
      <c r="CV240" t="s">
        <v>103</v>
      </c>
      <c r="CW240" t="s">
        <v>1562</v>
      </c>
      <c r="CX240" t="s">
        <v>1563</v>
      </c>
      <c r="CY240" t="s">
        <v>458</v>
      </c>
      <c r="CZ240">
        <v>9</v>
      </c>
      <c r="DA240">
        <v>12</v>
      </c>
      <c r="DB240">
        <v>76.400000000000006</v>
      </c>
      <c r="DD240" s="86" t="str">
        <f t="shared" si="39"/>
        <v>168551Lancamentos</v>
      </c>
      <c r="DE240">
        <v>168551</v>
      </c>
      <c r="DF240" t="s">
        <v>380</v>
      </c>
      <c r="DG240" t="s">
        <v>1345</v>
      </c>
      <c r="DH240" t="s">
        <v>103</v>
      </c>
      <c r="DI240" t="s">
        <v>1644</v>
      </c>
      <c r="DJ240" t="s">
        <v>1645</v>
      </c>
      <c r="DK240" t="s">
        <v>953</v>
      </c>
      <c r="DL240">
        <v>9</v>
      </c>
      <c r="DM240">
        <v>18</v>
      </c>
      <c r="DN240">
        <v>92.8</v>
      </c>
      <c r="DP240" s="86" t="str">
        <f t="shared" si="40"/>
        <v>168551Lancamentos</v>
      </c>
      <c r="DQ240">
        <v>168551</v>
      </c>
      <c r="DR240" t="s">
        <v>380</v>
      </c>
      <c r="DS240" t="s">
        <v>1345</v>
      </c>
      <c r="DT240" t="s">
        <v>103</v>
      </c>
      <c r="DU240" t="s">
        <v>1854</v>
      </c>
      <c r="DV240" t="s">
        <v>1855</v>
      </c>
      <c r="DW240" t="s">
        <v>953</v>
      </c>
      <c r="DX240">
        <v>18</v>
      </c>
      <c r="DY240">
        <v>18</v>
      </c>
      <c r="DZ240">
        <v>98.8</v>
      </c>
    </row>
    <row r="241" spans="1:130" x14ac:dyDescent="0.35">
      <c r="A241" s="86" t="str">
        <f t="shared" si="42"/>
        <v>182637Cross Merchan SC Johnson</v>
      </c>
      <c r="B241">
        <v>182637</v>
      </c>
      <c r="C241" t="s">
        <v>366</v>
      </c>
      <c r="D241" t="s">
        <v>103</v>
      </c>
      <c r="E241" t="s">
        <v>584</v>
      </c>
      <c r="F241" t="s">
        <v>585</v>
      </c>
      <c r="G241" t="s">
        <v>111</v>
      </c>
      <c r="H241">
        <v>63.39</v>
      </c>
      <c r="I241">
        <v>8</v>
      </c>
      <c r="J241">
        <v>8</v>
      </c>
      <c r="L241" s="86" t="str">
        <f t="shared" si="43"/>
        <v>182637Share Sub Loc Pao Quente SC Johnson</v>
      </c>
      <c r="M241">
        <v>182637</v>
      </c>
      <c r="N241" t="s">
        <v>366</v>
      </c>
      <c r="O241" t="s">
        <v>36</v>
      </c>
      <c r="P241" t="s">
        <v>103</v>
      </c>
      <c r="Q241" t="s">
        <v>734</v>
      </c>
      <c r="R241" t="s">
        <v>735</v>
      </c>
      <c r="S241" t="s">
        <v>458</v>
      </c>
      <c r="T241">
        <v>17</v>
      </c>
      <c r="U241">
        <v>17</v>
      </c>
      <c r="V241">
        <v>84.46</v>
      </c>
      <c r="X241" s="86" t="str">
        <f t="shared" si="44"/>
        <v>182638Share Sub Loc Pao Quente SC Johnson</v>
      </c>
      <c r="Y241">
        <v>182638</v>
      </c>
      <c r="Z241" t="s">
        <v>399</v>
      </c>
      <c r="AA241" t="s">
        <v>36</v>
      </c>
      <c r="AB241" t="s">
        <v>103</v>
      </c>
      <c r="AC241" t="s">
        <v>769</v>
      </c>
      <c r="AD241" t="s">
        <v>770</v>
      </c>
      <c r="AE241" t="s">
        <v>458</v>
      </c>
      <c r="AF241">
        <v>12.75</v>
      </c>
      <c r="AG241">
        <v>17</v>
      </c>
      <c r="AH241">
        <v>66.92</v>
      </c>
      <c r="AJ241" s="86" t="str">
        <f t="shared" si="45"/>
        <v>182637Mix + Intocáveis SC Johnson</v>
      </c>
      <c r="AK241">
        <v>182637</v>
      </c>
      <c r="AL241" t="s">
        <v>366</v>
      </c>
      <c r="AM241" t="s">
        <v>36</v>
      </c>
      <c r="AN241" t="s">
        <v>103</v>
      </c>
      <c r="AO241" t="s">
        <v>978</v>
      </c>
      <c r="AP241" t="s">
        <v>979</v>
      </c>
      <c r="AQ241" t="s">
        <v>459</v>
      </c>
      <c r="AR241">
        <v>31.32</v>
      </c>
      <c r="AS241">
        <v>40</v>
      </c>
      <c r="AT241">
        <v>64.819999999999993</v>
      </c>
      <c r="AV241" s="86" t="str">
        <f t="shared" si="46"/>
        <v>182638Mix + Intocáveis SC Johnson</v>
      </c>
      <c r="AW241">
        <v>182638</v>
      </c>
      <c r="AX241" t="s">
        <v>399</v>
      </c>
      <c r="AY241" t="s">
        <v>36</v>
      </c>
      <c r="AZ241" t="s">
        <v>103</v>
      </c>
      <c r="BA241" t="s">
        <v>1115</v>
      </c>
      <c r="BB241" t="s">
        <v>1116</v>
      </c>
      <c r="BC241" t="s">
        <v>459</v>
      </c>
      <c r="BD241">
        <v>28.68</v>
      </c>
      <c r="BE241">
        <v>40</v>
      </c>
      <c r="BF241">
        <v>60.77</v>
      </c>
      <c r="BH241" s="86" t="str">
        <f t="shared" si="47"/>
        <v>181619Mix + Intocáveis SC Johnson</v>
      </c>
      <c r="BI241">
        <v>181619</v>
      </c>
      <c r="BJ241" t="s">
        <v>382</v>
      </c>
      <c r="BK241" t="s">
        <v>1004</v>
      </c>
      <c r="BL241" t="s">
        <v>103</v>
      </c>
      <c r="BM241" t="s">
        <v>1211</v>
      </c>
      <c r="BN241" t="s">
        <v>1212</v>
      </c>
      <c r="BO241" t="s">
        <v>459</v>
      </c>
      <c r="BP241">
        <v>27.84</v>
      </c>
      <c r="BQ241">
        <v>40</v>
      </c>
      <c r="BR241">
        <v>75.27</v>
      </c>
      <c r="BT241" s="86" t="str">
        <f t="shared" si="36"/>
        <v>160950Cross Merchan SC Johnson</v>
      </c>
      <c r="BU241">
        <v>160950</v>
      </c>
      <c r="BV241" t="s">
        <v>344</v>
      </c>
      <c r="BW241" t="s">
        <v>1306</v>
      </c>
      <c r="BX241" t="s">
        <v>103</v>
      </c>
      <c r="BY241" t="s">
        <v>1396</v>
      </c>
      <c r="BZ241" t="s">
        <v>1397</v>
      </c>
      <c r="CA241" t="s">
        <v>111</v>
      </c>
      <c r="CB241">
        <v>5</v>
      </c>
      <c r="CC241">
        <v>5</v>
      </c>
      <c r="CD241">
        <v>77.22</v>
      </c>
      <c r="CF241" s="86" t="str">
        <f t="shared" si="37"/>
        <v>166873Cross Merchan SC Johnson</v>
      </c>
      <c r="CG241">
        <v>166873</v>
      </c>
      <c r="CH241" t="s">
        <v>345</v>
      </c>
      <c r="CI241" t="s">
        <v>1306</v>
      </c>
      <c r="CJ241" t="s">
        <v>103</v>
      </c>
      <c r="CK241" t="s">
        <v>1511</v>
      </c>
      <c r="CL241" t="s">
        <v>1512</v>
      </c>
      <c r="CM241" t="s">
        <v>111</v>
      </c>
      <c r="CN241">
        <v>5</v>
      </c>
      <c r="CO241">
        <v>5</v>
      </c>
      <c r="CP241">
        <v>101.8</v>
      </c>
      <c r="CR241" s="86" t="str">
        <f t="shared" si="38"/>
        <v>167265Cross Merchan SC Johnson</v>
      </c>
      <c r="CS241">
        <v>167265</v>
      </c>
      <c r="CT241" t="s">
        <v>346</v>
      </c>
      <c r="CU241" t="s">
        <v>482</v>
      </c>
      <c r="CV241" t="s">
        <v>103</v>
      </c>
      <c r="CW241" t="s">
        <v>1562</v>
      </c>
      <c r="CX241" t="s">
        <v>1563</v>
      </c>
      <c r="CY241" t="s">
        <v>111</v>
      </c>
      <c r="CZ241">
        <v>5</v>
      </c>
      <c r="DA241">
        <v>5</v>
      </c>
      <c r="DB241">
        <v>76.400000000000006</v>
      </c>
      <c r="DD241" s="86" t="str">
        <f t="shared" si="39"/>
        <v>168551Share Sub Category SC Johnson</v>
      </c>
      <c r="DE241">
        <v>168551</v>
      </c>
      <c r="DF241" t="s">
        <v>380</v>
      </c>
      <c r="DG241" t="s">
        <v>1345</v>
      </c>
      <c r="DH241" t="s">
        <v>103</v>
      </c>
      <c r="DI241" t="s">
        <v>1644</v>
      </c>
      <c r="DJ241" t="s">
        <v>1645</v>
      </c>
      <c r="DK241" t="s">
        <v>457</v>
      </c>
      <c r="DL241">
        <v>25</v>
      </c>
      <c r="DM241">
        <v>25</v>
      </c>
      <c r="DN241">
        <v>92.8</v>
      </c>
      <c r="DP241" s="86" t="str">
        <f t="shared" si="40"/>
        <v>168551Share Sub Category SC Johnson</v>
      </c>
      <c r="DQ241">
        <v>168551</v>
      </c>
      <c r="DR241" t="s">
        <v>380</v>
      </c>
      <c r="DS241" t="s">
        <v>1345</v>
      </c>
      <c r="DT241" t="s">
        <v>103</v>
      </c>
      <c r="DU241" t="s">
        <v>1854</v>
      </c>
      <c r="DV241" t="s">
        <v>1855</v>
      </c>
      <c r="DW241" t="s">
        <v>457</v>
      </c>
      <c r="DX241">
        <v>25</v>
      </c>
      <c r="DY241">
        <v>25</v>
      </c>
      <c r="DZ241">
        <v>98.8</v>
      </c>
    </row>
    <row r="242" spans="1:130" x14ac:dyDescent="0.35">
      <c r="A242" s="86" t="str">
        <f t="shared" si="42"/>
        <v>182637Share Sub Loc Pao Quente SC Johnson</v>
      </c>
      <c r="B242">
        <v>182637</v>
      </c>
      <c r="C242" t="s">
        <v>366</v>
      </c>
      <c r="D242" t="s">
        <v>103</v>
      </c>
      <c r="E242" t="s">
        <v>584</v>
      </c>
      <c r="F242" t="s">
        <v>585</v>
      </c>
      <c r="G242" t="s">
        <v>458</v>
      </c>
      <c r="H242">
        <v>63.39</v>
      </c>
      <c r="I242">
        <v>10.199999999999999</v>
      </c>
      <c r="J242">
        <v>17</v>
      </c>
      <c r="L242" s="86" t="str">
        <f t="shared" si="43"/>
        <v>182637Mix + Intocáveis SC Johnson</v>
      </c>
      <c r="M242">
        <v>182637</v>
      </c>
      <c r="N242" t="s">
        <v>366</v>
      </c>
      <c r="O242" t="s">
        <v>36</v>
      </c>
      <c r="P242" t="s">
        <v>103</v>
      </c>
      <c r="Q242" t="s">
        <v>734</v>
      </c>
      <c r="R242" t="s">
        <v>735</v>
      </c>
      <c r="S242" t="s">
        <v>459</v>
      </c>
      <c r="T242">
        <v>33.75</v>
      </c>
      <c r="U242">
        <v>45</v>
      </c>
      <c r="V242">
        <v>84.46</v>
      </c>
      <c r="X242" s="86" t="str">
        <f t="shared" si="44"/>
        <v>182638Mix + Intocáveis SC Johnson</v>
      </c>
      <c r="Y242">
        <v>182638</v>
      </c>
      <c r="Z242" t="s">
        <v>399</v>
      </c>
      <c r="AA242" t="s">
        <v>36</v>
      </c>
      <c r="AB242" t="s">
        <v>103</v>
      </c>
      <c r="AC242" t="s">
        <v>769</v>
      </c>
      <c r="AD242" t="s">
        <v>770</v>
      </c>
      <c r="AE242" t="s">
        <v>459</v>
      </c>
      <c r="AF242">
        <v>24.75</v>
      </c>
      <c r="AG242">
        <v>45</v>
      </c>
      <c r="AH242">
        <v>66.92</v>
      </c>
      <c r="AJ242" s="86" t="str">
        <f t="shared" si="45"/>
        <v>182637Lancamentos</v>
      </c>
      <c r="AK242">
        <v>182637</v>
      </c>
      <c r="AL242" t="s">
        <v>366</v>
      </c>
      <c r="AM242" t="s">
        <v>36</v>
      </c>
      <c r="AN242" t="s">
        <v>103</v>
      </c>
      <c r="AO242" t="s">
        <v>978</v>
      </c>
      <c r="AP242" t="s">
        <v>979</v>
      </c>
      <c r="AQ242" t="s">
        <v>953</v>
      </c>
      <c r="AR242">
        <v>0</v>
      </c>
      <c r="AS242">
        <v>18</v>
      </c>
      <c r="AT242">
        <v>64.819999999999993</v>
      </c>
      <c r="AV242" s="86" t="str">
        <f t="shared" si="46"/>
        <v>182638Lancamentos</v>
      </c>
      <c r="AW242">
        <v>182638</v>
      </c>
      <c r="AX242" t="s">
        <v>399</v>
      </c>
      <c r="AY242" t="s">
        <v>36</v>
      </c>
      <c r="AZ242" t="s">
        <v>103</v>
      </c>
      <c r="BA242" t="s">
        <v>1115</v>
      </c>
      <c r="BB242" t="s">
        <v>1116</v>
      </c>
      <c r="BC242" t="s">
        <v>953</v>
      </c>
      <c r="BD242">
        <v>0</v>
      </c>
      <c r="BE242">
        <v>18</v>
      </c>
      <c r="BF242">
        <v>60.77</v>
      </c>
      <c r="BH242" s="86" t="str">
        <f t="shared" si="47"/>
        <v>181619Lancamentos</v>
      </c>
      <c r="BI242">
        <v>181619</v>
      </c>
      <c r="BJ242" t="s">
        <v>382</v>
      </c>
      <c r="BK242" t="s">
        <v>1004</v>
      </c>
      <c r="BL242" t="s">
        <v>103</v>
      </c>
      <c r="BM242" t="s">
        <v>1211</v>
      </c>
      <c r="BN242" t="s">
        <v>1212</v>
      </c>
      <c r="BO242" t="s">
        <v>953</v>
      </c>
      <c r="BP242">
        <v>18</v>
      </c>
      <c r="BQ242">
        <v>18</v>
      </c>
      <c r="BR242">
        <v>75.27</v>
      </c>
      <c r="BT242" s="86" t="str">
        <f t="shared" si="36"/>
        <v>160950Execucao Bonus</v>
      </c>
      <c r="BU242">
        <v>160950</v>
      </c>
      <c r="BV242" t="s">
        <v>344</v>
      </c>
      <c r="BW242" t="s">
        <v>1306</v>
      </c>
      <c r="BX242" t="s">
        <v>103</v>
      </c>
      <c r="BY242" t="s">
        <v>1396</v>
      </c>
      <c r="BZ242" t="s">
        <v>1397</v>
      </c>
      <c r="CA242" t="s">
        <v>1291</v>
      </c>
      <c r="CB242">
        <v>0</v>
      </c>
      <c r="CC242">
        <v>5</v>
      </c>
      <c r="CD242">
        <v>77.22</v>
      </c>
      <c r="CF242" s="86" t="str">
        <f t="shared" si="37"/>
        <v>166873Execucao Bonus</v>
      </c>
      <c r="CG242">
        <v>166873</v>
      </c>
      <c r="CH242" t="s">
        <v>345</v>
      </c>
      <c r="CI242" t="s">
        <v>1306</v>
      </c>
      <c r="CJ242" t="s">
        <v>103</v>
      </c>
      <c r="CK242" t="s">
        <v>1511</v>
      </c>
      <c r="CL242" t="s">
        <v>1512</v>
      </c>
      <c r="CM242" t="s">
        <v>1291</v>
      </c>
      <c r="CN242">
        <v>3.2</v>
      </c>
      <c r="CO242">
        <v>5</v>
      </c>
      <c r="CP242">
        <v>101.8</v>
      </c>
      <c r="CR242" s="86" t="str">
        <f t="shared" si="38"/>
        <v>167265Execucao Bonus</v>
      </c>
      <c r="CS242">
        <v>167265</v>
      </c>
      <c r="CT242" t="s">
        <v>346</v>
      </c>
      <c r="CU242" t="s">
        <v>482</v>
      </c>
      <c r="CV242" t="s">
        <v>103</v>
      </c>
      <c r="CW242" t="s">
        <v>1562</v>
      </c>
      <c r="CX242" t="s">
        <v>1563</v>
      </c>
      <c r="CY242" t="s">
        <v>1291</v>
      </c>
      <c r="CZ242">
        <v>5</v>
      </c>
      <c r="DA242">
        <v>5</v>
      </c>
      <c r="DB242">
        <v>76.400000000000006</v>
      </c>
      <c r="DD242" s="86" t="str">
        <f t="shared" si="39"/>
        <v>168551Share Sub Loc Pao Quente SC Johnson</v>
      </c>
      <c r="DE242">
        <v>168551</v>
      </c>
      <c r="DF242" t="s">
        <v>380</v>
      </c>
      <c r="DG242" t="s">
        <v>1345</v>
      </c>
      <c r="DH242" t="s">
        <v>103</v>
      </c>
      <c r="DI242" t="s">
        <v>1644</v>
      </c>
      <c r="DJ242" t="s">
        <v>1645</v>
      </c>
      <c r="DK242" t="s">
        <v>458</v>
      </c>
      <c r="DL242">
        <v>12</v>
      </c>
      <c r="DM242">
        <v>12</v>
      </c>
      <c r="DN242">
        <v>92.8</v>
      </c>
      <c r="DP242" s="86" t="str">
        <f t="shared" si="40"/>
        <v>168551Share Sub Loc Pao Quente SC Johnson</v>
      </c>
      <c r="DQ242">
        <v>168551</v>
      </c>
      <c r="DR242" t="s">
        <v>380</v>
      </c>
      <c r="DS242" t="s">
        <v>1345</v>
      </c>
      <c r="DT242" t="s">
        <v>103</v>
      </c>
      <c r="DU242" t="s">
        <v>1854</v>
      </c>
      <c r="DV242" t="s">
        <v>1855</v>
      </c>
      <c r="DW242" t="s">
        <v>458</v>
      </c>
      <c r="DX242">
        <v>9</v>
      </c>
      <c r="DY242">
        <v>12</v>
      </c>
      <c r="DZ242">
        <v>98.8</v>
      </c>
    </row>
    <row r="243" spans="1:130" x14ac:dyDescent="0.35">
      <c r="A243" s="86" t="str">
        <f t="shared" si="42"/>
        <v>182637Mix + Intocáveis SC Johnson</v>
      </c>
      <c r="B243">
        <v>182637</v>
      </c>
      <c r="C243" t="s">
        <v>366</v>
      </c>
      <c r="D243" t="s">
        <v>103</v>
      </c>
      <c r="E243" t="s">
        <v>584</v>
      </c>
      <c r="F243" t="s">
        <v>585</v>
      </c>
      <c r="G243" t="s">
        <v>459</v>
      </c>
      <c r="H243">
        <v>63.39</v>
      </c>
      <c r="I243">
        <v>15.1875</v>
      </c>
      <c r="J243">
        <v>45</v>
      </c>
      <c r="L243" s="86" t="str">
        <f t="shared" si="43"/>
        <v>182640Share Sub Category SC Johnson</v>
      </c>
      <c r="M243">
        <v>182640</v>
      </c>
      <c r="N243" t="s">
        <v>351</v>
      </c>
      <c r="O243" t="s">
        <v>36</v>
      </c>
      <c r="P243" t="s">
        <v>103</v>
      </c>
      <c r="Q243" t="s">
        <v>736</v>
      </c>
      <c r="R243" t="s">
        <v>737</v>
      </c>
      <c r="S243" t="s">
        <v>457</v>
      </c>
      <c r="T243">
        <v>25.71</v>
      </c>
      <c r="U243">
        <v>30</v>
      </c>
      <c r="V243">
        <v>80.209999999999994</v>
      </c>
      <c r="X243" s="86" t="str">
        <f t="shared" si="44"/>
        <v>182639Share Sub Category SC Johnson</v>
      </c>
      <c r="Y243">
        <v>182639</v>
      </c>
      <c r="Z243" t="s">
        <v>350</v>
      </c>
      <c r="AA243" t="s">
        <v>36</v>
      </c>
      <c r="AB243" t="s">
        <v>103</v>
      </c>
      <c r="AC243" t="s">
        <v>771</v>
      </c>
      <c r="AD243" t="s">
        <v>772</v>
      </c>
      <c r="AE243" t="s">
        <v>457</v>
      </c>
      <c r="AF243">
        <v>21.42</v>
      </c>
      <c r="AG243">
        <v>30</v>
      </c>
      <c r="AH243">
        <v>56.23</v>
      </c>
      <c r="AJ243" s="86" t="str">
        <f t="shared" si="45"/>
        <v>182638Share Sub Category SC Johnson</v>
      </c>
      <c r="AK243">
        <v>182638</v>
      </c>
      <c r="AL243" t="s">
        <v>399</v>
      </c>
      <c r="AM243" t="s">
        <v>36</v>
      </c>
      <c r="AN243" t="s">
        <v>103</v>
      </c>
      <c r="AO243" t="s">
        <v>1002</v>
      </c>
      <c r="AP243" t="s">
        <v>1003</v>
      </c>
      <c r="AQ243" t="s">
        <v>457</v>
      </c>
      <c r="AR243">
        <v>25</v>
      </c>
      <c r="AS243">
        <v>25</v>
      </c>
      <c r="AT243">
        <v>60.46</v>
      </c>
      <c r="AV243" s="86" t="str">
        <f t="shared" si="46"/>
        <v>182640Share Sub Category SC Johnson</v>
      </c>
      <c r="AW243">
        <v>182640</v>
      </c>
      <c r="AX243" t="s">
        <v>351</v>
      </c>
      <c r="AY243" t="s">
        <v>36</v>
      </c>
      <c r="AZ243" t="s">
        <v>103</v>
      </c>
      <c r="BA243" t="s">
        <v>1117</v>
      </c>
      <c r="BB243" t="s">
        <v>1118</v>
      </c>
      <c r="BC243" t="s">
        <v>457</v>
      </c>
      <c r="BD243">
        <v>25</v>
      </c>
      <c r="BE243">
        <v>25</v>
      </c>
      <c r="BF243">
        <v>66.59</v>
      </c>
      <c r="BH243" s="86" t="str">
        <f t="shared" si="47"/>
        <v>181800Share Sub Category SC Johnson</v>
      </c>
      <c r="BI243">
        <v>181800</v>
      </c>
      <c r="BJ243" t="s">
        <v>348</v>
      </c>
      <c r="BK243" t="s">
        <v>477</v>
      </c>
      <c r="BL243" t="s">
        <v>103</v>
      </c>
      <c r="BM243" t="s">
        <v>1270</v>
      </c>
      <c r="BN243" t="s">
        <v>1271</v>
      </c>
      <c r="BO243" t="s">
        <v>457</v>
      </c>
      <c r="BP243">
        <v>21.425000000000001</v>
      </c>
      <c r="BQ243">
        <v>25</v>
      </c>
      <c r="BR243">
        <v>55.57</v>
      </c>
      <c r="BT243" s="86" t="str">
        <f t="shared" si="36"/>
        <v>164006Lancamentos</v>
      </c>
      <c r="BU243">
        <v>164006</v>
      </c>
      <c r="BV243" t="s">
        <v>395</v>
      </c>
      <c r="BW243" t="s">
        <v>482</v>
      </c>
      <c r="BX243" t="s">
        <v>103</v>
      </c>
      <c r="BY243" t="s">
        <v>1281</v>
      </c>
      <c r="BZ243" t="s">
        <v>1282</v>
      </c>
      <c r="CA243" t="s">
        <v>953</v>
      </c>
      <c r="CB243">
        <v>9</v>
      </c>
      <c r="CC243">
        <v>18</v>
      </c>
      <c r="CD243">
        <v>77.400000000000006</v>
      </c>
      <c r="CF243" s="86" t="str">
        <f t="shared" si="37"/>
        <v>167265Lancamentos</v>
      </c>
      <c r="CG243">
        <v>167265</v>
      </c>
      <c r="CH243" t="s">
        <v>346</v>
      </c>
      <c r="CI243" t="s">
        <v>482</v>
      </c>
      <c r="CJ243" t="s">
        <v>103</v>
      </c>
      <c r="CK243" t="s">
        <v>1501</v>
      </c>
      <c r="CL243" t="s">
        <v>1502</v>
      </c>
      <c r="CM243" t="s">
        <v>953</v>
      </c>
      <c r="CN243">
        <v>18</v>
      </c>
      <c r="CO243">
        <v>18</v>
      </c>
      <c r="CP243">
        <v>92.62</v>
      </c>
      <c r="CR243" s="86" t="str">
        <f t="shared" si="38"/>
        <v>168551Lancamentos</v>
      </c>
      <c r="CS243">
        <v>168551</v>
      </c>
      <c r="CT243" t="s">
        <v>380</v>
      </c>
      <c r="CU243" t="s">
        <v>1345</v>
      </c>
      <c r="CV243" t="s">
        <v>103</v>
      </c>
      <c r="CW243" t="s">
        <v>1527</v>
      </c>
      <c r="CX243" t="s">
        <v>1528</v>
      </c>
      <c r="CY243" t="s">
        <v>953</v>
      </c>
      <c r="CZ243">
        <v>18</v>
      </c>
      <c r="DA243">
        <v>18</v>
      </c>
      <c r="DB243">
        <v>102.6</v>
      </c>
      <c r="DD243" s="86" t="str">
        <f t="shared" si="39"/>
        <v>169868Mix + Intocáveis SC Johnson</v>
      </c>
      <c r="DE243">
        <v>169868</v>
      </c>
      <c r="DF243" t="s">
        <v>396</v>
      </c>
      <c r="DG243" t="s">
        <v>1306</v>
      </c>
      <c r="DH243" t="s">
        <v>103</v>
      </c>
      <c r="DI243" t="s">
        <v>1722</v>
      </c>
      <c r="DJ243" t="s">
        <v>1723</v>
      </c>
      <c r="DK243" t="s">
        <v>459</v>
      </c>
      <c r="DL243">
        <v>39.200000000000003</v>
      </c>
      <c r="DM243">
        <v>40</v>
      </c>
      <c r="DN243">
        <v>88.62</v>
      </c>
      <c r="DP243" s="86" t="str">
        <f t="shared" si="40"/>
        <v>169868Mix + Intocáveis SC Johnson</v>
      </c>
      <c r="DQ243">
        <v>169868</v>
      </c>
      <c r="DR243" t="s">
        <v>396</v>
      </c>
      <c r="DS243" t="s">
        <v>1306</v>
      </c>
      <c r="DT243" t="s">
        <v>103</v>
      </c>
      <c r="DU243" t="s">
        <v>1782</v>
      </c>
      <c r="DV243" t="s">
        <v>1783</v>
      </c>
      <c r="DW243" t="s">
        <v>459</v>
      </c>
      <c r="DX243">
        <v>39.200000000000003</v>
      </c>
      <c r="DY243">
        <v>40</v>
      </c>
      <c r="DZ243">
        <v>97.62</v>
      </c>
    </row>
    <row r="244" spans="1:130" x14ac:dyDescent="0.35">
      <c r="A244" s="86" t="str">
        <f t="shared" si="42"/>
        <v>182638Share Sub Category SC Johnson</v>
      </c>
      <c r="B244">
        <v>182638</v>
      </c>
      <c r="C244" t="s">
        <v>399</v>
      </c>
      <c r="D244" t="s">
        <v>103</v>
      </c>
      <c r="E244" t="s">
        <v>586</v>
      </c>
      <c r="F244" t="s">
        <v>587</v>
      </c>
      <c r="G244" t="s">
        <v>457</v>
      </c>
      <c r="H244">
        <v>33.729999999999997</v>
      </c>
      <c r="I244">
        <v>12.87</v>
      </c>
      <c r="J244">
        <v>30</v>
      </c>
      <c r="L244" s="86" t="str">
        <f t="shared" si="43"/>
        <v>182640Cross Merchan SC Johnson</v>
      </c>
      <c r="M244">
        <v>182640</v>
      </c>
      <c r="N244" t="s">
        <v>351</v>
      </c>
      <c r="O244" t="s">
        <v>36</v>
      </c>
      <c r="P244" t="s">
        <v>103</v>
      </c>
      <c r="Q244" t="s">
        <v>736</v>
      </c>
      <c r="R244" t="s">
        <v>737</v>
      </c>
      <c r="S244" t="s">
        <v>111</v>
      </c>
      <c r="T244">
        <v>8</v>
      </c>
      <c r="U244">
        <v>8</v>
      </c>
      <c r="V244">
        <v>80.209999999999994</v>
      </c>
      <c r="X244" s="86" t="str">
        <f t="shared" si="44"/>
        <v>182639Cross Merchan SC Johnson</v>
      </c>
      <c r="Y244">
        <v>182639</v>
      </c>
      <c r="Z244" t="s">
        <v>350</v>
      </c>
      <c r="AA244" t="s">
        <v>36</v>
      </c>
      <c r="AB244" t="s">
        <v>103</v>
      </c>
      <c r="AC244" t="s">
        <v>771</v>
      </c>
      <c r="AD244" t="s">
        <v>772</v>
      </c>
      <c r="AE244" t="s">
        <v>111</v>
      </c>
      <c r="AF244">
        <v>8</v>
      </c>
      <c r="AG244">
        <v>8</v>
      </c>
      <c r="AH244">
        <v>56.23</v>
      </c>
      <c r="AJ244" s="86" t="str">
        <f t="shared" si="45"/>
        <v>182638Cross Merchan SC Johnson</v>
      </c>
      <c r="AK244">
        <v>182638</v>
      </c>
      <c r="AL244" t="s">
        <v>399</v>
      </c>
      <c r="AM244" t="s">
        <v>36</v>
      </c>
      <c r="AN244" t="s">
        <v>103</v>
      </c>
      <c r="AO244" t="s">
        <v>1002</v>
      </c>
      <c r="AP244" t="s">
        <v>1003</v>
      </c>
      <c r="AQ244" t="s">
        <v>111</v>
      </c>
      <c r="AR244">
        <v>2.5</v>
      </c>
      <c r="AS244">
        <v>5</v>
      </c>
      <c r="AT244">
        <v>60.46</v>
      </c>
      <c r="AV244" s="86" t="str">
        <f t="shared" si="46"/>
        <v>182640Cross Merchan SC Johnson</v>
      </c>
      <c r="AW244">
        <v>182640</v>
      </c>
      <c r="AX244" t="s">
        <v>351</v>
      </c>
      <c r="AY244" t="s">
        <v>36</v>
      </c>
      <c r="AZ244" t="s">
        <v>103</v>
      </c>
      <c r="BA244" t="s">
        <v>1117</v>
      </c>
      <c r="BB244" t="s">
        <v>1118</v>
      </c>
      <c r="BC244" t="s">
        <v>111</v>
      </c>
      <c r="BD244">
        <v>1.665</v>
      </c>
      <c r="BE244">
        <v>5</v>
      </c>
      <c r="BF244">
        <v>66.59</v>
      </c>
      <c r="BH244" s="86" t="str">
        <f t="shared" si="47"/>
        <v>181800Cross Merchan SC Johnson</v>
      </c>
      <c r="BI244">
        <v>181800</v>
      </c>
      <c r="BJ244" t="s">
        <v>348</v>
      </c>
      <c r="BK244" t="s">
        <v>477</v>
      </c>
      <c r="BL244" t="s">
        <v>103</v>
      </c>
      <c r="BM244" t="s">
        <v>1270</v>
      </c>
      <c r="BN244" t="s">
        <v>1271</v>
      </c>
      <c r="BO244" t="s">
        <v>111</v>
      </c>
      <c r="BP244">
        <v>1.665</v>
      </c>
      <c r="BQ244">
        <v>5</v>
      </c>
      <c r="BR244">
        <v>55.57</v>
      </c>
      <c r="BT244" s="86" t="str">
        <f t="shared" si="36"/>
        <v>164006Mix + Intocáveis SC Johnson</v>
      </c>
      <c r="BU244">
        <v>164006</v>
      </c>
      <c r="BV244" t="s">
        <v>395</v>
      </c>
      <c r="BW244" t="s">
        <v>482</v>
      </c>
      <c r="BX244" t="s">
        <v>103</v>
      </c>
      <c r="BY244" t="s">
        <v>1281</v>
      </c>
      <c r="BZ244" t="s">
        <v>1282</v>
      </c>
      <c r="CA244" t="s">
        <v>459</v>
      </c>
      <c r="CB244">
        <v>26.4</v>
      </c>
      <c r="CC244">
        <v>40</v>
      </c>
      <c r="CD244">
        <v>77.400000000000006</v>
      </c>
      <c r="CF244" s="86" t="str">
        <f t="shared" si="37"/>
        <v>167265Mix + Intocáveis SC Johnson</v>
      </c>
      <c r="CG244">
        <v>167265</v>
      </c>
      <c r="CH244" t="s">
        <v>346</v>
      </c>
      <c r="CI244" t="s">
        <v>482</v>
      </c>
      <c r="CJ244" t="s">
        <v>103</v>
      </c>
      <c r="CK244" t="s">
        <v>1501</v>
      </c>
      <c r="CL244" t="s">
        <v>1502</v>
      </c>
      <c r="CM244" t="s">
        <v>459</v>
      </c>
      <c r="CN244">
        <v>31.2</v>
      </c>
      <c r="CO244">
        <v>40</v>
      </c>
      <c r="CP244">
        <v>92.62</v>
      </c>
      <c r="CR244" s="86" t="str">
        <f t="shared" si="38"/>
        <v>168551Mix + Intocáveis SC Johnson</v>
      </c>
      <c r="CS244">
        <v>168551</v>
      </c>
      <c r="CT244" t="s">
        <v>380</v>
      </c>
      <c r="CU244" t="s">
        <v>1345</v>
      </c>
      <c r="CV244" t="s">
        <v>103</v>
      </c>
      <c r="CW244" t="s">
        <v>1527</v>
      </c>
      <c r="CX244" t="s">
        <v>1528</v>
      </c>
      <c r="CY244" t="s">
        <v>459</v>
      </c>
      <c r="CZ244">
        <v>37.6</v>
      </c>
      <c r="DA244">
        <v>40</v>
      </c>
      <c r="DB244">
        <v>102.6</v>
      </c>
      <c r="DD244" s="86" t="str">
        <f t="shared" si="39"/>
        <v>169868Execucao Bonus</v>
      </c>
      <c r="DE244">
        <v>169868</v>
      </c>
      <c r="DF244" t="s">
        <v>396</v>
      </c>
      <c r="DG244" t="s">
        <v>1306</v>
      </c>
      <c r="DH244" t="s">
        <v>103</v>
      </c>
      <c r="DI244" t="s">
        <v>1722</v>
      </c>
      <c r="DJ244" t="s">
        <v>1723</v>
      </c>
      <c r="DK244" t="s">
        <v>1291</v>
      </c>
      <c r="DL244">
        <v>5</v>
      </c>
      <c r="DM244">
        <v>5</v>
      </c>
      <c r="DN244">
        <v>88.62</v>
      </c>
      <c r="DP244" s="86" t="str">
        <f t="shared" si="40"/>
        <v>169868Execucao Bonus</v>
      </c>
      <c r="DQ244">
        <v>169868</v>
      </c>
      <c r="DR244" t="s">
        <v>396</v>
      </c>
      <c r="DS244" t="s">
        <v>1306</v>
      </c>
      <c r="DT244" t="s">
        <v>103</v>
      </c>
      <c r="DU244" t="s">
        <v>1782</v>
      </c>
      <c r="DV244" t="s">
        <v>1783</v>
      </c>
      <c r="DW244" t="s">
        <v>1291</v>
      </c>
      <c r="DX244">
        <v>5</v>
      </c>
      <c r="DY244">
        <v>5</v>
      </c>
      <c r="DZ244">
        <v>97.62</v>
      </c>
    </row>
    <row r="245" spans="1:130" x14ac:dyDescent="0.35">
      <c r="A245" s="86" t="str">
        <f t="shared" si="42"/>
        <v>182638Cross Merchan SC Johnson</v>
      </c>
      <c r="B245">
        <v>182638</v>
      </c>
      <c r="C245" t="s">
        <v>399</v>
      </c>
      <c r="D245" t="s">
        <v>103</v>
      </c>
      <c r="E245" t="s">
        <v>586</v>
      </c>
      <c r="F245" t="s">
        <v>587</v>
      </c>
      <c r="G245" t="s">
        <v>111</v>
      </c>
      <c r="H245">
        <v>33.729999999999997</v>
      </c>
      <c r="I245">
        <v>0</v>
      </c>
      <c r="J245">
        <v>8</v>
      </c>
      <c r="L245" s="86" t="str">
        <f t="shared" si="43"/>
        <v>182640Share Sub Loc Pao Quente SC Johnson</v>
      </c>
      <c r="M245">
        <v>182640</v>
      </c>
      <c r="N245" t="s">
        <v>351</v>
      </c>
      <c r="O245" t="s">
        <v>36</v>
      </c>
      <c r="P245" t="s">
        <v>103</v>
      </c>
      <c r="Q245" t="s">
        <v>736</v>
      </c>
      <c r="R245" t="s">
        <v>737</v>
      </c>
      <c r="S245" t="s">
        <v>458</v>
      </c>
      <c r="T245">
        <v>12.75</v>
      </c>
      <c r="U245">
        <v>17</v>
      </c>
      <c r="V245">
        <v>80.209999999999994</v>
      </c>
      <c r="X245" s="86" t="str">
        <f t="shared" si="44"/>
        <v>182639Share Sub Loc Pao Quente SC Johnson</v>
      </c>
      <c r="Y245">
        <v>182639</v>
      </c>
      <c r="Z245" t="s">
        <v>350</v>
      </c>
      <c r="AA245" t="s">
        <v>36</v>
      </c>
      <c r="AB245" t="s">
        <v>103</v>
      </c>
      <c r="AC245" t="s">
        <v>771</v>
      </c>
      <c r="AD245" t="s">
        <v>772</v>
      </c>
      <c r="AE245" t="s">
        <v>458</v>
      </c>
      <c r="AF245">
        <v>12.75</v>
      </c>
      <c r="AG245">
        <v>17</v>
      </c>
      <c r="AH245">
        <v>56.23</v>
      </c>
      <c r="AJ245" s="86" t="str">
        <f t="shared" si="45"/>
        <v>182638Share Sub Loc Pao Quente SC Johnson</v>
      </c>
      <c r="AK245">
        <v>182638</v>
      </c>
      <c r="AL245" t="s">
        <v>399</v>
      </c>
      <c r="AM245" t="s">
        <v>36</v>
      </c>
      <c r="AN245" t="s">
        <v>103</v>
      </c>
      <c r="AO245" t="s">
        <v>1002</v>
      </c>
      <c r="AP245" t="s">
        <v>1003</v>
      </c>
      <c r="AQ245" t="s">
        <v>458</v>
      </c>
      <c r="AR245">
        <v>6</v>
      </c>
      <c r="AS245">
        <v>12</v>
      </c>
      <c r="AT245">
        <v>60.46</v>
      </c>
      <c r="AV245" s="86" t="str">
        <f t="shared" si="46"/>
        <v>182640Share Sub Loc Pao Quente SC Johnson</v>
      </c>
      <c r="AW245">
        <v>182640</v>
      </c>
      <c r="AX245" t="s">
        <v>351</v>
      </c>
      <c r="AY245" t="s">
        <v>36</v>
      </c>
      <c r="AZ245" t="s">
        <v>103</v>
      </c>
      <c r="BA245" t="s">
        <v>1117</v>
      </c>
      <c r="BB245" t="s">
        <v>1118</v>
      </c>
      <c r="BC245" t="s">
        <v>458</v>
      </c>
      <c r="BD245">
        <v>6</v>
      </c>
      <c r="BE245">
        <v>12</v>
      </c>
      <c r="BF245">
        <v>66.59</v>
      </c>
      <c r="BH245" s="86" t="str">
        <f t="shared" si="47"/>
        <v>181800Share Sub Loc Pao Quente SC Johnson</v>
      </c>
      <c r="BI245">
        <v>181800</v>
      </c>
      <c r="BJ245" t="s">
        <v>348</v>
      </c>
      <c r="BK245" t="s">
        <v>477</v>
      </c>
      <c r="BL245" t="s">
        <v>103</v>
      </c>
      <c r="BM245" t="s">
        <v>1270</v>
      </c>
      <c r="BN245" t="s">
        <v>1271</v>
      </c>
      <c r="BO245" t="s">
        <v>458</v>
      </c>
      <c r="BP245">
        <v>9</v>
      </c>
      <c r="BQ245">
        <v>12</v>
      </c>
      <c r="BR245">
        <v>55.57</v>
      </c>
      <c r="BT245" s="86" t="str">
        <f t="shared" si="36"/>
        <v>164006Share Sub Category SC Johnson</v>
      </c>
      <c r="BU245">
        <v>164006</v>
      </c>
      <c r="BV245" t="s">
        <v>395</v>
      </c>
      <c r="BW245" t="s">
        <v>482</v>
      </c>
      <c r="BX245" t="s">
        <v>103</v>
      </c>
      <c r="BY245" t="s">
        <v>1281</v>
      </c>
      <c r="BZ245" t="s">
        <v>1282</v>
      </c>
      <c r="CA245" t="s">
        <v>457</v>
      </c>
      <c r="CB245">
        <v>25</v>
      </c>
      <c r="CC245">
        <v>25</v>
      </c>
      <c r="CD245">
        <v>77.400000000000006</v>
      </c>
      <c r="CF245" s="86" t="str">
        <f t="shared" si="37"/>
        <v>167265Share Sub Category SC Johnson</v>
      </c>
      <c r="CG245">
        <v>167265</v>
      </c>
      <c r="CH245" t="s">
        <v>346</v>
      </c>
      <c r="CI245" t="s">
        <v>482</v>
      </c>
      <c r="CJ245" t="s">
        <v>103</v>
      </c>
      <c r="CK245" t="s">
        <v>1501</v>
      </c>
      <c r="CL245" t="s">
        <v>1502</v>
      </c>
      <c r="CM245" t="s">
        <v>457</v>
      </c>
      <c r="CN245">
        <v>21.425000000000001</v>
      </c>
      <c r="CO245">
        <v>25</v>
      </c>
      <c r="CP245">
        <v>92.62</v>
      </c>
      <c r="CR245" s="86" t="str">
        <f t="shared" si="38"/>
        <v>168551Share Sub Category SC Johnson</v>
      </c>
      <c r="CS245">
        <v>168551</v>
      </c>
      <c r="CT245" t="s">
        <v>380</v>
      </c>
      <c r="CU245" t="s">
        <v>1345</v>
      </c>
      <c r="CV245" t="s">
        <v>103</v>
      </c>
      <c r="CW245" t="s">
        <v>1527</v>
      </c>
      <c r="CX245" t="s">
        <v>1528</v>
      </c>
      <c r="CY245" t="s">
        <v>457</v>
      </c>
      <c r="CZ245">
        <v>25</v>
      </c>
      <c r="DA245">
        <v>25</v>
      </c>
      <c r="DB245">
        <v>102.6</v>
      </c>
      <c r="DD245" s="86" t="str">
        <f t="shared" si="39"/>
        <v>169868Cross Merchan SC Johnson</v>
      </c>
      <c r="DE245">
        <v>169868</v>
      </c>
      <c r="DF245" t="s">
        <v>396</v>
      </c>
      <c r="DG245" t="s">
        <v>1306</v>
      </c>
      <c r="DH245" t="s">
        <v>103</v>
      </c>
      <c r="DI245" t="s">
        <v>1722</v>
      </c>
      <c r="DJ245" t="s">
        <v>1723</v>
      </c>
      <c r="DK245" t="s">
        <v>111</v>
      </c>
      <c r="DL245">
        <v>5</v>
      </c>
      <c r="DM245">
        <v>5</v>
      </c>
      <c r="DN245">
        <v>88.62</v>
      </c>
      <c r="DP245" s="86" t="str">
        <f t="shared" si="40"/>
        <v>169868Cross Merchan SC Johnson</v>
      </c>
      <c r="DQ245">
        <v>169868</v>
      </c>
      <c r="DR245" t="s">
        <v>396</v>
      </c>
      <c r="DS245" t="s">
        <v>1306</v>
      </c>
      <c r="DT245" t="s">
        <v>103</v>
      </c>
      <c r="DU245" t="s">
        <v>1782</v>
      </c>
      <c r="DV245" t="s">
        <v>1783</v>
      </c>
      <c r="DW245" t="s">
        <v>111</v>
      </c>
      <c r="DX245">
        <v>5</v>
      </c>
      <c r="DY245">
        <v>5</v>
      </c>
      <c r="DZ245">
        <v>97.62</v>
      </c>
    </row>
    <row r="246" spans="1:130" x14ac:dyDescent="0.35">
      <c r="A246" s="86" t="str">
        <f t="shared" si="42"/>
        <v>182638Share Sub Loc Pao Quente SC Johnson</v>
      </c>
      <c r="B246">
        <v>182638</v>
      </c>
      <c r="C246" t="s">
        <v>399</v>
      </c>
      <c r="D246" t="s">
        <v>103</v>
      </c>
      <c r="E246" t="s">
        <v>586</v>
      </c>
      <c r="F246" t="s">
        <v>587</v>
      </c>
      <c r="G246" t="s">
        <v>458</v>
      </c>
      <c r="H246">
        <v>33.729999999999997</v>
      </c>
      <c r="I246">
        <v>6.8</v>
      </c>
      <c r="J246">
        <v>17</v>
      </c>
      <c r="L246" s="86" t="str">
        <f t="shared" si="43"/>
        <v>182640Mix + Intocáveis SC Johnson</v>
      </c>
      <c r="M246">
        <v>182640</v>
      </c>
      <c r="N246" t="s">
        <v>351</v>
      </c>
      <c r="O246" t="s">
        <v>36</v>
      </c>
      <c r="P246" t="s">
        <v>103</v>
      </c>
      <c r="Q246" t="s">
        <v>736</v>
      </c>
      <c r="R246" t="s">
        <v>737</v>
      </c>
      <c r="S246" t="s">
        <v>459</v>
      </c>
      <c r="T246">
        <v>33.75</v>
      </c>
      <c r="U246">
        <v>45</v>
      </c>
      <c r="V246">
        <v>80.209999999999994</v>
      </c>
      <c r="X246" s="86" t="str">
        <f t="shared" si="44"/>
        <v>182639Mix + Intocáveis SC Johnson</v>
      </c>
      <c r="Y246">
        <v>182639</v>
      </c>
      <c r="Z246" t="s">
        <v>350</v>
      </c>
      <c r="AA246" t="s">
        <v>36</v>
      </c>
      <c r="AB246" t="s">
        <v>103</v>
      </c>
      <c r="AC246" t="s">
        <v>771</v>
      </c>
      <c r="AD246" t="s">
        <v>772</v>
      </c>
      <c r="AE246" t="s">
        <v>459</v>
      </c>
      <c r="AF246">
        <v>14.0625</v>
      </c>
      <c r="AG246">
        <v>45</v>
      </c>
      <c r="AH246">
        <v>56.23</v>
      </c>
      <c r="AJ246" s="86" t="str">
        <f t="shared" si="45"/>
        <v>182638Mix + Intocáveis SC Johnson</v>
      </c>
      <c r="AK246">
        <v>182638</v>
      </c>
      <c r="AL246" t="s">
        <v>399</v>
      </c>
      <c r="AM246" t="s">
        <v>36</v>
      </c>
      <c r="AN246" t="s">
        <v>103</v>
      </c>
      <c r="AO246" t="s">
        <v>1002</v>
      </c>
      <c r="AP246" t="s">
        <v>1003</v>
      </c>
      <c r="AQ246" t="s">
        <v>459</v>
      </c>
      <c r="AR246">
        <v>26.96</v>
      </c>
      <c r="AS246">
        <v>40</v>
      </c>
      <c r="AT246">
        <v>60.46</v>
      </c>
      <c r="AV246" s="86" t="str">
        <f t="shared" si="46"/>
        <v>182640Mix + Intocáveis SC Johnson</v>
      </c>
      <c r="AW246">
        <v>182640</v>
      </c>
      <c r="AX246" t="s">
        <v>351</v>
      </c>
      <c r="AY246" t="s">
        <v>36</v>
      </c>
      <c r="AZ246" t="s">
        <v>103</v>
      </c>
      <c r="BA246" t="s">
        <v>1117</v>
      </c>
      <c r="BB246" t="s">
        <v>1118</v>
      </c>
      <c r="BC246" t="s">
        <v>459</v>
      </c>
      <c r="BD246">
        <v>33.92</v>
      </c>
      <c r="BE246">
        <v>40</v>
      </c>
      <c r="BF246">
        <v>66.59</v>
      </c>
      <c r="BH246" s="86" t="str">
        <f t="shared" si="47"/>
        <v>181800Mix + Intocáveis SC Johnson</v>
      </c>
      <c r="BI246">
        <v>181800</v>
      </c>
      <c r="BJ246" t="s">
        <v>348</v>
      </c>
      <c r="BK246" t="s">
        <v>477</v>
      </c>
      <c r="BL246" t="s">
        <v>103</v>
      </c>
      <c r="BM246" t="s">
        <v>1270</v>
      </c>
      <c r="BN246" t="s">
        <v>1271</v>
      </c>
      <c r="BO246" t="s">
        <v>459</v>
      </c>
      <c r="BP246">
        <v>23.48</v>
      </c>
      <c r="BQ246">
        <v>40</v>
      </c>
      <c r="BR246">
        <v>55.57</v>
      </c>
      <c r="BT246" s="86" t="str">
        <f t="shared" si="36"/>
        <v>164006Share Sub Loc Pao Quente SC Johnson</v>
      </c>
      <c r="BU246">
        <v>164006</v>
      </c>
      <c r="BV246" t="s">
        <v>395</v>
      </c>
      <c r="BW246" t="s">
        <v>482</v>
      </c>
      <c r="BX246" t="s">
        <v>103</v>
      </c>
      <c r="BY246" t="s">
        <v>1281</v>
      </c>
      <c r="BZ246" t="s">
        <v>1282</v>
      </c>
      <c r="CA246" t="s">
        <v>458</v>
      </c>
      <c r="CB246">
        <v>12</v>
      </c>
      <c r="CC246">
        <v>12</v>
      </c>
      <c r="CD246">
        <v>77.400000000000006</v>
      </c>
      <c r="CF246" s="86" t="str">
        <f t="shared" si="37"/>
        <v>167265Share Sub Loc Pao Quente SC Johnson</v>
      </c>
      <c r="CG246">
        <v>167265</v>
      </c>
      <c r="CH246" t="s">
        <v>346</v>
      </c>
      <c r="CI246" t="s">
        <v>482</v>
      </c>
      <c r="CJ246" t="s">
        <v>103</v>
      </c>
      <c r="CK246" t="s">
        <v>1501</v>
      </c>
      <c r="CL246" t="s">
        <v>1502</v>
      </c>
      <c r="CM246" t="s">
        <v>458</v>
      </c>
      <c r="CN246">
        <v>12</v>
      </c>
      <c r="CO246">
        <v>12</v>
      </c>
      <c r="CP246">
        <v>92.62</v>
      </c>
      <c r="CR246" s="86" t="str">
        <f t="shared" si="38"/>
        <v>168551Share Sub Loc Pao Quente SC Johnson</v>
      </c>
      <c r="CS246">
        <v>168551</v>
      </c>
      <c r="CT246" t="s">
        <v>380</v>
      </c>
      <c r="CU246" t="s">
        <v>1345</v>
      </c>
      <c r="CV246" t="s">
        <v>103</v>
      </c>
      <c r="CW246" t="s">
        <v>1527</v>
      </c>
      <c r="CX246" t="s">
        <v>1528</v>
      </c>
      <c r="CY246" t="s">
        <v>458</v>
      </c>
      <c r="CZ246">
        <v>12</v>
      </c>
      <c r="DA246">
        <v>12</v>
      </c>
      <c r="DB246">
        <v>102.6</v>
      </c>
      <c r="DD246" s="86" t="str">
        <f t="shared" si="39"/>
        <v>169868Lancamentos</v>
      </c>
      <c r="DE246">
        <v>169868</v>
      </c>
      <c r="DF246" t="s">
        <v>396</v>
      </c>
      <c r="DG246" t="s">
        <v>1306</v>
      </c>
      <c r="DH246" t="s">
        <v>103</v>
      </c>
      <c r="DI246" t="s">
        <v>1722</v>
      </c>
      <c r="DJ246" t="s">
        <v>1723</v>
      </c>
      <c r="DK246" t="s">
        <v>953</v>
      </c>
      <c r="DL246">
        <v>9</v>
      </c>
      <c r="DM246">
        <v>18</v>
      </c>
      <c r="DN246">
        <v>88.62</v>
      </c>
      <c r="DP246" s="86" t="str">
        <f t="shared" si="40"/>
        <v>169868Lancamentos</v>
      </c>
      <c r="DQ246">
        <v>169868</v>
      </c>
      <c r="DR246" t="s">
        <v>396</v>
      </c>
      <c r="DS246" t="s">
        <v>1306</v>
      </c>
      <c r="DT246" t="s">
        <v>103</v>
      </c>
      <c r="DU246" t="s">
        <v>1782</v>
      </c>
      <c r="DV246" t="s">
        <v>1783</v>
      </c>
      <c r="DW246" t="s">
        <v>953</v>
      </c>
      <c r="DX246">
        <v>18</v>
      </c>
      <c r="DY246">
        <v>18</v>
      </c>
      <c r="DZ246">
        <v>97.62</v>
      </c>
    </row>
    <row r="247" spans="1:130" x14ac:dyDescent="0.35">
      <c r="A247" s="86" t="str">
        <f t="shared" si="42"/>
        <v>182638Mix + Intocáveis SC Johnson</v>
      </c>
      <c r="B247">
        <v>182638</v>
      </c>
      <c r="C247" t="s">
        <v>399</v>
      </c>
      <c r="D247" t="s">
        <v>103</v>
      </c>
      <c r="E247" t="s">
        <v>586</v>
      </c>
      <c r="F247" t="s">
        <v>587</v>
      </c>
      <c r="G247" t="s">
        <v>459</v>
      </c>
      <c r="H247">
        <v>33.729999999999997</v>
      </c>
      <c r="I247">
        <v>14.0625</v>
      </c>
      <c r="J247">
        <v>45</v>
      </c>
      <c r="L247" s="86" t="str">
        <f t="shared" si="43"/>
        <v>182641Share Sub Category SC Johnson</v>
      </c>
      <c r="M247">
        <v>182641</v>
      </c>
      <c r="N247" t="s">
        <v>352</v>
      </c>
      <c r="O247" t="s">
        <v>36</v>
      </c>
      <c r="P247" t="s">
        <v>103</v>
      </c>
      <c r="Q247" t="s">
        <v>738</v>
      </c>
      <c r="R247" t="s">
        <v>739</v>
      </c>
      <c r="S247" t="s">
        <v>457</v>
      </c>
      <c r="T247">
        <v>12.87</v>
      </c>
      <c r="U247">
        <v>30</v>
      </c>
      <c r="V247">
        <v>35.74</v>
      </c>
      <c r="X247" s="86" t="str">
        <f t="shared" si="44"/>
        <v>182640Share Sub Category SC Johnson</v>
      </c>
      <c r="Y247">
        <v>182640</v>
      </c>
      <c r="Z247" t="s">
        <v>351</v>
      </c>
      <c r="AA247" t="s">
        <v>104</v>
      </c>
      <c r="AB247" t="s">
        <v>103</v>
      </c>
      <c r="AC247" t="s">
        <v>899</v>
      </c>
      <c r="AD247" t="s">
        <v>900</v>
      </c>
      <c r="AE247" t="s">
        <v>457</v>
      </c>
      <c r="AF247">
        <v>30</v>
      </c>
      <c r="AG247">
        <v>30</v>
      </c>
      <c r="AH247">
        <v>74.63</v>
      </c>
      <c r="AJ247" s="86" t="str">
        <f t="shared" si="45"/>
        <v>182638Lancamentos</v>
      </c>
      <c r="AK247">
        <v>182638</v>
      </c>
      <c r="AL247" t="s">
        <v>399</v>
      </c>
      <c r="AM247" t="s">
        <v>36</v>
      </c>
      <c r="AN247" t="s">
        <v>103</v>
      </c>
      <c r="AO247" t="s">
        <v>1002</v>
      </c>
      <c r="AP247" t="s">
        <v>1003</v>
      </c>
      <c r="AQ247" t="s">
        <v>953</v>
      </c>
      <c r="AR247">
        <v>0</v>
      </c>
      <c r="AS247">
        <v>18</v>
      </c>
      <c r="AT247">
        <v>60.46</v>
      </c>
      <c r="AV247" s="86" t="str">
        <f t="shared" si="46"/>
        <v>182640Lancamentos</v>
      </c>
      <c r="AW247">
        <v>182640</v>
      </c>
      <c r="AX247" t="s">
        <v>351</v>
      </c>
      <c r="AY247" t="s">
        <v>36</v>
      </c>
      <c r="AZ247" t="s">
        <v>103</v>
      </c>
      <c r="BA247" t="s">
        <v>1117</v>
      </c>
      <c r="BB247" t="s">
        <v>1118</v>
      </c>
      <c r="BC247" t="s">
        <v>953</v>
      </c>
      <c r="BD247">
        <v>0</v>
      </c>
      <c r="BE247">
        <v>18</v>
      </c>
      <c r="BF247">
        <v>66.59</v>
      </c>
      <c r="BH247" s="86" t="str">
        <f t="shared" si="47"/>
        <v>181800Lancamentos</v>
      </c>
      <c r="BI247">
        <v>181800</v>
      </c>
      <c r="BJ247" t="s">
        <v>348</v>
      </c>
      <c r="BK247" t="s">
        <v>477</v>
      </c>
      <c r="BL247" t="s">
        <v>103</v>
      </c>
      <c r="BM247" t="s">
        <v>1270</v>
      </c>
      <c r="BN247" t="s">
        <v>1271</v>
      </c>
      <c r="BO247" t="s">
        <v>953</v>
      </c>
      <c r="BP247">
        <v>0</v>
      </c>
      <c r="BQ247">
        <v>18</v>
      </c>
      <c r="BR247">
        <v>55.57</v>
      </c>
      <c r="BT247" s="86" t="str">
        <f t="shared" si="36"/>
        <v>164006Cross Merchan SC Johnson</v>
      </c>
      <c r="BU247">
        <v>164006</v>
      </c>
      <c r="BV247" t="s">
        <v>395</v>
      </c>
      <c r="BW247" t="s">
        <v>482</v>
      </c>
      <c r="BX247" t="s">
        <v>103</v>
      </c>
      <c r="BY247" t="s">
        <v>1281</v>
      </c>
      <c r="BZ247" t="s">
        <v>1282</v>
      </c>
      <c r="CA247" t="s">
        <v>111</v>
      </c>
      <c r="CB247">
        <v>5</v>
      </c>
      <c r="CC247">
        <v>5</v>
      </c>
      <c r="CD247">
        <v>77.400000000000006</v>
      </c>
      <c r="CF247" s="86" t="str">
        <f t="shared" si="37"/>
        <v>167265Cross Merchan SC Johnson</v>
      </c>
      <c r="CG247">
        <v>167265</v>
      </c>
      <c r="CH247" t="s">
        <v>346</v>
      </c>
      <c r="CI247" t="s">
        <v>482</v>
      </c>
      <c r="CJ247" t="s">
        <v>103</v>
      </c>
      <c r="CK247" t="s">
        <v>1501</v>
      </c>
      <c r="CL247" t="s">
        <v>1502</v>
      </c>
      <c r="CM247" t="s">
        <v>111</v>
      </c>
      <c r="CN247">
        <v>5</v>
      </c>
      <c r="CO247">
        <v>5</v>
      </c>
      <c r="CP247">
        <v>92.62</v>
      </c>
      <c r="CR247" s="86" t="str">
        <f t="shared" si="38"/>
        <v>168551Cross Merchan SC Johnson</v>
      </c>
      <c r="CS247">
        <v>168551</v>
      </c>
      <c r="CT247" t="s">
        <v>380</v>
      </c>
      <c r="CU247" t="s">
        <v>1345</v>
      </c>
      <c r="CV247" t="s">
        <v>103</v>
      </c>
      <c r="CW247" t="s">
        <v>1527</v>
      </c>
      <c r="CX247" t="s">
        <v>1528</v>
      </c>
      <c r="CY247" t="s">
        <v>111</v>
      </c>
      <c r="CZ247">
        <v>5</v>
      </c>
      <c r="DA247">
        <v>5</v>
      </c>
      <c r="DB247">
        <v>102.6</v>
      </c>
      <c r="DD247" s="86" t="str">
        <f t="shared" si="39"/>
        <v>169868Share Sub Category SC Johnson</v>
      </c>
      <c r="DE247">
        <v>169868</v>
      </c>
      <c r="DF247" t="s">
        <v>396</v>
      </c>
      <c r="DG247" t="s">
        <v>1306</v>
      </c>
      <c r="DH247" t="s">
        <v>103</v>
      </c>
      <c r="DI247" t="s">
        <v>1722</v>
      </c>
      <c r="DJ247" t="s">
        <v>1723</v>
      </c>
      <c r="DK247" t="s">
        <v>457</v>
      </c>
      <c r="DL247">
        <v>21.425000000000001</v>
      </c>
      <c r="DM247">
        <v>25</v>
      </c>
      <c r="DN247">
        <v>88.62</v>
      </c>
      <c r="DP247" s="86" t="str">
        <f t="shared" si="40"/>
        <v>169868Share Sub Category SC Johnson</v>
      </c>
      <c r="DQ247">
        <v>169868</v>
      </c>
      <c r="DR247" t="s">
        <v>396</v>
      </c>
      <c r="DS247" t="s">
        <v>1306</v>
      </c>
      <c r="DT247" t="s">
        <v>103</v>
      </c>
      <c r="DU247" t="s">
        <v>1782</v>
      </c>
      <c r="DV247" t="s">
        <v>1783</v>
      </c>
      <c r="DW247" t="s">
        <v>457</v>
      </c>
      <c r="DX247">
        <v>21.425000000000001</v>
      </c>
      <c r="DY247">
        <v>25</v>
      </c>
      <c r="DZ247">
        <v>97.62</v>
      </c>
    </row>
    <row r="248" spans="1:130" x14ac:dyDescent="0.35">
      <c r="A248" s="86" t="str">
        <f t="shared" si="42"/>
        <v>182639Share Sub Category SC Johnson</v>
      </c>
      <c r="B248">
        <v>182639</v>
      </c>
      <c r="C248" t="s">
        <v>350</v>
      </c>
      <c r="D248" t="s">
        <v>103</v>
      </c>
      <c r="E248" t="s">
        <v>588</v>
      </c>
      <c r="F248" t="s">
        <v>589</v>
      </c>
      <c r="G248" t="s">
        <v>457</v>
      </c>
      <c r="H248">
        <v>65.19</v>
      </c>
      <c r="I248">
        <v>25.71</v>
      </c>
      <c r="J248">
        <v>30</v>
      </c>
      <c r="L248" s="86" t="str">
        <f t="shared" si="43"/>
        <v>182641Cross Merchan SC Johnson</v>
      </c>
      <c r="M248">
        <v>182641</v>
      </c>
      <c r="N248" t="s">
        <v>352</v>
      </c>
      <c r="O248" t="s">
        <v>36</v>
      </c>
      <c r="P248" t="s">
        <v>103</v>
      </c>
      <c r="Q248" t="s">
        <v>738</v>
      </c>
      <c r="R248" t="s">
        <v>739</v>
      </c>
      <c r="S248" t="s">
        <v>111</v>
      </c>
      <c r="T248">
        <v>0</v>
      </c>
      <c r="U248">
        <v>8</v>
      </c>
      <c r="V248">
        <v>35.74</v>
      </c>
      <c r="X248" s="86" t="str">
        <f t="shared" si="44"/>
        <v>182640Cross Merchan SC Johnson</v>
      </c>
      <c r="Y248">
        <v>182640</v>
      </c>
      <c r="Z248" t="s">
        <v>351</v>
      </c>
      <c r="AA248" t="s">
        <v>104</v>
      </c>
      <c r="AB248" t="s">
        <v>103</v>
      </c>
      <c r="AC248" t="s">
        <v>899</v>
      </c>
      <c r="AD248" t="s">
        <v>900</v>
      </c>
      <c r="AE248" t="s">
        <v>111</v>
      </c>
      <c r="AF248">
        <v>8</v>
      </c>
      <c r="AG248">
        <v>8</v>
      </c>
      <c r="AH248">
        <v>74.63</v>
      </c>
      <c r="AJ248" s="86" t="str">
        <f t="shared" si="45"/>
        <v>182639Share Sub Category SC Johnson</v>
      </c>
      <c r="AK248">
        <v>182639</v>
      </c>
      <c r="AL248" t="s">
        <v>350</v>
      </c>
      <c r="AM248" t="s">
        <v>36</v>
      </c>
      <c r="AN248" t="s">
        <v>103</v>
      </c>
      <c r="AO248" t="s">
        <v>941</v>
      </c>
      <c r="AP248" t="s">
        <v>942</v>
      </c>
      <c r="AQ248" t="s">
        <v>457</v>
      </c>
      <c r="AR248">
        <v>21.425000000000001</v>
      </c>
      <c r="AS248">
        <v>25</v>
      </c>
      <c r="AT248">
        <v>55.52</v>
      </c>
      <c r="AV248" s="86" t="str">
        <f t="shared" si="46"/>
        <v>182641Share Sub Category SC Johnson</v>
      </c>
      <c r="AW248">
        <v>182641</v>
      </c>
      <c r="AX248" t="s">
        <v>352</v>
      </c>
      <c r="AY248" t="s">
        <v>36</v>
      </c>
      <c r="AZ248" t="s">
        <v>103</v>
      </c>
      <c r="BA248" t="s">
        <v>1119</v>
      </c>
      <c r="BB248" t="s">
        <v>1120</v>
      </c>
      <c r="BC248" t="s">
        <v>457</v>
      </c>
      <c r="BD248">
        <v>21.425000000000001</v>
      </c>
      <c r="BE248">
        <v>25</v>
      </c>
      <c r="BF248">
        <v>60.77</v>
      </c>
      <c r="BH248" s="86" t="str">
        <f t="shared" si="47"/>
        <v>182592Share Sub Category SC Johnson</v>
      </c>
      <c r="BI248">
        <v>182592</v>
      </c>
      <c r="BJ248" t="s">
        <v>398</v>
      </c>
      <c r="BK248" t="s">
        <v>482</v>
      </c>
      <c r="BL248" t="s">
        <v>103</v>
      </c>
      <c r="BM248" t="s">
        <v>1237</v>
      </c>
      <c r="BN248" t="s">
        <v>1238</v>
      </c>
      <c r="BO248" t="s">
        <v>457</v>
      </c>
      <c r="BP248">
        <v>17.850000000000001</v>
      </c>
      <c r="BQ248">
        <v>25</v>
      </c>
      <c r="BR248">
        <v>58.48</v>
      </c>
      <c r="BT248" s="86" t="str">
        <f t="shared" si="36"/>
        <v>164006Execucao Bonus</v>
      </c>
      <c r="BU248">
        <v>164006</v>
      </c>
      <c r="BV248" t="s">
        <v>395</v>
      </c>
      <c r="BW248" t="s">
        <v>482</v>
      </c>
      <c r="BX248" t="s">
        <v>103</v>
      </c>
      <c r="BY248" t="s">
        <v>1281</v>
      </c>
      <c r="BZ248" t="s">
        <v>1282</v>
      </c>
      <c r="CA248" t="s">
        <v>1291</v>
      </c>
      <c r="CB248">
        <v>0</v>
      </c>
      <c r="CC248">
        <v>5</v>
      </c>
      <c r="CD248">
        <v>77.400000000000006</v>
      </c>
      <c r="CF248" s="86" t="str">
        <f t="shared" si="37"/>
        <v>167265Execucao Bonus</v>
      </c>
      <c r="CG248">
        <v>167265</v>
      </c>
      <c r="CH248" t="s">
        <v>346</v>
      </c>
      <c r="CI248" t="s">
        <v>482</v>
      </c>
      <c r="CJ248" t="s">
        <v>103</v>
      </c>
      <c r="CK248" t="s">
        <v>1501</v>
      </c>
      <c r="CL248" t="s">
        <v>1502</v>
      </c>
      <c r="CM248" t="s">
        <v>1291</v>
      </c>
      <c r="CN248">
        <v>5</v>
      </c>
      <c r="CO248">
        <v>5</v>
      </c>
      <c r="CP248">
        <v>92.62</v>
      </c>
      <c r="CR248" s="86" t="str">
        <f t="shared" si="38"/>
        <v>168551Execucao Bonus</v>
      </c>
      <c r="CS248">
        <v>168551</v>
      </c>
      <c r="CT248" t="s">
        <v>380</v>
      </c>
      <c r="CU248" t="s">
        <v>1345</v>
      </c>
      <c r="CV248" t="s">
        <v>103</v>
      </c>
      <c r="CW248" t="s">
        <v>1527</v>
      </c>
      <c r="CX248" t="s">
        <v>1528</v>
      </c>
      <c r="CY248" t="s">
        <v>1291</v>
      </c>
      <c r="CZ248">
        <v>2.4</v>
      </c>
      <c r="DA248">
        <v>5</v>
      </c>
      <c r="DB248">
        <v>102.6</v>
      </c>
      <c r="DD248" s="86" t="str">
        <f t="shared" si="39"/>
        <v>169868Share Sub Loc Pao Quente SC Johnson</v>
      </c>
      <c r="DE248">
        <v>169868</v>
      </c>
      <c r="DF248" t="s">
        <v>396</v>
      </c>
      <c r="DG248" t="s">
        <v>1306</v>
      </c>
      <c r="DH248" t="s">
        <v>103</v>
      </c>
      <c r="DI248" t="s">
        <v>1722</v>
      </c>
      <c r="DJ248" t="s">
        <v>1723</v>
      </c>
      <c r="DK248" t="s">
        <v>458</v>
      </c>
      <c r="DL248">
        <v>9</v>
      </c>
      <c r="DM248">
        <v>12</v>
      </c>
      <c r="DN248">
        <v>88.62</v>
      </c>
      <c r="DP248" s="86" t="str">
        <f t="shared" si="40"/>
        <v>169868Share Sub Loc Pao Quente SC Johnson</v>
      </c>
      <c r="DQ248">
        <v>169868</v>
      </c>
      <c r="DR248" t="s">
        <v>396</v>
      </c>
      <c r="DS248" t="s">
        <v>1306</v>
      </c>
      <c r="DT248" t="s">
        <v>103</v>
      </c>
      <c r="DU248" t="s">
        <v>1782</v>
      </c>
      <c r="DV248" t="s">
        <v>1783</v>
      </c>
      <c r="DW248" t="s">
        <v>458</v>
      </c>
      <c r="DX248">
        <v>9</v>
      </c>
      <c r="DY248">
        <v>12</v>
      </c>
      <c r="DZ248">
        <v>97.62</v>
      </c>
    </row>
    <row r="249" spans="1:130" x14ac:dyDescent="0.35">
      <c r="A249" s="86" t="str">
        <f t="shared" si="42"/>
        <v>182639Cross Merchan SC Johnson</v>
      </c>
      <c r="B249">
        <v>182639</v>
      </c>
      <c r="C249" t="s">
        <v>350</v>
      </c>
      <c r="D249" t="s">
        <v>103</v>
      </c>
      <c r="E249" t="s">
        <v>588</v>
      </c>
      <c r="F249" t="s">
        <v>589</v>
      </c>
      <c r="G249" t="s">
        <v>111</v>
      </c>
      <c r="H249">
        <v>65.19</v>
      </c>
      <c r="I249">
        <v>0</v>
      </c>
      <c r="J249">
        <v>8</v>
      </c>
      <c r="L249" s="86" t="str">
        <f t="shared" si="43"/>
        <v>182641Share Sub Loc Pao Quente SC Johnson</v>
      </c>
      <c r="M249">
        <v>182641</v>
      </c>
      <c r="N249" t="s">
        <v>352</v>
      </c>
      <c r="O249" t="s">
        <v>36</v>
      </c>
      <c r="P249" t="s">
        <v>103</v>
      </c>
      <c r="Q249" t="s">
        <v>738</v>
      </c>
      <c r="R249" t="s">
        <v>739</v>
      </c>
      <c r="S249" t="s">
        <v>458</v>
      </c>
      <c r="T249">
        <v>12.75</v>
      </c>
      <c r="U249">
        <v>17</v>
      </c>
      <c r="V249">
        <v>35.74</v>
      </c>
      <c r="X249" s="86" t="str">
        <f t="shared" si="44"/>
        <v>182640Share Sub Loc Pao Quente SC Johnson</v>
      </c>
      <c r="Y249">
        <v>182640</v>
      </c>
      <c r="Z249" t="s">
        <v>351</v>
      </c>
      <c r="AA249" t="s">
        <v>104</v>
      </c>
      <c r="AB249" t="s">
        <v>103</v>
      </c>
      <c r="AC249" t="s">
        <v>899</v>
      </c>
      <c r="AD249" t="s">
        <v>900</v>
      </c>
      <c r="AE249" t="s">
        <v>458</v>
      </c>
      <c r="AF249">
        <v>8.5</v>
      </c>
      <c r="AG249">
        <v>17</v>
      </c>
      <c r="AH249">
        <v>74.63</v>
      </c>
      <c r="AJ249" s="86" t="str">
        <f t="shared" si="45"/>
        <v>182639Cross Merchan SC Johnson</v>
      </c>
      <c r="AK249">
        <v>182639</v>
      </c>
      <c r="AL249" t="s">
        <v>350</v>
      </c>
      <c r="AM249" t="s">
        <v>36</v>
      </c>
      <c r="AN249" t="s">
        <v>103</v>
      </c>
      <c r="AO249" t="s">
        <v>941</v>
      </c>
      <c r="AP249" t="s">
        <v>942</v>
      </c>
      <c r="AQ249" t="s">
        <v>111</v>
      </c>
      <c r="AR249">
        <v>2.5</v>
      </c>
      <c r="AS249">
        <v>5</v>
      </c>
      <c r="AT249">
        <v>55.52</v>
      </c>
      <c r="AV249" s="86" t="str">
        <f t="shared" si="46"/>
        <v>182641Cross Merchan SC Johnson</v>
      </c>
      <c r="AW249">
        <v>182641</v>
      </c>
      <c r="AX249" t="s">
        <v>352</v>
      </c>
      <c r="AY249" t="s">
        <v>36</v>
      </c>
      <c r="AZ249" t="s">
        <v>103</v>
      </c>
      <c r="BA249" t="s">
        <v>1119</v>
      </c>
      <c r="BB249" t="s">
        <v>1120</v>
      </c>
      <c r="BC249" t="s">
        <v>111</v>
      </c>
      <c r="BD249">
        <v>1.665</v>
      </c>
      <c r="BE249">
        <v>5</v>
      </c>
      <c r="BF249">
        <v>60.77</v>
      </c>
      <c r="BH249" s="86" t="str">
        <f t="shared" si="47"/>
        <v>182592Cross Merchan SC Johnson</v>
      </c>
      <c r="BI249">
        <v>182592</v>
      </c>
      <c r="BJ249" t="s">
        <v>398</v>
      </c>
      <c r="BK249" t="s">
        <v>482</v>
      </c>
      <c r="BL249" t="s">
        <v>103</v>
      </c>
      <c r="BM249" t="s">
        <v>1237</v>
      </c>
      <c r="BN249" t="s">
        <v>1238</v>
      </c>
      <c r="BO249" t="s">
        <v>111</v>
      </c>
      <c r="BP249">
        <v>1.665</v>
      </c>
      <c r="BQ249">
        <v>5</v>
      </c>
      <c r="BR249">
        <v>58.48</v>
      </c>
      <c r="BT249" s="86" t="str">
        <f t="shared" si="36"/>
        <v>166873Lancamentos</v>
      </c>
      <c r="BU249">
        <v>166873</v>
      </c>
      <c r="BV249" t="s">
        <v>345</v>
      </c>
      <c r="BW249" t="s">
        <v>1306</v>
      </c>
      <c r="BX249" t="s">
        <v>103</v>
      </c>
      <c r="BY249" t="s">
        <v>1337</v>
      </c>
      <c r="BZ249" t="s">
        <v>1338</v>
      </c>
      <c r="CA249" t="s">
        <v>953</v>
      </c>
      <c r="CB249">
        <v>9</v>
      </c>
      <c r="CC249">
        <v>18</v>
      </c>
      <c r="CD249">
        <v>68.16</v>
      </c>
      <c r="CF249" s="86" t="str">
        <f t="shared" si="37"/>
        <v>168551Lancamentos</v>
      </c>
      <c r="CG249">
        <v>168551</v>
      </c>
      <c r="CH249" t="s">
        <v>380</v>
      </c>
      <c r="CI249" t="s">
        <v>1345</v>
      </c>
      <c r="CJ249" t="s">
        <v>103</v>
      </c>
      <c r="CK249" t="s">
        <v>1404</v>
      </c>
      <c r="CL249" t="s">
        <v>1405</v>
      </c>
      <c r="CM249" t="s">
        <v>953</v>
      </c>
      <c r="CN249">
        <v>9</v>
      </c>
      <c r="CO249">
        <v>18</v>
      </c>
      <c r="CP249">
        <v>94.4</v>
      </c>
      <c r="CR249" s="86" t="str">
        <f t="shared" si="38"/>
        <v>169868Lancamentos</v>
      </c>
      <c r="CS249">
        <v>169868</v>
      </c>
      <c r="CT249" t="s">
        <v>396</v>
      </c>
      <c r="CU249" t="s">
        <v>1306</v>
      </c>
      <c r="CV249" t="s">
        <v>103</v>
      </c>
      <c r="CW249" t="s">
        <v>1604</v>
      </c>
      <c r="CX249" t="s">
        <v>1605</v>
      </c>
      <c r="CY249" t="s">
        <v>953</v>
      </c>
      <c r="CZ249">
        <v>18</v>
      </c>
      <c r="DA249">
        <v>18</v>
      </c>
      <c r="DB249">
        <v>104.2</v>
      </c>
      <c r="DD249" s="86" t="str">
        <f t="shared" si="39"/>
        <v>178205Mix + Intocáveis SC Johnson</v>
      </c>
      <c r="DE249">
        <v>178205</v>
      </c>
      <c r="DF249" t="s">
        <v>381</v>
      </c>
      <c r="DG249" t="s">
        <v>1345</v>
      </c>
      <c r="DH249" t="s">
        <v>103</v>
      </c>
      <c r="DI249" t="s">
        <v>1652</v>
      </c>
      <c r="DJ249" t="s">
        <v>1653</v>
      </c>
      <c r="DK249" t="s">
        <v>459</v>
      </c>
      <c r="DL249">
        <v>34.4</v>
      </c>
      <c r="DM249">
        <v>40</v>
      </c>
      <c r="DN249">
        <v>90.4</v>
      </c>
      <c r="DP249" s="86" t="str">
        <f t="shared" si="40"/>
        <v>178205Mix + Intocáveis SC Johnson</v>
      </c>
      <c r="DQ249">
        <v>178205</v>
      </c>
      <c r="DR249" t="s">
        <v>381</v>
      </c>
      <c r="DS249" t="s">
        <v>1345</v>
      </c>
      <c r="DT249" t="s">
        <v>103</v>
      </c>
      <c r="DU249" t="s">
        <v>1822</v>
      </c>
      <c r="DV249" t="s">
        <v>1823</v>
      </c>
      <c r="DW249" t="s">
        <v>459</v>
      </c>
      <c r="DX249">
        <v>34.4</v>
      </c>
      <c r="DY249">
        <v>40</v>
      </c>
      <c r="DZ249">
        <v>83.83</v>
      </c>
    </row>
    <row r="250" spans="1:130" x14ac:dyDescent="0.35">
      <c r="A250" s="86" t="str">
        <f t="shared" si="42"/>
        <v>182639Share Sub Loc Pao Quente SC Johnson</v>
      </c>
      <c r="B250">
        <v>182639</v>
      </c>
      <c r="C250" t="s">
        <v>350</v>
      </c>
      <c r="D250" t="s">
        <v>103</v>
      </c>
      <c r="E250" t="s">
        <v>588</v>
      </c>
      <c r="F250" t="s">
        <v>589</v>
      </c>
      <c r="G250" t="s">
        <v>458</v>
      </c>
      <c r="H250">
        <v>65.19</v>
      </c>
      <c r="I250">
        <v>13.6</v>
      </c>
      <c r="J250">
        <v>17</v>
      </c>
      <c r="L250" s="86" t="str">
        <f t="shared" si="43"/>
        <v>182641Mix + Intocáveis SC Johnson</v>
      </c>
      <c r="M250">
        <v>182641</v>
      </c>
      <c r="N250" t="s">
        <v>352</v>
      </c>
      <c r="O250" t="s">
        <v>36</v>
      </c>
      <c r="P250" t="s">
        <v>103</v>
      </c>
      <c r="Q250" t="s">
        <v>738</v>
      </c>
      <c r="R250" t="s">
        <v>739</v>
      </c>
      <c r="S250" t="s">
        <v>459</v>
      </c>
      <c r="T250">
        <v>10.125</v>
      </c>
      <c r="U250">
        <v>45</v>
      </c>
      <c r="V250">
        <v>35.74</v>
      </c>
      <c r="X250" s="86" t="str">
        <f t="shared" si="44"/>
        <v>182640Mix + Intocáveis SC Johnson</v>
      </c>
      <c r="Y250">
        <v>182640</v>
      </c>
      <c r="Z250" t="s">
        <v>351</v>
      </c>
      <c r="AA250" t="s">
        <v>104</v>
      </c>
      <c r="AB250" t="s">
        <v>103</v>
      </c>
      <c r="AC250" t="s">
        <v>899</v>
      </c>
      <c r="AD250" t="s">
        <v>900</v>
      </c>
      <c r="AE250" t="s">
        <v>459</v>
      </c>
      <c r="AF250">
        <v>28.125</v>
      </c>
      <c r="AG250">
        <v>45</v>
      </c>
      <c r="AH250">
        <v>74.63</v>
      </c>
      <c r="AJ250" s="86" t="str">
        <f t="shared" si="45"/>
        <v>182639Share Sub Loc Pao Quente SC Johnson</v>
      </c>
      <c r="AK250">
        <v>182639</v>
      </c>
      <c r="AL250" t="s">
        <v>350</v>
      </c>
      <c r="AM250" t="s">
        <v>36</v>
      </c>
      <c r="AN250" t="s">
        <v>103</v>
      </c>
      <c r="AO250" t="s">
        <v>941</v>
      </c>
      <c r="AP250" t="s">
        <v>942</v>
      </c>
      <c r="AQ250" t="s">
        <v>458</v>
      </c>
      <c r="AR250">
        <v>9</v>
      </c>
      <c r="AS250">
        <v>12</v>
      </c>
      <c r="AT250">
        <v>55.52</v>
      </c>
      <c r="AV250" s="86" t="str">
        <f t="shared" si="46"/>
        <v>182641Share Sub Loc Pao Quente SC Johnson</v>
      </c>
      <c r="AW250">
        <v>182641</v>
      </c>
      <c r="AX250" t="s">
        <v>352</v>
      </c>
      <c r="AY250" t="s">
        <v>36</v>
      </c>
      <c r="AZ250" t="s">
        <v>103</v>
      </c>
      <c r="BA250" t="s">
        <v>1119</v>
      </c>
      <c r="BB250" t="s">
        <v>1120</v>
      </c>
      <c r="BC250" t="s">
        <v>458</v>
      </c>
      <c r="BD250">
        <v>9</v>
      </c>
      <c r="BE250">
        <v>12</v>
      </c>
      <c r="BF250">
        <v>60.77</v>
      </c>
      <c r="BH250" s="86" t="str">
        <f t="shared" si="47"/>
        <v>182592Share Sub Loc Pao Quente SC Johnson</v>
      </c>
      <c r="BI250">
        <v>182592</v>
      </c>
      <c r="BJ250" t="s">
        <v>398</v>
      </c>
      <c r="BK250" t="s">
        <v>482</v>
      </c>
      <c r="BL250" t="s">
        <v>103</v>
      </c>
      <c r="BM250" t="s">
        <v>1237</v>
      </c>
      <c r="BN250" t="s">
        <v>1238</v>
      </c>
      <c r="BO250" t="s">
        <v>458</v>
      </c>
      <c r="BP250">
        <v>12</v>
      </c>
      <c r="BQ250">
        <v>12</v>
      </c>
      <c r="BR250">
        <v>58.48</v>
      </c>
      <c r="BT250" s="86" t="str">
        <f t="shared" si="36"/>
        <v>166873Mix + Intocáveis SC Johnson</v>
      </c>
      <c r="BU250">
        <v>166873</v>
      </c>
      <c r="BV250" t="s">
        <v>345</v>
      </c>
      <c r="BW250" t="s">
        <v>1306</v>
      </c>
      <c r="BX250" t="s">
        <v>103</v>
      </c>
      <c r="BY250" t="s">
        <v>1337</v>
      </c>
      <c r="BZ250" t="s">
        <v>1338</v>
      </c>
      <c r="CA250" t="s">
        <v>459</v>
      </c>
      <c r="CB250">
        <v>22.4</v>
      </c>
      <c r="CC250">
        <v>40</v>
      </c>
      <c r="CD250">
        <v>68.16</v>
      </c>
      <c r="CF250" s="86" t="str">
        <f t="shared" si="37"/>
        <v>168551Mix + Intocáveis SC Johnson</v>
      </c>
      <c r="CG250">
        <v>168551</v>
      </c>
      <c r="CH250" t="s">
        <v>380</v>
      </c>
      <c r="CI250" t="s">
        <v>1345</v>
      </c>
      <c r="CJ250" t="s">
        <v>103</v>
      </c>
      <c r="CK250" t="s">
        <v>1404</v>
      </c>
      <c r="CL250" t="s">
        <v>1405</v>
      </c>
      <c r="CM250" t="s">
        <v>459</v>
      </c>
      <c r="CN250">
        <v>38.4</v>
      </c>
      <c r="CO250">
        <v>40</v>
      </c>
      <c r="CP250">
        <v>94.4</v>
      </c>
      <c r="CR250" s="86" t="str">
        <f t="shared" si="38"/>
        <v>169868Mix + Intocáveis SC Johnson</v>
      </c>
      <c r="CS250">
        <v>169868</v>
      </c>
      <c r="CT250" t="s">
        <v>396</v>
      </c>
      <c r="CU250" t="s">
        <v>1306</v>
      </c>
      <c r="CV250" t="s">
        <v>103</v>
      </c>
      <c r="CW250" t="s">
        <v>1604</v>
      </c>
      <c r="CX250" t="s">
        <v>1605</v>
      </c>
      <c r="CY250" t="s">
        <v>459</v>
      </c>
      <c r="CZ250">
        <v>39.200000000000003</v>
      </c>
      <c r="DA250">
        <v>40</v>
      </c>
      <c r="DB250">
        <v>104.2</v>
      </c>
      <c r="DD250" s="86" t="str">
        <f t="shared" si="39"/>
        <v>178205Execucao Bonus</v>
      </c>
      <c r="DE250">
        <v>178205</v>
      </c>
      <c r="DF250" t="s">
        <v>381</v>
      </c>
      <c r="DG250" t="s">
        <v>1345</v>
      </c>
      <c r="DH250" t="s">
        <v>103</v>
      </c>
      <c r="DI250" t="s">
        <v>1652</v>
      </c>
      <c r="DJ250" t="s">
        <v>1653</v>
      </c>
      <c r="DK250" t="s">
        <v>1291</v>
      </c>
      <c r="DL250">
        <v>5</v>
      </c>
      <c r="DM250">
        <v>5</v>
      </c>
      <c r="DN250">
        <v>90.4</v>
      </c>
      <c r="DP250" s="86" t="str">
        <f t="shared" si="40"/>
        <v>178205Execucao Bonus</v>
      </c>
      <c r="DQ250">
        <v>178205</v>
      </c>
      <c r="DR250" t="s">
        <v>381</v>
      </c>
      <c r="DS250" t="s">
        <v>1345</v>
      </c>
      <c r="DT250" t="s">
        <v>103</v>
      </c>
      <c r="DU250" t="s">
        <v>1822</v>
      </c>
      <c r="DV250" t="s">
        <v>1823</v>
      </c>
      <c r="DW250" t="s">
        <v>1291</v>
      </c>
      <c r="DX250">
        <v>5</v>
      </c>
      <c r="DY250">
        <v>5</v>
      </c>
      <c r="DZ250">
        <v>83.83</v>
      </c>
    </row>
    <row r="251" spans="1:130" x14ac:dyDescent="0.35">
      <c r="A251" s="86" t="str">
        <f t="shared" si="42"/>
        <v>182639Mix + Intocáveis SC Johnson</v>
      </c>
      <c r="B251">
        <v>182639</v>
      </c>
      <c r="C251" t="s">
        <v>350</v>
      </c>
      <c r="D251" t="s">
        <v>103</v>
      </c>
      <c r="E251" t="s">
        <v>588</v>
      </c>
      <c r="F251" t="s">
        <v>589</v>
      </c>
      <c r="G251" t="s">
        <v>459</v>
      </c>
      <c r="H251">
        <v>65.19</v>
      </c>
      <c r="I251">
        <v>25.875</v>
      </c>
      <c r="J251">
        <v>45</v>
      </c>
      <c r="L251" s="86" t="str">
        <f t="shared" si="43"/>
        <v>184214Share Sub Category SC Johnson</v>
      </c>
      <c r="M251">
        <v>184214</v>
      </c>
      <c r="N251" t="s">
        <v>400</v>
      </c>
      <c r="O251" t="s">
        <v>482</v>
      </c>
      <c r="P251" t="s">
        <v>103</v>
      </c>
      <c r="Q251" t="s">
        <v>740</v>
      </c>
      <c r="R251" t="s">
        <v>741</v>
      </c>
      <c r="S251" t="s">
        <v>457</v>
      </c>
      <c r="T251">
        <v>21.42</v>
      </c>
      <c r="U251">
        <v>30</v>
      </c>
      <c r="V251">
        <v>71.67</v>
      </c>
      <c r="X251" s="86" t="str">
        <f t="shared" si="44"/>
        <v>182641Share Sub Category SC Johnson</v>
      </c>
      <c r="Y251">
        <v>182641</v>
      </c>
      <c r="Z251" t="s">
        <v>352</v>
      </c>
      <c r="AA251" t="s">
        <v>36</v>
      </c>
      <c r="AB251" t="s">
        <v>103</v>
      </c>
      <c r="AC251" t="s">
        <v>773</v>
      </c>
      <c r="AD251" t="s">
        <v>774</v>
      </c>
      <c r="AE251" t="s">
        <v>457</v>
      </c>
      <c r="AF251">
        <v>30</v>
      </c>
      <c r="AG251">
        <v>30</v>
      </c>
      <c r="AH251">
        <v>80.25</v>
      </c>
      <c r="AJ251" s="86" t="str">
        <f t="shared" si="45"/>
        <v>182639Mix + Intocáveis SC Johnson</v>
      </c>
      <c r="AK251">
        <v>182639</v>
      </c>
      <c r="AL251" t="s">
        <v>350</v>
      </c>
      <c r="AM251" t="s">
        <v>36</v>
      </c>
      <c r="AN251" t="s">
        <v>103</v>
      </c>
      <c r="AO251" t="s">
        <v>941</v>
      </c>
      <c r="AP251" t="s">
        <v>942</v>
      </c>
      <c r="AQ251" t="s">
        <v>459</v>
      </c>
      <c r="AR251">
        <v>22.6</v>
      </c>
      <c r="AS251">
        <v>40</v>
      </c>
      <c r="AT251">
        <v>55.52</v>
      </c>
      <c r="AV251" s="86" t="str">
        <f t="shared" si="46"/>
        <v>182641Mix + Intocáveis SC Johnson</v>
      </c>
      <c r="AW251">
        <v>182641</v>
      </c>
      <c r="AX251" t="s">
        <v>352</v>
      </c>
      <c r="AY251" t="s">
        <v>36</v>
      </c>
      <c r="AZ251" t="s">
        <v>103</v>
      </c>
      <c r="BA251" t="s">
        <v>1119</v>
      </c>
      <c r="BB251" t="s">
        <v>1120</v>
      </c>
      <c r="BC251" t="s">
        <v>459</v>
      </c>
      <c r="BD251">
        <v>28.68</v>
      </c>
      <c r="BE251">
        <v>40</v>
      </c>
      <c r="BF251">
        <v>60.77</v>
      </c>
      <c r="BH251" s="86" t="str">
        <f t="shared" si="47"/>
        <v>182592Mix + Intocáveis SC Johnson</v>
      </c>
      <c r="BI251">
        <v>182592</v>
      </c>
      <c r="BJ251" t="s">
        <v>398</v>
      </c>
      <c r="BK251" t="s">
        <v>482</v>
      </c>
      <c r="BL251" t="s">
        <v>103</v>
      </c>
      <c r="BM251" t="s">
        <v>1237</v>
      </c>
      <c r="BN251" t="s">
        <v>1238</v>
      </c>
      <c r="BO251" t="s">
        <v>459</v>
      </c>
      <c r="BP251">
        <v>26.96</v>
      </c>
      <c r="BQ251">
        <v>40</v>
      </c>
      <c r="BR251">
        <v>58.48</v>
      </c>
      <c r="BT251" s="86" t="str">
        <f t="shared" si="36"/>
        <v>166873Share Sub Category SC Johnson</v>
      </c>
      <c r="BU251">
        <v>166873</v>
      </c>
      <c r="BV251" t="s">
        <v>345</v>
      </c>
      <c r="BW251" t="s">
        <v>1306</v>
      </c>
      <c r="BX251" t="s">
        <v>103</v>
      </c>
      <c r="BY251" t="s">
        <v>1337</v>
      </c>
      <c r="BZ251" t="s">
        <v>1338</v>
      </c>
      <c r="CA251" t="s">
        <v>457</v>
      </c>
      <c r="CB251">
        <v>21.425000000000001</v>
      </c>
      <c r="CC251">
        <v>25</v>
      </c>
      <c r="CD251">
        <v>68.16</v>
      </c>
      <c r="CF251" s="86" t="str">
        <f t="shared" si="37"/>
        <v>168551Share Sub Category SC Johnson</v>
      </c>
      <c r="CG251">
        <v>168551</v>
      </c>
      <c r="CH251" t="s">
        <v>380</v>
      </c>
      <c r="CI251" t="s">
        <v>1345</v>
      </c>
      <c r="CJ251" t="s">
        <v>103</v>
      </c>
      <c r="CK251" t="s">
        <v>1404</v>
      </c>
      <c r="CL251" t="s">
        <v>1405</v>
      </c>
      <c r="CM251" t="s">
        <v>457</v>
      </c>
      <c r="CN251">
        <v>25</v>
      </c>
      <c r="CO251">
        <v>25</v>
      </c>
      <c r="CP251">
        <v>94.4</v>
      </c>
      <c r="CR251" s="86" t="str">
        <f t="shared" si="38"/>
        <v>169868Share Sub Category SC Johnson</v>
      </c>
      <c r="CS251">
        <v>169868</v>
      </c>
      <c r="CT251" t="s">
        <v>396</v>
      </c>
      <c r="CU251" t="s">
        <v>1306</v>
      </c>
      <c r="CV251" t="s">
        <v>103</v>
      </c>
      <c r="CW251" t="s">
        <v>1604</v>
      </c>
      <c r="CX251" t="s">
        <v>1605</v>
      </c>
      <c r="CY251" t="s">
        <v>457</v>
      </c>
      <c r="CZ251">
        <v>25</v>
      </c>
      <c r="DA251">
        <v>25</v>
      </c>
      <c r="DB251">
        <v>104.2</v>
      </c>
      <c r="DD251" s="86" t="str">
        <f t="shared" si="39"/>
        <v>178205Cross Merchan SC Johnson</v>
      </c>
      <c r="DE251">
        <v>178205</v>
      </c>
      <c r="DF251" t="s">
        <v>381</v>
      </c>
      <c r="DG251" t="s">
        <v>1345</v>
      </c>
      <c r="DH251" t="s">
        <v>103</v>
      </c>
      <c r="DI251" t="s">
        <v>1652</v>
      </c>
      <c r="DJ251" t="s">
        <v>1653</v>
      </c>
      <c r="DK251" t="s">
        <v>111</v>
      </c>
      <c r="DL251">
        <v>5</v>
      </c>
      <c r="DM251">
        <v>5</v>
      </c>
      <c r="DN251">
        <v>90.4</v>
      </c>
      <c r="DP251" s="86" t="str">
        <f t="shared" si="40"/>
        <v>178205Cross Merchan SC Johnson</v>
      </c>
      <c r="DQ251">
        <v>178205</v>
      </c>
      <c r="DR251" t="s">
        <v>381</v>
      </c>
      <c r="DS251" t="s">
        <v>1345</v>
      </c>
      <c r="DT251" t="s">
        <v>103</v>
      </c>
      <c r="DU251" t="s">
        <v>1822</v>
      </c>
      <c r="DV251" t="s">
        <v>1823</v>
      </c>
      <c r="DW251" t="s">
        <v>111</v>
      </c>
      <c r="DX251">
        <v>5</v>
      </c>
      <c r="DY251">
        <v>5</v>
      </c>
      <c r="DZ251">
        <v>83.83</v>
      </c>
    </row>
    <row r="252" spans="1:130" x14ac:dyDescent="0.35">
      <c r="A252" s="86" t="str">
        <f t="shared" si="42"/>
        <v>182640Share Sub Category SC Johnson</v>
      </c>
      <c r="B252">
        <v>182640</v>
      </c>
      <c r="C252" t="s">
        <v>351</v>
      </c>
      <c r="D252" t="s">
        <v>103</v>
      </c>
      <c r="E252" t="s">
        <v>590</v>
      </c>
      <c r="F252" t="s">
        <v>591</v>
      </c>
      <c r="G252" t="s">
        <v>457</v>
      </c>
      <c r="H252">
        <v>65.37</v>
      </c>
      <c r="I252">
        <v>21.42</v>
      </c>
      <c r="J252">
        <v>30</v>
      </c>
      <c r="L252" s="86" t="str">
        <f t="shared" si="43"/>
        <v>184214Cross Merchan SC Johnson</v>
      </c>
      <c r="M252">
        <v>184214</v>
      </c>
      <c r="N252" t="s">
        <v>400</v>
      </c>
      <c r="O252" t="s">
        <v>482</v>
      </c>
      <c r="P252" t="s">
        <v>103</v>
      </c>
      <c r="Q252" t="s">
        <v>740</v>
      </c>
      <c r="R252" t="s">
        <v>741</v>
      </c>
      <c r="S252" t="s">
        <v>111</v>
      </c>
      <c r="T252">
        <v>8</v>
      </c>
      <c r="U252">
        <v>8</v>
      </c>
      <c r="V252">
        <v>71.67</v>
      </c>
      <c r="X252" s="86" t="str">
        <f t="shared" si="44"/>
        <v>182641Cross Merchan SC Johnson</v>
      </c>
      <c r="Y252">
        <v>182641</v>
      </c>
      <c r="Z252" t="s">
        <v>352</v>
      </c>
      <c r="AA252" t="s">
        <v>36</v>
      </c>
      <c r="AB252" t="s">
        <v>103</v>
      </c>
      <c r="AC252" t="s">
        <v>773</v>
      </c>
      <c r="AD252" t="s">
        <v>774</v>
      </c>
      <c r="AE252" t="s">
        <v>111</v>
      </c>
      <c r="AF252">
        <v>8</v>
      </c>
      <c r="AG252">
        <v>8</v>
      </c>
      <c r="AH252">
        <v>80.25</v>
      </c>
      <c r="AJ252" s="86" t="str">
        <f t="shared" si="45"/>
        <v>182639Lancamentos</v>
      </c>
      <c r="AK252">
        <v>182639</v>
      </c>
      <c r="AL252" t="s">
        <v>350</v>
      </c>
      <c r="AM252" t="s">
        <v>36</v>
      </c>
      <c r="AN252" t="s">
        <v>103</v>
      </c>
      <c r="AO252" t="s">
        <v>941</v>
      </c>
      <c r="AP252" t="s">
        <v>942</v>
      </c>
      <c r="AQ252" t="s">
        <v>953</v>
      </c>
      <c r="AR252">
        <v>0</v>
      </c>
      <c r="AS252">
        <v>18</v>
      </c>
      <c r="AT252">
        <v>55.52</v>
      </c>
      <c r="AV252" s="86" t="str">
        <f t="shared" si="46"/>
        <v>182641Lancamentos</v>
      </c>
      <c r="AW252">
        <v>182641</v>
      </c>
      <c r="AX252" t="s">
        <v>352</v>
      </c>
      <c r="AY252" t="s">
        <v>36</v>
      </c>
      <c r="AZ252" t="s">
        <v>103</v>
      </c>
      <c r="BA252" t="s">
        <v>1119</v>
      </c>
      <c r="BB252" t="s">
        <v>1120</v>
      </c>
      <c r="BC252" t="s">
        <v>953</v>
      </c>
      <c r="BD252">
        <v>0</v>
      </c>
      <c r="BE252">
        <v>18</v>
      </c>
      <c r="BF252">
        <v>60.77</v>
      </c>
      <c r="BH252" s="86" t="str">
        <f t="shared" si="47"/>
        <v>182592Lancamentos</v>
      </c>
      <c r="BI252">
        <v>182592</v>
      </c>
      <c r="BJ252" t="s">
        <v>398</v>
      </c>
      <c r="BK252" t="s">
        <v>482</v>
      </c>
      <c r="BL252" t="s">
        <v>103</v>
      </c>
      <c r="BM252" t="s">
        <v>1237</v>
      </c>
      <c r="BN252" t="s">
        <v>1238</v>
      </c>
      <c r="BO252" t="s">
        <v>953</v>
      </c>
      <c r="BP252">
        <v>0</v>
      </c>
      <c r="BQ252">
        <v>18</v>
      </c>
      <c r="BR252">
        <v>58.48</v>
      </c>
      <c r="BT252" s="86" t="str">
        <f t="shared" si="36"/>
        <v>166873Share Sub Loc Pao Quente SC Johnson</v>
      </c>
      <c r="BU252">
        <v>166873</v>
      </c>
      <c r="BV252" t="s">
        <v>345</v>
      </c>
      <c r="BW252" t="s">
        <v>1306</v>
      </c>
      <c r="BX252" t="s">
        <v>103</v>
      </c>
      <c r="BY252" t="s">
        <v>1337</v>
      </c>
      <c r="BZ252" t="s">
        <v>1338</v>
      </c>
      <c r="CA252" t="s">
        <v>458</v>
      </c>
      <c r="CB252">
        <v>12</v>
      </c>
      <c r="CC252">
        <v>12</v>
      </c>
      <c r="CD252">
        <v>68.16</v>
      </c>
      <c r="CF252" s="86" t="str">
        <f t="shared" si="37"/>
        <v>168551Share Sub Loc Pao Quente SC Johnson</v>
      </c>
      <c r="CG252">
        <v>168551</v>
      </c>
      <c r="CH252" t="s">
        <v>380</v>
      </c>
      <c r="CI252" t="s">
        <v>1345</v>
      </c>
      <c r="CJ252" t="s">
        <v>103</v>
      </c>
      <c r="CK252" t="s">
        <v>1404</v>
      </c>
      <c r="CL252" t="s">
        <v>1405</v>
      </c>
      <c r="CM252" t="s">
        <v>458</v>
      </c>
      <c r="CN252">
        <v>12</v>
      </c>
      <c r="CO252">
        <v>12</v>
      </c>
      <c r="CP252">
        <v>94.4</v>
      </c>
      <c r="CR252" s="86" t="str">
        <f t="shared" si="38"/>
        <v>169868Share Sub Loc Pao Quente SC Johnson</v>
      </c>
      <c r="CS252">
        <v>169868</v>
      </c>
      <c r="CT252" t="s">
        <v>396</v>
      </c>
      <c r="CU252" t="s">
        <v>1306</v>
      </c>
      <c r="CV252" t="s">
        <v>103</v>
      </c>
      <c r="CW252" t="s">
        <v>1604</v>
      </c>
      <c r="CX252" t="s">
        <v>1605</v>
      </c>
      <c r="CY252" t="s">
        <v>458</v>
      </c>
      <c r="CZ252">
        <v>12</v>
      </c>
      <c r="DA252">
        <v>12</v>
      </c>
      <c r="DB252">
        <v>104.2</v>
      </c>
      <c r="DD252" s="86" t="str">
        <f t="shared" si="39"/>
        <v>178205Lancamentos</v>
      </c>
      <c r="DE252">
        <v>178205</v>
      </c>
      <c r="DF252" t="s">
        <v>381</v>
      </c>
      <c r="DG252" t="s">
        <v>1345</v>
      </c>
      <c r="DH252" t="s">
        <v>103</v>
      </c>
      <c r="DI252" t="s">
        <v>1652</v>
      </c>
      <c r="DJ252" t="s">
        <v>1653</v>
      </c>
      <c r="DK252" t="s">
        <v>953</v>
      </c>
      <c r="DL252">
        <v>9</v>
      </c>
      <c r="DM252">
        <v>18</v>
      </c>
      <c r="DN252">
        <v>90.4</v>
      </c>
      <c r="DP252" s="86" t="str">
        <f t="shared" si="40"/>
        <v>178205Lancamentos</v>
      </c>
      <c r="DQ252">
        <v>178205</v>
      </c>
      <c r="DR252" t="s">
        <v>381</v>
      </c>
      <c r="DS252" t="s">
        <v>1345</v>
      </c>
      <c r="DT252" t="s">
        <v>103</v>
      </c>
      <c r="DU252" t="s">
        <v>1822</v>
      </c>
      <c r="DV252" t="s">
        <v>1823</v>
      </c>
      <c r="DW252" t="s">
        <v>953</v>
      </c>
      <c r="DX252">
        <v>9</v>
      </c>
      <c r="DY252">
        <v>18</v>
      </c>
      <c r="DZ252">
        <v>83.83</v>
      </c>
    </row>
    <row r="253" spans="1:130" x14ac:dyDescent="0.35">
      <c r="A253" s="86" t="str">
        <f t="shared" si="42"/>
        <v>182640Cross Merchan SC Johnson</v>
      </c>
      <c r="B253">
        <v>182640</v>
      </c>
      <c r="C253" t="s">
        <v>351</v>
      </c>
      <c r="D253" t="s">
        <v>103</v>
      </c>
      <c r="E253" t="s">
        <v>590</v>
      </c>
      <c r="F253" t="s">
        <v>591</v>
      </c>
      <c r="G253" t="s">
        <v>111</v>
      </c>
      <c r="H253">
        <v>65.37</v>
      </c>
      <c r="I253">
        <v>0</v>
      </c>
      <c r="J253">
        <v>8</v>
      </c>
      <c r="L253" s="86" t="str">
        <f t="shared" si="43"/>
        <v>184214Share Sub Loc Pao Quente SC Johnson</v>
      </c>
      <c r="M253">
        <v>184214</v>
      </c>
      <c r="N253" t="s">
        <v>400</v>
      </c>
      <c r="O253" t="s">
        <v>482</v>
      </c>
      <c r="P253" t="s">
        <v>103</v>
      </c>
      <c r="Q253" t="s">
        <v>740</v>
      </c>
      <c r="R253" t="s">
        <v>741</v>
      </c>
      <c r="S253" t="s">
        <v>458</v>
      </c>
      <c r="T253">
        <v>8.5</v>
      </c>
      <c r="U253">
        <v>17</v>
      </c>
      <c r="V253">
        <v>71.67</v>
      </c>
      <c r="X253" s="86" t="str">
        <f t="shared" si="44"/>
        <v>182641Share Sub Loc Pao Quente SC Johnson</v>
      </c>
      <c r="Y253">
        <v>182641</v>
      </c>
      <c r="Z253" t="s">
        <v>352</v>
      </c>
      <c r="AA253" t="s">
        <v>36</v>
      </c>
      <c r="AB253" t="s">
        <v>103</v>
      </c>
      <c r="AC253" t="s">
        <v>773</v>
      </c>
      <c r="AD253" t="s">
        <v>774</v>
      </c>
      <c r="AE253" t="s">
        <v>458</v>
      </c>
      <c r="AF253">
        <v>8.5</v>
      </c>
      <c r="AG253">
        <v>17</v>
      </c>
      <c r="AH253">
        <v>80.25</v>
      </c>
      <c r="AJ253" s="86" t="str">
        <f t="shared" si="45"/>
        <v>182640Share Sub Category SC Johnson</v>
      </c>
      <c r="AK253">
        <v>182640</v>
      </c>
      <c r="AL253" t="s">
        <v>351</v>
      </c>
      <c r="AM253" t="s">
        <v>36</v>
      </c>
      <c r="AN253" t="s">
        <v>103</v>
      </c>
      <c r="AO253" t="s">
        <v>943</v>
      </c>
      <c r="AP253" t="s">
        <v>944</v>
      </c>
      <c r="AQ253" t="s">
        <v>457</v>
      </c>
      <c r="AR253">
        <v>25</v>
      </c>
      <c r="AS253">
        <v>25</v>
      </c>
      <c r="AT253">
        <v>68.180000000000007</v>
      </c>
      <c r="AV253" s="86" t="str">
        <f t="shared" si="46"/>
        <v>184214Share Sub Category SC Johnson</v>
      </c>
      <c r="AW253">
        <v>184214</v>
      </c>
      <c r="AX253" t="s">
        <v>400</v>
      </c>
      <c r="AY253" t="s">
        <v>482</v>
      </c>
      <c r="AZ253" t="s">
        <v>103</v>
      </c>
      <c r="BA253" t="s">
        <v>1139</v>
      </c>
      <c r="BB253" t="s">
        <v>1140</v>
      </c>
      <c r="BC253" t="s">
        <v>457</v>
      </c>
      <c r="BD253">
        <v>21.425000000000001</v>
      </c>
      <c r="BE253">
        <v>25</v>
      </c>
      <c r="BF253">
        <v>87.8</v>
      </c>
      <c r="BH253" s="86" t="str">
        <f t="shared" si="47"/>
        <v>182636Share Sub Category SC Johnson</v>
      </c>
      <c r="BI253">
        <v>182636</v>
      </c>
      <c r="BJ253" t="s">
        <v>349</v>
      </c>
      <c r="BK253" t="s">
        <v>36</v>
      </c>
      <c r="BL253" t="s">
        <v>103</v>
      </c>
      <c r="BM253" t="s">
        <v>1260</v>
      </c>
      <c r="BN253" t="s">
        <v>1261</v>
      </c>
      <c r="BO253" t="s">
        <v>457</v>
      </c>
      <c r="BP253">
        <v>21.425000000000001</v>
      </c>
      <c r="BQ253">
        <v>25</v>
      </c>
      <c r="BR253">
        <v>86.08</v>
      </c>
      <c r="BT253" s="86" t="str">
        <f t="shared" si="36"/>
        <v>166873Cross Merchan SC Johnson</v>
      </c>
      <c r="BU253">
        <v>166873</v>
      </c>
      <c r="BV253" t="s">
        <v>345</v>
      </c>
      <c r="BW253" t="s">
        <v>1306</v>
      </c>
      <c r="BX253" t="s">
        <v>103</v>
      </c>
      <c r="BY253" t="s">
        <v>1337</v>
      </c>
      <c r="BZ253" t="s">
        <v>1338</v>
      </c>
      <c r="CA253" t="s">
        <v>111</v>
      </c>
      <c r="CB253">
        <v>3.335</v>
      </c>
      <c r="CC253">
        <v>5</v>
      </c>
      <c r="CD253">
        <v>68.16</v>
      </c>
      <c r="CF253" s="86" t="str">
        <f t="shared" si="37"/>
        <v>168551Cross Merchan SC Johnson</v>
      </c>
      <c r="CG253">
        <v>168551</v>
      </c>
      <c r="CH253" t="s">
        <v>380</v>
      </c>
      <c r="CI253" t="s">
        <v>1345</v>
      </c>
      <c r="CJ253" t="s">
        <v>103</v>
      </c>
      <c r="CK253" t="s">
        <v>1404</v>
      </c>
      <c r="CL253" t="s">
        <v>1405</v>
      </c>
      <c r="CM253" t="s">
        <v>111</v>
      </c>
      <c r="CN253">
        <v>5</v>
      </c>
      <c r="CO253">
        <v>5</v>
      </c>
      <c r="CP253">
        <v>94.4</v>
      </c>
      <c r="CR253" s="86" t="str">
        <f t="shared" si="38"/>
        <v>169868Cross Merchan SC Johnson</v>
      </c>
      <c r="CS253">
        <v>169868</v>
      </c>
      <c r="CT253" t="s">
        <v>396</v>
      </c>
      <c r="CU253" t="s">
        <v>1306</v>
      </c>
      <c r="CV253" t="s">
        <v>103</v>
      </c>
      <c r="CW253" t="s">
        <v>1604</v>
      </c>
      <c r="CX253" t="s">
        <v>1605</v>
      </c>
      <c r="CY253" t="s">
        <v>111</v>
      </c>
      <c r="CZ253">
        <v>5</v>
      </c>
      <c r="DA253">
        <v>5</v>
      </c>
      <c r="DB253">
        <v>104.2</v>
      </c>
      <c r="DD253" s="86" t="str">
        <f t="shared" si="39"/>
        <v>178205Share Sub Category SC Johnson</v>
      </c>
      <c r="DE253">
        <v>178205</v>
      </c>
      <c r="DF253" t="s">
        <v>381</v>
      </c>
      <c r="DG253" t="s">
        <v>1345</v>
      </c>
      <c r="DH253" t="s">
        <v>103</v>
      </c>
      <c r="DI253" t="s">
        <v>1652</v>
      </c>
      <c r="DJ253" t="s">
        <v>1653</v>
      </c>
      <c r="DK253" t="s">
        <v>457</v>
      </c>
      <c r="DL253">
        <v>25</v>
      </c>
      <c r="DM253">
        <v>25</v>
      </c>
      <c r="DN253">
        <v>90.4</v>
      </c>
      <c r="DP253" s="86" t="str">
        <f t="shared" si="40"/>
        <v>178205Share Sub Category SC Johnson</v>
      </c>
      <c r="DQ253">
        <v>178205</v>
      </c>
      <c r="DR253" t="s">
        <v>381</v>
      </c>
      <c r="DS253" t="s">
        <v>1345</v>
      </c>
      <c r="DT253" t="s">
        <v>103</v>
      </c>
      <c r="DU253" t="s">
        <v>1822</v>
      </c>
      <c r="DV253" t="s">
        <v>1823</v>
      </c>
      <c r="DW253" t="s">
        <v>457</v>
      </c>
      <c r="DX253">
        <v>21.425000000000001</v>
      </c>
      <c r="DY253">
        <v>25</v>
      </c>
      <c r="DZ253">
        <v>83.83</v>
      </c>
    </row>
    <row r="254" spans="1:130" x14ac:dyDescent="0.35">
      <c r="A254" s="86" t="str">
        <f t="shared" si="42"/>
        <v>182640Share Sub Loc Pao Quente SC Johnson</v>
      </c>
      <c r="B254">
        <v>182640</v>
      </c>
      <c r="C254" t="s">
        <v>351</v>
      </c>
      <c r="D254" t="s">
        <v>103</v>
      </c>
      <c r="E254" t="s">
        <v>590</v>
      </c>
      <c r="F254" t="s">
        <v>591</v>
      </c>
      <c r="G254" t="s">
        <v>458</v>
      </c>
      <c r="H254">
        <v>65.37</v>
      </c>
      <c r="I254">
        <v>10.199999999999999</v>
      </c>
      <c r="J254">
        <v>17</v>
      </c>
      <c r="L254" s="86" t="str">
        <f t="shared" si="43"/>
        <v>184214Mix + Intocáveis SC Johnson</v>
      </c>
      <c r="M254">
        <v>184214</v>
      </c>
      <c r="N254" t="s">
        <v>400</v>
      </c>
      <c r="O254" t="s">
        <v>482</v>
      </c>
      <c r="P254" t="s">
        <v>103</v>
      </c>
      <c r="Q254" t="s">
        <v>740</v>
      </c>
      <c r="R254" t="s">
        <v>741</v>
      </c>
      <c r="S254" t="s">
        <v>459</v>
      </c>
      <c r="T254">
        <v>33.75</v>
      </c>
      <c r="U254">
        <v>45</v>
      </c>
      <c r="V254">
        <v>71.67</v>
      </c>
      <c r="X254" s="86" t="str">
        <f t="shared" si="44"/>
        <v>182641Mix + Intocáveis SC Johnson</v>
      </c>
      <c r="Y254">
        <v>182641</v>
      </c>
      <c r="Z254" t="s">
        <v>352</v>
      </c>
      <c r="AA254" t="s">
        <v>36</v>
      </c>
      <c r="AB254" t="s">
        <v>103</v>
      </c>
      <c r="AC254" t="s">
        <v>773</v>
      </c>
      <c r="AD254" t="s">
        <v>774</v>
      </c>
      <c r="AE254" t="s">
        <v>459</v>
      </c>
      <c r="AF254">
        <v>33.75</v>
      </c>
      <c r="AG254">
        <v>45</v>
      </c>
      <c r="AH254">
        <v>80.25</v>
      </c>
      <c r="AJ254" s="86" t="str">
        <f t="shared" si="45"/>
        <v>182640Cross Merchan SC Johnson</v>
      </c>
      <c r="AK254">
        <v>182640</v>
      </c>
      <c r="AL254" t="s">
        <v>351</v>
      </c>
      <c r="AM254" t="s">
        <v>36</v>
      </c>
      <c r="AN254" t="s">
        <v>103</v>
      </c>
      <c r="AO254" t="s">
        <v>943</v>
      </c>
      <c r="AP254" t="s">
        <v>944</v>
      </c>
      <c r="AQ254" t="s">
        <v>111</v>
      </c>
      <c r="AR254">
        <v>2.5</v>
      </c>
      <c r="AS254">
        <v>5</v>
      </c>
      <c r="AT254">
        <v>68.180000000000007</v>
      </c>
      <c r="AV254" s="86" t="str">
        <f t="shared" si="46"/>
        <v>184214Cross Merchan SC Johnson</v>
      </c>
      <c r="AW254">
        <v>184214</v>
      </c>
      <c r="AX254" t="s">
        <v>400</v>
      </c>
      <c r="AY254" t="s">
        <v>482</v>
      </c>
      <c r="AZ254" t="s">
        <v>103</v>
      </c>
      <c r="BA254" t="s">
        <v>1139</v>
      </c>
      <c r="BB254" t="s">
        <v>1140</v>
      </c>
      <c r="BC254" t="s">
        <v>111</v>
      </c>
      <c r="BD254">
        <v>3.335</v>
      </c>
      <c r="BE254">
        <v>5</v>
      </c>
      <c r="BF254">
        <v>87.8</v>
      </c>
      <c r="BH254" s="86" t="str">
        <f t="shared" si="47"/>
        <v>182636Cross Merchan SC Johnson</v>
      </c>
      <c r="BI254">
        <v>182636</v>
      </c>
      <c r="BJ254" t="s">
        <v>349</v>
      </c>
      <c r="BK254" t="s">
        <v>36</v>
      </c>
      <c r="BL254" t="s">
        <v>103</v>
      </c>
      <c r="BM254" t="s">
        <v>1260</v>
      </c>
      <c r="BN254" t="s">
        <v>1261</v>
      </c>
      <c r="BO254" t="s">
        <v>111</v>
      </c>
      <c r="BP254">
        <v>3.335</v>
      </c>
      <c r="BQ254">
        <v>5</v>
      </c>
      <c r="BR254">
        <v>86.08</v>
      </c>
      <c r="BT254" s="86" t="str">
        <f t="shared" si="36"/>
        <v>166873Execucao Bonus</v>
      </c>
      <c r="BU254">
        <v>166873</v>
      </c>
      <c r="BV254" t="s">
        <v>345</v>
      </c>
      <c r="BW254" t="s">
        <v>1306</v>
      </c>
      <c r="BX254" t="s">
        <v>103</v>
      </c>
      <c r="BY254" t="s">
        <v>1337</v>
      </c>
      <c r="BZ254" t="s">
        <v>1338</v>
      </c>
      <c r="CA254" t="s">
        <v>1291</v>
      </c>
      <c r="CB254">
        <v>0</v>
      </c>
      <c r="CC254">
        <v>5</v>
      </c>
      <c r="CD254">
        <v>68.16</v>
      </c>
      <c r="CF254" s="86" t="str">
        <f t="shared" si="37"/>
        <v>168551Execucao Bonus</v>
      </c>
      <c r="CG254">
        <v>168551</v>
      </c>
      <c r="CH254" t="s">
        <v>380</v>
      </c>
      <c r="CI254" t="s">
        <v>1345</v>
      </c>
      <c r="CJ254" t="s">
        <v>103</v>
      </c>
      <c r="CK254" t="s">
        <v>1404</v>
      </c>
      <c r="CL254" t="s">
        <v>1405</v>
      </c>
      <c r="CM254" t="s">
        <v>1291</v>
      </c>
      <c r="CN254">
        <v>5</v>
      </c>
      <c r="CO254">
        <v>5</v>
      </c>
      <c r="CP254">
        <v>94.4</v>
      </c>
      <c r="CR254" s="86" t="str">
        <f t="shared" si="38"/>
        <v>169868Execucao Bonus</v>
      </c>
      <c r="CS254">
        <v>169868</v>
      </c>
      <c r="CT254" t="s">
        <v>396</v>
      </c>
      <c r="CU254" t="s">
        <v>1306</v>
      </c>
      <c r="CV254" t="s">
        <v>103</v>
      </c>
      <c r="CW254" t="s">
        <v>1604</v>
      </c>
      <c r="CX254" t="s">
        <v>1605</v>
      </c>
      <c r="CY254" t="s">
        <v>1291</v>
      </c>
      <c r="CZ254">
        <v>0.8</v>
      </c>
      <c r="DA254">
        <v>5</v>
      </c>
      <c r="DB254">
        <v>104.2</v>
      </c>
      <c r="DD254" s="86" t="str">
        <f t="shared" si="39"/>
        <v>178205Share Sub Loc Pao Quente SC Johnson</v>
      </c>
      <c r="DE254">
        <v>178205</v>
      </c>
      <c r="DF254" t="s">
        <v>381</v>
      </c>
      <c r="DG254" t="s">
        <v>1345</v>
      </c>
      <c r="DH254" t="s">
        <v>103</v>
      </c>
      <c r="DI254" t="s">
        <v>1652</v>
      </c>
      <c r="DJ254" t="s">
        <v>1653</v>
      </c>
      <c r="DK254" t="s">
        <v>458</v>
      </c>
      <c r="DL254">
        <v>12</v>
      </c>
      <c r="DM254">
        <v>12</v>
      </c>
      <c r="DN254">
        <v>90.4</v>
      </c>
      <c r="DP254" s="86" t="str">
        <f t="shared" si="40"/>
        <v>178205Share Sub Loc Pao Quente SC Johnson</v>
      </c>
      <c r="DQ254">
        <v>178205</v>
      </c>
      <c r="DR254" t="s">
        <v>381</v>
      </c>
      <c r="DS254" t="s">
        <v>1345</v>
      </c>
      <c r="DT254" t="s">
        <v>103</v>
      </c>
      <c r="DU254" t="s">
        <v>1822</v>
      </c>
      <c r="DV254" t="s">
        <v>1823</v>
      </c>
      <c r="DW254" t="s">
        <v>458</v>
      </c>
      <c r="DX254">
        <v>9</v>
      </c>
      <c r="DY254">
        <v>12</v>
      </c>
      <c r="DZ254">
        <v>83.83</v>
      </c>
    </row>
    <row r="255" spans="1:130" x14ac:dyDescent="0.35">
      <c r="A255" s="86" t="str">
        <f t="shared" si="42"/>
        <v>182640Mix + Intocáveis SC Johnson</v>
      </c>
      <c r="B255">
        <v>182640</v>
      </c>
      <c r="C255" t="s">
        <v>351</v>
      </c>
      <c r="D255" t="s">
        <v>103</v>
      </c>
      <c r="E255" t="s">
        <v>590</v>
      </c>
      <c r="F255" t="s">
        <v>591</v>
      </c>
      <c r="G255" t="s">
        <v>459</v>
      </c>
      <c r="H255">
        <v>65.37</v>
      </c>
      <c r="I255">
        <v>33.75</v>
      </c>
      <c r="J255">
        <v>45</v>
      </c>
      <c r="L255" s="86" t="str">
        <f t="shared" si="43"/>
        <v>184215Share Sub Category SC Johnson</v>
      </c>
      <c r="M255">
        <v>184215</v>
      </c>
      <c r="N255" t="s">
        <v>401</v>
      </c>
      <c r="O255" t="s">
        <v>482</v>
      </c>
      <c r="P255" t="s">
        <v>103</v>
      </c>
      <c r="Q255" t="s">
        <v>742</v>
      </c>
      <c r="R255" t="s">
        <v>743</v>
      </c>
      <c r="S255" t="s">
        <v>457</v>
      </c>
      <c r="T255">
        <v>25.71</v>
      </c>
      <c r="U255">
        <v>30</v>
      </c>
      <c r="V255">
        <v>72.59</v>
      </c>
      <c r="X255" s="86" t="str">
        <f t="shared" si="44"/>
        <v>184214Share Sub Category SC Johnson</v>
      </c>
      <c r="Y255">
        <v>184214</v>
      </c>
      <c r="Z255" t="s">
        <v>400</v>
      </c>
      <c r="AA255" t="s">
        <v>104</v>
      </c>
      <c r="AB255" t="s">
        <v>103</v>
      </c>
      <c r="AC255" t="s">
        <v>809</v>
      </c>
      <c r="AD255" t="s">
        <v>810</v>
      </c>
      <c r="AE255" t="s">
        <v>457</v>
      </c>
      <c r="AF255">
        <v>25.71</v>
      </c>
      <c r="AG255">
        <v>30</v>
      </c>
      <c r="AH255">
        <v>88.96</v>
      </c>
      <c r="AJ255" s="86" t="str">
        <f t="shared" si="45"/>
        <v>182640Share Sub Loc Pao Quente SC Johnson</v>
      </c>
      <c r="AK255">
        <v>182640</v>
      </c>
      <c r="AL255" t="s">
        <v>351</v>
      </c>
      <c r="AM255" t="s">
        <v>36</v>
      </c>
      <c r="AN255" t="s">
        <v>103</v>
      </c>
      <c r="AO255" t="s">
        <v>943</v>
      </c>
      <c r="AP255" t="s">
        <v>944</v>
      </c>
      <c r="AQ255" t="s">
        <v>458</v>
      </c>
      <c r="AR255">
        <v>12</v>
      </c>
      <c r="AS255">
        <v>12</v>
      </c>
      <c r="AT255">
        <v>68.180000000000007</v>
      </c>
      <c r="AV255" s="86" t="str">
        <f t="shared" si="46"/>
        <v>184214Share Sub Loc Pao Quente SC Johnson</v>
      </c>
      <c r="AW255">
        <v>184214</v>
      </c>
      <c r="AX255" t="s">
        <v>400</v>
      </c>
      <c r="AY255" t="s">
        <v>482</v>
      </c>
      <c r="AZ255" t="s">
        <v>103</v>
      </c>
      <c r="BA255" t="s">
        <v>1139</v>
      </c>
      <c r="BB255" t="s">
        <v>1140</v>
      </c>
      <c r="BC255" t="s">
        <v>458</v>
      </c>
      <c r="BD255">
        <v>12</v>
      </c>
      <c r="BE255">
        <v>12</v>
      </c>
      <c r="BF255">
        <v>87.8</v>
      </c>
      <c r="BH255" s="86" t="str">
        <f t="shared" si="47"/>
        <v>182636Share Sub Loc Pao Quente SC Johnson</v>
      </c>
      <c r="BI255">
        <v>182636</v>
      </c>
      <c r="BJ255" t="s">
        <v>349</v>
      </c>
      <c r="BK255" t="s">
        <v>36</v>
      </c>
      <c r="BL255" t="s">
        <v>103</v>
      </c>
      <c r="BM255" t="s">
        <v>1260</v>
      </c>
      <c r="BN255" t="s">
        <v>1261</v>
      </c>
      <c r="BO255" t="s">
        <v>458</v>
      </c>
      <c r="BP255">
        <v>12</v>
      </c>
      <c r="BQ255">
        <v>12</v>
      </c>
      <c r="BR255">
        <v>86.08</v>
      </c>
      <c r="BT255" s="86" t="str">
        <f t="shared" si="36"/>
        <v>167265Lancamentos</v>
      </c>
      <c r="BU255">
        <v>167265</v>
      </c>
      <c r="BV255" t="s">
        <v>346</v>
      </c>
      <c r="BW255" t="s">
        <v>482</v>
      </c>
      <c r="BX255" t="s">
        <v>103</v>
      </c>
      <c r="BY255" t="s">
        <v>1283</v>
      </c>
      <c r="BZ255" t="s">
        <v>1284</v>
      </c>
      <c r="CA255" t="s">
        <v>953</v>
      </c>
      <c r="CB255">
        <v>9</v>
      </c>
      <c r="CC255">
        <v>18</v>
      </c>
      <c r="CD255">
        <v>73.03</v>
      </c>
      <c r="CF255" s="86" t="str">
        <f t="shared" si="37"/>
        <v>169868Lancamentos</v>
      </c>
      <c r="CG255">
        <v>169868</v>
      </c>
      <c r="CH255" t="s">
        <v>396</v>
      </c>
      <c r="CI255" t="s">
        <v>1306</v>
      </c>
      <c r="CJ255" t="s">
        <v>103</v>
      </c>
      <c r="CK255" t="s">
        <v>1513</v>
      </c>
      <c r="CL255" t="s">
        <v>1514</v>
      </c>
      <c r="CM255" t="s">
        <v>953</v>
      </c>
      <c r="CN255">
        <v>18</v>
      </c>
      <c r="CO255">
        <v>18</v>
      </c>
      <c r="CP255">
        <v>100.62</v>
      </c>
      <c r="CR255" s="86" t="str">
        <f t="shared" si="38"/>
        <v>178205Lancamentos</v>
      </c>
      <c r="CS255">
        <v>178205</v>
      </c>
      <c r="CT255" t="s">
        <v>381</v>
      </c>
      <c r="CU255" t="s">
        <v>1345</v>
      </c>
      <c r="CV255" t="s">
        <v>103</v>
      </c>
      <c r="CW255" t="s">
        <v>1529</v>
      </c>
      <c r="CX255" t="s">
        <v>1530</v>
      </c>
      <c r="CY255" t="s">
        <v>953</v>
      </c>
      <c r="CZ255">
        <v>9</v>
      </c>
      <c r="DA255">
        <v>18</v>
      </c>
      <c r="DB255">
        <v>88.8</v>
      </c>
      <c r="DD255" s="86" t="str">
        <f t="shared" si="39"/>
        <v>181619Mix + Intocáveis SC Johnson</v>
      </c>
      <c r="DE255">
        <v>181619</v>
      </c>
      <c r="DF255" t="s">
        <v>382</v>
      </c>
      <c r="DG255" t="s">
        <v>1004</v>
      </c>
      <c r="DH255" t="s">
        <v>103</v>
      </c>
      <c r="DI255" t="s">
        <v>1724</v>
      </c>
      <c r="DJ255" t="s">
        <v>1725</v>
      </c>
      <c r="DK255" t="s">
        <v>459</v>
      </c>
      <c r="DL255">
        <v>26.4</v>
      </c>
      <c r="DM255">
        <v>40</v>
      </c>
      <c r="DN255">
        <v>68.400000000000006</v>
      </c>
      <c r="DP255" s="86" t="str">
        <f t="shared" si="40"/>
        <v>181619Mix + Intocáveis SC Johnson</v>
      </c>
      <c r="DQ255">
        <v>181619</v>
      </c>
      <c r="DR255" t="s">
        <v>382</v>
      </c>
      <c r="DS255" t="s">
        <v>1004</v>
      </c>
      <c r="DT255" t="s">
        <v>103</v>
      </c>
      <c r="DU255" t="s">
        <v>1850</v>
      </c>
      <c r="DV255" t="s">
        <v>1851</v>
      </c>
      <c r="DW255" t="s">
        <v>459</v>
      </c>
      <c r="DX255">
        <v>25.6</v>
      </c>
      <c r="DY255">
        <v>40</v>
      </c>
      <c r="DZ255">
        <v>67.599999999999994</v>
      </c>
    </row>
    <row r="256" spans="1:130" x14ac:dyDescent="0.35">
      <c r="A256" s="86" t="str">
        <f t="shared" si="42"/>
        <v>182641Share Sub Category SC Johnson</v>
      </c>
      <c r="B256">
        <v>182641</v>
      </c>
      <c r="C256" t="s">
        <v>352</v>
      </c>
      <c r="D256" t="s">
        <v>103</v>
      </c>
      <c r="E256" t="s">
        <v>592</v>
      </c>
      <c r="F256" t="s">
        <v>593</v>
      </c>
      <c r="G256" t="s">
        <v>457</v>
      </c>
      <c r="H256">
        <v>64.37</v>
      </c>
      <c r="I256">
        <v>21.42</v>
      </c>
      <c r="J256">
        <v>30</v>
      </c>
      <c r="L256" s="86" t="str">
        <f t="shared" si="43"/>
        <v>184215Cross Merchan SC Johnson</v>
      </c>
      <c r="M256">
        <v>184215</v>
      </c>
      <c r="N256" t="s">
        <v>401</v>
      </c>
      <c r="O256" t="s">
        <v>482</v>
      </c>
      <c r="P256" t="s">
        <v>103</v>
      </c>
      <c r="Q256" t="s">
        <v>742</v>
      </c>
      <c r="R256" t="s">
        <v>743</v>
      </c>
      <c r="S256" t="s">
        <v>111</v>
      </c>
      <c r="T256">
        <v>8</v>
      </c>
      <c r="U256">
        <v>8</v>
      </c>
      <c r="V256">
        <v>72.59</v>
      </c>
      <c r="X256" s="86" t="str">
        <f t="shared" si="44"/>
        <v>184214Cross Merchan SC Johnson</v>
      </c>
      <c r="Y256">
        <v>184214</v>
      </c>
      <c r="Z256" t="s">
        <v>400</v>
      </c>
      <c r="AA256" t="s">
        <v>104</v>
      </c>
      <c r="AB256" t="s">
        <v>103</v>
      </c>
      <c r="AC256" t="s">
        <v>809</v>
      </c>
      <c r="AD256" t="s">
        <v>810</v>
      </c>
      <c r="AE256" t="s">
        <v>111</v>
      </c>
      <c r="AF256">
        <v>8</v>
      </c>
      <c r="AG256">
        <v>8</v>
      </c>
      <c r="AH256">
        <v>88.96</v>
      </c>
      <c r="AJ256" s="86" t="str">
        <f t="shared" si="45"/>
        <v>182640Mix + Intocáveis SC Johnson</v>
      </c>
      <c r="AK256">
        <v>182640</v>
      </c>
      <c r="AL256" t="s">
        <v>351</v>
      </c>
      <c r="AM256" t="s">
        <v>36</v>
      </c>
      <c r="AN256" t="s">
        <v>103</v>
      </c>
      <c r="AO256" t="s">
        <v>943</v>
      </c>
      <c r="AP256" t="s">
        <v>944</v>
      </c>
      <c r="AQ256" t="s">
        <v>459</v>
      </c>
      <c r="AR256">
        <v>28.68</v>
      </c>
      <c r="AS256">
        <v>40</v>
      </c>
      <c r="AT256">
        <v>68.180000000000007</v>
      </c>
      <c r="AV256" s="86" t="str">
        <f t="shared" si="46"/>
        <v>184214Mix + Intocáveis SC Johnson</v>
      </c>
      <c r="AW256">
        <v>184214</v>
      </c>
      <c r="AX256" t="s">
        <v>400</v>
      </c>
      <c r="AY256" t="s">
        <v>482</v>
      </c>
      <c r="AZ256" t="s">
        <v>103</v>
      </c>
      <c r="BA256" t="s">
        <v>1139</v>
      </c>
      <c r="BB256" t="s">
        <v>1140</v>
      </c>
      <c r="BC256" t="s">
        <v>459</v>
      </c>
      <c r="BD256">
        <v>33.04</v>
      </c>
      <c r="BE256">
        <v>40</v>
      </c>
      <c r="BF256">
        <v>87.8</v>
      </c>
      <c r="BH256" s="86" t="str">
        <f t="shared" si="47"/>
        <v>182636Mix + Intocáveis SC Johnson</v>
      </c>
      <c r="BI256">
        <v>182636</v>
      </c>
      <c r="BJ256" t="s">
        <v>349</v>
      </c>
      <c r="BK256" t="s">
        <v>36</v>
      </c>
      <c r="BL256" t="s">
        <v>103</v>
      </c>
      <c r="BM256" t="s">
        <v>1260</v>
      </c>
      <c r="BN256" t="s">
        <v>1261</v>
      </c>
      <c r="BO256" t="s">
        <v>459</v>
      </c>
      <c r="BP256">
        <v>31.32</v>
      </c>
      <c r="BQ256">
        <v>40</v>
      </c>
      <c r="BR256">
        <v>86.08</v>
      </c>
      <c r="BT256" s="86" t="str">
        <f t="shared" si="36"/>
        <v>167265Mix + Intocáveis SC Johnson</v>
      </c>
      <c r="BU256">
        <v>167265</v>
      </c>
      <c r="BV256" t="s">
        <v>346</v>
      </c>
      <c r="BW256" t="s">
        <v>482</v>
      </c>
      <c r="BX256" t="s">
        <v>103</v>
      </c>
      <c r="BY256" t="s">
        <v>1283</v>
      </c>
      <c r="BZ256" t="s">
        <v>1284</v>
      </c>
      <c r="CA256" t="s">
        <v>459</v>
      </c>
      <c r="CB256">
        <v>25.6</v>
      </c>
      <c r="CC256">
        <v>40</v>
      </c>
      <c r="CD256">
        <v>73.03</v>
      </c>
      <c r="CF256" s="86" t="str">
        <f t="shared" si="37"/>
        <v>169868Mix + Intocáveis SC Johnson</v>
      </c>
      <c r="CG256">
        <v>169868</v>
      </c>
      <c r="CH256" t="s">
        <v>396</v>
      </c>
      <c r="CI256" t="s">
        <v>1306</v>
      </c>
      <c r="CJ256" t="s">
        <v>103</v>
      </c>
      <c r="CK256" t="s">
        <v>1513</v>
      </c>
      <c r="CL256" t="s">
        <v>1514</v>
      </c>
      <c r="CM256" t="s">
        <v>459</v>
      </c>
      <c r="CN256">
        <v>39.200000000000003</v>
      </c>
      <c r="CO256">
        <v>40</v>
      </c>
      <c r="CP256">
        <v>100.62</v>
      </c>
      <c r="CR256" s="86" t="str">
        <f t="shared" si="38"/>
        <v>178205Mix + Intocáveis SC Johnson</v>
      </c>
      <c r="CS256">
        <v>178205</v>
      </c>
      <c r="CT256" t="s">
        <v>381</v>
      </c>
      <c r="CU256" t="s">
        <v>1345</v>
      </c>
      <c r="CV256" t="s">
        <v>103</v>
      </c>
      <c r="CW256" t="s">
        <v>1529</v>
      </c>
      <c r="CX256" t="s">
        <v>1530</v>
      </c>
      <c r="CY256" t="s">
        <v>459</v>
      </c>
      <c r="CZ256">
        <v>32.799999999999997</v>
      </c>
      <c r="DA256">
        <v>40</v>
      </c>
      <c r="DB256">
        <v>88.8</v>
      </c>
      <c r="DD256" s="86" t="str">
        <f t="shared" si="39"/>
        <v>181619Execucao Bonus</v>
      </c>
      <c r="DE256">
        <v>181619</v>
      </c>
      <c r="DF256" t="s">
        <v>382</v>
      </c>
      <c r="DG256" t="s">
        <v>1004</v>
      </c>
      <c r="DH256" t="s">
        <v>103</v>
      </c>
      <c r="DI256" t="s">
        <v>1724</v>
      </c>
      <c r="DJ256" t="s">
        <v>1725</v>
      </c>
      <c r="DK256" t="s">
        <v>1291</v>
      </c>
      <c r="DL256">
        <v>0</v>
      </c>
      <c r="DM256">
        <v>5</v>
      </c>
      <c r="DN256">
        <v>68.400000000000006</v>
      </c>
      <c r="DP256" s="86" t="str">
        <f t="shared" si="40"/>
        <v>181619Execucao Bonus</v>
      </c>
      <c r="DQ256">
        <v>181619</v>
      </c>
      <c r="DR256" t="s">
        <v>382</v>
      </c>
      <c r="DS256" t="s">
        <v>1004</v>
      </c>
      <c r="DT256" t="s">
        <v>103</v>
      </c>
      <c r="DU256" t="s">
        <v>1850</v>
      </c>
      <c r="DV256" t="s">
        <v>1851</v>
      </c>
      <c r="DW256" t="s">
        <v>1291</v>
      </c>
      <c r="DX256">
        <v>0</v>
      </c>
      <c r="DY256">
        <v>5</v>
      </c>
      <c r="DZ256">
        <v>67.599999999999994</v>
      </c>
    </row>
    <row r="257" spans="1:130" x14ac:dyDescent="0.35">
      <c r="A257" s="86" t="str">
        <f t="shared" si="42"/>
        <v>182641Cross Merchan SC Johnson</v>
      </c>
      <c r="B257">
        <v>182641</v>
      </c>
      <c r="C257" t="s">
        <v>352</v>
      </c>
      <c r="D257" t="s">
        <v>103</v>
      </c>
      <c r="E257" t="s">
        <v>592</v>
      </c>
      <c r="F257" t="s">
        <v>593</v>
      </c>
      <c r="G257" t="s">
        <v>111</v>
      </c>
      <c r="H257">
        <v>64.37</v>
      </c>
      <c r="I257">
        <v>8</v>
      </c>
      <c r="J257">
        <v>8</v>
      </c>
      <c r="L257" s="86" t="str">
        <f t="shared" si="43"/>
        <v>184215Share Sub Loc Pao Quente SC Johnson</v>
      </c>
      <c r="M257">
        <v>184215</v>
      </c>
      <c r="N257" t="s">
        <v>401</v>
      </c>
      <c r="O257" t="s">
        <v>482</v>
      </c>
      <c r="P257" t="s">
        <v>103</v>
      </c>
      <c r="Q257" t="s">
        <v>742</v>
      </c>
      <c r="R257" t="s">
        <v>743</v>
      </c>
      <c r="S257" t="s">
        <v>458</v>
      </c>
      <c r="T257">
        <v>8.5</v>
      </c>
      <c r="U257">
        <v>17</v>
      </c>
      <c r="V257">
        <v>72.59</v>
      </c>
      <c r="X257" s="86" t="str">
        <f t="shared" si="44"/>
        <v>184214Share Sub Loc Pao Quente SC Johnson</v>
      </c>
      <c r="Y257">
        <v>184214</v>
      </c>
      <c r="Z257" t="s">
        <v>400</v>
      </c>
      <c r="AA257" t="s">
        <v>104</v>
      </c>
      <c r="AB257" t="s">
        <v>103</v>
      </c>
      <c r="AC257" t="s">
        <v>809</v>
      </c>
      <c r="AD257" t="s">
        <v>810</v>
      </c>
      <c r="AE257" t="s">
        <v>458</v>
      </c>
      <c r="AF257">
        <v>17</v>
      </c>
      <c r="AG257">
        <v>17</v>
      </c>
      <c r="AH257">
        <v>88.96</v>
      </c>
      <c r="AJ257" s="86" t="str">
        <f t="shared" si="45"/>
        <v>182640Lancamentos</v>
      </c>
      <c r="AK257">
        <v>182640</v>
      </c>
      <c r="AL257" t="s">
        <v>351</v>
      </c>
      <c r="AM257" t="s">
        <v>36</v>
      </c>
      <c r="AN257" t="s">
        <v>103</v>
      </c>
      <c r="AO257" t="s">
        <v>943</v>
      </c>
      <c r="AP257" t="s">
        <v>944</v>
      </c>
      <c r="AQ257" t="s">
        <v>953</v>
      </c>
      <c r="AR257">
        <v>0</v>
      </c>
      <c r="AS257">
        <v>18</v>
      </c>
      <c r="AT257">
        <v>68.180000000000007</v>
      </c>
      <c r="AV257" s="86" t="str">
        <f t="shared" si="46"/>
        <v>184214Lancamentos</v>
      </c>
      <c r="AW257">
        <v>184214</v>
      </c>
      <c r="AX257" t="s">
        <v>400</v>
      </c>
      <c r="AY257" t="s">
        <v>482</v>
      </c>
      <c r="AZ257" t="s">
        <v>103</v>
      </c>
      <c r="BA257" t="s">
        <v>1139</v>
      </c>
      <c r="BB257" t="s">
        <v>1140</v>
      </c>
      <c r="BC257" t="s">
        <v>953</v>
      </c>
      <c r="BD257">
        <v>18</v>
      </c>
      <c r="BE257">
        <v>18</v>
      </c>
      <c r="BF257">
        <v>87.8</v>
      </c>
      <c r="BH257" s="86" t="str">
        <f t="shared" si="47"/>
        <v>182636Lancamentos</v>
      </c>
      <c r="BI257">
        <v>182636</v>
      </c>
      <c r="BJ257" t="s">
        <v>349</v>
      </c>
      <c r="BK257" t="s">
        <v>36</v>
      </c>
      <c r="BL257" t="s">
        <v>103</v>
      </c>
      <c r="BM257" t="s">
        <v>1260</v>
      </c>
      <c r="BN257" t="s">
        <v>1261</v>
      </c>
      <c r="BO257" t="s">
        <v>953</v>
      </c>
      <c r="BP257">
        <v>18</v>
      </c>
      <c r="BQ257">
        <v>18</v>
      </c>
      <c r="BR257">
        <v>86.08</v>
      </c>
      <c r="BT257" s="86" t="str">
        <f t="shared" si="36"/>
        <v>167265Share Sub Category SC Johnson</v>
      </c>
      <c r="BU257">
        <v>167265</v>
      </c>
      <c r="BV257" t="s">
        <v>346</v>
      </c>
      <c r="BW257" t="s">
        <v>482</v>
      </c>
      <c r="BX257" t="s">
        <v>103</v>
      </c>
      <c r="BY257" t="s">
        <v>1283</v>
      </c>
      <c r="BZ257" t="s">
        <v>1284</v>
      </c>
      <c r="CA257" t="s">
        <v>457</v>
      </c>
      <c r="CB257">
        <v>21.425000000000001</v>
      </c>
      <c r="CC257">
        <v>25</v>
      </c>
      <c r="CD257">
        <v>73.03</v>
      </c>
      <c r="CF257" s="86" t="str">
        <f t="shared" si="37"/>
        <v>169868Share Sub Category SC Johnson</v>
      </c>
      <c r="CG257">
        <v>169868</v>
      </c>
      <c r="CH257" t="s">
        <v>396</v>
      </c>
      <c r="CI257" t="s">
        <v>1306</v>
      </c>
      <c r="CJ257" t="s">
        <v>103</v>
      </c>
      <c r="CK257" t="s">
        <v>1513</v>
      </c>
      <c r="CL257" t="s">
        <v>1514</v>
      </c>
      <c r="CM257" t="s">
        <v>457</v>
      </c>
      <c r="CN257">
        <v>21.425000000000001</v>
      </c>
      <c r="CO257">
        <v>25</v>
      </c>
      <c r="CP257">
        <v>100.62</v>
      </c>
      <c r="CR257" s="86" t="str">
        <f t="shared" si="38"/>
        <v>178205Share Sub Category SC Johnson</v>
      </c>
      <c r="CS257">
        <v>178205</v>
      </c>
      <c r="CT257" t="s">
        <v>381</v>
      </c>
      <c r="CU257" t="s">
        <v>1345</v>
      </c>
      <c r="CV257" t="s">
        <v>103</v>
      </c>
      <c r="CW257" t="s">
        <v>1529</v>
      </c>
      <c r="CX257" t="s">
        <v>1530</v>
      </c>
      <c r="CY257" t="s">
        <v>457</v>
      </c>
      <c r="CZ257">
        <v>25</v>
      </c>
      <c r="DA257">
        <v>25</v>
      </c>
      <c r="DB257">
        <v>88.8</v>
      </c>
      <c r="DD257" s="86" t="str">
        <f t="shared" si="39"/>
        <v>181619Cross Merchan SC Johnson</v>
      </c>
      <c r="DE257">
        <v>181619</v>
      </c>
      <c r="DF257" t="s">
        <v>382</v>
      </c>
      <c r="DG257" t="s">
        <v>1004</v>
      </c>
      <c r="DH257" t="s">
        <v>103</v>
      </c>
      <c r="DI257" t="s">
        <v>1724</v>
      </c>
      <c r="DJ257" t="s">
        <v>1725</v>
      </c>
      <c r="DK257" t="s">
        <v>111</v>
      </c>
      <c r="DL257">
        <v>5</v>
      </c>
      <c r="DM257">
        <v>5</v>
      </c>
      <c r="DN257">
        <v>68.400000000000006</v>
      </c>
      <c r="DP257" s="86" t="str">
        <f t="shared" si="40"/>
        <v>181619Cross Merchan SC Johnson</v>
      </c>
      <c r="DQ257">
        <v>181619</v>
      </c>
      <c r="DR257" t="s">
        <v>382</v>
      </c>
      <c r="DS257" t="s">
        <v>1004</v>
      </c>
      <c r="DT257" t="s">
        <v>103</v>
      </c>
      <c r="DU257" t="s">
        <v>1850</v>
      </c>
      <c r="DV257" t="s">
        <v>1851</v>
      </c>
      <c r="DW257" t="s">
        <v>111</v>
      </c>
      <c r="DX257">
        <v>5</v>
      </c>
      <c r="DY257">
        <v>5</v>
      </c>
      <c r="DZ257">
        <v>67.599999999999994</v>
      </c>
    </row>
    <row r="258" spans="1:130" x14ac:dyDescent="0.35">
      <c r="A258" s="86" t="str">
        <f t="shared" si="42"/>
        <v>182641Share Sub Loc Pao Quente SC Johnson</v>
      </c>
      <c r="B258">
        <v>182641</v>
      </c>
      <c r="C258" t="s">
        <v>352</v>
      </c>
      <c r="D258" t="s">
        <v>103</v>
      </c>
      <c r="E258" t="s">
        <v>592</v>
      </c>
      <c r="F258" t="s">
        <v>593</v>
      </c>
      <c r="G258" t="s">
        <v>458</v>
      </c>
      <c r="H258">
        <v>64.37</v>
      </c>
      <c r="I258">
        <v>10.199999999999999</v>
      </c>
      <c r="J258">
        <v>17</v>
      </c>
      <c r="L258" s="86" t="str">
        <f t="shared" si="43"/>
        <v>184215Mix + Intocáveis SC Johnson</v>
      </c>
      <c r="M258">
        <v>184215</v>
      </c>
      <c r="N258" t="s">
        <v>401</v>
      </c>
      <c r="O258" t="s">
        <v>482</v>
      </c>
      <c r="P258" t="s">
        <v>103</v>
      </c>
      <c r="Q258" t="s">
        <v>742</v>
      </c>
      <c r="R258" t="s">
        <v>743</v>
      </c>
      <c r="S258" t="s">
        <v>459</v>
      </c>
      <c r="T258">
        <v>30.375</v>
      </c>
      <c r="U258">
        <v>45</v>
      </c>
      <c r="V258">
        <v>72.59</v>
      </c>
      <c r="X258" s="86" t="str">
        <f t="shared" si="44"/>
        <v>184214Mix + Intocáveis SC Johnson</v>
      </c>
      <c r="Y258">
        <v>184214</v>
      </c>
      <c r="Z258" t="s">
        <v>400</v>
      </c>
      <c r="AA258" t="s">
        <v>104</v>
      </c>
      <c r="AB258" t="s">
        <v>103</v>
      </c>
      <c r="AC258" t="s">
        <v>809</v>
      </c>
      <c r="AD258" t="s">
        <v>810</v>
      </c>
      <c r="AE258" t="s">
        <v>459</v>
      </c>
      <c r="AF258">
        <v>38.25</v>
      </c>
      <c r="AG258">
        <v>45</v>
      </c>
      <c r="AH258">
        <v>88.96</v>
      </c>
      <c r="AJ258" s="86" t="str">
        <f t="shared" si="45"/>
        <v>182641Share Sub Category SC Johnson</v>
      </c>
      <c r="AK258">
        <v>182641</v>
      </c>
      <c r="AL258" t="s">
        <v>352</v>
      </c>
      <c r="AM258" t="s">
        <v>36</v>
      </c>
      <c r="AN258" t="s">
        <v>103</v>
      </c>
      <c r="AO258" t="s">
        <v>945</v>
      </c>
      <c r="AP258" t="s">
        <v>946</v>
      </c>
      <c r="AQ258" t="s">
        <v>457</v>
      </c>
      <c r="AR258">
        <v>21.425000000000001</v>
      </c>
      <c r="AS258">
        <v>25</v>
      </c>
      <c r="AT258">
        <v>59.01</v>
      </c>
      <c r="AV258" s="86" t="str">
        <f t="shared" si="46"/>
        <v>184215Share Sub Category SC Johnson</v>
      </c>
      <c r="AW258">
        <v>184215</v>
      </c>
      <c r="AX258" t="s">
        <v>401</v>
      </c>
      <c r="AY258" t="s">
        <v>482</v>
      </c>
      <c r="AZ258" t="s">
        <v>103</v>
      </c>
      <c r="BA258" t="s">
        <v>1141</v>
      </c>
      <c r="BB258" t="s">
        <v>1142</v>
      </c>
      <c r="BC258" t="s">
        <v>457</v>
      </c>
      <c r="BD258">
        <v>21.425000000000001</v>
      </c>
      <c r="BE258">
        <v>25</v>
      </c>
      <c r="BF258">
        <v>69.8</v>
      </c>
      <c r="BH258" s="86" t="str">
        <f t="shared" si="47"/>
        <v>182637Share Sub Category SC Johnson</v>
      </c>
      <c r="BI258">
        <v>182637</v>
      </c>
      <c r="BJ258" t="s">
        <v>366</v>
      </c>
      <c r="BK258" t="s">
        <v>36</v>
      </c>
      <c r="BL258" t="s">
        <v>103</v>
      </c>
      <c r="BM258" t="s">
        <v>1165</v>
      </c>
      <c r="BN258" t="s">
        <v>1166</v>
      </c>
      <c r="BO258" t="s">
        <v>457</v>
      </c>
      <c r="BP258">
        <v>25</v>
      </c>
      <c r="BQ258">
        <v>25</v>
      </c>
      <c r="BR258">
        <v>82.35</v>
      </c>
      <c r="BT258" s="86" t="str">
        <f t="shared" si="36"/>
        <v>167265Share Sub Loc Pao Quente SC Johnson</v>
      </c>
      <c r="BU258">
        <v>167265</v>
      </c>
      <c r="BV258" t="s">
        <v>346</v>
      </c>
      <c r="BW258" t="s">
        <v>482</v>
      </c>
      <c r="BX258" t="s">
        <v>103</v>
      </c>
      <c r="BY258" t="s">
        <v>1283</v>
      </c>
      <c r="BZ258" t="s">
        <v>1284</v>
      </c>
      <c r="CA258" t="s">
        <v>458</v>
      </c>
      <c r="CB258">
        <v>12</v>
      </c>
      <c r="CC258">
        <v>12</v>
      </c>
      <c r="CD258">
        <v>73.03</v>
      </c>
      <c r="CF258" s="86" t="str">
        <f t="shared" si="37"/>
        <v>169868Share Sub Loc Pao Quente SC Johnson</v>
      </c>
      <c r="CG258">
        <v>169868</v>
      </c>
      <c r="CH258" t="s">
        <v>396</v>
      </c>
      <c r="CI258" t="s">
        <v>1306</v>
      </c>
      <c r="CJ258" t="s">
        <v>103</v>
      </c>
      <c r="CK258" t="s">
        <v>1513</v>
      </c>
      <c r="CL258" t="s">
        <v>1514</v>
      </c>
      <c r="CM258" t="s">
        <v>458</v>
      </c>
      <c r="CN258">
        <v>12</v>
      </c>
      <c r="CO258">
        <v>12</v>
      </c>
      <c r="CP258">
        <v>100.62</v>
      </c>
      <c r="CR258" s="86" t="str">
        <f t="shared" si="38"/>
        <v>178205Share Sub Loc Pao Quente SC Johnson</v>
      </c>
      <c r="CS258">
        <v>178205</v>
      </c>
      <c r="CT258" t="s">
        <v>381</v>
      </c>
      <c r="CU258" t="s">
        <v>1345</v>
      </c>
      <c r="CV258" t="s">
        <v>103</v>
      </c>
      <c r="CW258" t="s">
        <v>1529</v>
      </c>
      <c r="CX258" t="s">
        <v>1530</v>
      </c>
      <c r="CY258" t="s">
        <v>458</v>
      </c>
      <c r="CZ258">
        <v>12</v>
      </c>
      <c r="DA258">
        <v>12</v>
      </c>
      <c r="DB258">
        <v>88.8</v>
      </c>
      <c r="DD258" s="86" t="str">
        <f t="shared" si="39"/>
        <v>181619Lancamentos</v>
      </c>
      <c r="DE258">
        <v>181619</v>
      </c>
      <c r="DF258" t="s">
        <v>382</v>
      </c>
      <c r="DG258" t="s">
        <v>1004</v>
      </c>
      <c r="DH258" t="s">
        <v>103</v>
      </c>
      <c r="DI258" t="s">
        <v>1724</v>
      </c>
      <c r="DJ258" t="s">
        <v>1725</v>
      </c>
      <c r="DK258" t="s">
        <v>953</v>
      </c>
      <c r="DL258">
        <v>9</v>
      </c>
      <c r="DM258">
        <v>18</v>
      </c>
      <c r="DN258">
        <v>68.400000000000006</v>
      </c>
      <c r="DP258" s="86" t="str">
        <f t="shared" si="40"/>
        <v>181619Lancamentos</v>
      </c>
      <c r="DQ258">
        <v>181619</v>
      </c>
      <c r="DR258" t="s">
        <v>382</v>
      </c>
      <c r="DS258" t="s">
        <v>1004</v>
      </c>
      <c r="DT258" t="s">
        <v>103</v>
      </c>
      <c r="DU258" t="s">
        <v>1850</v>
      </c>
      <c r="DV258" t="s">
        <v>1851</v>
      </c>
      <c r="DW258" t="s">
        <v>953</v>
      </c>
      <c r="DX258">
        <v>9</v>
      </c>
      <c r="DY258">
        <v>18</v>
      </c>
      <c r="DZ258">
        <v>67.599999999999994</v>
      </c>
    </row>
    <row r="259" spans="1:130" x14ac:dyDescent="0.35">
      <c r="A259" s="86" t="str">
        <f t="shared" si="42"/>
        <v>182641Mix + Intocáveis SC Johnson</v>
      </c>
      <c r="B259">
        <v>182641</v>
      </c>
      <c r="C259" t="s">
        <v>352</v>
      </c>
      <c r="D259" t="s">
        <v>103</v>
      </c>
      <c r="E259" t="s">
        <v>592</v>
      </c>
      <c r="F259" t="s">
        <v>593</v>
      </c>
      <c r="G259" t="s">
        <v>459</v>
      </c>
      <c r="H259">
        <v>64.37</v>
      </c>
      <c r="I259">
        <v>24.75</v>
      </c>
      <c r="J259">
        <v>45</v>
      </c>
      <c r="L259" s="86" t="str">
        <f t="shared" si="43"/>
        <v>184217Share Sub Category SC Johnson</v>
      </c>
      <c r="M259">
        <v>184217</v>
      </c>
      <c r="N259" t="s">
        <v>402</v>
      </c>
      <c r="O259" t="s">
        <v>482</v>
      </c>
      <c r="P259" t="s">
        <v>103</v>
      </c>
      <c r="Q259" t="s">
        <v>744</v>
      </c>
      <c r="R259" t="s">
        <v>745</v>
      </c>
      <c r="S259" t="s">
        <v>457</v>
      </c>
      <c r="T259">
        <v>21.42</v>
      </c>
      <c r="U259">
        <v>30</v>
      </c>
      <c r="V259">
        <v>72.42</v>
      </c>
      <c r="X259" s="86" t="str">
        <f t="shared" si="44"/>
        <v>184215Share Sub Category SC Johnson</v>
      </c>
      <c r="Y259">
        <v>184215</v>
      </c>
      <c r="Z259" t="s">
        <v>401</v>
      </c>
      <c r="AA259" t="s">
        <v>482</v>
      </c>
      <c r="AB259" t="s">
        <v>103</v>
      </c>
      <c r="AC259" t="s">
        <v>901</v>
      </c>
      <c r="AD259" t="s">
        <v>902</v>
      </c>
      <c r="AE259" t="s">
        <v>457</v>
      </c>
      <c r="AF259">
        <v>21.42</v>
      </c>
      <c r="AG259">
        <v>30</v>
      </c>
      <c r="AH259">
        <v>66.3</v>
      </c>
      <c r="AJ259" s="86" t="str">
        <f t="shared" si="45"/>
        <v>182641Cross Merchan SC Johnson</v>
      </c>
      <c r="AK259">
        <v>182641</v>
      </c>
      <c r="AL259" t="s">
        <v>352</v>
      </c>
      <c r="AM259" t="s">
        <v>36</v>
      </c>
      <c r="AN259" t="s">
        <v>103</v>
      </c>
      <c r="AO259" t="s">
        <v>945</v>
      </c>
      <c r="AP259" t="s">
        <v>946</v>
      </c>
      <c r="AQ259" t="s">
        <v>111</v>
      </c>
      <c r="AR259">
        <v>2.5</v>
      </c>
      <c r="AS259">
        <v>5</v>
      </c>
      <c r="AT259">
        <v>59.01</v>
      </c>
      <c r="AV259" s="86" t="str">
        <f t="shared" si="46"/>
        <v>184215Cross Merchan SC Johnson</v>
      </c>
      <c r="AW259">
        <v>184215</v>
      </c>
      <c r="AX259" t="s">
        <v>401</v>
      </c>
      <c r="AY259" t="s">
        <v>482</v>
      </c>
      <c r="AZ259" t="s">
        <v>103</v>
      </c>
      <c r="BA259" t="s">
        <v>1141</v>
      </c>
      <c r="BB259" t="s">
        <v>1142</v>
      </c>
      <c r="BC259" t="s">
        <v>111</v>
      </c>
      <c r="BD259">
        <v>3.335</v>
      </c>
      <c r="BE259">
        <v>5</v>
      </c>
      <c r="BF259">
        <v>69.8</v>
      </c>
      <c r="BH259" s="86" t="str">
        <f t="shared" si="47"/>
        <v>182637Cross Merchan SC Johnson</v>
      </c>
      <c r="BI259">
        <v>182637</v>
      </c>
      <c r="BJ259" t="s">
        <v>366</v>
      </c>
      <c r="BK259" t="s">
        <v>36</v>
      </c>
      <c r="BL259" t="s">
        <v>103</v>
      </c>
      <c r="BM259" t="s">
        <v>1165</v>
      </c>
      <c r="BN259" t="s">
        <v>1166</v>
      </c>
      <c r="BO259" t="s">
        <v>111</v>
      </c>
      <c r="BP259">
        <v>1.665</v>
      </c>
      <c r="BQ259">
        <v>5</v>
      </c>
      <c r="BR259">
        <v>82.35</v>
      </c>
      <c r="BT259" s="86" t="str">
        <f t="shared" ref="BT259:BT322" si="48">BU259&amp;CA259</f>
        <v>167265Cross Merchan SC Johnson</v>
      </c>
      <c r="BU259">
        <v>167265</v>
      </c>
      <c r="BV259" t="s">
        <v>346</v>
      </c>
      <c r="BW259" t="s">
        <v>482</v>
      </c>
      <c r="BX259" t="s">
        <v>103</v>
      </c>
      <c r="BY259" t="s">
        <v>1283</v>
      </c>
      <c r="BZ259" t="s">
        <v>1284</v>
      </c>
      <c r="CA259" t="s">
        <v>111</v>
      </c>
      <c r="CB259">
        <v>5</v>
      </c>
      <c r="CC259">
        <v>5</v>
      </c>
      <c r="CD259">
        <v>73.03</v>
      </c>
      <c r="CF259" s="86" t="str">
        <f t="shared" ref="CF259:CF322" si="49">CG259&amp;CM259</f>
        <v>169868Cross Merchan SC Johnson</v>
      </c>
      <c r="CG259">
        <v>169868</v>
      </c>
      <c r="CH259" t="s">
        <v>396</v>
      </c>
      <c r="CI259" t="s">
        <v>1306</v>
      </c>
      <c r="CJ259" t="s">
        <v>103</v>
      </c>
      <c r="CK259" t="s">
        <v>1513</v>
      </c>
      <c r="CL259" t="s">
        <v>1514</v>
      </c>
      <c r="CM259" t="s">
        <v>111</v>
      </c>
      <c r="CN259">
        <v>5</v>
      </c>
      <c r="CO259">
        <v>5</v>
      </c>
      <c r="CP259">
        <v>100.62</v>
      </c>
      <c r="CR259" s="86" t="str">
        <f t="shared" ref="CR259:CR322" si="50">CS259&amp;CY259</f>
        <v>178205Cross Merchan SC Johnson</v>
      </c>
      <c r="CS259">
        <v>178205</v>
      </c>
      <c r="CT259" t="s">
        <v>381</v>
      </c>
      <c r="CU259" t="s">
        <v>1345</v>
      </c>
      <c r="CV259" t="s">
        <v>103</v>
      </c>
      <c r="CW259" t="s">
        <v>1529</v>
      </c>
      <c r="CX259" t="s">
        <v>1530</v>
      </c>
      <c r="CY259" t="s">
        <v>111</v>
      </c>
      <c r="CZ259">
        <v>5</v>
      </c>
      <c r="DA259">
        <v>5</v>
      </c>
      <c r="DB259">
        <v>88.8</v>
      </c>
      <c r="DD259" s="86" t="str">
        <f t="shared" ref="DD259:DD322" si="51">DE259&amp;DK259</f>
        <v>181619Share Sub Category SC Johnson</v>
      </c>
      <c r="DE259">
        <v>181619</v>
      </c>
      <c r="DF259" t="s">
        <v>382</v>
      </c>
      <c r="DG259" t="s">
        <v>1004</v>
      </c>
      <c r="DH259" t="s">
        <v>103</v>
      </c>
      <c r="DI259" t="s">
        <v>1724</v>
      </c>
      <c r="DJ259" t="s">
        <v>1725</v>
      </c>
      <c r="DK259" t="s">
        <v>457</v>
      </c>
      <c r="DL259">
        <v>25</v>
      </c>
      <c r="DM259">
        <v>25</v>
      </c>
      <c r="DN259">
        <v>68.400000000000006</v>
      </c>
      <c r="DP259" s="86" t="str">
        <f t="shared" ref="DP259:DP322" si="52">DQ259&amp;DW259</f>
        <v>181619Share Sub Category SC Johnson</v>
      </c>
      <c r="DQ259">
        <v>181619</v>
      </c>
      <c r="DR259" t="s">
        <v>382</v>
      </c>
      <c r="DS259" t="s">
        <v>1004</v>
      </c>
      <c r="DT259" t="s">
        <v>103</v>
      </c>
      <c r="DU259" t="s">
        <v>1850</v>
      </c>
      <c r="DV259" t="s">
        <v>1851</v>
      </c>
      <c r="DW259" t="s">
        <v>457</v>
      </c>
      <c r="DX259">
        <v>25</v>
      </c>
      <c r="DY259">
        <v>25</v>
      </c>
      <c r="DZ259">
        <v>67.599999999999994</v>
      </c>
    </row>
    <row r="260" spans="1:130" x14ac:dyDescent="0.35">
      <c r="A260" s="86" t="str">
        <f t="shared" ref="A260:A300" si="53">B260&amp;G260</f>
        <v>184214Share Sub Category SC Johnson</v>
      </c>
      <c r="B260">
        <v>184214</v>
      </c>
      <c r="C260" t="s">
        <v>400</v>
      </c>
      <c r="D260" t="s">
        <v>103</v>
      </c>
      <c r="E260" t="s">
        <v>594</v>
      </c>
      <c r="F260" t="s">
        <v>595</v>
      </c>
      <c r="G260" t="s">
        <v>457</v>
      </c>
      <c r="H260">
        <v>55.01</v>
      </c>
      <c r="I260">
        <v>25.71</v>
      </c>
      <c r="J260">
        <v>30</v>
      </c>
      <c r="L260" s="86" t="str">
        <f t="shared" ref="L260:L286" si="54">M260&amp;S260</f>
        <v>184217Cross Merchan SC Johnson</v>
      </c>
      <c r="M260">
        <v>184217</v>
      </c>
      <c r="N260" t="s">
        <v>402</v>
      </c>
      <c r="O260" t="s">
        <v>482</v>
      </c>
      <c r="P260" t="s">
        <v>103</v>
      </c>
      <c r="Q260" t="s">
        <v>744</v>
      </c>
      <c r="R260" t="s">
        <v>745</v>
      </c>
      <c r="S260" t="s">
        <v>111</v>
      </c>
      <c r="T260">
        <v>0</v>
      </c>
      <c r="U260">
        <v>8</v>
      </c>
      <c r="V260">
        <v>72.42</v>
      </c>
      <c r="X260" s="86" t="str">
        <f t="shared" ref="X260:X298" si="55">Y260&amp;AE260</f>
        <v>184215Cross Merchan SC Johnson</v>
      </c>
      <c r="Y260">
        <v>184215</v>
      </c>
      <c r="Z260" t="s">
        <v>401</v>
      </c>
      <c r="AA260" t="s">
        <v>482</v>
      </c>
      <c r="AB260" t="s">
        <v>103</v>
      </c>
      <c r="AC260" t="s">
        <v>901</v>
      </c>
      <c r="AD260" t="s">
        <v>902</v>
      </c>
      <c r="AE260" t="s">
        <v>111</v>
      </c>
      <c r="AF260">
        <v>8</v>
      </c>
      <c r="AG260">
        <v>8</v>
      </c>
      <c r="AH260">
        <v>66.3</v>
      </c>
      <c r="AJ260" s="86" t="str">
        <f t="shared" ref="AJ260:AJ297" si="56">AK260&amp;AQ260</f>
        <v>182641Share Sub Loc Pao Quente SC Johnson</v>
      </c>
      <c r="AK260">
        <v>182641</v>
      </c>
      <c r="AL260" t="s">
        <v>352</v>
      </c>
      <c r="AM260" t="s">
        <v>36</v>
      </c>
      <c r="AN260" t="s">
        <v>103</v>
      </c>
      <c r="AO260" t="s">
        <v>945</v>
      </c>
      <c r="AP260" t="s">
        <v>946</v>
      </c>
      <c r="AQ260" t="s">
        <v>458</v>
      </c>
      <c r="AR260">
        <v>9</v>
      </c>
      <c r="AS260">
        <v>12</v>
      </c>
      <c r="AT260">
        <v>59.01</v>
      </c>
      <c r="AV260" s="86" t="str">
        <f t="shared" ref="AV260:AV297" si="57">AW260&amp;BC260</f>
        <v>184215Share Sub Loc Pao Quente SC Johnson</v>
      </c>
      <c r="AW260">
        <v>184215</v>
      </c>
      <c r="AX260" t="s">
        <v>401</v>
      </c>
      <c r="AY260" t="s">
        <v>482</v>
      </c>
      <c r="AZ260" t="s">
        <v>103</v>
      </c>
      <c r="BA260" t="s">
        <v>1141</v>
      </c>
      <c r="BB260" t="s">
        <v>1142</v>
      </c>
      <c r="BC260" t="s">
        <v>458</v>
      </c>
      <c r="BD260">
        <v>12</v>
      </c>
      <c r="BE260">
        <v>12</v>
      </c>
      <c r="BF260">
        <v>69.8</v>
      </c>
      <c r="BH260" s="86" t="str">
        <f t="shared" ref="BH260:BH318" si="58">BI260&amp;BO260</f>
        <v>182637Share Sub Loc Pao Quente SC Johnson</v>
      </c>
      <c r="BI260">
        <v>182637</v>
      </c>
      <c r="BJ260" t="s">
        <v>366</v>
      </c>
      <c r="BK260" t="s">
        <v>36</v>
      </c>
      <c r="BL260" t="s">
        <v>103</v>
      </c>
      <c r="BM260" t="s">
        <v>1165</v>
      </c>
      <c r="BN260" t="s">
        <v>1166</v>
      </c>
      <c r="BO260" t="s">
        <v>458</v>
      </c>
      <c r="BP260">
        <v>9</v>
      </c>
      <c r="BQ260">
        <v>12</v>
      </c>
      <c r="BR260">
        <v>82.35</v>
      </c>
      <c r="BT260" s="86" t="str">
        <f t="shared" si="48"/>
        <v>167265Execucao Bonus</v>
      </c>
      <c r="BU260">
        <v>167265</v>
      </c>
      <c r="BV260" t="s">
        <v>346</v>
      </c>
      <c r="BW260" t="s">
        <v>482</v>
      </c>
      <c r="BX260" t="s">
        <v>103</v>
      </c>
      <c r="BY260" t="s">
        <v>1283</v>
      </c>
      <c r="BZ260" t="s">
        <v>1284</v>
      </c>
      <c r="CA260" t="s">
        <v>1291</v>
      </c>
      <c r="CB260">
        <v>0</v>
      </c>
      <c r="CC260">
        <v>5</v>
      </c>
      <c r="CD260">
        <v>73.03</v>
      </c>
      <c r="CF260" s="86" t="str">
        <f t="shared" si="49"/>
        <v>169868Execucao Bonus</v>
      </c>
      <c r="CG260">
        <v>169868</v>
      </c>
      <c r="CH260" t="s">
        <v>396</v>
      </c>
      <c r="CI260" t="s">
        <v>1306</v>
      </c>
      <c r="CJ260" t="s">
        <v>103</v>
      </c>
      <c r="CK260" t="s">
        <v>1513</v>
      </c>
      <c r="CL260" t="s">
        <v>1514</v>
      </c>
      <c r="CM260" t="s">
        <v>1291</v>
      </c>
      <c r="CN260">
        <v>4.38</v>
      </c>
      <c r="CO260">
        <v>5</v>
      </c>
      <c r="CP260">
        <v>100.62</v>
      </c>
      <c r="CR260" s="86" t="str">
        <f t="shared" si="50"/>
        <v>178205Execucao Bonus</v>
      </c>
      <c r="CS260">
        <v>178205</v>
      </c>
      <c r="CT260" t="s">
        <v>381</v>
      </c>
      <c r="CU260" t="s">
        <v>1345</v>
      </c>
      <c r="CV260" t="s">
        <v>103</v>
      </c>
      <c r="CW260" t="s">
        <v>1529</v>
      </c>
      <c r="CX260" t="s">
        <v>1530</v>
      </c>
      <c r="CY260" t="s">
        <v>1291</v>
      </c>
      <c r="CZ260">
        <v>5</v>
      </c>
      <c r="DA260">
        <v>5</v>
      </c>
      <c r="DB260">
        <v>88.8</v>
      </c>
      <c r="DD260" s="86" t="str">
        <f t="shared" si="51"/>
        <v>181619Share Sub Loc Pao Quente SC Johnson</v>
      </c>
      <c r="DE260">
        <v>181619</v>
      </c>
      <c r="DF260" t="s">
        <v>382</v>
      </c>
      <c r="DG260" t="s">
        <v>1004</v>
      </c>
      <c r="DH260" t="s">
        <v>103</v>
      </c>
      <c r="DI260" t="s">
        <v>1724</v>
      </c>
      <c r="DJ260" t="s">
        <v>1725</v>
      </c>
      <c r="DK260" t="s">
        <v>458</v>
      </c>
      <c r="DL260">
        <v>3</v>
      </c>
      <c r="DM260">
        <v>12</v>
      </c>
      <c r="DN260">
        <v>68.400000000000006</v>
      </c>
      <c r="DP260" s="86" t="str">
        <f t="shared" si="52"/>
        <v>181619Share Sub Loc Pao Quente SC Johnson</v>
      </c>
      <c r="DQ260">
        <v>181619</v>
      </c>
      <c r="DR260" t="s">
        <v>382</v>
      </c>
      <c r="DS260" t="s">
        <v>1004</v>
      </c>
      <c r="DT260" t="s">
        <v>103</v>
      </c>
      <c r="DU260" t="s">
        <v>1850</v>
      </c>
      <c r="DV260" t="s">
        <v>1851</v>
      </c>
      <c r="DW260" t="s">
        <v>458</v>
      </c>
      <c r="DX260">
        <v>3</v>
      </c>
      <c r="DY260">
        <v>12</v>
      </c>
      <c r="DZ260">
        <v>67.599999999999994</v>
      </c>
    </row>
    <row r="261" spans="1:130" x14ac:dyDescent="0.35">
      <c r="A261" s="86" t="str">
        <f t="shared" si="53"/>
        <v>184214Cross Merchan SC Johnson</v>
      </c>
      <c r="B261">
        <v>184214</v>
      </c>
      <c r="C261" t="s">
        <v>400</v>
      </c>
      <c r="D261" t="s">
        <v>103</v>
      </c>
      <c r="E261" t="s">
        <v>594</v>
      </c>
      <c r="F261" t="s">
        <v>595</v>
      </c>
      <c r="G261" t="s">
        <v>111</v>
      </c>
      <c r="H261">
        <v>55.01</v>
      </c>
      <c r="I261">
        <v>0</v>
      </c>
      <c r="J261">
        <v>8</v>
      </c>
      <c r="L261" s="86" t="str">
        <f t="shared" si="54"/>
        <v>184217Share Sub Loc Pao Quente SC Johnson</v>
      </c>
      <c r="M261">
        <v>184217</v>
      </c>
      <c r="N261" t="s">
        <v>402</v>
      </c>
      <c r="O261" t="s">
        <v>482</v>
      </c>
      <c r="P261" t="s">
        <v>103</v>
      </c>
      <c r="Q261" t="s">
        <v>744</v>
      </c>
      <c r="R261" t="s">
        <v>745</v>
      </c>
      <c r="S261" t="s">
        <v>458</v>
      </c>
      <c r="T261">
        <v>12.75</v>
      </c>
      <c r="U261">
        <v>17</v>
      </c>
      <c r="V261">
        <v>72.42</v>
      </c>
      <c r="X261" s="86" t="str">
        <f t="shared" si="55"/>
        <v>184215Share Sub Loc Pao Quente SC Johnson</v>
      </c>
      <c r="Y261">
        <v>184215</v>
      </c>
      <c r="Z261" t="s">
        <v>401</v>
      </c>
      <c r="AA261" t="s">
        <v>482</v>
      </c>
      <c r="AB261" t="s">
        <v>103</v>
      </c>
      <c r="AC261" t="s">
        <v>901</v>
      </c>
      <c r="AD261" t="s">
        <v>902</v>
      </c>
      <c r="AE261" t="s">
        <v>458</v>
      </c>
      <c r="AF261">
        <v>4.25</v>
      </c>
      <c r="AG261">
        <v>17</v>
      </c>
      <c r="AH261">
        <v>66.3</v>
      </c>
      <c r="AJ261" s="86" t="str">
        <f t="shared" si="56"/>
        <v>182641Mix + Intocáveis SC Johnson</v>
      </c>
      <c r="AK261">
        <v>182641</v>
      </c>
      <c r="AL261" t="s">
        <v>352</v>
      </c>
      <c r="AM261" t="s">
        <v>36</v>
      </c>
      <c r="AN261" t="s">
        <v>103</v>
      </c>
      <c r="AO261" t="s">
        <v>945</v>
      </c>
      <c r="AP261" t="s">
        <v>946</v>
      </c>
      <c r="AQ261" t="s">
        <v>459</v>
      </c>
      <c r="AR261">
        <v>26.08</v>
      </c>
      <c r="AS261">
        <v>40</v>
      </c>
      <c r="AT261">
        <v>59.01</v>
      </c>
      <c r="AV261" s="86" t="str">
        <f t="shared" si="57"/>
        <v>184215Mix + Intocáveis SC Johnson</v>
      </c>
      <c r="AW261">
        <v>184215</v>
      </c>
      <c r="AX261" t="s">
        <v>401</v>
      </c>
      <c r="AY261" t="s">
        <v>482</v>
      </c>
      <c r="AZ261" t="s">
        <v>103</v>
      </c>
      <c r="BA261" t="s">
        <v>1141</v>
      </c>
      <c r="BB261" t="s">
        <v>1142</v>
      </c>
      <c r="BC261" t="s">
        <v>459</v>
      </c>
      <c r="BD261">
        <v>33.04</v>
      </c>
      <c r="BE261">
        <v>40</v>
      </c>
      <c r="BF261">
        <v>69.8</v>
      </c>
      <c r="BH261" s="86" t="str">
        <f t="shared" si="58"/>
        <v>182637Mix + Intocáveis SC Johnson</v>
      </c>
      <c r="BI261">
        <v>182637</v>
      </c>
      <c r="BJ261" t="s">
        <v>366</v>
      </c>
      <c r="BK261" t="s">
        <v>36</v>
      </c>
      <c r="BL261" t="s">
        <v>103</v>
      </c>
      <c r="BM261" t="s">
        <v>1165</v>
      </c>
      <c r="BN261" t="s">
        <v>1166</v>
      </c>
      <c r="BO261" t="s">
        <v>459</v>
      </c>
      <c r="BP261">
        <v>28.68</v>
      </c>
      <c r="BQ261">
        <v>40</v>
      </c>
      <c r="BR261">
        <v>82.35</v>
      </c>
      <c r="BT261" s="86" t="str">
        <f t="shared" si="48"/>
        <v>168551Lancamentos</v>
      </c>
      <c r="BU261">
        <v>168551</v>
      </c>
      <c r="BV261" t="s">
        <v>380</v>
      </c>
      <c r="BW261" t="s">
        <v>1345</v>
      </c>
      <c r="BX261" t="s">
        <v>103</v>
      </c>
      <c r="BY261" t="s">
        <v>1378</v>
      </c>
      <c r="BZ261" t="s">
        <v>1379</v>
      </c>
      <c r="CA261" t="s">
        <v>953</v>
      </c>
      <c r="CB261">
        <v>9</v>
      </c>
      <c r="CC261">
        <v>18</v>
      </c>
      <c r="CD261">
        <v>83.83</v>
      </c>
      <c r="CF261" s="86" t="str">
        <f t="shared" si="49"/>
        <v>178205Lancamentos</v>
      </c>
      <c r="CG261">
        <v>178205</v>
      </c>
      <c r="CH261" t="s">
        <v>381</v>
      </c>
      <c r="CI261" t="s">
        <v>1345</v>
      </c>
      <c r="CJ261" t="s">
        <v>103</v>
      </c>
      <c r="CK261" t="s">
        <v>1475</v>
      </c>
      <c r="CL261" t="s">
        <v>1476</v>
      </c>
      <c r="CM261" t="s">
        <v>953</v>
      </c>
      <c r="CN261">
        <v>9</v>
      </c>
      <c r="CO261">
        <v>18</v>
      </c>
      <c r="CP261">
        <v>80.400000000000006</v>
      </c>
      <c r="CR261" s="86" t="str">
        <f t="shared" si="50"/>
        <v>181619Lancamentos</v>
      </c>
      <c r="CS261">
        <v>181619</v>
      </c>
      <c r="CT261" t="s">
        <v>382</v>
      </c>
      <c r="CU261" t="s">
        <v>454</v>
      </c>
      <c r="CV261" t="s">
        <v>103</v>
      </c>
      <c r="CW261" t="s">
        <v>1628</v>
      </c>
      <c r="CX261" t="s">
        <v>1629</v>
      </c>
      <c r="CY261" t="s">
        <v>953</v>
      </c>
      <c r="CZ261">
        <v>9</v>
      </c>
      <c r="DA261">
        <v>18</v>
      </c>
      <c r="DB261">
        <v>79.599999999999994</v>
      </c>
      <c r="DD261" s="86" t="str">
        <f t="shared" si="51"/>
        <v>181800Mix + Intocáveis SC Johnson</v>
      </c>
      <c r="DE261">
        <v>181800</v>
      </c>
      <c r="DF261" t="s">
        <v>348</v>
      </c>
      <c r="DG261" t="s">
        <v>477</v>
      </c>
      <c r="DH261" t="s">
        <v>103</v>
      </c>
      <c r="DI261" t="s">
        <v>1726</v>
      </c>
      <c r="DJ261" t="s">
        <v>1727</v>
      </c>
      <c r="DK261" t="s">
        <v>459</v>
      </c>
      <c r="DL261">
        <v>34.4</v>
      </c>
      <c r="DM261">
        <v>40</v>
      </c>
      <c r="DN261">
        <v>88.4</v>
      </c>
      <c r="DP261" s="86" t="str">
        <f t="shared" si="52"/>
        <v>181800Mix + Intocáveis SC Johnson</v>
      </c>
      <c r="DQ261">
        <v>181800</v>
      </c>
      <c r="DR261" t="s">
        <v>348</v>
      </c>
      <c r="DS261" t="s">
        <v>477</v>
      </c>
      <c r="DT261" t="s">
        <v>103</v>
      </c>
      <c r="DU261" t="s">
        <v>1864</v>
      </c>
      <c r="DV261" t="s">
        <v>1865</v>
      </c>
      <c r="DW261" t="s">
        <v>459</v>
      </c>
      <c r="DX261">
        <v>35.200000000000003</v>
      </c>
      <c r="DY261">
        <v>40</v>
      </c>
      <c r="DZ261">
        <v>89.2</v>
      </c>
    </row>
    <row r="262" spans="1:130" x14ac:dyDescent="0.35">
      <c r="A262" s="86" t="str">
        <f t="shared" si="53"/>
        <v>184214Share Sub Loc Pao Quente SC Johnson</v>
      </c>
      <c r="B262">
        <v>184214</v>
      </c>
      <c r="C262" t="s">
        <v>400</v>
      </c>
      <c r="D262" t="s">
        <v>103</v>
      </c>
      <c r="E262" t="s">
        <v>594</v>
      </c>
      <c r="F262" t="s">
        <v>595</v>
      </c>
      <c r="G262" t="s">
        <v>458</v>
      </c>
      <c r="H262">
        <v>55.01</v>
      </c>
      <c r="I262">
        <v>6.8</v>
      </c>
      <c r="J262">
        <v>17</v>
      </c>
      <c r="L262" s="86" t="str">
        <f t="shared" si="54"/>
        <v>184217Mix + Intocáveis SC Johnson</v>
      </c>
      <c r="M262">
        <v>184217</v>
      </c>
      <c r="N262" t="s">
        <v>402</v>
      </c>
      <c r="O262" t="s">
        <v>482</v>
      </c>
      <c r="P262" t="s">
        <v>103</v>
      </c>
      <c r="Q262" t="s">
        <v>744</v>
      </c>
      <c r="R262" t="s">
        <v>745</v>
      </c>
      <c r="S262" t="s">
        <v>459</v>
      </c>
      <c r="T262">
        <v>38.25</v>
      </c>
      <c r="U262">
        <v>45</v>
      </c>
      <c r="V262">
        <v>72.42</v>
      </c>
      <c r="X262" s="86" t="str">
        <f t="shared" si="55"/>
        <v>184215Mix + Intocáveis SC Johnson</v>
      </c>
      <c r="Y262">
        <v>184215</v>
      </c>
      <c r="Z262" t="s">
        <v>401</v>
      </c>
      <c r="AA262" t="s">
        <v>482</v>
      </c>
      <c r="AB262" t="s">
        <v>103</v>
      </c>
      <c r="AC262" t="s">
        <v>901</v>
      </c>
      <c r="AD262" t="s">
        <v>902</v>
      </c>
      <c r="AE262" t="s">
        <v>459</v>
      </c>
      <c r="AF262">
        <v>32.625</v>
      </c>
      <c r="AG262">
        <v>45</v>
      </c>
      <c r="AH262">
        <v>66.3</v>
      </c>
      <c r="AJ262" s="86" t="str">
        <f t="shared" si="56"/>
        <v>182641Lancamentos</v>
      </c>
      <c r="AK262">
        <v>182641</v>
      </c>
      <c r="AL262" t="s">
        <v>352</v>
      </c>
      <c r="AM262" t="s">
        <v>36</v>
      </c>
      <c r="AN262" t="s">
        <v>103</v>
      </c>
      <c r="AO262" t="s">
        <v>945</v>
      </c>
      <c r="AP262" t="s">
        <v>946</v>
      </c>
      <c r="AQ262" t="s">
        <v>953</v>
      </c>
      <c r="AR262">
        <v>0</v>
      </c>
      <c r="AS262">
        <v>18</v>
      </c>
      <c r="AT262">
        <v>59.01</v>
      </c>
      <c r="AV262" s="86" t="str">
        <f t="shared" si="57"/>
        <v>184215Lancamentos</v>
      </c>
      <c r="AW262">
        <v>184215</v>
      </c>
      <c r="AX262" t="s">
        <v>401</v>
      </c>
      <c r="AY262" t="s">
        <v>482</v>
      </c>
      <c r="AZ262" t="s">
        <v>103</v>
      </c>
      <c r="BA262" t="s">
        <v>1141</v>
      </c>
      <c r="BB262" t="s">
        <v>1142</v>
      </c>
      <c r="BC262" t="s">
        <v>953</v>
      </c>
      <c r="BD262">
        <v>0</v>
      </c>
      <c r="BE262">
        <v>18</v>
      </c>
      <c r="BF262">
        <v>69.8</v>
      </c>
      <c r="BH262" s="86" t="str">
        <f t="shared" si="58"/>
        <v>182637Lancamentos</v>
      </c>
      <c r="BI262">
        <v>182637</v>
      </c>
      <c r="BJ262" t="s">
        <v>366</v>
      </c>
      <c r="BK262" t="s">
        <v>36</v>
      </c>
      <c r="BL262" t="s">
        <v>103</v>
      </c>
      <c r="BM262" t="s">
        <v>1165</v>
      </c>
      <c r="BN262" t="s">
        <v>1166</v>
      </c>
      <c r="BO262" t="s">
        <v>953</v>
      </c>
      <c r="BP262">
        <v>18</v>
      </c>
      <c r="BQ262">
        <v>18</v>
      </c>
      <c r="BR262">
        <v>82.35</v>
      </c>
      <c r="BT262" s="86" t="str">
        <f t="shared" si="48"/>
        <v>168551Mix + Intocáveis SC Johnson</v>
      </c>
      <c r="BU262">
        <v>168551</v>
      </c>
      <c r="BV262" t="s">
        <v>380</v>
      </c>
      <c r="BW262" t="s">
        <v>1345</v>
      </c>
      <c r="BX262" t="s">
        <v>103</v>
      </c>
      <c r="BY262" t="s">
        <v>1378</v>
      </c>
      <c r="BZ262" t="s">
        <v>1379</v>
      </c>
      <c r="CA262" t="s">
        <v>459</v>
      </c>
      <c r="CB262">
        <v>34.4</v>
      </c>
      <c r="CC262">
        <v>40</v>
      </c>
      <c r="CD262">
        <v>83.83</v>
      </c>
      <c r="CF262" s="86" t="str">
        <f t="shared" si="49"/>
        <v>178205Mix + Intocáveis SC Johnson</v>
      </c>
      <c r="CG262">
        <v>178205</v>
      </c>
      <c r="CH262" t="s">
        <v>381</v>
      </c>
      <c r="CI262" t="s">
        <v>1345</v>
      </c>
      <c r="CJ262" t="s">
        <v>103</v>
      </c>
      <c r="CK262" t="s">
        <v>1475</v>
      </c>
      <c r="CL262" t="s">
        <v>1476</v>
      </c>
      <c r="CM262" t="s">
        <v>459</v>
      </c>
      <c r="CN262">
        <v>30.4</v>
      </c>
      <c r="CO262">
        <v>40</v>
      </c>
      <c r="CP262">
        <v>80.400000000000006</v>
      </c>
      <c r="CR262" s="86" t="str">
        <f t="shared" si="50"/>
        <v>181619Mix + Intocáveis SC Johnson</v>
      </c>
      <c r="CS262">
        <v>181619</v>
      </c>
      <c r="CT262" t="s">
        <v>382</v>
      </c>
      <c r="CU262" t="s">
        <v>454</v>
      </c>
      <c r="CV262" t="s">
        <v>103</v>
      </c>
      <c r="CW262" t="s">
        <v>1628</v>
      </c>
      <c r="CX262" t="s">
        <v>1629</v>
      </c>
      <c r="CY262" t="s">
        <v>459</v>
      </c>
      <c r="CZ262">
        <v>29.6</v>
      </c>
      <c r="DA262">
        <v>40</v>
      </c>
      <c r="DB262">
        <v>79.599999999999994</v>
      </c>
      <c r="DD262" s="86" t="str">
        <f t="shared" si="51"/>
        <v>181800Execucao Bonus</v>
      </c>
      <c r="DE262">
        <v>181800</v>
      </c>
      <c r="DF262" t="s">
        <v>348</v>
      </c>
      <c r="DG262" t="s">
        <v>477</v>
      </c>
      <c r="DH262" t="s">
        <v>103</v>
      </c>
      <c r="DI262" t="s">
        <v>1726</v>
      </c>
      <c r="DJ262" t="s">
        <v>1727</v>
      </c>
      <c r="DK262" t="s">
        <v>1291</v>
      </c>
      <c r="DL262">
        <v>0</v>
      </c>
      <c r="DM262">
        <v>5</v>
      </c>
      <c r="DN262">
        <v>88.4</v>
      </c>
      <c r="DP262" s="86" t="str">
        <f t="shared" si="52"/>
        <v>181800Execucao Bonus</v>
      </c>
      <c r="DQ262">
        <v>181800</v>
      </c>
      <c r="DR262" t="s">
        <v>348</v>
      </c>
      <c r="DS262" t="s">
        <v>477</v>
      </c>
      <c r="DT262" t="s">
        <v>103</v>
      </c>
      <c r="DU262" t="s">
        <v>1864</v>
      </c>
      <c r="DV262" t="s">
        <v>1865</v>
      </c>
      <c r="DW262" t="s">
        <v>1291</v>
      </c>
      <c r="DX262">
        <v>0</v>
      </c>
      <c r="DY262">
        <v>5</v>
      </c>
      <c r="DZ262">
        <v>89.2</v>
      </c>
    </row>
    <row r="263" spans="1:130" x14ac:dyDescent="0.35">
      <c r="A263" s="86" t="str">
        <f t="shared" si="53"/>
        <v>184214Mix + Intocáveis SC Johnson</v>
      </c>
      <c r="B263">
        <v>184214</v>
      </c>
      <c r="C263" t="s">
        <v>400</v>
      </c>
      <c r="D263" t="s">
        <v>103</v>
      </c>
      <c r="E263" t="s">
        <v>594</v>
      </c>
      <c r="F263" t="s">
        <v>595</v>
      </c>
      <c r="G263" t="s">
        <v>459</v>
      </c>
      <c r="H263">
        <v>55.01</v>
      </c>
      <c r="I263">
        <v>22.5</v>
      </c>
      <c r="J263">
        <v>45</v>
      </c>
      <c r="L263" s="86" t="str">
        <f t="shared" si="54"/>
        <v>184335Share Sub Category SC Johnson</v>
      </c>
      <c r="M263">
        <v>184335</v>
      </c>
      <c r="N263" t="s">
        <v>404</v>
      </c>
      <c r="O263" t="s">
        <v>482</v>
      </c>
      <c r="P263" t="s">
        <v>103</v>
      </c>
      <c r="Q263" t="s">
        <v>746</v>
      </c>
      <c r="R263" t="s">
        <v>747</v>
      </c>
      <c r="S263" t="s">
        <v>457</v>
      </c>
      <c r="T263">
        <v>21.42</v>
      </c>
      <c r="U263">
        <v>30</v>
      </c>
      <c r="V263">
        <v>74.8</v>
      </c>
      <c r="X263" s="86" t="str">
        <f t="shared" si="55"/>
        <v>184217Share Sub Category SC Johnson</v>
      </c>
      <c r="Y263">
        <v>184217</v>
      </c>
      <c r="Z263" t="s">
        <v>402</v>
      </c>
      <c r="AA263" t="s">
        <v>482</v>
      </c>
      <c r="AB263" t="s">
        <v>103</v>
      </c>
      <c r="AC263" t="s">
        <v>877</v>
      </c>
      <c r="AD263" t="s">
        <v>878</v>
      </c>
      <c r="AE263" t="s">
        <v>457</v>
      </c>
      <c r="AF263">
        <v>30</v>
      </c>
      <c r="AG263">
        <v>30</v>
      </c>
      <c r="AH263">
        <v>87.88</v>
      </c>
      <c r="AJ263" s="86" t="str">
        <f t="shared" si="56"/>
        <v>184214Share Sub Category SC Johnson</v>
      </c>
      <c r="AK263">
        <v>184214</v>
      </c>
      <c r="AL263" t="s">
        <v>400</v>
      </c>
      <c r="AM263" t="s">
        <v>482</v>
      </c>
      <c r="AN263" t="s">
        <v>103</v>
      </c>
      <c r="AO263" t="s">
        <v>992</v>
      </c>
      <c r="AP263" t="s">
        <v>993</v>
      </c>
      <c r="AQ263" t="s">
        <v>457</v>
      </c>
      <c r="AR263">
        <v>21.425000000000001</v>
      </c>
      <c r="AS263">
        <v>25</v>
      </c>
      <c r="AT263">
        <v>58.61</v>
      </c>
      <c r="AV263" s="86" t="str">
        <f t="shared" si="57"/>
        <v>184217Share Sub Category SC Johnson</v>
      </c>
      <c r="AW263">
        <v>184217</v>
      </c>
      <c r="AX263" t="s">
        <v>402</v>
      </c>
      <c r="AY263" t="s">
        <v>482</v>
      </c>
      <c r="AZ263" t="s">
        <v>103</v>
      </c>
      <c r="BA263" t="s">
        <v>1031</v>
      </c>
      <c r="BB263" t="s">
        <v>1032</v>
      </c>
      <c r="BC263" t="s">
        <v>457</v>
      </c>
      <c r="BD263">
        <v>21.425000000000001</v>
      </c>
      <c r="BE263">
        <v>25</v>
      </c>
      <c r="BF263">
        <v>56.05</v>
      </c>
      <c r="BH263" s="86" t="str">
        <f t="shared" si="58"/>
        <v>182638Share Sub Category SC Johnson</v>
      </c>
      <c r="BI263">
        <v>182638</v>
      </c>
      <c r="BJ263" t="s">
        <v>399</v>
      </c>
      <c r="BK263" t="s">
        <v>36</v>
      </c>
      <c r="BL263" t="s">
        <v>103</v>
      </c>
      <c r="BM263" t="s">
        <v>1262</v>
      </c>
      <c r="BN263" t="s">
        <v>1263</v>
      </c>
      <c r="BO263" t="s">
        <v>457</v>
      </c>
      <c r="BP263">
        <v>14.275</v>
      </c>
      <c r="BQ263">
        <v>25</v>
      </c>
      <c r="BR263">
        <v>66.33</v>
      </c>
      <c r="BT263" s="86" t="str">
        <f t="shared" si="48"/>
        <v>168551Share Sub Category SC Johnson</v>
      </c>
      <c r="BU263">
        <v>168551</v>
      </c>
      <c r="BV263" t="s">
        <v>380</v>
      </c>
      <c r="BW263" t="s">
        <v>1345</v>
      </c>
      <c r="BX263" t="s">
        <v>103</v>
      </c>
      <c r="BY263" t="s">
        <v>1378</v>
      </c>
      <c r="BZ263" t="s">
        <v>1379</v>
      </c>
      <c r="CA263" t="s">
        <v>457</v>
      </c>
      <c r="CB263">
        <v>21.425000000000001</v>
      </c>
      <c r="CC263">
        <v>25</v>
      </c>
      <c r="CD263">
        <v>83.83</v>
      </c>
      <c r="CF263" s="86" t="str">
        <f t="shared" si="49"/>
        <v>178205Share Sub Category SC Johnson</v>
      </c>
      <c r="CG263">
        <v>178205</v>
      </c>
      <c r="CH263" t="s">
        <v>381</v>
      </c>
      <c r="CI263" t="s">
        <v>1345</v>
      </c>
      <c r="CJ263" t="s">
        <v>103</v>
      </c>
      <c r="CK263" t="s">
        <v>1475</v>
      </c>
      <c r="CL263" t="s">
        <v>1476</v>
      </c>
      <c r="CM263" t="s">
        <v>457</v>
      </c>
      <c r="CN263">
        <v>25</v>
      </c>
      <c r="CO263">
        <v>25</v>
      </c>
      <c r="CP263">
        <v>80.400000000000006</v>
      </c>
      <c r="CR263" s="86" t="str">
        <f t="shared" si="50"/>
        <v>181619Share Sub Category SC Johnson</v>
      </c>
      <c r="CS263">
        <v>181619</v>
      </c>
      <c r="CT263" t="s">
        <v>382</v>
      </c>
      <c r="CU263" t="s">
        <v>454</v>
      </c>
      <c r="CV263" t="s">
        <v>103</v>
      </c>
      <c r="CW263" t="s">
        <v>1628</v>
      </c>
      <c r="CX263" t="s">
        <v>1629</v>
      </c>
      <c r="CY263" t="s">
        <v>457</v>
      </c>
      <c r="CZ263">
        <v>25</v>
      </c>
      <c r="DA263">
        <v>25</v>
      </c>
      <c r="DB263">
        <v>79.599999999999994</v>
      </c>
      <c r="DD263" s="86" t="str">
        <f t="shared" si="51"/>
        <v>181800Cross Merchan SC Johnson</v>
      </c>
      <c r="DE263">
        <v>181800</v>
      </c>
      <c r="DF263" t="s">
        <v>348</v>
      </c>
      <c r="DG263" t="s">
        <v>477</v>
      </c>
      <c r="DH263" t="s">
        <v>103</v>
      </c>
      <c r="DI263" t="s">
        <v>1726</v>
      </c>
      <c r="DJ263" t="s">
        <v>1727</v>
      </c>
      <c r="DK263" t="s">
        <v>111</v>
      </c>
      <c r="DL263">
        <v>5</v>
      </c>
      <c r="DM263">
        <v>5</v>
      </c>
      <c r="DN263">
        <v>88.4</v>
      </c>
      <c r="DP263" s="86" t="str">
        <f t="shared" si="52"/>
        <v>181800Cross Merchan SC Johnson</v>
      </c>
      <c r="DQ263">
        <v>181800</v>
      </c>
      <c r="DR263" t="s">
        <v>348</v>
      </c>
      <c r="DS263" t="s">
        <v>477</v>
      </c>
      <c r="DT263" t="s">
        <v>103</v>
      </c>
      <c r="DU263" t="s">
        <v>1864</v>
      </c>
      <c r="DV263" t="s">
        <v>1865</v>
      </c>
      <c r="DW263" t="s">
        <v>111</v>
      </c>
      <c r="DX263">
        <v>5</v>
      </c>
      <c r="DY263">
        <v>5</v>
      </c>
      <c r="DZ263">
        <v>89.2</v>
      </c>
    </row>
    <row r="264" spans="1:130" x14ac:dyDescent="0.35">
      <c r="A264" s="86" t="str">
        <f t="shared" si="53"/>
        <v>184215Share Sub Category SC Johnson</v>
      </c>
      <c r="B264">
        <v>184215</v>
      </c>
      <c r="C264" t="s">
        <v>401</v>
      </c>
      <c r="D264" t="s">
        <v>103</v>
      </c>
      <c r="E264" t="s">
        <v>596</v>
      </c>
      <c r="F264" t="s">
        <v>597</v>
      </c>
      <c r="G264" t="s">
        <v>457</v>
      </c>
      <c r="H264">
        <v>61.76</v>
      </c>
      <c r="I264">
        <v>25.71</v>
      </c>
      <c r="J264">
        <v>30</v>
      </c>
      <c r="L264" s="86" t="str">
        <f t="shared" si="54"/>
        <v>184335Cross Merchan SC Johnson</v>
      </c>
      <c r="M264">
        <v>184335</v>
      </c>
      <c r="N264" t="s">
        <v>404</v>
      </c>
      <c r="O264" t="s">
        <v>482</v>
      </c>
      <c r="P264" t="s">
        <v>103</v>
      </c>
      <c r="Q264" t="s">
        <v>746</v>
      </c>
      <c r="R264" t="s">
        <v>747</v>
      </c>
      <c r="S264" t="s">
        <v>111</v>
      </c>
      <c r="T264">
        <v>8</v>
      </c>
      <c r="U264">
        <v>8</v>
      </c>
      <c r="V264">
        <v>74.8</v>
      </c>
      <c r="X264" s="86" t="str">
        <f t="shared" si="55"/>
        <v>184217Cross Merchan SC Johnson</v>
      </c>
      <c r="Y264">
        <v>184217</v>
      </c>
      <c r="Z264" t="s">
        <v>402</v>
      </c>
      <c r="AA264" t="s">
        <v>482</v>
      </c>
      <c r="AB264" t="s">
        <v>103</v>
      </c>
      <c r="AC264" t="s">
        <v>877</v>
      </c>
      <c r="AD264" t="s">
        <v>878</v>
      </c>
      <c r="AE264" t="s">
        <v>111</v>
      </c>
      <c r="AF264">
        <v>8</v>
      </c>
      <c r="AG264">
        <v>8</v>
      </c>
      <c r="AH264">
        <v>87.88</v>
      </c>
      <c r="AJ264" s="86" t="str">
        <f t="shared" si="56"/>
        <v>184214Cross Merchan SC Johnson</v>
      </c>
      <c r="AK264">
        <v>184214</v>
      </c>
      <c r="AL264" t="s">
        <v>400</v>
      </c>
      <c r="AM264" t="s">
        <v>482</v>
      </c>
      <c r="AN264" t="s">
        <v>103</v>
      </c>
      <c r="AO264" t="s">
        <v>992</v>
      </c>
      <c r="AP264" t="s">
        <v>993</v>
      </c>
      <c r="AQ264" t="s">
        <v>111</v>
      </c>
      <c r="AR264">
        <v>2.5</v>
      </c>
      <c r="AS264">
        <v>5</v>
      </c>
      <c r="AT264">
        <v>58.61</v>
      </c>
      <c r="AV264" s="86" t="str">
        <f t="shared" si="57"/>
        <v>184217Cross Merchan SC Johnson</v>
      </c>
      <c r="AW264">
        <v>184217</v>
      </c>
      <c r="AX264" t="s">
        <v>402</v>
      </c>
      <c r="AY264" t="s">
        <v>482</v>
      </c>
      <c r="AZ264" t="s">
        <v>103</v>
      </c>
      <c r="BA264" t="s">
        <v>1031</v>
      </c>
      <c r="BB264" t="s">
        <v>1032</v>
      </c>
      <c r="BC264" t="s">
        <v>111</v>
      </c>
      <c r="BD264">
        <v>1.665</v>
      </c>
      <c r="BE264">
        <v>5</v>
      </c>
      <c r="BF264">
        <v>56.05</v>
      </c>
      <c r="BH264" s="86" t="str">
        <f t="shared" si="58"/>
        <v>182638Cross Merchan SC Johnson</v>
      </c>
      <c r="BI264">
        <v>182638</v>
      </c>
      <c r="BJ264" t="s">
        <v>399</v>
      </c>
      <c r="BK264" t="s">
        <v>36</v>
      </c>
      <c r="BL264" t="s">
        <v>103</v>
      </c>
      <c r="BM264" t="s">
        <v>1262</v>
      </c>
      <c r="BN264" t="s">
        <v>1263</v>
      </c>
      <c r="BO264" t="s">
        <v>111</v>
      </c>
      <c r="BP264">
        <v>3.335</v>
      </c>
      <c r="BQ264">
        <v>5</v>
      </c>
      <c r="BR264">
        <v>66.33</v>
      </c>
      <c r="BT264" s="86" t="str">
        <f t="shared" si="48"/>
        <v>168551Share Sub Loc Pao Quente SC Johnson</v>
      </c>
      <c r="BU264">
        <v>168551</v>
      </c>
      <c r="BV264" t="s">
        <v>380</v>
      </c>
      <c r="BW264" t="s">
        <v>1345</v>
      </c>
      <c r="BX264" t="s">
        <v>103</v>
      </c>
      <c r="BY264" t="s">
        <v>1378</v>
      </c>
      <c r="BZ264" t="s">
        <v>1379</v>
      </c>
      <c r="CA264" t="s">
        <v>458</v>
      </c>
      <c r="CB264">
        <v>9</v>
      </c>
      <c r="CC264">
        <v>12</v>
      </c>
      <c r="CD264">
        <v>83.83</v>
      </c>
      <c r="CF264" s="86" t="str">
        <f t="shared" si="49"/>
        <v>178205Share Sub Loc Pao Quente SC Johnson</v>
      </c>
      <c r="CG264">
        <v>178205</v>
      </c>
      <c r="CH264" t="s">
        <v>381</v>
      </c>
      <c r="CI264" t="s">
        <v>1345</v>
      </c>
      <c r="CJ264" t="s">
        <v>103</v>
      </c>
      <c r="CK264" t="s">
        <v>1475</v>
      </c>
      <c r="CL264" t="s">
        <v>1476</v>
      </c>
      <c r="CM264" t="s">
        <v>458</v>
      </c>
      <c r="CN264">
        <v>6</v>
      </c>
      <c r="CO264">
        <v>12</v>
      </c>
      <c r="CP264">
        <v>80.400000000000006</v>
      </c>
      <c r="CR264" s="86" t="str">
        <f t="shared" si="50"/>
        <v>181619Share Sub Loc Pao Quente SC Johnson</v>
      </c>
      <c r="CS264">
        <v>181619</v>
      </c>
      <c r="CT264" t="s">
        <v>382</v>
      </c>
      <c r="CU264" t="s">
        <v>454</v>
      </c>
      <c r="CV264" t="s">
        <v>103</v>
      </c>
      <c r="CW264" t="s">
        <v>1628</v>
      </c>
      <c r="CX264" t="s">
        <v>1629</v>
      </c>
      <c r="CY264" t="s">
        <v>458</v>
      </c>
      <c r="CZ264">
        <v>6</v>
      </c>
      <c r="DA264">
        <v>12</v>
      </c>
      <c r="DB264">
        <v>79.599999999999994</v>
      </c>
      <c r="DD264" s="86" t="str">
        <f t="shared" si="51"/>
        <v>181800Lancamentos</v>
      </c>
      <c r="DE264">
        <v>181800</v>
      </c>
      <c r="DF264" t="s">
        <v>348</v>
      </c>
      <c r="DG264" t="s">
        <v>477</v>
      </c>
      <c r="DH264" t="s">
        <v>103</v>
      </c>
      <c r="DI264" t="s">
        <v>1726</v>
      </c>
      <c r="DJ264" t="s">
        <v>1727</v>
      </c>
      <c r="DK264" t="s">
        <v>953</v>
      </c>
      <c r="DL264">
        <v>18</v>
      </c>
      <c r="DM264">
        <v>18</v>
      </c>
      <c r="DN264">
        <v>88.4</v>
      </c>
      <c r="DP264" s="86" t="str">
        <f t="shared" si="52"/>
        <v>181800Lancamentos</v>
      </c>
      <c r="DQ264">
        <v>181800</v>
      </c>
      <c r="DR264" t="s">
        <v>348</v>
      </c>
      <c r="DS264" t="s">
        <v>477</v>
      </c>
      <c r="DT264" t="s">
        <v>103</v>
      </c>
      <c r="DU264" t="s">
        <v>1864</v>
      </c>
      <c r="DV264" t="s">
        <v>1865</v>
      </c>
      <c r="DW264" t="s">
        <v>953</v>
      </c>
      <c r="DX264">
        <v>18</v>
      </c>
      <c r="DY264">
        <v>18</v>
      </c>
      <c r="DZ264">
        <v>89.2</v>
      </c>
    </row>
    <row r="265" spans="1:130" x14ac:dyDescent="0.35">
      <c r="A265" s="86" t="str">
        <f t="shared" si="53"/>
        <v>184215Cross Merchan SC Johnson</v>
      </c>
      <c r="B265">
        <v>184215</v>
      </c>
      <c r="C265" t="s">
        <v>401</v>
      </c>
      <c r="D265" t="s">
        <v>103</v>
      </c>
      <c r="E265" t="s">
        <v>596</v>
      </c>
      <c r="F265" t="s">
        <v>597</v>
      </c>
      <c r="G265" t="s">
        <v>111</v>
      </c>
      <c r="H265">
        <v>61.76</v>
      </c>
      <c r="I265">
        <v>0</v>
      </c>
      <c r="J265">
        <v>8</v>
      </c>
      <c r="L265" s="86" t="str">
        <f t="shared" si="54"/>
        <v>184335Share Sub Loc Pao Quente SC Johnson</v>
      </c>
      <c r="M265">
        <v>184335</v>
      </c>
      <c r="N265" t="s">
        <v>404</v>
      </c>
      <c r="O265" t="s">
        <v>482</v>
      </c>
      <c r="P265" t="s">
        <v>103</v>
      </c>
      <c r="Q265" t="s">
        <v>746</v>
      </c>
      <c r="R265" t="s">
        <v>747</v>
      </c>
      <c r="S265" t="s">
        <v>458</v>
      </c>
      <c r="T265">
        <v>12.75</v>
      </c>
      <c r="U265">
        <v>17</v>
      </c>
      <c r="V265">
        <v>74.8</v>
      </c>
      <c r="X265" s="86" t="str">
        <f t="shared" si="55"/>
        <v>184217Share Sub Loc Pao Quente SC Johnson</v>
      </c>
      <c r="Y265">
        <v>184217</v>
      </c>
      <c r="Z265" t="s">
        <v>402</v>
      </c>
      <c r="AA265" t="s">
        <v>482</v>
      </c>
      <c r="AB265" t="s">
        <v>103</v>
      </c>
      <c r="AC265" t="s">
        <v>877</v>
      </c>
      <c r="AD265" t="s">
        <v>878</v>
      </c>
      <c r="AE265" t="s">
        <v>458</v>
      </c>
      <c r="AF265">
        <v>12.75</v>
      </c>
      <c r="AG265">
        <v>17</v>
      </c>
      <c r="AH265">
        <v>87.88</v>
      </c>
      <c r="AJ265" s="86" t="str">
        <f t="shared" si="56"/>
        <v>184214Share Sub Loc Pao Quente SC Johnson</v>
      </c>
      <c r="AK265">
        <v>184214</v>
      </c>
      <c r="AL265" t="s">
        <v>400</v>
      </c>
      <c r="AM265" t="s">
        <v>482</v>
      </c>
      <c r="AN265" t="s">
        <v>103</v>
      </c>
      <c r="AO265" t="s">
        <v>992</v>
      </c>
      <c r="AP265" t="s">
        <v>993</v>
      </c>
      <c r="AQ265" t="s">
        <v>458</v>
      </c>
      <c r="AR265">
        <v>6</v>
      </c>
      <c r="AS265">
        <v>12</v>
      </c>
      <c r="AT265">
        <v>58.61</v>
      </c>
      <c r="AV265" s="86" t="str">
        <f t="shared" si="57"/>
        <v>184217Share Sub Loc Pao Quente SC Johnson</v>
      </c>
      <c r="AW265">
        <v>184217</v>
      </c>
      <c r="AX265" t="s">
        <v>402</v>
      </c>
      <c r="AY265" t="s">
        <v>482</v>
      </c>
      <c r="AZ265" t="s">
        <v>103</v>
      </c>
      <c r="BA265" t="s">
        <v>1031</v>
      </c>
      <c r="BB265" t="s">
        <v>1032</v>
      </c>
      <c r="BC265" t="s">
        <v>458</v>
      </c>
      <c r="BD265">
        <v>6</v>
      </c>
      <c r="BE265">
        <v>12</v>
      </c>
      <c r="BF265">
        <v>56.05</v>
      </c>
      <c r="BH265" s="86" t="str">
        <f t="shared" si="58"/>
        <v>182638Share Sub Loc Pao Quente SC Johnson</v>
      </c>
      <c r="BI265">
        <v>182638</v>
      </c>
      <c r="BJ265" t="s">
        <v>399</v>
      </c>
      <c r="BK265" t="s">
        <v>36</v>
      </c>
      <c r="BL265" t="s">
        <v>103</v>
      </c>
      <c r="BM265" t="s">
        <v>1262</v>
      </c>
      <c r="BN265" t="s">
        <v>1263</v>
      </c>
      <c r="BO265" t="s">
        <v>458</v>
      </c>
      <c r="BP265">
        <v>9</v>
      </c>
      <c r="BQ265">
        <v>12</v>
      </c>
      <c r="BR265">
        <v>66.33</v>
      </c>
      <c r="BT265" s="86" t="str">
        <f t="shared" si="48"/>
        <v>168551Cross Merchan SC Johnson</v>
      </c>
      <c r="BU265">
        <v>168551</v>
      </c>
      <c r="BV265" t="s">
        <v>380</v>
      </c>
      <c r="BW265" t="s">
        <v>1345</v>
      </c>
      <c r="BX265" t="s">
        <v>103</v>
      </c>
      <c r="BY265" t="s">
        <v>1378</v>
      </c>
      <c r="BZ265" t="s">
        <v>1379</v>
      </c>
      <c r="CA265" t="s">
        <v>111</v>
      </c>
      <c r="CB265">
        <v>5</v>
      </c>
      <c r="CC265">
        <v>5</v>
      </c>
      <c r="CD265">
        <v>83.83</v>
      </c>
      <c r="CF265" s="86" t="str">
        <f t="shared" si="49"/>
        <v>178205Cross Merchan SC Johnson</v>
      </c>
      <c r="CG265">
        <v>178205</v>
      </c>
      <c r="CH265" t="s">
        <v>381</v>
      </c>
      <c r="CI265" t="s">
        <v>1345</v>
      </c>
      <c r="CJ265" t="s">
        <v>103</v>
      </c>
      <c r="CK265" t="s">
        <v>1475</v>
      </c>
      <c r="CL265" t="s">
        <v>1476</v>
      </c>
      <c r="CM265" t="s">
        <v>111</v>
      </c>
      <c r="CN265">
        <v>5</v>
      </c>
      <c r="CO265">
        <v>5</v>
      </c>
      <c r="CP265">
        <v>80.400000000000006</v>
      </c>
      <c r="CR265" s="86" t="str">
        <f t="shared" si="50"/>
        <v>181619Cross Merchan SC Johnson</v>
      </c>
      <c r="CS265">
        <v>181619</v>
      </c>
      <c r="CT265" t="s">
        <v>382</v>
      </c>
      <c r="CU265" t="s">
        <v>454</v>
      </c>
      <c r="CV265" t="s">
        <v>103</v>
      </c>
      <c r="CW265" t="s">
        <v>1628</v>
      </c>
      <c r="CX265" t="s">
        <v>1629</v>
      </c>
      <c r="CY265" t="s">
        <v>111</v>
      </c>
      <c r="CZ265">
        <v>5</v>
      </c>
      <c r="DA265">
        <v>5</v>
      </c>
      <c r="DB265">
        <v>79.599999999999994</v>
      </c>
      <c r="DD265" s="86" t="str">
        <f t="shared" si="51"/>
        <v>181800Share Sub Category SC Johnson</v>
      </c>
      <c r="DE265">
        <v>181800</v>
      </c>
      <c r="DF265" t="s">
        <v>348</v>
      </c>
      <c r="DG265" t="s">
        <v>477</v>
      </c>
      <c r="DH265" t="s">
        <v>103</v>
      </c>
      <c r="DI265" t="s">
        <v>1726</v>
      </c>
      <c r="DJ265" t="s">
        <v>1727</v>
      </c>
      <c r="DK265" t="s">
        <v>457</v>
      </c>
      <c r="DL265">
        <v>25</v>
      </c>
      <c r="DM265">
        <v>25</v>
      </c>
      <c r="DN265">
        <v>88.4</v>
      </c>
      <c r="DP265" s="86" t="str">
        <f t="shared" si="52"/>
        <v>181800Share Sub Category SC Johnson</v>
      </c>
      <c r="DQ265">
        <v>181800</v>
      </c>
      <c r="DR265" t="s">
        <v>348</v>
      </c>
      <c r="DS265" t="s">
        <v>477</v>
      </c>
      <c r="DT265" t="s">
        <v>103</v>
      </c>
      <c r="DU265" t="s">
        <v>1864</v>
      </c>
      <c r="DV265" t="s">
        <v>1865</v>
      </c>
      <c r="DW265" t="s">
        <v>457</v>
      </c>
      <c r="DX265">
        <v>25</v>
      </c>
      <c r="DY265">
        <v>25</v>
      </c>
      <c r="DZ265">
        <v>89.2</v>
      </c>
    </row>
    <row r="266" spans="1:130" x14ac:dyDescent="0.35">
      <c r="A266" s="86" t="str">
        <f t="shared" si="53"/>
        <v>184215Share Sub Loc Pao Quente SC Johnson</v>
      </c>
      <c r="B266">
        <v>184215</v>
      </c>
      <c r="C266" t="s">
        <v>401</v>
      </c>
      <c r="D266" t="s">
        <v>103</v>
      </c>
      <c r="E266" t="s">
        <v>596</v>
      </c>
      <c r="F266" t="s">
        <v>597</v>
      </c>
      <c r="G266" t="s">
        <v>458</v>
      </c>
      <c r="H266">
        <v>61.76</v>
      </c>
      <c r="I266">
        <v>6.8</v>
      </c>
      <c r="J266">
        <v>17</v>
      </c>
      <c r="L266" s="86" t="str">
        <f t="shared" si="54"/>
        <v>184335Mix + Intocáveis SC Johnson</v>
      </c>
      <c r="M266">
        <v>184335</v>
      </c>
      <c r="N266" t="s">
        <v>404</v>
      </c>
      <c r="O266" t="s">
        <v>482</v>
      </c>
      <c r="P266" t="s">
        <v>103</v>
      </c>
      <c r="Q266" t="s">
        <v>746</v>
      </c>
      <c r="R266" t="s">
        <v>747</v>
      </c>
      <c r="S266" t="s">
        <v>459</v>
      </c>
      <c r="T266">
        <v>32.625</v>
      </c>
      <c r="U266">
        <v>45</v>
      </c>
      <c r="V266">
        <v>74.8</v>
      </c>
      <c r="X266" s="86" t="str">
        <f t="shared" si="55"/>
        <v>184217Mix + Intocáveis SC Johnson</v>
      </c>
      <c r="Y266">
        <v>184217</v>
      </c>
      <c r="Z266" t="s">
        <v>402</v>
      </c>
      <c r="AA266" t="s">
        <v>482</v>
      </c>
      <c r="AB266" t="s">
        <v>103</v>
      </c>
      <c r="AC266" t="s">
        <v>877</v>
      </c>
      <c r="AD266" t="s">
        <v>878</v>
      </c>
      <c r="AE266" t="s">
        <v>459</v>
      </c>
      <c r="AF266">
        <v>37.125</v>
      </c>
      <c r="AG266">
        <v>45</v>
      </c>
      <c r="AH266">
        <v>87.88</v>
      </c>
      <c r="AJ266" s="86" t="str">
        <f t="shared" si="56"/>
        <v>184214Mix + Intocáveis SC Johnson</v>
      </c>
      <c r="AK266">
        <v>184214</v>
      </c>
      <c r="AL266" t="s">
        <v>400</v>
      </c>
      <c r="AM266" t="s">
        <v>482</v>
      </c>
      <c r="AN266" t="s">
        <v>103</v>
      </c>
      <c r="AO266" t="s">
        <v>992</v>
      </c>
      <c r="AP266" t="s">
        <v>993</v>
      </c>
      <c r="AQ266" t="s">
        <v>459</v>
      </c>
      <c r="AR266">
        <v>28.68</v>
      </c>
      <c r="AS266">
        <v>40</v>
      </c>
      <c r="AT266">
        <v>58.61</v>
      </c>
      <c r="AV266" s="86" t="str">
        <f t="shared" si="57"/>
        <v>184217Mix + Intocáveis SC Johnson</v>
      </c>
      <c r="AW266">
        <v>184217</v>
      </c>
      <c r="AX266" t="s">
        <v>402</v>
      </c>
      <c r="AY266" t="s">
        <v>482</v>
      </c>
      <c r="AZ266" t="s">
        <v>103</v>
      </c>
      <c r="BA266" t="s">
        <v>1031</v>
      </c>
      <c r="BB266" t="s">
        <v>1032</v>
      </c>
      <c r="BC266" t="s">
        <v>459</v>
      </c>
      <c r="BD266">
        <v>26.96</v>
      </c>
      <c r="BE266">
        <v>40</v>
      </c>
      <c r="BF266">
        <v>56.05</v>
      </c>
      <c r="BH266" s="86" t="str">
        <f t="shared" si="58"/>
        <v>182638Mix + Intocáveis SC Johnson</v>
      </c>
      <c r="BI266">
        <v>182638</v>
      </c>
      <c r="BJ266" t="s">
        <v>399</v>
      </c>
      <c r="BK266" t="s">
        <v>36</v>
      </c>
      <c r="BL266" t="s">
        <v>103</v>
      </c>
      <c r="BM266" t="s">
        <v>1262</v>
      </c>
      <c r="BN266" t="s">
        <v>1263</v>
      </c>
      <c r="BO266" t="s">
        <v>459</v>
      </c>
      <c r="BP266">
        <v>21.72</v>
      </c>
      <c r="BQ266">
        <v>40</v>
      </c>
      <c r="BR266">
        <v>66.33</v>
      </c>
      <c r="BT266" s="86" t="str">
        <f t="shared" si="48"/>
        <v>168551Execucao Bonus</v>
      </c>
      <c r="BU266">
        <v>168551</v>
      </c>
      <c r="BV266" t="s">
        <v>380</v>
      </c>
      <c r="BW266" t="s">
        <v>1345</v>
      </c>
      <c r="BX266" t="s">
        <v>103</v>
      </c>
      <c r="BY266" t="s">
        <v>1378</v>
      </c>
      <c r="BZ266" t="s">
        <v>1379</v>
      </c>
      <c r="CA266" t="s">
        <v>1291</v>
      </c>
      <c r="CB266">
        <v>5</v>
      </c>
      <c r="CC266">
        <v>5</v>
      </c>
      <c r="CD266">
        <v>83.83</v>
      </c>
      <c r="CF266" s="86" t="str">
        <f t="shared" si="49"/>
        <v>178205Execucao Bonus</v>
      </c>
      <c r="CG266">
        <v>178205</v>
      </c>
      <c r="CH266" t="s">
        <v>381</v>
      </c>
      <c r="CI266" t="s">
        <v>1345</v>
      </c>
      <c r="CJ266" t="s">
        <v>103</v>
      </c>
      <c r="CK266" t="s">
        <v>1475</v>
      </c>
      <c r="CL266" t="s">
        <v>1476</v>
      </c>
      <c r="CM266" t="s">
        <v>1291</v>
      </c>
      <c r="CN266">
        <v>5</v>
      </c>
      <c r="CO266">
        <v>5</v>
      </c>
      <c r="CP266">
        <v>80.400000000000006</v>
      </c>
      <c r="CR266" s="86" t="str">
        <f t="shared" si="50"/>
        <v>181619Execucao Bonus</v>
      </c>
      <c r="CS266">
        <v>181619</v>
      </c>
      <c r="CT266" t="s">
        <v>382</v>
      </c>
      <c r="CU266" t="s">
        <v>454</v>
      </c>
      <c r="CV266" t="s">
        <v>103</v>
      </c>
      <c r="CW266" t="s">
        <v>1628</v>
      </c>
      <c r="CX266" t="s">
        <v>1629</v>
      </c>
      <c r="CY266" t="s">
        <v>1291</v>
      </c>
      <c r="CZ266">
        <v>5</v>
      </c>
      <c r="DA266">
        <v>5</v>
      </c>
      <c r="DB266">
        <v>79.599999999999994</v>
      </c>
      <c r="DD266" s="86" t="str">
        <f t="shared" si="51"/>
        <v>181800Share Sub Loc Pao Quente SC Johnson</v>
      </c>
      <c r="DE266">
        <v>181800</v>
      </c>
      <c r="DF266" t="s">
        <v>348</v>
      </c>
      <c r="DG266" t="s">
        <v>477</v>
      </c>
      <c r="DH266" t="s">
        <v>103</v>
      </c>
      <c r="DI266" t="s">
        <v>1726</v>
      </c>
      <c r="DJ266" t="s">
        <v>1727</v>
      </c>
      <c r="DK266" t="s">
        <v>458</v>
      </c>
      <c r="DL266">
        <v>6</v>
      </c>
      <c r="DM266">
        <v>12</v>
      </c>
      <c r="DN266">
        <v>88.4</v>
      </c>
      <c r="DP266" s="86" t="str">
        <f t="shared" si="52"/>
        <v>181800Share Sub Loc Pao Quente SC Johnson</v>
      </c>
      <c r="DQ266">
        <v>181800</v>
      </c>
      <c r="DR266" t="s">
        <v>348</v>
      </c>
      <c r="DS266" t="s">
        <v>477</v>
      </c>
      <c r="DT266" t="s">
        <v>103</v>
      </c>
      <c r="DU266" t="s">
        <v>1864</v>
      </c>
      <c r="DV266" t="s">
        <v>1865</v>
      </c>
      <c r="DW266" t="s">
        <v>458</v>
      </c>
      <c r="DX266">
        <v>6</v>
      </c>
      <c r="DY266">
        <v>12</v>
      </c>
      <c r="DZ266">
        <v>89.2</v>
      </c>
    </row>
    <row r="267" spans="1:130" x14ac:dyDescent="0.35">
      <c r="A267" s="86" t="str">
        <f t="shared" si="53"/>
        <v>184215Mix + Intocáveis SC Johnson</v>
      </c>
      <c r="B267">
        <v>184215</v>
      </c>
      <c r="C267" t="s">
        <v>401</v>
      </c>
      <c r="D267" t="s">
        <v>103</v>
      </c>
      <c r="E267" t="s">
        <v>596</v>
      </c>
      <c r="F267" t="s">
        <v>597</v>
      </c>
      <c r="G267" t="s">
        <v>459</v>
      </c>
      <c r="H267">
        <v>61.76</v>
      </c>
      <c r="I267">
        <v>29.25</v>
      </c>
      <c r="J267">
        <v>45</v>
      </c>
      <c r="L267" s="86" t="str">
        <f t="shared" si="54"/>
        <v>184604Share Sub Category SC Johnson</v>
      </c>
      <c r="M267">
        <v>184604</v>
      </c>
      <c r="N267" t="s">
        <v>367</v>
      </c>
      <c r="O267" t="s">
        <v>539</v>
      </c>
      <c r="P267" t="s">
        <v>103</v>
      </c>
      <c r="Q267" t="s">
        <v>748</v>
      </c>
      <c r="R267" t="s">
        <v>749</v>
      </c>
      <c r="S267" t="s">
        <v>457</v>
      </c>
      <c r="T267">
        <v>25.71</v>
      </c>
      <c r="U267">
        <v>30</v>
      </c>
      <c r="V267">
        <v>44.9</v>
      </c>
      <c r="X267" s="86" t="str">
        <f t="shared" si="55"/>
        <v>184221Share Sub Category SC Johnson</v>
      </c>
      <c r="Y267">
        <v>184221</v>
      </c>
      <c r="Z267" t="s">
        <v>403</v>
      </c>
      <c r="AA267" t="s">
        <v>482</v>
      </c>
      <c r="AB267" t="s">
        <v>103</v>
      </c>
      <c r="AC267" t="s">
        <v>903</v>
      </c>
      <c r="AD267" t="s">
        <v>904</v>
      </c>
      <c r="AE267" t="s">
        <v>457</v>
      </c>
      <c r="AF267">
        <v>21.42</v>
      </c>
      <c r="AG267">
        <v>30</v>
      </c>
      <c r="AH267">
        <v>65.17</v>
      </c>
      <c r="AJ267" s="86" t="str">
        <f t="shared" si="56"/>
        <v>184214Lancamentos</v>
      </c>
      <c r="AK267">
        <v>184214</v>
      </c>
      <c r="AL267" t="s">
        <v>400</v>
      </c>
      <c r="AM267" t="s">
        <v>482</v>
      </c>
      <c r="AN267" t="s">
        <v>103</v>
      </c>
      <c r="AO267" t="s">
        <v>992</v>
      </c>
      <c r="AP267" t="s">
        <v>993</v>
      </c>
      <c r="AQ267" t="s">
        <v>953</v>
      </c>
      <c r="AR267">
        <v>0</v>
      </c>
      <c r="AS267">
        <v>18</v>
      </c>
      <c r="AT267">
        <v>58.61</v>
      </c>
      <c r="AV267" s="86" t="str">
        <f t="shared" si="57"/>
        <v>184217Lancamentos</v>
      </c>
      <c r="AW267">
        <v>184217</v>
      </c>
      <c r="AX267" t="s">
        <v>402</v>
      </c>
      <c r="AY267" t="s">
        <v>482</v>
      </c>
      <c r="AZ267" t="s">
        <v>103</v>
      </c>
      <c r="BA267" t="s">
        <v>1031</v>
      </c>
      <c r="BB267" t="s">
        <v>1032</v>
      </c>
      <c r="BC267" t="s">
        <v>953</v>
      </c>
      <c r="BD267">
        <v>0</v>
      </c>
      <c r="BE267">
        <v>18</v>
      </c>
      <c r="BF267">
        <v>56.05</v>
      </c>
      <c r="BH267" s="86" t="str">
        <f t="shared" si="58"/>
        <v>182638Lancamentos</v>
      </c>
      <c r="BI267">
        <v>182638</v>
      </c>
      <c r="BJ267" t="s">
        <v>399</v>
      </c>
      <c r="BK267" t="s">
        <v>36</v>
      </c>
      <c r="BL267" t="s">
        <v>103</v>
      </c>
      <c r="BM267" t="s">
        <v>1262</v>
      </c>
      <c r="BN267" t="s">
        <v>1263</v>
      </c>
      <c r="BO267" t="s">
        <v>953</v>
      </c>
      <c r="BP267">
        <v>18</v>
      </c>
      <c r="BQ267">
        <v>18</v>
      </c>
      <c r="BR267">
        <v>66.33</v>
      </c>
      <c r="BT267" s="86" t="str">
        <f t="shared" si="48"/>
        <v>169868Lancamentos</v>
      </c>
      <c r="BU267">
        <v>169868</v>
      </c>
      <c r="BV267" t="s">
        <v>396</v>
      </c>
      <c r="BW267" t="s">
        <v>1306</v>
      </c>
      <c r="BX267" t="s">
        <v>103</v>
      </c>
      <c r="BY267" t="s">
        <v>1339</v>
      </c>
      <c r="BZ267" t="s">
        <v>1340</v>
      </c>
      <c r="CA267" t="s">
        <v>953</v>
      </c>
      <c r="CB267">
        <v>0</v>
      </c>
      <c r="CC267">
        <v>18</v>
      </c>
      <c r="CD267">
        <v>74.73</v>
      </c>
      <c r="CF267" s="86" t="str">
        <f t="shared" si="49"/>
        <v>181619Lancamentos</v>
      </c>
      <c r="CG267">
        <v>181619</v>
      </c>
      <c r="CH267" t="s">
        <v>382</v>
      </c>
      <c r="CI267" t="s">
        <v>1004</v>
      </c>
      <c r="CJ267" t="s">
        <v>103</v>
      </c>
      <c r="CK267" t="s">
        <v>1503</v>
      </c>
      <c r="CL267" t="s">
        <v>1504</v>
      </c>
      <c r="CM267" t="s">
        <v>953</v>
      </c>
      <c r="CN267">
        <v>9</v>
      </c>
      <c r="CO267">
        <v>18</v>
      </c>
      <c r="CP267">
        <v>75</v>
      </c>
      <c r="CR267" s="86" t="str">
        <f t="shared" si="50"/>
        <v>181800Lancamentos</v>
      </c>
      <c r="CS267">
        <v>181800</v>
      </c>
      <c r="CT267" t="s">
        <v>348</v>
      </c>
      <c r="CU267" t="s">
        <v>477</v>
      </c>
      <c r="CV267" t="s">
        <v>103</v>
      </c>
      <c r="CW267" t="s">
        <v>1540</v>
      </c>
      <c r="CX267" t="s">
        <v>1541</v>
      </c>
      <c r="CY267" t="s">
        <v>953</v>
      </c>
      <c r="CZ267">
        <v>18</v>
      </c>
      <c r="DA267">
        <v>18</v>
      </c>
      <c r="DB267">
        <v>94.22</v>
      </c>
      <c r="DD267" s="86" t="str">
        <f t="shared" si="51"/>
        <v>182592Mix + Intocáveis SC Johnson</v>
      </c>
      <c r="DE267">
        <v>182592</v>
      </c>
      <c r="DF267" t="s">
        <v>398</v>
      </c>
      <c r="DG267" t="s">
        <v>482</v>
      </c>
      <c r="DH267" t="s">
        <v>103</v>
      </c>
      <c r="DI267" t="s">
        <v>1728</v>
      </c>
      <c r="DJ267" t="s">
        <v>1729</v>
      </c>
      <c r="DK267" t="s">
        <v>459</v>
      </c>
      <c r="DL267">
        <v>29.6</v>
      </c>
      <c r="DM267">
        <v>40</v>
      </c>
      <c r="DN267">
        <v>69.69</v>
      </c>
      <c r="DP267" s="86" t="str">
        <f t="shared" si="52"/>
        <v>182592Mix + Intocáveis SC Johnson</v>
      </c>
      <c r="DQ267">
        <v>182592</v>
      </c>
      <c r="DR267" t="s">
        <v>398</v>
      </c>
      <c r="DS267" t="s">
        <v>482</v>
      </c>
      <c r="DT267" t="s">
        <v>103</v>
      </c>
      <c r="DU267" t="s">
        <v>1852</v>
      </c>
      <c r="DV267" t="s">
        <v>1853</v>
      </c>
      <c r="DW267" t="s">
        <v>459</v>
      </c>
      <c r="DX267">
        <v>32.799999999999997</v>
      </c>
      <c r="DY267">
        <v>40</v>
      </c>
      <c r="DZ267">
        <v>94.22</v>
      </c>
    </row>
    <row r="268" spans="1:130" x14ac:dyDescent="0.35">
      <c r="A268" s="86" t="str">
        <f t="shared" si="53"/>
        <v>184217Share Sub Category SC Johnson</v>
      </c>
      <c r="B268">
        <v>184217</v>
      </c>
      <c r="C268" t="s">
        <v>402</v>
      </c>
      <c r="D268" t="s">
        <v>103</v>
      </c>
      <c r="E268" t="s">
        <v>598</v>
      </c>
      <c r="F268" t="s">
        <v>599</v>
      </c>
      <c r="G268" t="s">
        <v>457</v>
      </c>
      <c r="H268">
        <v>60.84</v>
      </c>
      <c r="I268">
        <v>21.42</v>
      </c>
      <c r="J268">
        <v>30</v>
      </c>
      <c r="L268" s="86" t="str">
        <f t="shared" si="54"/>
        <v>184604Cross Merchan SC Johnson</v>
      </c>
      <c r="M268">
        <v>184604</v>
      </c>
      <c r="N268" t="s">
        <v>367</v>
      </c>
      <c r="O268" t="s">
        <v>539</v>
      </c>
      <c r="P268" t="s">
        <v>103</v>
      </c>
      <c r="Q268" t="s">
        <v>748</v>
      </c>
      <c r="R268" t="s">
        <v>749</v>
      </c>
      <c r="S268" t="s">
        <v>111</v>
      </c>
      <c r="T268">
        <v>0</v>
      </c>
      <c r="U268">
        <v>8</v>
      </c>
      <c r="V268">
        <v>44.9</v>
      </c>
      <c r="X268" s="86" t="str">
        <f t="shared" si="55"/>
        <v>184221Cross Merchan SC Johnson</v>
      </c>
      <c r="Y268">
        <v>184221</v>
      </c>
      <c r="Z268" t="s">
        <v>403</v>
      </c>
      <c r="AA268" t="s">
        <v>482</v>
      </c>
      <c r="AB268" t="s">
        <v>103</v>
      </c>
      <c r="AC268" t="s">
        <v>903</v>
      </c>
      <c r="AD268" t="s">
        <v>904</v>
      </c>
      <c r="AE268" t="s">
        <v>111</v>
      </c>
      <c r="AF268">
        <v>8</v>
      </c>
      <c r="AG268">
        <v>8</v>
      </c>
      <c r="AH268">
        <v>65.17</v>
      </c>
      <c r="AJ268" s="86" t="str">
        <f t="shared" si="56"/>
        <v>184215Share Sub Category SC Johnson</v>
      </c>
      <c r="AK268">
        <v>184215</v>
      </c>
      <c r="AL268" t="s">
        <v>401</v>
      </c>
      <c r="AM268" t="s">
        <v>482</v>
      </c>
      <c r="AN268" t="s">
        <v>103</v>
      </c>
      <c r="AO268" t="s">
        <v>1021</v>
      </c>
      <c r="AP268" t="s">
        <v>1022</v>
      </c>
      <c r="AQ268" t="s">
        <v>457</v>
      </c>
      <c r="AR268">
        <v>21.425000000000001</v>
      </c>
      <c r="AS268">
        <v>25</v>
      </c>
      <c r="AT268">
        <v>51.28</v>
      </c>
      <c r="AV268" s="86" t="str">
        <f t="shared" si="57"/>
        <v>184221Share Sub Category SC Johnson</v>
      </c>
      <c r="AW268">
        <v>184221</v>
      </c>
      <c r="AX268" t="s">
        <v>403</v>
      </c>
      <c r="AY268" t="s">
        <v>482</v>
      </c>
      <c r="AZ268" t="s">
        <v>103</v>
      </c>
      <c r="BA268" t="s">
        <v>1143</v>
      </c>
      <c r="BB268" t="s">
        <v>1144</v>
      </c>
      <c r="BC268" t="s">
        <v>457</v>
      </c>
      <c r="BD268">
        <v>21.425000000000001</v>
      </c>
      <c r="BE268">
        <v>25</v>
      </c>
      <c r="BF268">
        <v>83.08</v>
      </c>
      <c r="BH268" s="86" t="str">
        <f t="shared" si="58"/>
        <v>182640Share Sub Category SC Johnson</v>
      </c>
      <c r="BI268">
        <v>182640</v>
      </c>
      <c r="BJ268" t="s">
        <v>351</v>
      </c>
      <c r="BK268" t="s">
        <v>36</v>
      </c>
      <c r="BL268" t="s">
        <v>103</v>
      </c>
      <c r="BM268" t="s">
        <v>1239</v>
      </c>
      <c r="BN268" t="s">
        <v>1240</v>
      </c>
      <c r="BO268" t="s">
        <v>457</v>
      </c>
      <c r="BP268">
        <v>21.425000000000001</v>
      </c>
      <c r="BQ268">
        <v>25</v>
      </c>
      <c r="BR268">
        <v>82.6</v>
      </c>
      <c r="BT268" s="86" t="str">
        <f t="shared" si="48"/>
        <v>169868Mix + Intocáveis SC Johnson</v>
      </c>
      <c r="BU268">
        <v>169868</v>
      </c>
      <c r="BV268" t="s">
        <v>396</v>
      </c>
      <c r="BW268" t="s">
        <v>1306</v>
      </c>
      <c r="BX268" t="s">
        <v>103</v>
      </c>
      <c r="BY268" t="s">
        <v>1339</v>
      </c>
      <c r="BZ268" t="s">
        <v>1340</v>
      </c>
      <c r="CA268" t="s">
        <v>459</v>
      </c>
      <c r="CB268">
        <v>34.4</v>
      </c>
      <c r="CC268">
        <v>40</v>
      </c>
      <c r="CD268">
        <v>74.73</v>
      </c>
      <c r="CF268" s="86" t="str">
        <f t="shared" si="49"/>
        <v>181619Mix + Intocáveis SC Johnson</v>
      </c>
      <c r="CG268">
        <v>181619</v>
      </c>
      <c r="CH268" t="s">
        <v>382</v>
      </c>
      <c r="CI268" t="s">
        <v>1004</v>
      </c>
      <c r="CJ268" t="s">
        <v>103</v>
      </c>
      <c r="CK268" t="s">
        <v>1503</v>
      </c>
      <c r="CL268" t="s">
        <v>1504</v>
      </c>
      <c r="CM268" t="s">
        <v>459</v>
      </c>
      <c r="CN268">
        <v>28</v>
      </c>
      <c r="CO268">
        <v>40</v>
      </c>
      <c r="CP268">
        <v>75</v>
      </c>
      <c r="CR268" s="86" t="str">
        <f t="shared" si="50"/>
        <v>181800Mix + Intocáveis SC Johnson</v>
      </c>
      <c r="CS268">
        <v>181800</v>
      </c>
      <c r="CT268" t="s">
        <v>348</v>
      </c>
      <c r="CU268" t="s">
        <v>477</v>
      </c>
      <c r="CV268" t="s">
        <v>103</v>
      </c>
      <c r="CW268" t="s">
        <v>1540</v>
      </c>
      <c r="CX268" t="s">
        <v>1541</v>
      </c>
      <c r="CY268" t="s">
        <v>459</v>
      </c>
      <c r="CZ268">
        <v>32.799999999999997</v>
      </c>
      <c r="DA268">
        <v>40</v>
      </c>
      <c r="DB268">
        <v>94.22</v>
      </c>
      <c r="DD268" s="86" t="str">
        <f t="shared" si="51"/>
        <v>182592Execucao Bonus</v>
      </c>
      <c r="DE268">
        <v>182592</v>
      </c>
      <c r="DF268" t="s">
        <v>398</v>
      </c>
      <c r="DG268" t="s">
        <v>482</v>
      </c>
      <c r="DH268" t="s">
        <v>103</v>
      </c>
      <c r="DI268" t="s">
        <v>1728</v>
      </c>
      <c r="DJ268" t="s">
        <v>1729</v>
      </c>
      <c r="DK268" t="s">
        <v>1291</v>
      </c>
      <c r="DL268">
        <v>5</v>
      </c>
      <c r="DM268">
        <v>5</v>
      </c>
      <c r="DN268">
        <v>69.69</v>
      </c>
      <c r="DP268" s="86" t="str">
        <f t="shared" si="52"/>
        <v>182592Execucao Bonus</v>
      </c>
      <c r="DQ268">
        <v>182592</v>
      </c>
      <c r="DR268" t="s">
        <v>398</v>
      </c>
      <c r="DS268" t="s">
        <v>482</v>
      </c>
      <c r="DT268" t="s">
        <v>103</v>
      </c>
      <c r="DU268" t="s">
        <v>1852</v>
      </c>
      <c r="DV268" t="s">
        <v>1853</v>
      </c>
      <c r="DW268" t="s">
        <v>1291</v>
      </c>
      <c r="DX268">
        <v>5</v>
      </c>
      <c r="DY268">
        <v>5</v>
      </c>
      <c r="DZ268">
        <v>94.22</v>
      </c>
    </row>
    <row r="269" spans="1:130" x14ac:dyDescent="0.35">
      <c r="A269" s="86" t="str">
        <f t="shared" si="53"/>
        <v>184217Cross Merchan SC Johnson</v>
      </c>
      <c r="B269">
        <v>184217</v>
      </c>
      <c r="C269" t="s">
        <v>402</v>
      </c>
      <c r="D269" t="s">
        <v>103</v>
      </c>
      <c r="E269" t="s">
        <v>598</v>
      </c>
      <c r="F269" t="s">
        <v>599</v>
      </c>
      <c r="G269" t="s">
        <v>111</v>
      </c>
      <c r="H269">
        <v>60.84</v>
      </c>
      <c r="I269">
        <v>0</v>
      </c>
      <c r="J269">
        <v>8</v>
      </c>
      <c r="L269" s="86" t="str">
        <f t="shared" si="54"/>
        <v>184604Share Sub Loc Pao Quente SC Johnson</v>
      </c>
      <c r="M269">
        <v>184604</v>
      </c>
      <c r="N269" t="s">
        <v>367</v>
      </c>
      <c r="O269" t="s">
        <v>539</v>
      </c>
      <c r="P269" t="s">
        <v>103</v>
      </c>
      <c r="Q269" t="s">
        <v>748</v>
      </c>
      <c r="R269" t="s">
        <v>749</v>
      </c>
      <c r="S269" t="s">
        <v>458</v>
      </c>
      <c r="T269">
        <v>8.5</v>
      </c>
      <c r="U269">
        <v>17</v>
      </c>
      <c r="V269">
        <v>44.9</v>
      </c>
      <c r="X269" s="86" t="str">
        <f t="shared" si="55"/>
        <v>184221Share Sub Loc Pao Quente SC Johnson</v>
      </c>
      <c r="Y269">
        <v>184221</v>
      </c>
      <c r="Z269" t="s">
        <v>403</v>
      </c>
      <c r="AA269" t="s">
        <v>482</v>
      </c>
      <c r="AB269" t="s">
        <v>103</v>
      </c>
      <c r="AC269" t="s">
        <v>903</v>
      </c>
      <c r="AD269" t="s">
        <v>904</v>
      </c>
      <c r="AE269" t="s">
        <v>458</v>
      </c>
      <c r="AF269">
        <v>4.25</v>
      </c>
      <c r="AG269">
        <v>17</v>
      </c>
      <c r="AH269">
        <v>65.17</v>
      </c>
      <c r="AJ269" s="86" t="str">
        <f t="shared" si="56"/>
        <v>184215Cross Merchan SC Johnson</v>
      </c>
      <c r="AK269">
        <v>184215</v>
      </c>
      <c r="AL269" t="s">
        <v>401</v>
      </c>
      <c r="AM269" t="s">
        <v>482</v>
      </c>
      <c r="AN269" t="s">
        <v>103</v>
      </c>
      <c r="AO269" t="s">
        <v>1021</v>
      </c>
      <c r="AP269" t="s">
        <v>1022</v>
      </c>
      <c r="AQ269" t="s">
        <v>111</v>
      </c>
      <c r="AR269">
        <v>2.5</v>
      </c>
      <c r="AS269">
        <v>5</v>
      </c>
      <c r="AT269">
        <v>51.28</v>
      </c>
      <c r="AV269" s="86" t="str">
        <f t="shared" si="57"/>
        <v>184221Cross Merchan SC Johnson</v>
      </c>
      <c r="AW269">
        <v>184221</v>
      </c>
      <c r="AX269" t="s">
        <v>403</v>
      </c>
      <c r="AY269" t="s">
        <v>482</v>
      </c>
      <c r="AZ269" t="s">
        <v>103</v>
      </c>
      <c r="BA269" t="s">
        <v>1143</v>
      </c>
      <c r="BB269" t="s">
        <v>1144</v>
      </c>
      <c r="BC269" t="s">
        <v>111</v>
      </c>
      <c r="BD269">
        <v>3.335</v>
      </c>
      <c r="BE269">
        <v>5</v>
      </c>
      <c r="BF269">
        <v>83.08</v>
      </c>
      <c r="BH269" s="86" t="str">
        <f t="shared" si="58"/>
        <v>182640Cross Merchan SC Johnson</v>
      </c>
      <c r="BI269">
        <v>182640</v>
      </c>
      <c r="BJ269" t="s">
        <v>351</v>
      </c>
      <c r="BK269" t="s">
        <v>36</v>
      </c>
      <c r="BL269" t="s">
        <v>103</v>
      </c>
      <c r="BM269" t="s">
        <v>1239</v>
      </c>
      <c r="BN269" t="s">
        <v>1240</v>
      </c>
      <c r="BO269" t="s">
        <v>111</v>
      </c>
      <c r="BP269">
        <v>3.335</v>
      </c>
      <c r="BQ269">
        <v>5</v>
      </c>
      <c r="BR269">
        <v>82.6</v>
      </c>
      <c r="BT269" s="86" t="str">
        <f t="shared" si="48"/>
        <v>169868Share Sub Category SC Johnson</v>
      </c>
      <c r="BU269">
        <v>169868</v>
      </c>
      <c r="BV269" t="s">
        <v>396</v>
      </c>
      <c r="BW269" t="s">
        <v>1306</v>
      </c>
      <c r="BX269" t="s">
        <v>103</v>
      </c>
      <c r="BY269" t="s">
        <v>1339</v>
      </c>
      <c r="BZ269" t="s">
        <v>1340</v>
      </c>
      <c r="CA269" t="s">
        <v>457</v>
      </c>
      <c r="CB269">
        <v>25</v>
      </c>
      <c r="CC269">
        <v>25</v>
      </c>
      <c r="CD269">
        <v>74.73</v>
      </c>
      <c r="CF269" s="86" t="str">
        <f t="shared" si="49"/>
        <v>181619Share Sub Category SC Johnson</v>
      </c>
      <c r="CG269">
        <v>181619</v>
      </c>
      <c r="CH269" t="s">
        <v>382</v>
      </c>
      <c r="CI269" t="s">
        <v>1004</v>
      </c>
      <c r="CJ269" t="s">
        <v>103</v>
      </c>
      <c r="CK269" t="s">
        <v>1503</v>
      </c>
      <c r="CL269" t="s">
        <v>1504</v>
      </c>
      <c r="CM269" t="s">
        <v>457</v>
      </c>
      <c r="CN269">
        <v>25</v>
      </c>
      <c r="CO269">
        <v>25</v>
      </c>
      <c r="CP269">
        <v>75</v>
      </c>
      <c r="CR269" s="86" t="str">
        <f t="shared" si="50"/>
        <v>181800Share Sub Category SC Johnson</v>
      </c>
      <c r="CS269">
        <v>181800</v>
      </c>
      <c r="CT269" t="s">
        <v>348</v>
      </c>
      <c r="CU269" t="s">
        <v>477</v>
      </c>
      <c r="CV269" t="s">
        <v>103</v>
      </c>
      <c r="CW269" t="s">
        <v>1540</v>
      </c>
      <c r="CX269" t="s">
        <v>1541</v>
      </c>
      <c r="CY269" t="s">
        <v>457</v>
      </c>
      <c r="CZ269">
        <v>21.425000000000001</v>
      </c>
      <c r="DA269">
        <v>25</v>
      </c>
      <c r="DB269">
        <v>94.22</v>
      </c>
      <c r="DD269" s="86" t="str">
        <f t="shared" si="51"/>
        <v>182592Cross Merchan SC Johnson</v>
      </c>
      <c r="DE269">
        <v>182592</v>
      </c>
      <c r="DF269" t="s">
        <v>398</v>
      </c>
      <c r="DG269" t="s">
        <v>482</v>
      </c>
      <c r="DH269" t="s">
        <v>103</v>
      </c>
      <c r="DI269" t="s">
        <v>1728</v>
      </c>
      <c r="DJ269" t="s">
        <v>1729</v>
      </c>
      <c r="DK269" t="s">
        <v>111</v>
      </c>
      <c r="DL269">
        <v>1.665</v>
      </c>
      <c r="DM269">
        <v>5</v>
      </c>
      <c r="DN269">
        <v>69.69</v>
      </c>
      <c r="DP269" s="86" t="str">
        <f t="shared" si="52"/>
        <v>182592Cross Merchan SC Johnson</v>
      </c>
      <c r="DQ269">
        <v>182592</v>
      </c>
      <c r="DR269" t="s">
        <v>398</v>
      </c>
      <c r="DS269" t="s">
        <v>482</v>
      </c>
      <c r="DT269" t="s">
        <v>103</v>
      </c>
      <c r="DU269" t="s">
        <v>1852</v>
      </c>
      <c r="DV269" t="s">
        <v>1853</v>
      </c>
      <c r="DW269" t="s">
        <v>111</v>
      </c>
      <c r="DX269">
        <v>5</v>
      </c>
      <c r="DY269">
        <v>5</v>
      </c>
      <c r="DZ269">
        <v>94.22</v>
      </c>
    </row>
    <row r="270" spans="1:130" x14ac:dyDescent="0.35">
      <c r="A270" s="86" t="str">
        <f t="shared" si="53"/>
        <v>184217Share Sub Loc Pao Quente SC Johnson</v>
      </c>
      <c r="B270">
        <v>184217</v>
      </c>
      <c r="C270" t="s">
        <v>402</v>
      </c>
      <c r="D270" t="s">
        <v>103</v>
      </c>
      <c r="E270" t="s">
        <v>598</v>
      </c>
      <c r="F270" t="s">
        <v>599</v>
      </c>
      <c r="G270" t="s">
        <v>458</v>
      </c>
      <c r="H270">
        <v>60.84</v>
      </c>
      <c r="I270">
        <v>6.8</v>
      </c>
      <c r="J270">
        <v>17</v>
      </c>
      <c r="L270" s="86" t="str">
        <f t="shared" si="54"/>
        <v>184604Mix + Intocáveis SC Johnson</v>
      </c>
      <c r="M270">
        <v>184604</v>
      </c>
      <c r="N270" t="s">
        <v>367</v>
      </c>
      <c r="O270" t="s">
        <v>539</v>
      </c>
      <c r="P270" t="s">
        <v>103</v>
      </c>
      <c r="Q270" t="s">
        <v>748</v>
      </c>
      <c r="R270" t="s">
        <v>749</v>
      </c>
      <c r="S270" t="s">
        <v>459</v>
      </c>
      <c r="T270">
        <v>10.6875</v>
      </c>
      <c r="U270">
        <v>45</v>
      </c>
      <c r="V270">
        <v>44.9</v>
      </c>
      <c r="X270" s="86" t="str">
        <f t="shared" si="55"/>
        <v>184221Mix + Intocáveis SC Johnson</v>
      </c>
      <c r="Y270">
        <v>184221</v>
      </c>
      <c r="Z270" t="s">
        <v>403</v>
      </c>
      <c r="AA270" t="s">
        <v>482</v>
      </c>
      <c r="AB270" t="s">
        <v>103</v>
      </c>
      <c r="AC270" t="s">
        <v>903</v>
      </c>
      <c r="AD270" t="s">
        <v>904</v>
      </c>
      <c r="AE270" t="s">
        <v>459</v>
      </c>
      <c r="AF270">
        <v>31.5</v>
      </c>
      <c r="AG270">
        <v>45</v>
      </c>
      <c r="AH270">
        <v>65.17</v>
      </c>
      <c r="AJ270" s="86" t="str">
        <f t="shared" si="56"/>
        <v>184215Share Sub Loc Pao Quente SC Johnson</v>
      </c>
      <c r="AK270">
        <v>184215</v>
      </c>
      <c r="AL270" t="s">
        <v>401</v>
      </c>
      <c r="AM270" t="s">
        <v>482</v>
      </c>
      <c r="AN270" t="s">
        <v>103</v>
      </c>
      <c r="AO270" t="s">
        <v>1021</v>
      </c>
      <c r="AP270" t="s">
        <v>1022</v>
      </c>
      <c r="AQ270" t="s">
        <v>458</v>
      </c>
      <c r="AR270">
        <v>3</v>
      </c>
      <c r="AS270">
        <v>12</v>
      </c>
      <c r="AT270">
        <v>51.28</v>
      </c>
      <c r="AV270" s="86" t="str">
        <f t="shared" si="57"/>
        <v>184221Share Sub Loc Pao Quente SC Johnson</v>
      </c>
      <c r="AW270">
        <v>184221</v>
      </c>
      <c r="AX270" t="s">
        <v>403</v>
      </c>
      <c r="AY270" t="s">
        <v>482</v>
      </c>
      <c r="AZ270" t="s">
        <v>103</v>
      </c>
      <c r="BA270" t="s">
        <v>1143</v>
      </c>
      <c r="BB270" t="s">
        <v>1144</v>
      </c>
      <c r="BC270" t="s">
        <v>458</v>
      </c>
      <c r="BD270">
        <v>9</v>
      </c>
      <c r="BE270">
        <v>12</v>
      </c>
      <c r="BF270">
        <v>83.08</v>
      </c>
      <c r="BH270" s="86" t="str">
        <f t="shared" si="58"/>
        <v>182640Share Sub Loc Pao Quente SC Johnson</v>
      </c>
      <c r="BI270">
        <v>182640</v>
      </c>
      <c r="BJ270" t="s">
        <v>351</v>
      </c>
      <c r="BK270" t="s">
        <v>36</v>
      </c>
      <c r="BL270" t="s">
        <v>103</v>
      </c>
      <c r="BM270" t="s">
        <v>1239</v>
      </c>
      <c r="BN270" t="s">
        <v>1240</v>
      </c>
      <c r="BO270" t="s">
        <v>458</v>
      </c>
      <c r="BP270">
        <v>12</v>
      </c>
      <c r="BQ270">
        <v>12</v>
      </c>
      <c r="BR270">
        <v>82.6</v>
      </c>
      <c r="BT270" s="86" t="str">
        <f t="shared" si="48"/>
        <v>169868Share Sub Loc Pao Quente SC Johnson</v>
      </c>
      <c r="BU270">
        <v>169868</v>
      </c>
      <c r="BV270" t="s">
        <v>396</v>
      </c>
      <c r="BW270" t="s">
        <v>1306</v>
      </c>
      <c r="BX270" t="s">
        <v>103</v>
      </c>
      <c r="BY270" t="s">
        <v>1339</v>
      </c>
      <c r="BZ270" t="s">
        <v>1340</v>
      </c>
      <c r="CA270" t="s">
        <v>458</v>
      </c>
      <c r="CB270">
        <v>12</v>
      </c>
      <c r="CC270">
        <v>12</v>
      </c>
      <c r="CD270">
        <v>74.73</v>
      </c>
      <c r="CF270" s="86" t="str">
        <f t="shared" si="49"/>
        <v>181619Share Sub Loc Pao Quente SC Johnson</v>
      </c>
      <c r="CG270">
        <v>181619</v>
      </c>
      <c r="CH270" t="s">
        <v>382</v>
      </c>
      <c r="CI270" t="s">
        <v>1004</v>
      </c>
      <c r="CJ270" t="s">
        <v>103</v>
      </c>
      <c r="CK270" t="s">
        <v>1503</v>
      </c>
      <c r="CL270" t="s">
        <v>1504</v>
      </c>
      <c r="CM270" t="s">
        <v>458</v>
      </c>
      <c r="CN270">
        <v>3</v>
      </c>
      <c r="CO270">
        <v>12</v>
      </c>
      <c r="CP270">
        <v>75</v>
      </c>
      <c r="CR270" s="86" t="str">
        <f t="shared" si="50"/>
        <v>181800Share Sub Loc Pao Quente SC Johnson</v>
      </c>
      <c r="CS270">
        <v>181800</v>
      </c>
      <c r="CT270" t="s">
        <v>348</v>
      </c>
      <c r="CU270" t="s">
        <v>477</v>
      </c>
      <c r="CV270" t="s">
        <v>103</v>
      </c>
      <c r="CW270" t="s">
        <v>1540</v>
      </c>
      <c r="CX270" t="s">
        <v>1541</v>
      </c>
      <c r="CY270" t="s">
        <v>458</v>
      </c>
      <c r="CZ270">
        <v>12</v>
      </c>
      <c r="DA270">
        <v>12</v>
      </c>
      <c r="DB270">
        <v>94.22</v>
      </c>
      <c r="DD270" s="86" t="str">
        <f t="shared" si="51"/>
        <v>182592Lancamentos</v>
      </c>
      <c r="DE270">
        <v>182592</v>
      </c>
      <c r="DF270" t="s">
        <v>398</v>
      </c>
      <c r="DG270" t="s">
        <v>482</v>
      </c>
      <c r="DH270" t="s">
        <v>103</v>
      </c>
      <c r="DI270" t="s">
        <v>1728</v>
      </c>
      <c r="DJ270" t="s">
        <v>1729</v>
      </c>
      <c r="DK270" t="s">
        <v>953</v>
      </c>
      <c r="DL270">
        <v>0</v>
      </c>
      <c r="DM270">
        <v>18</v>
      </c>
      <c r="DN270">
        <v>69.69</v>
      </c>
      <c r="DP270" s="86" t="str">
        <f t="shared" si="52"/>
        <v>182592Lancamentos</v>
      </c>
      <c r="DQ270">
        <v>182592</v>
      </c>
      <c r="DR270" t="s">
        <v>398</v>
      </c>
      <c r="DS270" t="s">
        <v>482</v>
      </c>
      <c r="DT270" t="s">
        <v>103</v>
      </c>
      <c r="DU270" t="s">
        <v>1852</v>
      </c>
      <c r="DV270" t="s">
        <v>1853</v>
      </c>
      <c r="DW270" t="s">
        <v>953</v>
      </c>
      <c r="DX270">
        <v>18</v>
      </c>
      <c r="DY270">
        <v>18</v>
      </c>
      <c r="DZ270">
        <v>94.22</v>
      </c>
    </row>
    <row r="271" spans="1:130" x14ac:dyDescent="0.35">
      <c r="A271" s="86" t="str">
        <f t="shared" si="53"/>
        <v>184217Mix + Intocáveis SC Johnson</v>
      </c>
      <c r="B271">
        <v>184217</v>
      </c>
      <c r="C271" t="s">
        <v>402</v>
      </c>
      <c r="D271" t="s">
        <v>103</v>
      </c>
      <c r="E271" t="s">
        <v>598</v>
      </c>
      <c r="F271" t="s">
        <v>599</v>
      </c>
      <c r="G271" t="s">
        <v>459</v>
      </c>
      <c r="H271">
        <v>60.84</v>
      </c>
      <c r="I271">
        <v>32.625</v>
      </c>
      <c r="J271">
        <v>45</v>
      </c>
      <c r="L271" s="86" t="str">
        <f t="shared" si="54"/>
        <v>184994Share Sub Category SC Johnson</v>
      </c>
      <c r="M271">
        <v>184994</v>
      </c>
      <c r="N271" t="s">
        <v>353</v>
      </c>
      <c r="O271" t="s">
        <v>104</v>
      </c>
      <c r="P271" t="s">
        <v>103</v>
      </c>
      <c r="Q271" t="s">
        <v>750</v>
      </c>
      <c r="R271" t="s">
        <v>751</v>
      </c>
      <c r="S271" t="s">
        <v>457</v>
      </c>
      <c r="T271">
        <v>25.71</v>
      </c>
      <c r="U271">
        <v>30</v>
      </c>
      <c r="V271">
        <v>80.209999999999994</v>
      </c>
      <c r="X271" s="86" t="str">
        <f t="shared" si="55"/>
        <v>184335Share Sub Category SC Johnson</v>
      </c>
      <c r="Y271">
        <v>184335</v>
      </c>
      <c r="Z271" t="s">
        <v>404</v>
      </c>
      <c r="AA271" t="s">
        <v>104</v>
      </c>
      <c r="AB271" t="s">
        <v>103</v>
      </c>
      <c r="AC271" t="s">
        <v>843</v>
      </c>
      <c r="AD271" t="s">
        <v>844</v>
      </c>
      <c r="AE271" t="s">
        <v>457</v>
      </c>
      <c r="AF271">
        <v>30</v>
      </c>
      <c r="AG271">
        <v>30</v>
      </c>
      <c r="AH271">
        <v>80.88</v>
      </c>
      <c r="AJ271" s="86" t="str">
        <f t="shared" si="56"/>
        <v>184215Mix + Intocáveis SC Johnson</v>
      </c>
      <c r="AK271">
        <v>184215</v>
      </c>
      <c r="AL271" t="s">
        <v>401</v>
      </c>
      <c r="AM271" t="s">
        <v>482</v>
      </c>
      <c r="AN271" t="s">
        <v>103</v>
      </c>
      <c r="AO271" t="s">
        <v>1021</v>
      </c>
      <c r="AP271" t="s">
        <v>1022</v>
      </c>
      <c r="AQ271" t="s">
        <v>459</v>
      </c>
      <c r="AR271">
        <v>24.36</v>
      </c>
      <c r="AS271">
        <v>40</v>
      </c>
      <c r="AT271">
        <v>51.28</v>
      </c>
      <c r="AV271" s="86" t="str">
        <f t="shared" si="57"/>
        <v>184221Mix + Intocáveis SC Johnson</v>
      </c>
      <c r="AW271">
        <v>184221</v>
      </c>
      <c r="AX271" t="s">
        <v>403</v>
      </c>
      <c r="AY271" t="s">
        <v>482</v>
      </c>
      <c r="AZ271" t="s">
        <v>103</v>
      </c>
      <c r="BA271" t="s">
        <v>1143</v>
      </c>
      <c r="BB271" t="s">
        <v>1144</v>
      </c>
      <c r="BC271" t="s">
        <v>459</v>
      </c>
      <c r="BD271">
        <v>31.32</v>
      </c>
      <c r="BE271">
        <v>40</v>
      </c>
      <c r="BF271">
        <v>83.08</v>
      </c>
      <c r="BH271" s="86" t="str">
        <f t="shared" si="58"/>
        <v>182640Mix + Intocáveis SC Johnson</v>
      </c>
      <c r="BI271">
        <v>182640</v>
      </c>
      <c r="BJ271" t="s">
        <v>351</v>
      </c>
      <c r="BK271" t="s">
        <v>36</v>
      </c>
      <c r="BL271" t="s">
        <v>103</v>
      </c>
      <c r="BM271" t="s">
        <v>1239</v>
      </c>
      <c r="BN271" t="s">
        <v>1240</v>
      </c>
      <c r="BO271" t="s">
        <v>459</v>
      </c>
      <c r="BP271">
        <v>27.84</v>
      </c>
      <c r="BQ271">
        <v>40</v>
      </c>
      <c r="BR271">
        <v>82.6</v>
      </c>
      <c r="BT271" s="86" t="str">
        <f t="shared" si="48"/>
        <v>169868Cross Merchan SC Johnson</v>
      </c>
      <c r="BU271">
        <v>169868</v>
      </c>
      <c r="BV271" t="s">
        <v>396</v>
      </c>
      <c r="BW271" t="s">
        <v>1306</v>
      </c>
      <c r="BX271" t="s">
        <v>103</v>
      </c>
      <c r="BY271" t="s">
        <v>1339</v>
      </c>
      <c r="BZ271" t="s">
        <v>1340</v>
      </c>
      <c r="CA271" t="s">
        <v>111</v>
      </c>
      <c r="CB271">
        <v>3.335</v>
      </c>
      <c r="CC271">
        <v>5</v>
      </c>
      <c r="CD271">
        <v>74.73</v>
      </c>
      <c r="CF271" s="86" t="str">
        <f t="shared" si="49"/>
        <v>181619Cross Merchan SC Johnson</v>
      </c>
      <c r="CG271">
        <v>181619</v>
      </c>
      <c r="CH271" t="s">
        <v>382</v>
      </c>
      <c r="CI271" t="s">
        <v>1004</v>
      </c>
      <c r="CJ271" t="s">
        <v>103</v>
      </c>
      <c r="CK271" t="s">
        <v>1503</v>
      </c>
      <c r="CL271" t="s">
        <v>1504</v>
      </c>
      <c r="CM271" t="s">
        <v>111</v>
      </c>
      <c r="CN271">
        <v>5</v>
      </c>
      <c r="CO271">
        <v>5</v>
      </c>
      <c r="CP271">
        <v>75</v>
      </c>
      <c r="CR271" s="86" t="str">
        <f t="shared" si="50"/>
        <v>181800Cross Merchan SC Johnson</v>
      </c>
      <c r="CS271">
        <v>181800</v>
      </c>
      <c r="CT271" t="s">
        <v>348</v>
      </c>
      <c r="CU271" t="s">
        <v>477</v>
      </c>
      <c r="CV271" t="s">
        <v>103</v>
      </c>
      <c r="CW271" t="s">
        <v>1540</v>
      </c>
      <c r="CX271" t="s">
        <v>1541</v>
      </c>
      <c r="CY271" t="s">
        <v>111</v>
      </c>
      <c r="CZ271">
        <v>5</v>
      </c>
      <c r="DA271">
        <v>5</v>
      </c>
      <c r="DB271">
        <v>94.22</v>
      </c>
      <c r="DD271" s="86" t="str">
        <f t="shared" si="51"/>
        <v>182592Share Sub Category SC Johnson</v>
      </c>
      <c r="DE271">
        <v>182592</v>
      </c>
      <c r="DF271" t="s">
        <v>398</v>
      </c>
      <c r="DG271" t="s">
        <v>482</v>
      </c>
      <c r="DH271" t="s">
        <v>103</v>
      </c>
      <c r="DI271" t="s">
        <v>1728</v>
      </c>
      <c r="DJ271" t="s">
        <v>1729</v>
      </c>
      <c r="DK271" t="s">
        <v>457</v>
      </c>
      <c r="DL271">
        <v>21.425000000000001</v>
      </c>
      <c r="DM271">
        <v>25</v>
      </c>
      <c r="DN271">
        <v>69.69</v>
      </c>
      <c r="DP271" s="86" t="str">
        <f t="shared" si="52"/>
        <v>182592Share Sub Category SC Johnson</v>
      </c>
      <c r="DQ271">
        <v>182592</v>
      </c>
      <c r="DR271" t="s">
        <v>398</v>
      </c>
      <c r="DS271" t="s">
        <v>482</v>
      </c>
      <c r="DT271" t="s">
        <v>103</v>
      </c>
      <c r="DU271" t="s">
        <v>1852</v>
      </c>
      <c r="DV271" t="s">
        <v>1853</v>
      </c>
      <c r="DW271" t="s">
        <v>457</v>
      </c>
      <c r="DX271">
        <v>21.425000000000001</v>
      </c>
      <c r="DY271">
        <v>25</v>
      </c>
      <c r="DZ271">
        <v>94.22</v>
      </c>
    </row>
    <row r="272" spans="1:130" x14ac:dyDescent="0.35">
      <c r="A272" s="86" t="str">
        <f t="shared" si="53"/>
        <v>184221Share Sub Category SC Johnson</v>
      </c>
      <c r="B272">
        <v>184221</v>
      </c>
      <c r="C272" t="s">
        <v>403</v>
      </c>
      <c r="D272" t="s">
        <v>103</v>
      </c>
      <c r="E272" t="s">
        <v>600</v>
      </c>
      <c r="F272" t="s">
        <v>601</v>
      </c>
      <c r="G272" t="s">
        <v>457</v>
      </c>
      <c r="H272">
        <v>65.14</v>
      </c>
      <c r="I272">
        <v>25.71</v>
      </c>
      <c r="J272">
        <v>30</v>
      </c>
      <c r="L272" s="86" t="str">
        <f t="shared" si="54"/>
        <v>184994Cross Merchan SC Johnson</v>
      </c>
      <c r="M272">
        <v>184994</v>
      </c>
      <c r="N272" t="s">
        <v>353</v>
      </c>
      <c r="O272" t="s">
        <v>104</v>
      </c>
      <c r="P272" t="s">
        <v>103</v>
      </c>
      <c r="Q272" t="s">
        <v>750</v>
      </c>
      <c r="R272" t="s">
        <v>751</v>
      </c>
      <c r="S272" t="s">
        <v>111</v>
      </c>
      <c r="T272">
        <v>8</v>
      </c>
      <c r="U272">
        <v>8</v>
      </c>
      <c r="V272">
        <v>80.209999999999994</v>
      </c>
      <c r="X272" s="86" t="str">
        <f t="shared" si="55"/>
        <v>184335Cross Merchan SC Johnson</v>
      </c>
      <c r="Y272">
        <v>184335</v>
      </c>
      <c r="Z272" t="s">
        <v>404</v>
      </c>
      <c r="AA272" t="s">
        <v>104</v>
      </c>
      <c r="AB272" t="s">
        <v>103</v>
      </c>
      <c r="AC272" t="s">
        <v>843</v>
      </c>
      <c r="AD272" t="s">
        <v>844</v>
      </c>
      <c r="AE272" t="s">
        <v>111</v>
      </c>
      <c r="AF272">
        <v>8</v>
      </c>
      <c r="AG272">
        <v>8</v>
      </c>
      <c r="AH272">
        <v>80.88</v>
      </c>
      <c r="AJ272" s="86" t="str">
        <f t="shared" si="56"/>
        <v>184215Lancamentos</v>
      </c>
      <c r="AK272">
        <v>184215</v>
      </c>
      <c r="AL272" t="s">
        <v>401</v>
      </c>
      <c r="AM272" t="s">
        <v>482</v>
      </c>
      <c r="AN272" t="s">
        <v>103</v>
      </c>
      <c r="AO272" t="s">
        <v>1021</v>
      </c>
      <c r="AP272" t="s">
        <v>1022</v>
      </c>
      <c r="AQ272" t="s">
        <v>953</v>
      </c>
      <c r="AR272">
        <v>0</v>
      </c>
      <c r="AS272">
        <v>18</v>
      </c>
      <c r="AT272">
        <v>51.28</v>
      </c>
      <c r="AV272" s="86" t="str">
        <f t="shared" si="57"/>
        <v>184221Lancamentos</v>
      </c>
      <c r="AW272">
        <v>184221</v>
      </c>
      <c r="AX272" t="s">
        <v>403</v>
      </c>
      <c r="AY272" t="s">
        <v>482</v>
      </c>
      <c r="AZ272" t="s">
        <v>103</v>
      </c>
      <c r="BA272" t="s">
        <v>1143</v>
      </c>
      <c r="BB272" t="s">
        <v>1144</v>
      </c>
      <c r="BC272" t="s">
        <v>953</v>
      </c>
      <c r="BD272">
        <v>18</v>
      </c>
      <c r="BE272">
        <v>18</v>
      </c>
      <c r="BF272">
        <v>83.08</v>
      </c>
      <c r="BH272" s="86" t="str">
        <f t="shared" si="58"/>
        <v>182640Lancamentos</v>
      </c>
      <c r="BI272">
        <v>182640</v>
      </c>
      <c r="BJ272" t="s">
        <v>351</v>
      </c>
      <c r="BK272" t="s">
        <v>36</v>
      </c>
      <c r="BL272" t="s">
        <v>103</v>
      </c>
      <c r="BM272" t="s">
        <v>1239</v>
      </c>
      <c r="BN272" t="s">
        <v>1240</v>
      </c>
      <c r="BO272" t="s">
        <v>953</v>
      </c>
      <c r="BP272">
        <v>18</v>
      </c>
      <c r="BQ272">
        <v>18</v>
      </c>
      <c r="BR272">
        <v>82.6</v>
      </c>
      <c r="BT272" s="86" t="str">
        <f t="shared" si="48"/>
        <v>169868Execucao Bonus</v>
      </c>
      <c r="BU272">
        <v>169868</v>
      </c>
      <c r="BV272" t="s">
        <v>396</v>
      </c>
      <c r="BW272" t="s">
        <v>1306</v>
      </c>
      <c r="BX272" t="s">
        <v>103</v>
      </c>
      <c r="BY272" t="s">
        <v>1339</v>
      </c>
      <c r="BZ272" t="s">
        <v>1340</v>
      </c>
      <c r="CA272" t="s">
        <v>1291</v>
      </c>
      <c r="CB272">
        <v>0</v>
      </c>
      <c r="CC272">
        <v>5</v>
      </c>
      <c r="CD272">
        <v>74.73</v>
      </c>
      <c r="CF272" s="86" t="str">
        <f t="shared" si="49"/>
        <v>181619Execucao Bonus</v>
      </c>
      <c r="CG272">
        <v>181619</v>
      </c>
      <c r="CH272" t="s">
        <v>382</v>
      </c>
      <c r="CI272" t="s">
        <v>1004</v>
      </c>
      <c r="CJ272" t="s">
        <v>103</v>
      </c>
      <c r="CK272" t="s">
        <v>1503</v>
      </c>
      <c r="CL272" t="s">
        <v>1504</v>
      </c>
      <c r="CM272" t="s">
        <v>1291</v>
      </c>
      <c r="CN272">
        <v>5</v>
      </c>
      <c r="CO272">
        <v>5</v>
      </c>
      <c r="CP272">
        <v>75</v>
      </c>
      <c r="CR272" s="86" t="str">
        <f t="shared" si="50"/>
        <v>181800Execucao Bonus</v>
      </c>
      <c r="CS272">
        <v>181800</v>
      </c>
      <c r="CT272" t="s">
        <v>348</v>
      </c>
      <c r="CU272" t="s">
        <v>477</v>
      </c>
      <c r="CV272" t="s">
        <v>103</v>
      </c>
      <c r="CW272" t="s">
        <v>1540</v>
      </c>
      <c r="CX272" t="s">
        <v>1541</v>
      </c>
      <c r="CY272" t="s">
        <v>1291</v>
      </c>
      <c r="CZ272">
        <v>5</v>
      </c>
      <c r="DA272">
        <v>5</v>
      </c>
      <c r="DB272">
        <v>94.22</v>
      </c>
      <c r="DD272" s="86" t="str">
        <f t="shared" si="51"/>
        <v>182592Share Sub Loc Pao Quente SC Johnson</v>
      </c>
      <c r="DE272">
        <v>182592</v>
      </c>
      <c r="DF272" t="s">
        <v>398</v>
      </c>
      <c r="DG272" t="s">
        <v>482</v>
      </c>
      <c r="DH272" t="s">
        <v>103</v>
      </c>
      <c r="DI272" t="s">
        <v>1728</v>
      </c>
      <c r="DJ272" t="s">
        <v>1729</v>
      </c>
      <c r="DK272" t="s">
        <v>458</v>
      </c>
      <c r="DL272">
        <v>12</v>
      </c>
      <c r="DM272">
        <v>12</v>
      </c>
      <c r="DN272">
        <v>69.69</v>
      </c>
      <c r="DP272" s="86" t="str">
        <f t="shared" si="52"/>
        <v>182592Share Sub Loc Pao Quente SC Johnson</v>
      </c>
      <c r="DQ272">
        <v>182592</v>
      </c>
      <c r="DR272" t="s">
        <v>398</v>
      </c>
      <c r="DS272" t="s">
        <v>482</v>
      </c>
      <c r="DT272" t="s">
        <v>103</v>
      </c>
      <c r="DU272" t="s">
        <v>1852</v>
      </c>
      <c r="DV272" t="s">
        <v>1853</v>
      </c>
      <c r="DW272" t="s">
        <v>458</v>
      </c>
      <c r="DX272">
        <v>12</v>
      </c>
      <c r="DY272">
        <v>12</v>
      </c>
      <c r="DZ272">
        <v>94.22</v>
      </c>
    </row>
    <row r="273" spans="1:130" x14ac:dyDescent="0.35">
      <c r="A273" s="86" t="str">
        <f t="shared" si="53"/>
        <v>184221Cross Merchan SC Johnson</v>
      </c>
      <c r="B273">
        <v>184221</v>
      </c>
      <c r="C273" t="s">
        <v>403</v>
      </c>
      <c r="D273" t="s">
        <v>103</v>
      </c>
      <c r="E273" t="s">
        <v>600</v>
      </c>
      <c r="F273" t="s">
        <v>601</v>
      </c>
      <c r="G273" t="s">
        <v>111</v>
      </c>
      <c r="H273">
        <v>65.14</v>
      </c>
      <c r="I273">
        <v>0</v>
      </c>
      <c r="J273">
        <v>8</v>
      </c>
      <c r="L273" s="86" t="str">
        <f t="shared" si="54"/>
        <v>184994Share Sub Loc Pao Quente SC Johnson</v>
      </c>
      <c r="M273">
        <v>184994</v>
      </c>
      <c r="N273" t="s">
        <v>353</v>
      </c>
      <c r="O273" t="s">
        <v>104</v>
      </c>
      <c r="P273" t="s">
        <v>103</v>
      </c>
      <c r="Q273" t="s">
        <v>750</v>
      </c>
      <c r="R273" t="s">
        <v>751</v>
      </c>
      <c r="S273" t="s">
        <v>458</v>
      </c>
      <c r="T273">
        <v>12.75</v>
      </c>
      <c r="U273">
        <v>17</v>
      </c>
      <c r="V273">
        <v>80.209999999999994</v>
      </c>
      <c r="X273" s="86" t="str">
        <f t="shared" si="55"/>
        <v>184335Share Sub Loc Pao Quente SC Johnson</v>
      </c>
      <c r="Y273">
        <v>184335</v>
      </c>
      <c r="Z273" t="s">
        <v>404</v>
      </c>
      <c r="AA273" t="s">
        <v>104</v>
      </c>
      <c r="AB273" t="s">
        <v>103</v>
      </c>
      <c r="AC273" t="s">
        <v>843</v>
      </c>
      <c r="AD273" t="s">
        <v>844</v>
      </c>
      <c r="AE273" t="s">
        <v>458</v>
      </c>
      <c r="AF273">
        <v>17</v>
      </c>
      <c r="AG273">
        <v>17</v>
      </c>
      <c r="AH273">
        <v>80.88</v>
      </c>
      <c r="AJ273" s="86" t="str">
        <f t="shared" si="56"/>
        <v>184335Share Sub Category SC Johnson</v>
      </c>
      <c r="AK273">
        <v>184335</v>
      </c>
      <c r="AL273" t="s">
        <v>404</v>
      </c>
      <c r="AM273" t="s">
        <v>104</v>
      </c>
      <c r="AN273" t="s">
        <v>103</v>
      </c>
      <c r="AO273" t="s">
        <v>1023</v>
      </c>
      <c r="AP273" t="s">
        <v>1024</v>
      </c>
      <c r="AQ273" t="s">
        <v>457</v>
      </c>
      <c r="AR273">
        <v>21.425000000000001</v>
      </c>
      <c r="AS273">
        <v>25</v>
      </c>
      <c r="AT273">
        <v>58.12</v>
      </c>
      <c r="AV273" s="86" t="str">
        <f t="shared" si="57"/>
        <v>184335Share Sub Category SC Johnson</v>
      </c>
      <c r="AW273">
        <v>184335</v>
      </c>
      <c r="AX273" t="s">
        <v>404</v>
      </c>
      <c r="AY273" t="s">
        <v>482</v>
      </c>
      <c r="AZ273" t="s">
        <v>103</v>
      </c>
      <c r="BA273" t="s">
        <v>1121</v>
      </c>
      <c r="BB273" t="s">
        <v>1122</v>
      </c>
      <c r="BC273" t="s">
        <v>457</v>
      </c>
      <c r="BD273">
        <v>21.425000000000001</v>
      </c>
      <c r="BE273">
        <v>25</v>
      </c>
      <c r="BF273">
        <v>57.69</v>
      </c>
      <c r="BH273" s="86" t="str">
        <f t="shared" si="58"/>
        <v>182641Share Sub Category SC Johnson</v>
      </c>
      <c r="BI273">
        <v>182641</v>
      </c>
      <c r="BJ273" t="s">
        <v>352</v>
      </c>
      <c r="BK273" t="s">
        <v>36</v>
      </c>
      <c r="BL273" t="s">
        <v>103</v>
      </c>
      <c r="BM273" t="s">
        <v>1213</v>
      </c>
      <c r="BN273" t="s">
        <v>1214</v>
      </c>
      <c r="BO273" t="s">
        <v>457</v>
      </c>
      <c r="BP273">
        <v>25</v>
      </c>
      <c r="BQ273">
        <v>25</v>
      </c>
      <c r="BR273">
        <v>71.55</v>
      </c>
      <c r="BT273" s="86" t="str">
        <f t="shared" si="48"/>
        <v>178205Lancamentos</v>
      </c>
      <c r="BU273">
        <v>178205</v>
      </c>
      <c r="BV273" t="s">
        <v>381</v>
      </c>
      <c r="BW273" t="s">
        <v>1345</v>
      </c>
      <c r="BX273" t="s">
        <v>103</v>
      </c>
      <c r="BY273" t="s">
        <v>1380</v>
      </c>
      <c r="BZ273" t="s">
        <v>1381</v>
      </c>
      <c r="CA273" t="s">
        <v>953</v>
      </c>
      <c r="CB273">
        <v>0</v>
      </c>
      <c r="CC273">
        <v>18</v>
      </c>
      <c r="CD273">
        <v>65.09</v>
      </c>
      <c r="CF273" s="86" t="str">
        <f t="shared" si="49"/>
        <v>181800Lancamentos</v>
      </c>
      <c r="CG273">
        <v>181800</v>
      </c>
      <c r="CH273" t="s">
        <v>348</v>
      </c>
      <c r="CI273" t="s">
        <v>477</v>
      </c>
      <c r="CJ273" t="s">
        <v>103</v>
      </c>
      <c r="CK273" t="s">
        <v>1477</v>
      </c>
      <c r="CL273" t="s">
        <v>1478</v>
      </c>
      <c r="CM273" t="s">
        <v>953</v>
      </c>
      <c r="CN273">
        <v>18</v>
      </c>
      <c r="CO273">
        <v>18</v>
      </c>
      <c r="CP273">
        <v>95.83</v>
      </c>
      <c r="CR273" s="86" t="str">
        <f t="shared" si="50"/>
        <v>182592Lancamentos</v>
      </c>
      <c r="CS273">
        <v>182592</v>
      </c>
      <c r="CT273" t="s">
        <v>398</v>
      </c>
      <c r="CU273" t="s">
        <v>482</v>
      </c>
      <c r="CV273" t="s">
        <v>103</v>
      </c>
      <c r="CW273" t="s">
        <v>1606</v>
      </c>
      <c r="CX273" t="s">
        <v>1607</v>
      </c>
      <c r="CY273" t="s">
        <v>953</v>
      </c>
      <c r="CZ273">
        <v>9</v>
      </c>
      <c r="DA273">
        <v>18</v>
      </c>
      <c r="DB273">
        <v>80.42</v>
      </c>
      <c r="DD273" s="86" t="str">
        <f t="shared" si="51"/>
        <v>182636Mix + Intocáveis SC Johnson</v>
      </c>
      <c r="DE273">
        <v>182636</v>
      </c>
      <c r="DF273" t="s">
        <v>349</v>
      </c>
      <c r="DG273" t="s">
        <v>1306</v>
      </c>
      <c r="DH273" t="s">
        <v>103</v>
      </c>
      <c r="DI273" t="s">
        <v>1750</v>
      </c>
      <c r="DJ273" t="s">
        <v>1751</v>
      </c>
      <c r="DK273" t="s">
        <v>459</v>
      </c>
      <c r="DL273">
        <v>36.799999999999997</v>
      </c>
      <c r="DM273">
        <v>40</v>
      </c>
      <c r="DN273">
        <v>98.23</v>
      </c>
      <c r="DP273" s="86" t="str">
        <f t="shared" si="52"/>
        <v>182637Mix + Intocáveis SC Johnson</v>
      </c>
      <c r="DQ273">
        <v>182637</v>
      </c>
      <c r="DR273" t="s">
        <v>366</v>
      </c>
      <c r="DS273" t="s">
        <v>1306</v>
      </c>
      <c r="DT273" t="s">
        <v>103</v>
      </c>
      <c r="DU273" t="s">
        <v>1824</v>
      </c>
      <c r="DV273" t="s">
        <v>1825</v>
      </c>
      <c r="DW273" t="s">
        <v>459</v>
      </c>
      <c r="DX273">
        <v>36.799999999999997</v>
      </c>
      <c r="DY273">
        <v>40</v>
      </c>
      <c r="DZ273">
        <v>89.23</v>
      </c>
    </row>
    <row r="274" spans="1:130" x14ac:dyDescent="0.35">
      <c r="A274" s="86" t="str">
        <f t="shared" si="53"/>
        <v>184221Share Sub Loc Pao Quente SC Johnson</v>
      </c>
      <c r="B274">
        <v>184221</v>
      </c>
      <c r="C274" t="s">
        <v>403</v>
      </c>
      <c r="D274" t="s">
        <v>103</v>
      </c>
      <c r="E274" t="s">
        <v>600</v>
      </c>
      <c r="F274" t="s">
        <v>601</v>
      </c>
      <c r="G274" t="s">
        <v>458</v>
      </c>
      <c r="H274">
        <v>65.14</v>
      </c>
      <c r="I274">
        <v>6.8</v>
      </c>
      <c r="J274">
        <v>17</v>
      </c>
      <c r="L274" s="86" t="str">
        <f t="shared" si="54"/>
        <v>184994Mix + Intocáveis SC Johnson</v>
      </c>
      <c r="M274">
        <v>184994</v>
      </c>
      <c r="N274" t="s">
        <v>353</v>
      </c>
      <c r="O274" t="s">
        <v>104</v>
      </c>
      <c r="P274" t="s">
        <v>103</v>
      </c>
      <c r="Q274" t="s">
        <v>750</v>
      </c>
      <c r="R274" t="s">
        <v>751</v>
      </c>
      <c r="S274" t="s">
        <v>459</v>
      </c>
      <c r="T274">
        <v>33.75</v>
      </c>
      <c r="U274">
        <v>45</v>
      </c>
      <c r="V274">
        <v>80.209999999999994</v>
      </c>
      <c r="X274" s="86" t="str">
        <f t="shared" si="55"/>
        <v>184335Mix + Intocáveis SC Johnson</v>
      </c>
      <c r="Y274">
        <v>184335</v>
      </c>
      <c r="Z274" t="s">
        <v>404</v>
      </c>
      <c r="AA274" t="s">
        <v>104</v>
      </c>
      <c r="AB274" t="s">
        <v>103</v>
      </c>
      <c r="AC274" t="s">
        <v>843</v>
      </c>
      <c r="AD274" t="s">
        <v>844</v>
      </c>
      <c r="AE274" t="s">
        <v>459</v>
      </c>
      <c r="AF274">
        <v>25.875</v>
      </c>
      <c r="AG274">
        <v>45</v>
      </c>
      <c r="AH274">
        <v>80.88</v>
      </c>
      <c r="AJ274" s="86" t="str">
        <f t="shared" si="56"/>
        <v>184335Cross Merchan SC Johnson</v>
      </c>
      <c r="AK274">
        <v>184335</v>
      </c>
      <c r="AL274" t="s">
        <v>404</v>
      </c>
      <c r="AM274" t="s">
        <v>104</v>
      </c>
      <c r="AN274" t="s">
        <v>103</v>
      </c>
      <c r="AO274" t="s">
        <v>1023</v>
      </c>
      <c r="AP274" t="s">
        <v>1024</v>
      </c>
      <c r="AQ274" t="s">
        <v>111</v>
      </c>
      <c r="AR274">
        <v>2.5</v>
      </c>
      <c r="AS274">
        <v>5</v>
      </c>
      <c r="AT274">
        <v>58.12</v>
      </c>
      <c r="AV274" s="86" t="str">
        <f t="shared" si="57"/>
        <v>184335Cross Merchan SC Johnson</v>
      </c>
      <c r="AW274">
        <v>184335</v>
      </c>
      <c r="AX274" t="s">
        <v>404</v>
      </c>
      <c r="AY274" t="s">
        <v>482</v>
      </c>
      <c r="AZ274" t="s">
        <v>103</v>
      </c>
      <c r="BA274" t="s">
        <v>1121</v>
      </c>
      <c r="BB274" t="s">
        <v>1122</v>
      </c>
      <c r="BC274" t="s">
        <v>111</v>
      </c>
      <c r="BD274">
        <v>1.665</v>
      </c>
      <c r="BE274">
        <v>5</v>
      </c>
      <c r="BF274">
        <v>57.69</v>
      </c>
      <c r="BH274" s="86" t="str">
        <f t="shared" si="58"/>
        <v>182641Cross Merchan SC Johnson</v>
      </c>
      <c r="BI274">
        <v>182641</v>
      </c>
      <c r="BJ274" t="s">
        <v>352</v>
      </c>
      <c r="BK274" t="s">
        <v>36</v>
      </c>
      <c r="BL274" t="s">
        <v>103</v>
      </c>
      <c r="BM274" t="s">
        <v>1213</v>
      </c>
      <c r="BN274" t="s">
        <v>1214</v>
      </c>
      <c r="BO274" t="s">
        <v>111</v>
      </c>
      <c r="BP274">
        <v>1.665</v>
      </c>
      <c r="BQ274">
        <v>5</v>
      </c>
      <c r="BR274">
        <v>71.55</v>
      </c>
      <c r="BT274" s="86" t="str">
        <f t="shared" si="48"/>
        <v>178205Mix + Intocáveis SC Johnson</v>
      </c>
      <c r="BU274">
        <v>178205</v>
      </c>
      <c r="BV274" t="s">
        <v>381</v>
      </c>
      <c r="BW274" t="s">
        <v>1345</v>
      </c>
      <c r="BX274" t="s">
        <v>103</v>
      </c>
      <c r="BY274" t="s">
        <v>1380</v>
      </c>
      <c r="BZ274" t="s">
        <v>1381</v>
      </c>
      <c r="CA274" t="s">
        <v>459</v>
      </c>
      <c r="CB274">
        <v>28</v>
      </c>
      <c r="CC274">
        <v>40</v>
      </c>
      <c r="CD274">
        <v>65.09</v>
      </c>
      <c r="CF274" s="86" t="str">
        <f t="shared" si="49"/>
        <v>181800Mix + Intocáveis SC Johnson</v>
      </c>
      <c r="CG274">
        <v>181800</v>
      </c>
      <c r="CH274" t="s">
        <v>348</v>
      </c>
      <c r="CI274" t="s">
        <v>477</v>
      </c>
      <c r="CJ274" t="s">
        <v>103</v>
      </c>
      <c r="CK274" t="s">
        <v>1477</v>
      </c>
      <c r="CL274" t="s">
        <v>1478</v>
      </c>
      <c r="CM274" t="s">
        <v>459</v>
      </c>
      <c r="CN274">
        <v>34.4</v>
      </c>
      <c r="CO274">
        <v>40</v>
      </c>
      <c r="CP274">
        <v>95.83</v>
      </c>
      <c r="CR274" s="86" t="str">
        <f t="shared" si="50"/>
        <v>182592Mix + Intocáveis SC Johnson</v>
      </c>
      <c r="CS274">
        <v>182592</v>
      </c>
      <c r="CT274" t="s">
        <v>398</v>
      </c>
      <c r="CU274" t="s">
        <v>482</v>
      </c>
      <c r="CV274" t="s">
        <v>103</v>
      </c>
      <c r="CW274" t="s">
        <v>1606</v>
      </c>
      <c r="CX274" t="s">
        <v>1607</v>
      </c>
      <c r="CY274" t="s">
        <v>459</v>
      </c>
      <c r="CZ274">
        <v>28</v>
      </c>
      <c r="DA274">
        <v>40</v>
      </c>
      <c r="DB274">
        <v>80.42</v>
      </c>
      <c r="DD274" s="86" t="str">
        <f t="shared" si="51"/>
        <v>182636Execucao Bonus</v>
      </c>
      <c r="DE274">
        <v>182636</v>
      </c>
      <c r="DF274" t="s">
        <v>349</v>
      </c>
      <c r="DG274" t="s">
        <v>1306</v>
      </c>
      <c r="DH274" t="s">
        <v>103</v>
      </c>
      <c r="DI274" t="s">
        <v>1750</v>
      </c>
      <c r="DJ274" t="s">
        <v>1751</v>
      </c>
      <c r="DK274" t="s">
        <v>1291</v>
      </c>
      <c r="DL274">
        <v>5</v>
      </c>
      <c r="DM274">
        <v>5</v>
      </c>
      <c r="DN274">
        <v>98.23</v>
      </c>
      <c r="DP274" s="86" t="str">
        <f t="shared" si="52"/>
        <v>182637Execucao Bonus</v>
      </c>
      <c r="DQ274">
        <v>182637</v>
      </c>
      <c r="DR274" t="s">
        <v>366</v>
      </c>
      <c r="DS274" t="s">
        <v>1306</v>
      </c>
      <c r="DT274" t="s">
        <v>103</v>
      </c>
      <c r="DU274" t="s">
        <v>1824</v>
      </c>
      <c r="DV274" t="s">
        <v>1825</v>
      </c>
      <c r="DW274" t="s">
        <v>1291</v>
      </c>
      <c r="DX274">
        <v>5</v>
      </c>
      <c r="DY274">
        <v>5</v>
      </c>
      <c r="DZ274">
        <v>89.23</v>
      </c>
    </row>
    <row r="275" spans="1:130" x14ac:dyDescent="0.35">
      <c r="A275" s="86" t="str">
        <f t="shared" si="53"/>
        <v>184221Mix + Intocáveis SC Johnson</v>
      </c>
      <c r="B275">
        <v>184221</v>
      </c>
      <c r="C275" t="s">
        <v>403</v>
      </c>
      <c r="D275" t="s">
        <v>103</v>
      </c>
      <c r="E275" t="s">
        <v>600</v>
      </c>
      <c r="F275" t="s">
        <v>601</v>
      </c>
      <c r="G275" t="s">
        <v>459</v>
      </c>
      <c r="H275">
        <v>65.14</v>
      </c>
      <c r="I275">
        <v>32.625</v>
      </c>
      <c r="J275">
        <v>45</v>
      </c>
      <c r="L275" s="86" t="str">
        <f t="shared" si="54"/>
        <v>185710Share Sub Category SC Johnson</v>
      </c>
      <c r="M275">
        <v>185710</v>
      </c>
      <c r="N275" t="s">
        <v>368</v>
      </c>
      <c r="O275" t="s">
        <v>539</v>
      </c>
      <c r="P275" t="s">
        <v>103</v>
      </c>
      <c r="Q275" t="s">
        <v>752</v>
      </c>
      <c r="R275" t="s">
        <v>753</v>
      </c>
      <c r="S275" t="s">
        <v>457</v>
      </c>
      <c r="T275">
        <v>21.42</v>
      </c>
      <c r="U275">
        <v>30</v>
      </c>
      <c r="V275">
        <v>38.36</v>
      </c>
      <c r="X275" s="86" t="str">
        <f t="shared" si="55"/>
        <v>184604Share Sub Category SC Johnson</v>
      </c>
      <c r="Y275">
        <v>184604</v>
      </c>
      <c r="Z275" t="s">
        <v>367</v>
      </c>
      <c r="AA275" t="s">
        <v>539</v>
      </c>
      <c r="AB275" t="s">
        <v>103</v>
      </c>
      <c r="AC275" t="s">
        <v>879</v>
      </c>
      <c r="AD275" t="s">
        <v>880</v>
      </c>
      <c r="AE275" t="s">
        <v>457</v>
      </c>
      <c r="AF275">
        <v>25.71</v>
      </c>
      <c r="AG275">
        <v>30</v>
      </c>
      <c r="AH275">
        <v>64.59</v>
      </c>
      <c r="AJ275" s="86" t="str">
        <f t="shared" si="56"/>
        <v>184335Share Sub Loc Pao Quente SC Johnson</v>
      </c>
      <c r="AK275">
        <v>184335</v>
      </c>
      <c r="AL275" t="s">
        <v>404</v>
      </c>
      <c r="AM275" t="s">
        <v>104</v>
      </c>
      <c r="AN275" t="s">
        <v>103</v>
      </c>
      <c r="AO275" t="s">
        <v>1023</v>
      </c>
      <c r="AP275" t="s">
        <v>1024</v>
      </c>
      <c r="AQ275" t="s">
        <v>458</v>
      </c>
      <c r="AR275">
        <v>9</v>
      </c>
      <c r="AS275">
        <v>12</v>
      </c>
      <c r="AT275">
        <v>58.12</v>
      </c>
      <c r="AV275" s="86" t="str">
        <f t="shared" si="57"/>
        <v>184335Share Sub Loc Pao Quente SC Johnson</v>
      </c>
      <c r="AW275">
        <v>184335</v>
      </c>
      <c r="AX275" t="s">
        <v>404</v>
      </c>
      <c r="AY275" t="s">
        <v>482</v>
      </c>
      <c r="AZ275" t="s">
        <v>103</v>
      </c>
      <c r="BA275" t="s">
        <v>1121</v>
      </c>
      <c r="BB275" t="s">
        <v>1122</v>
      </c>
      <c r="BC275" t="s">
        <v>458</v>
      </c>
      <c r="BD275">
        <v>12</v>
      </c>
      <c r="BE275">
        <v>12</v>
      </c>
      <c r="BF275">
        <v>57.69</v>
      </c>
      <c r="BH275" s="86" t="str">
        <f t="shared" si="58"/>
        <v>182641Share Sub Loc Pao Quente SC Johnson</v>
      </c>
      <c r="BI275">
        <v>182641</v>
      </c>
      <c r="BJ275" t="s">
        <v>352</v>
      </c>
      <c r="BK275" t="s">
        <v>36</v>
      </c>
      <c r="BL275" t="s">
        <v>103</v>
      </c>
      <c r="BM275" t="s">
        <v>1213</v>
      </c>
      <c r="BN275" t="s">
        <v>1214</v>
      </c>
      <c r="BO275" t="s">
        <v>458</v>
      </c>
      <c r="BP275">
        <v>6</v>
      </c>
      <c r="BQ275">
        <v>12</v>
      </c>
      <c r="BR275">
        <v>71.55</v>
      </c>
      <c r="BT275" s="86" t="str">
        <f t="shared" si="48"/>
        <v>178205Share Sub Category SC Johnson</v>
      </c>
      <c r="BU275">
        <v>178205</v>
      </c>
      <c r="BV275" t="s">
        <v>381</v>
      </c>
      <c r="BW275" t="s">
        <v>1345</v>
      </c>
      <c r="BX275" t="s">
        <v>103</v>
      </c>
      <c r="BY275" t="s">
        <v>1380</v>
      </c>
      <c r="BZ275" t="s">
        <v>1381</v>
      </c>
      <c r="CA275" t="s">
        <v>457</v>
      </c>
      <c r="CB275">
        <v>21.425000000000001</v>
      </c>
      <c r="CC275">
        <v>25</v>
      </c>
      <c r="CD275">
        <v>65.09</v>
      </c>
      <c r="CF275" s="86" t="str">
        <f t="shared" si="49"/>
        <v>181800Share Sub Category SC Johnson</v>
      </c>
      <c r="CG275">
        <v>181800</v>
      </c>
      <c r="CH275" t="s">
        <v>348</v>
      </c>
      <c r="CI275" t="s">
        <v>477</v>
      </c>
      <c r="CJ275" t="s">
        <v>103</v>
      </c>
      <c r="CK275" t="s">
        <v>1477</v>
      </c>
      <c r="CL275" t="s">
        <v>1478</v>
      </c>
      <c r="CM275" t="s">
        <v>457</v>
      </c>
      <c r="CN275">
        <v>21.425000000000001</v>
      </c>
      <c r="CO275">
        <v>25</v>
      </c>
      <c r="CP275">
        <v>95.83</v>
      </c>
      <c r="CR275" s="86" t="str">
        <f t="shared" si="50"/>
        <v>182592Share Sub Category SC Johnson</v>
      </c>
      <c r="CS275">
        <v>182592</v>
      </c>
      <c r="CT275" t="s">
        <v>398</v>
      </c>
      <c r="CU275" t="s">
        <v>482</v>
      </c>
      <c r="CV275" t="s">
        <v>103</v>
      </c>
      <c r="CW275" t="s">
        <v>1606</v>
      </c>
      <c r="CX275" t="s">
        <v>1607</v>
      </c>
      <c r="CY275" t="s">
        <v>457</v>
      </c>
      <c r="CZ275">
        <v>21.425000000000001</v>
      </c>
      <c r="DA275">
        <v>25</v>
      </c>
      <c r="DB275">
        <v>80.42</v>
      </c>
      <c r="DD275" s="86" t="str">
        <f t="shared" si="51"/>
        <v>182636Cross Merchan SC Johnson</v>
      </c>
      <c r="DE275">
        <v>182636</v>
      </c>
      <c r="DF275" t="s">
        <v>349</v>
      </c>
      <c r="DG275" t="s">
        <v>1306</v>
      </c>
      <c r="DH275" t="s">
        <v>103</v>
      </c>
      <c r="DI275" t="s">
        <v>1750</v>
      </c>
      <c r="DJ275" t="s">
        <v>1751</v>
      </c>
      <c r="DK275" t="s">
        <v>111</v>
      </c>
      <c r="DL275">
        <v>5</v>
      </c>
      <c r="DM275">
        <v>5</v>
      </c>
      <c r="DN275">
        <v>98.23</v>
      </c>
      <c r="DP275" s="86" t="str">
        <f t="shared" si="52"/>
        <v>182637Cross Merchan SC Johnson</v>
      </c>
      <c r="DQ275">
        <v>182637</v>
      </c>
      <c r="DR275" t="s">
        <v>366</v>
      </c>
      <c r="DS275" t="s">
        <v>1306</v>
      </c>
      <c r="DT275" t="s">
        <v>103</v>
      </c>
      <c r="DU275" t="s">
        <v>1824</v>
      </c>
      <c r="DV275" t="s">
        <v>1825</v>
      </c>
      <c r="DW275" t="s">
        <v>111</v>
      </c>
      <c r="DX275">
        <v>5</v>
      </c>
      <c r="DY275">
        <v>5</v>
      </c>
      <c r="DZ275">
        <v>89.23</v>
      </c>
    </row>
    <row r="276" spans="1:130" x14ac:dyDescent="0.35">
      <c r="A276" s="86" t="str">
        <f t="shared" si="53"/>
        <v>184335</v>
      </c>
      <c r="B276">
        <v>184335</v>
      </c>
      <c r="C276" t="s">
        <v>404</v>
      </c>
      <c r="D276" t="s">
        <v>103</v>
      </c>
      <c r="E276" t="s">
        <v>602</v>
      </c>
      <c r="F276" t="s">
        <v>603</v>
      </c>
      <c r="H276">
        <v>38.58</v>
      </c>
      <c r="I276"/>
      <c r="J276"/>
      <c r="L276" s="86" t="str">
        <f t="shared" si="54"/>
        <v>185710Cross Merchan SC Johnson</v>
      </c>
      <c r="M276">
        <v>185710</v>
      </c>
      <c r="N276" t="s">
        <v>368</v>
      </c>
      <c r="O276" t="s">
        <v>539</v>
      </c>
      <c r="P276" t="s">
        <v>103</v>
      </c>
      <c r="Q276" t="s">
        <v>752</v>
      </c>
      <c r="R276" t="s">
        <v>753</v>
      </c>
      <c r="S276" t="s">
        <v>111</v>
      </c>
      <c r="T276">
        <v>0</v>
      </c>
      <c r="U276">
        <v>8</v>
      </c>
      <c r="V276">
        <v>38.36</v>
      </c>
      <c r="X276" s="86" t="str">
        <f t="shared" si="55"/>
        <v>184604Cross Merchan SC Johnson</v>
      </c>
      <c r="Y276">
        <v>184604</v>
      </c>
      <c r="Z276" t="s">
        <v>367</v>
      </c>
      <c r="AA276" t="s">
        <v>539</v>
      </c>
      <c r="AB276" t="s">
        <v>103</v>
      </c>
      <c r="AC276" t="s">
        <v>879</v>
      </c>
      <c r="AD276" t="s">
        <v>880</v>
      </c>
      <c r="AE276" t="s">
        <v>111</v>
      </c>
      <c r="AF276">
        <v>0</v>
      </c>
      <c r="AG276">
        <v>8</v>
      </c>
      <c r="AH276">
        <v>64.59</v>
      </c>
      <c r="AJ276" s="86" t="str">
        <f t="shared" si="56"/>
        <v>184335Mix + Intocáveis SC Johnson</v>
      </c>
      <c r="AK276">
        <v>184335</v>
      </c>
      <c r="AL276" t="s">
        <v>404</v>
      </c>
      <c r="AM276" t="s">
        <v>104</v>
      </c>
      <c r="AN276" t="s">
        <v>103</v>
      </c>
      <c r="AO276" t="s">
        <v>1023</v>
      </c>
      <c r="AP276" t="s">
        <v>1024</v>
      </c>
      <c r="AQ276" t="s">
        <v>459</v>
      </c>
      <c r="AR276">
        <v>25.2</v>
      </c>
      <c r="AS276">
        <v>40</v>
      </c>
      <c r="AT276">
        <v>58.12</v>
      </c>
      <c r="AV276" s="86" t="str">
        <f t="shared" si="57"/>
        <v>184335Mix + Intocáveis SC Johnson</v>
      </c>
      <c r="AW276">
        <v>184335</v>
      </c>
      <c r="AX276" t="s">
        <v>404</v>
      </c>
      <c r="AY276" t="s">
        <v>482</v>
      </c>
      <c r="AZ276" t="s">
        <v>103</v>
      </c>
      <c r="BA276" t="s">
        <v>1121</v>
      </c>
      <c r="BB276" t="s">
        <v>1122</v>
      </c>
      <c r="BC276" t="s">
        <v>459</v>
      </c>
      <c r="BD276">
        <v>22.6</v>
      </c>
      <c r="BE276">
        <v>40</v>
      </c>
      <c r="BF276">
        <v>57.69</v>
      </c>
      <c r="BH276" s="86" t="str">
        <f t="shared" si="58"/>
        <v>182641Mix + Intocáveis SC Johnson</v>
      </c>
      <c r="BI276">
        <v>182641</v>
      </c>
      <c r="BJ276" t="s">
        <v>352</v>
      </c>
      <c r="BK276" t="s">
        <v>36</v>
      </c>
      <c r="BL276" t="s">
        <v>103</v>
      </c>
      <c r="BM276" t="s">
        <v>1213</v>
      </c>
      <c r="BN276" t="s">
        <v>1214</v>
      </c>
      <c r="BO276" t="s">
        <v>459</v>
      </c>
      <c r="BP276">
        <v>20.88</v>
      </c>
      <c r="BQ276">
        <v>40</v>
      </c>
      <c r="BR276">
        <v>71.55</v>
      </c>
      <c r="BT276" s="86" t="str">
        <f t="shared" si="48"/>
        <v>178205Share Sub Loc Pao Quente SC Johnson</v>
      </c>
      <c r="BU276">
        <v>178205</v>
      </c>
      <c r="BV276" t="s">
        <v>381</v>
      </c>
      <c r="BW276" t="s">
        <v>1345</v>
      </c>
      <c r="BX276" t="s">
        <v>103</v>
      </c>
      <c r="BY276" t="s">
        <v>1380</v>
      </c>
      <c r="BZ276" t="s">
        <v>1381</v>
      </c>
      <c r="CA276" t="s">
        <v>458</v>
      </c>
      <c r="CB276">
        <v>9</v>
      </c>
      <c r="CC276">
        <v>12</v>
      </c>
      <c r="CD276">
        <v>65.09</v>
      </c>
      <c r="CF276" s="86" t="str">
        <f t="shared" si="49"/>
        <v>181800Share Sub Loc Pao Quente SC Johnson</v>
      </c>
      <c r="CG276">
        <v>181800</v>
      </c>
      <c r="CH276" t="s">
        <v>348</v>
      </c>
      <c r="CI276" t="s">
        <v>477</v>
      </c>
      <c r="CJ276" t="s">
        <v>103</v>
      </c>
      <c r="CK276" t="s">
        <v>1477</v>
      </c>
      <c r="CL276" t="s">
        <v>1478</v>
      </c>
      <c r="CM276" t="s">
        <v>458</v>
      </c>
      <c r="CN276">
        <v>12</v>
      </c>
      <c r="CO276">
        <v>12</v>
      </c>
      <c r="CP276">
        <v>95.83</v>
      </c>
      <c r="CR276" s="86" t="str">
        <f t="shared" si="50"/>
        <v>182592Share Sub Loc Pao Quente SC Johnson</v>
      </c>
      <c r="CS276">
        <v>182592</v>
      </c>
      <c r="CT276" t="s">
        <v>398</v>
      </c>
      <c r="CU276" t="s">
        <v>482</v>
      </c>
      <c r="CV276" t="s">
        <v>103</v>
      </c>
      <c r="CW276" t="s">
        <v>1606</v>
      </c>
      <c r="CX276" t="s">
        <v>1607</v>
      </c>
      <c r="CY276" t="s">
        <v>458</v>
      </c>
      <c r="CZ276">
        <v>12</v>
      </c>
      <c r="DA276">
        <v>12</v>
      </c>
      <c r="DB276">
        <v>80.42</v>
      </c>
      <c r="DD276" s="86" t="str">
        <f t="shared" si="51"/>
        <v>182636Lancamentos</v>
      </c>
      <c r="DE276">
        <v>182636</v>
      </c>
      <c r="DF276" t="s">
        <v>349</v>
      </c>
      <c r="DG276" t="s">
        <v>1306</v>
      </c>
      <c r="DH276" t="s">
        <v>103</v>
      </c>
      <c r="DI276" t="s">
        <v>1750</v>
      </c>
      <c r="DJ276" t="s">
        <v>1751</v>
      </c>
      <c r="DK276" t="s">
        <v>953</v>
      </c>
      <c r="DL276">
        <v>18</v>
      </c>
      <c r="DM276">
        <v>18</v>
      </c>
      <c r="DN276">
        <v>98.23</v>
      </c>
      <c r="DP276" s="86" t="str">
        <f t="shared" si="52"/>
        <v>182637Lancamentos</v>
      </c>
      <c r="DQ276">
        <v>182637</v>
      </c>
      <c r="DR276" t="s">
        <v>366</v>
      </c>
      <c r="DS276" t="s">
        <v>1306</v>
      </c>
      <c r="DT276" t="s">
        <v>103</v>
      </c>
      <c r="DU276" t="s">
        <v>1824</v>
      </c>
      <c r="DV276" t="s">
        <v>1825</v>
      </c>
      <c r="DW276" t="s">
        <v>953</v>
      </c>
      <c r="DX276">
        <v>9</v>
      </c>
      <c r="DY276">
        <v>18</v>
      </c>
      <c r="DZ276">
        <v>89.23</v>
      </c>
    </row>
    <row r="277" spans="1:130" x14ac:dyDescent="0.35">
      <c r="A277" s="86" t="str">
        <f t="shared" si="53"/>
        <v>184604Share Sub Category SC Johnson</v>
      </c>
      <c r="B277">
        <v>184604</v>
      </c>
      <c r="C277" t="s">
        <v>367</v>
      </c>
      <c r="D277" t="s">
        <v>103</v>
      </c>
      <c r="E277" t="s">
        <v>604</v>
      </c>
      <c r="F277" t="s">
        <v>605</v>
      </c>
      <c r="G277" t="s">
        <v>457</v>
      </c>
      <c r="H277">
        <v>31.22</v>
      </c>
      <c r="I277">
        <v>17.13</v>
      </c>
      <c r="J277">
        <v>30</v>
      </c>
      <c r="L277" s="86" t="str">
        <f t="shared" si="54"/>
        <v>185710Share Sub Loc Pao Quente SC Johnson</v>
      </c>
      <c r="M277">
        <v>185710</v>
      </c>
      <c r="N277" t="s">
        <v>368</v>
      </c>
      <c r="O277" t="s">
        <v>539</v>
      </c>
      <c r="P277" t="s">
        <v>103</v>
      </c>
      <c r="Q277" t="s">
        <v>752</v>
      </c>
      <c r="R277" t="s">
        <v>753</v>
      </c>
      <c r="S277" t="s">
        <v>458</v>
      </c>
      <c r="T277">
        <v>8.5</v>
      </c>
      <c r="U277">
        <v>17</v>
      </c>
      <c r="V277">
        <v>38.36</v>
      </c>
      <c r="X277" s="86" t="str">
        <f t="shared" si="55"/>
        <v>184604Share Sub Loc Pao Quente SC Johnson</v>
      </c>
      <c r="Y277">
        <v>184604</v>
      </c>
      <c r="Z277" t="s">
        <v>367</v>
      </c>
      <c r="AA277" t="s">
        <v>539</v>
      </c>
      <c r="AB277" t="s">
        <v>103</v>
      </c>
      <c r="AC277" t="s">
        <v>879</v>
      </c>
      <c r="AD277" t="s">
        <v>880</v>
      </c>
      <c r="AE277" t="s">
        <v>458</v>
      </c>
      <c r="AF277">
        <v>8.5</v>
      </c>
      <c r="AG277">
        <v>17</v>
      </c>
      <c r="AH277">
        <v>64.59</v>
      </c>
      <c r="AJ277" s="86" t="str">
        <f t="shared" si="56"/>
        <v>184335Lancamentos</v>
      </c>
      <c r="AK277">
        <v>184335</v>
      </c>
      <c r="AL277" t="s">
        <v>404</v>
      </c>
      <c r="AM277" t="s">
        <v>104</v>
      </c>
      <c r="AN277" t="s">
        <v>103</v>
      </c>
      <c r="AO277" t="s">
        <v>1023</v>
      </c>
      <c r="AP277" t="s">
        <v>1024</v>
      </c>
      <c r="AQ277" t="s">
        <v>953</v>
      </c>
      <c r="AR277">
        <v>0</v>
      </c>
      <c r="AS277">
        <v>18</v>
      </c>
      <c r="AT277">
        <v>58.12</v>
      </c>
      <c r="AV277" s="86" t="str">
        <f t="shared" si="57"/>
        <v>184335Lancamentos</v>
      </c>
      <c r="AW277">
        <v>184335</v>
      </c>
      <c r="AX277" t="s">
        <v>404</v>
      </c>
      <c r="AY277" t="s">
        <v>482</v>
      </c>
      <c r="AZ277" t="s">
        <v>103</v>
      </c>
      <c r="BA277" t="s">
        <v>1121</v>
      </c>
      <c r="BB277" t="s">
        <v>1122</v>
      </c>
      <c r="BC277" t="s">
        <v>953</v>
      </c>
      <c r="BD277">
        <v>0</v>
      </c>
      <c r="BE277">
        <v>18</v>
      </c>
      <c r="BF277">
        <v>57.69</v>
      </c>
      <c r="BH277" s="86" t="str">
        <f t="shared" si="58"/>
        <v>182641Lancamentos</v>
      </c>
      <c r="BI277">
        <v>182641</v>
      </c>
      <c r="BJ277" t="s">
        <v>352</v>
      </c>
      <c r="BK277" t="s">
        <v>36</v>
      </c>
      <c r="BL277" t="s">
        <v>103</v>
      </c>
      <c r="BM277" t="s">
        <v>1213</v>
      </c>
      <c r="BN277" t="s">
        <v>1214</v>
      </c>
      <c r="BO277" t="s">
        <v>953</v>
      </c>
      <c r="BP277">
        <v>18</v>
      </c>
      <c r="BQ277">
        <v>18</v>
      </c>
      <c r="BR277">
        <v>71.55</v>
      </c>
      <c r="BT277" s="86" t="str">
        <f t="shared" si="48"/>
        <v>178205Cross Merchan SC Johnson</v>
      </c>
      <c r="BU277">
        <v>178205</v>
      </c>
      <c r="BV277" t="s">
        <v>381</v>
      </c>
      <c r="BW277" t="s">
        <v>1345</v>
      </c>
      <c r="BX277" t="s">
        <v>103</v>
      </c>
      <c r="BY277" t="s">
        <v>1380</v>
      </c>
      <c r="BZ277" t="s">
        <v>1381</v>
      </c>
      <c r="CA277" t="s">
        <v>111</v>
      </c>
      <c r="CB277">
        <v>1.665</v>
      </c>
      <c r="CC277">
        <v>5</v>
      </c>
      <c r="CD277">
        <v>65.09</v>
      </c>
      <c r="CF277" s="86" t="str">
        <f t="shared" si="49"/>
        <v>181800Cross Merchan SC Johnson</v>
      </c>
      <c r="CG277">
        <v>181800</v>
      </c>
      <c r="CH277" t="s">
        <v>348</v>
      </c>
      <c r="CI277" t="s">
        <v>477</v>
      </c>
      <c r="CJ277" t="s">
        <v>103</v>
      </c>
      <c r="CK277" t="s">
        <v>1477</v>
      </c>
      <c r="CL277" t="s">
        <v>1478</v>
      </c>
      <c r="CM277" t="s">
        <v>111</v>
      </c>
      <c r="CN277">
        <v>5</v>
      </c>
      <c r="CO277">
        <v>5</v>
      </c>
      <c r="CP277">
        <v>95.83</v>
      </c>
      <c r="CR277" s="86" t="str">
        <f t="shared" si="50"/>
        <v>182592Cross Merchan SC Johnson</v>
      </c>
      <c r="CS277">
        <v>182592</v>
      </c>
      <c r="CT277" t="s">
        <v>398</v>
      </c>
      <c r="CU277" t="s">
        <v>482</v>
      </c>
      <c r="CV277" t="s">
        <v>103</v>
      </c>
      <c r="CW277" t="s">
        <v>1606</v>
      </c>
      <c r="CX277" t="s">
        <v>1607</v>
      </c>
      <c r="CY277" t="s">
        <v>111</v>
      </c>
      <c r="CZ277">
        <v>5</v>
      </c>
      <c r="DA277">
        <v>5</v>
      </c>
      <c r="DB277">
        <v>80.42</v>
      </c>
      <c r="DD277" s="86" t="str">
        <f t="shared" si="51"/>
        <v>182636Share Sub Category SC Johnson</v>
      </c>
      <c r="DE277">
        <v>182636</v>
      </c>
      <c r="DF277" t="s">
        <v>349</v>
      </c>
      <c r="DG277" t="s">
        <v>1306</v>
      </c>
      <c r="DH277" t="s">
        <v>103</v>
      </c>
      <c r="DI277" t="s">
        <v>1750</v>
      </c>
      <c r="DJ277" t="s">
        <v>1751</v>
      </c>
      <c r="DK277" t="s">
        <v>457</v>
      </c>
      <c r="DL277">
        <v>21.425000000000001</v>
      </c>
      <c r="DM277">
        <v>25</v>
      </c>
      <c r="DN277">
        <v>98.23</v>
      </c>
      <c r="DP277" s="86" t="str">
        <f t="shared" si="52"/>
        <v>182637Share Sub Category SC Johnson</v>
      </c>
      <c r="DQ277">
        <v>182637</v>
      </c>
      <c r="DR277" t="s">
        <v>366</v>
      </c>
      <c r="DS277" t="s">
        <v>1306</v>
      </c>
      <c r="DT277" t="s">
        <v>103</v>
      </c>
      <c r="DU277" t="s">
        <v>1824</v>
      </c>
      <c r="DV277" t="s">
        <v>1825</v>
      </c>
      <c r="DW277" t="s">
        <v>457</v>
      </c>
      <c r="DX277">
        <v>21.425000000000001</v>
      </c>
      <c r="DY277">
        <v>25</v>
      </c>
      <c r="DZ277">
        <v>89.23</v>
      </c>
    </row>
    <row r="278" spans="1:130" x14ac:dyDescent="0.35">
      <c r="A278" s="86" t="str">
        <f t="shared" si="53"/>
        <v>184604Cross Merchan SC Johnson</v>
      </c>
      <c r="B278">
        <v>184604</v>
      </c>
      <c r="C278" t="s">
        <v>367</v>
      </c>
      <c r="D278" t="s">
        <v>103</v>
      </c>
      <c r="E278" t="s">
        <v>604</v>
      </c>
      <c r="F278" t="s">
        <v>605</v>
      </c>
      <c r="G278" t="s">
        <v>111</v>
      </c>
      <c r="H278">
        <v>31.22</v>
      </c>
      <c r="I278">
        <v>0</v>
      </c>
      <c r="J278">
        <v>8</v>
      </c>
      <c r="L278" s="86" t="str">
        <f t="shared" si="54"/>
        <v>185710Mix + Intocáveis SC Johnson</v>
      </c>
      <c r="M278">
        <v>185710</v>
      </c>
      <c r="N278" t="s">
        <v>368</v>
      </c>
      <c r="O278" t="s">
        <v>539</v>
      </c>
      <c r="P278" t="s">
        <v>103</v>
      </c>
      <c r="Q278" t="s">
        <v>752</v>
      </c>
      <c r="R278" t="s">
        <v>753</v>
      </c>
      <c r="S278" t="s">
        <v>459</v>
      </c>
      <c r="T278">
        <v>8.4375</v>
      </c>
      <c r="U278">
        <v>45</v>
      </c>
      <c r="V278">
        <v>38.36</v>
      </c>
      <c r="X278" s="86" t="str">
        <f t="shared" si="55"/>
        <v>184604Mix + Intocáveis SC Johnson</v>
      </c>
      <c r="Y278">
        <v>184604</v>
      </c>
      <c r="Z278" t="s">
        <v>367</v>
      </c>
      <c r="AA278" t="s">
        <v>539</v>
      </c>
      <c r="AB278" t="s">
        <v>103</v>
      </c>
      <c r="AC278" t="s">
        <v>879</v>
      </c>
      <c r="AD278" t="s">
        <v>880</v>
      </c>
      <c r="AE278" t="s">
        <v>459</v>
      </c>
      <c r="AF278">
        <v>30.375</v>
      </c>
      <c r="AG278">
        <v>45</v>
      </c>
      <c r="AH278">
        <v>64.59</v>
      </c>
      <c r="AJ278" s="86" t="str">
        <f t="shared" si="56"/>
        <v>184604Share Sub Category SC Johnson</v>
      </c>
      <c r="AK278">
        <v>184604</v>
      </c>
      <c r="AL278" t="s">
        <v>367</v>
      </c>
      <c r="AM278" t="s">
        <v>539</v>
      </c>
      <c r="AN278" t="s">
        <v>103</v>
      </c>
      <c r="AO278" t="s">
        <v>1025</v>
      </c>
      <c r="AP278" t="s">
        <v>1026</v>
      </c>
      <c r="AQ278" t="s">
        <v>457</v>
      </c>
      <c r="AR278">
        <v>25</v>
      </c>
      <c r="AS278">
        <v>25</v>
      </c>
      <c r="AT278">
        <v>63.54</v>
      </c>
      <c r="AV278" s="86" t="str">
        <f t="shared" si="57"/>
        <v>184830Share Sub Category SC Johnson</v>
      </c>
      <c r="AW278">
        <v>184830</v>
      </c>
      <c r="AX278" t="s">
        <v>405</v>
      </c>
      <c r="AY278" t="s">
        <v>36</v>
      </c>
      <c r="AZ278" t="s">
        <v>103</v>
      </c>
      <c r="BA278" t="s">
        <v>1123</v>
      </c>
      <c r="BB278" t="s">
        <v>1124</v>
      </c>
      <c r="BC278" t="s">
        <v>457</v>
      </c>
      <c r="BD278">
        <v>21.425000000000001</v>
      </c>
      <c r="BE278">
        <v>25</v>
      </c>
      <c r="BF278">
        <v>59.53</v>
      </c>
      <c r="BH278" s="86" t="str">
        <f t="shared" si="58"/>
        <v>184214Share Sub Category SC Johnson</v>
      </c>
      <c r="BI278">
        <v>184214</v>
      </c>
      <c r="BJ278" t="s">
        <v>400</v>
      </c>
      <c r="BK278" t="s">
        <v>482</v>
      </c>
      <c r="BL278" t="s">
        <v>103</v>
      </c>
      <c r="BM278" t="s">
        <v>1241</v>
      </c>
      <c r="BN278" t="s">
        <v>1242</v>
      </c>
      <c r="BO278" t="s">
        <v>457</v>
      </c>
      <c r="BP278">
        <v>21.425000000000001</v>
      </c>
      <c r="BQ278">
        <v>25</v>
      </c>
      <c r="BR278">
        <v>70.59</v>
      </c>
      <c r="BT278" s="86" t="str">
        <f t="shared" si="48"/>
        <v>178205Execucao Bonus</v>
      </c>
      <c r="BU278">
        <v>178205</v>
      </c>
      <c r="BV278" t="s">
        <v>381</v>
      </c>
      <c r="BW278" t="s">
        <v>1345</v>
      </c>
      <c r="BX278" t="s">
        <v>103</v>
      </c>
      <c r="BY278" t="s">
        <v>1380</v>
      </c>
      <c r="BZ278" t="s">
        <v>1381</v>
      </c>
      <c r="CA278" t="s">
        <v>1291</v>
      </c>
      <c r="CB278">
        <v>5</v>
      </c>
      <c r="CC278">
        <v>5</v>
      </c>
      <c r="CD278">
        <v>65.09</v>
      </c>
      <c r="CF278" s="86" t="str">
        <f t="shared" si="49"/>
        <v>181800Execucao Bonus</v>
      </c>
      <c r="CG278">
        <v>181800</v>
      </c>
      <c r="CH278" t="s">
        <v>348</v>
      </c>
      <c r="CI278" t="s">
        <v>477</v>
      </c>
      <c r="CJ278" t="s">
        <v>103</v>
      </c>
      <c r="CK278" t="s">
        <v>1477</v>
      </c>
      <c r="CL278" t="s">
        <v>1478</v>
      </c>
      <c r="CM278" t="s">
        <v>1291</v>
      </c>
      <c r="CN278">
        <v>5</v>
      </c>
      <c r="CO278">
        <v>5</v>
      </c>
      <c r="CP278">
        <v>95.83</v>
      </c>
      <c r="CR278" s="86" t="str">
        <f t="shared" si="50"/>
        <v>182592Execucao Bonus</v>
      </c>
      <c r="CS278">
        <v>182592</v>
      </c>
      <c r="CT278" t="s">
        <v>398</v>
      </c>
      <c r="CU278" t="s">
        <v>482</v>
      </c>
      <c r="CV278" t="s">
        <v>103</v>
      </c>
      <c r="CW278" t="s">
        <v>1606</v>
      </c>
      <c r="CX278" t="s">
        <v>1607</v>
      </c>
      <c r="CY278" t="s">
        <v>1291</v>
      </c>
      <c r="CZ278">
        <v>5</v>
      </c>
      <c r="DA278">
        <v>5</v>
      </c>
      <c r="DB278">
        <v>80.42</v>
      </c>
      <c r="DD278" s="86" t="str">
        <f t="shared" si="51"/>
        <v>182636Share Sub Loc Pao Quente SC Johnson</v>
      </c>
      <c r="DE278">
        <v>182636</v>
      </c>
      <c r="DF278" t="s">
        <v>349</v>
      </c>
      <c r="DG278" t="s">
        <v>1306</v>
      </c>
      <c r="DH278" t="s">
        <v>103</v>
      </c>
      <c r="DI278" t="s">
        <v>1750</v>
      </c>
      <c r="DJ278" t="s">
        <v>1751</v>
      </c>
      <c r="DK278" t="s">
        <v>458</v>
      </c>
      <c r="DL278">
        <v>12</v>
      </c>
      <c r="DM278">
        <v>12</v>
      </c>
      <c r="DN278">
        <v>98.23</v>
      </c>
      <c r="DP278" s="86" t="str">
        <f t="shared" si="52"/>
        <v>182637Share Sub Loc Pao Quente SC Johnson</v>
      </c>
      <c r="DQ278">
        <v>182637</v>
      </c>
      <c r="DR278" t="s">
        <v>366</v>
      </c>
      <c r="DS278" t="s">
        <v>1306</v>
      </c>
      <c r="DT278" t="s">
        <v>103</v>
      </c>
      <c r="DU278" t="s">
        <v>1824</v>
      </c>
      <c r="DV278" t="s">
        <v>1825</v>
      </c>
      <c r="DW278" t="s">
        <v>458</v>
      </c>
      <c r="DX278">
        <v>12</v>
      </c>
      <c r="DY278">
        <v>12</v>
      </c>
      <c r="DZ278">
        <v>89.23</v>
      </c>
    </row>
    <row r="279" spans="1:130" x14ac:dyDescent="0.35">
      <c r="A279" s="86" t="str">
        <f t="shared" si="53"/>
        <v>184604Share Sub Loc Pao Quente SC Johnson</v>
      </c>
      <c r="B279">
        <v>184604</v>
      </c>
      <c r="C279" t="s">
        <v>367</v>
      </c>
      <c r="D279" t="s">
        <v>103</v>
      </c>
      <c r="E279" t="s">
        <v>604</v>
      </c>
      <c r="F279" t="s">
        <v>605</v>
      </c>
      <c r="G279" t="s">
        <v>458</v>
      </c>
      <c r="H279">
        <v>31.22</v>
      </c>
      <c r="I279">
        <v>3.4</v>
      </c>
      <c r="J279">
        <v>17</v>
      </c>
      <c r="L279" s="86" t="str">
        <f t="shared" si="54"/>
        <v>186321Share Sub Category SC Johnson</v>
      </c>
      <c r="M279">
        <v>186321</v>
      </c>
      <c r="N279" t="s">
        <v>354</v>
      </c>
      <c r="O279" t="s">
        <v>758</v>
      </c>
      <c r="P279" t="s">
        <v>103</v>
      </c>
      <c r="Q279" t="s">
        <v>754</v>
      </c>
      <c r="R279" t="s">
        <v>755</v>
      </c>
      <c r="S279" t="s">
        <v>457</v>
      </c>
      <c r="T279">
        <v>12.87</v>
      </c>
      <c r="U279">
        <v>30</v>
      </c>
      <c r="V279">
        <v>57.49</v>
      </c>
      <c r="X279" s="86" t="str">
        <f t="shared" si="55"/>
        <v>184830Share Sub Category SC Johnson</v>
      </c>
      <c r="Y279">
        <v>184830</v>
      </c>
      <c r="Z279" t="s">
        <v>405</v>
      </c>
      <c r="AA279" t="s">
        <v>36</v>
      </c>
      <c r="AB279" t="s">
        <v>103</v>
      </c>
      <c r="AC279" t="s">
        <v>775</v>
      </c>
      <c r="AD279" t="s">
        <v>776</v>
      </c>
      <c r="AE279" t="s">
        <v>457</v>
      </c>
      <c r="AF279">
        <v>21.42</v>
      </c>
      <c r="AG279">
        <v>30</v>
      </c>
      <c r="AH279">
        <v>77.05</v>
      </c>
      <c r="AJ279" s="86" t="str">
        <f t="shared" si="56"/>
        <v>184604Cross Merchan SC Johnson</v>
      </c>
      <c r="AK279">
        <v>184604</v>
      </c>
      <c r="AL279" t="s">
        <v>367</v>
      </c>
      <c r="AM279" t="s">
        <v>539</v>
      </c>
      <c r="AN279" t="s">
        <v>103</v>
      </c>
      <c r="AO279" t="s">
        <v>1025</v>
      </c>
      <c r="AP279" t="s">
        <v>1026</v>
      </c>
      <c r="AQ279" t="s">
        <v>111</v>
      </c>
      <c r="AR279">
        <v>2.5</v>
      </c>
      <c r="AS279">
        <v>5</v>
      </c>
      <c r="AT279">
        <v>63.54</v>
      </c>
      <c r="AV279" s="86" t="str">
        <f t="shared" si="57"/>
        <v>184830Cross Merchan SC Johnson</v>
      </c>
      <c r="AW279">
        <v>184830</v>
      </c>
      <c r="AX279" t="s">
        <v>405</v>
      </c>
      <c r="AY279" t="s">
        <v>36</v>
      </c>
      <c r="AZ279" t="s">
        <v>103</v>
      </c>
      <c r="BA279" t="s">
        <v>1123</v>
      </c>
      <c r="BB279" t="s">
        <v>1124</v>
      </c>
      <c r="BC279" t="s">
        <v>111</v>
      </c>
      <c r="BD279">
        <v>1.665</v>
      </c>
      <c r="BE279">
        <v>5</v>
      </c>
      <c r="BF279">
        <v>59.53</v>
      </c>
      <c r="BH279" s="86" t="str">
        <f t="shared" si="58"/>
        <v>184214Cross Merchan SC Johnson</v>
      </c>
      <c r="BI279">
        <v>184214</v>
      </c>
      <c r="BJ279" t="s">
        <v>400</v>
      </c>
      <c r="BK279" t="s">
        <v>482</v>
      </c>
      <c r="BL279" t="s">
        <v>103</v>
      </c>
      <c r="BM279" t="s">
        <v>1241</v>
      </c>
      <c r="BN279" t="s">
        <v>1242</v>
      </c>
      <c r="BO279" t="s">
        <v>111</v>
      </c>
      <c r="BP279">
        <v>5</v>
      </c>
      <c r="BQ279">
        <v>5</v>
      </c>
      <c r="BR279">
        <v>70.59</v>
      </c>
      <c r="BT279" s="86" t="str">
        <f t="shared" si="48"/>
        <v>181619Lancamentos</v>
      </c>
      <c r="BU279">
        <v>181619</v>
      </c>
      <c r="BV279" t="s">
        <v>382</v>
      </c>
      <c r="BW279" t="s">
        <v>1004</v>
      </c>
      <c r="BX279" t="s">
        <v>103</v>
      </c>
      <c r="BY279" t="s">
        <v>1317</v>
      </c>
      <c r="BZ279" t="s">
        <v>1318</v>
      </c>
      <c r="CA279" t="s">
        <v>953</v>
      </c>
      <c r="CB279">
        <v>0</v>
      </c>
      <c r="CC279">
        <v>18</v>
      </c>
      <c r="CD279">
        <v>66</v>
      </c>
      <c r="CF279" s="86" t="str">
        <f t="shared" si="49"/>
        <v>182592Lancamentos</v>
      </c>
      <c r="CG279">
        <v>182592</v>
      </c>
      <c r="CH279" t="s">
        <v>398</v>
      </c>
      <c r="CI279" t="s">
        <v>482</v>
      </c>
      <c r="CJ279" t="s">
        <v>103</v>
      </c>
      <c r="CK279" t="s">
        <v>1515</v>
      </c>
      <c r="CL279" t="s">
        <v>1516</v>
      </c>
      <c r="CM279" t="s">
        <v>953</v>
      </c>
      <c r="CN279">
        <v>18</v>
      </c>
      <c r="CO279">
        <v>18</v>
      </c>
      <c r="CP279">
        <v>84.03</v>
      </c>
      <c r="CR279" s="86" t="str">
        <f t="shared" si="50"/>
        <v>182637Lancamentos</v>
      </c>
      <c r="CS279">
        <v>182637</v>
      </c>
      <c r="CT279" t="s">
        <v>366</v>
      </c>
      <c r="CU279" t="s">
        <v>1306</v>
      </c>
      <c r="CV279" t="s">
        <v>103</v>
      </c>
      <c r="CW279" t="s">
        <v>1608</v>
      </c>
      <c r="CX279" t="s">
        <v>1609</v>
      </c>
      <c r="CY279" t="s">
        <v>953</v>
      </c>
      <c r="CZ279">
        <v>18</v>
      </c>
      <c r="DA279">
        <v>18</v>
      </c>
      <c r="DB279">
        <v>101.8</v>
      </c>
      <c r="DD279" s="86" t="str">
        <f t="shared" si="51"/>
        <v>182637Mix + Intocáveis SC Johnson</v>
      </c>
      <c r="DE279">
        <v>182637</v>
      </c>
      <c r="DF279" t="s">
        <v>366</v>
      </c>
      <c r="DG279" t="s">
        <v>1306</v>
      </c>
      <c r="DH279" t="s">
        <v>103</v>
      </c>
      <c r="DI279" t="s">
        <v>1730</v>
      </c>
      <c r="DJ279" t="s">
        <v>1731</v>
      </c>
      <c r="DK279" t="s">
        <v>459</v>
      </c>
      <c r="DL279">
        <v>36.799999999999997</v>
      </c>
      <c r="DM279">
        <v>40</v>
      </c>
      <c r="DN279">
        <v>98.23</v>
      </c>
      <c r="DP279" s="86" t="str">
        <f t="shared" si="52"/>
        <v>182638Mix + Intocáveis SC Johnson</v>
      </c>
      <c r="DQ279">
        <v>182638</v>
      </c>
      <c r="DR279" t="s">
        <v>399</v>
      </c>
      <c r="DS279" t="s">
        <v>1306</v>
      </c>
      <c r="DT279" t="s">
        <v>103</v>
      </c>
      <c r="DU279" t="s">
        <v>1784</v>
      </c>
      <c r="DV279" t="s">
        <v>1785</v>
      </c>
      <c r="DW279" t="s">
        <v>459</v>
      </c>
      <c r="DX279">
        <v>36.799999999999997</v>
      </c>
      <c r="DY279">
        <v>40</v>
      </c>
      <c r="DZ279">
        <v>98.23</v>
      </c>
    </row>
    <row r="280" spans="1:130" x14ac:dyDescent="0.35">
      <c r="A280" s="86" t="str">
        <f t="shared" si="53"/>
        <v>184604Mix + Intocáveis SC Johnson</v>
      </c>
      <c r="B280">
        <v>184604</v>
      </c>
      <c r="C280" t="s">
        <v>367</v>
      </c>
      <c r="D280" t="s">
        <v>103</v>
      </c>
      <c r="E280" t="s">
        <v>604</v>
      </c>
      <c r="F280" t="s">
        <v>605</v>
      </c>
      <c r="G280" t="s">
        <v>459</v>
      </c>
      <c r="H280">
        <v>31.22</v>
      </c>
      <c r="I280">
        <v>10.6875</v>
      </c>
      <c r="J280">
        <v>45</v>
      </c>
      <c r="L280" s="86" t="str">
        <f t="shared" si="54"/>
        <v>186321Cross Merchan SC Johnson</v>
      </c>
      <c r="M280">
        <v>186321</v>
      </c>
      <c r="N280" t="s">
        <v>354</v>
      </c>
      <c r="O280" t="s">
        <v>758</v>
      </c>
      <c r="P280" t="s">
        <v>103</v>
      </c>
      <c r="Q280" t="s">
        <v>754</v>
      </c>
      <c r="R280" t="s">
        <v>755</v>
      </c>
      <c r="S280" t="s">
        <v>111</v>
      </c>
      <c r="T280">
        <v>8</v>
      </c>
      <c r="U280">
        <v>8</v>
      </c>
      <c r="V280">
        <v>57.49</v>
      </c>
      <c r="X280" s="86" t="str">
        <f t="shared" si="55"/>
        <v>184830Cross Merchan SC Johnson</v>
      </c>
      <c r="Y280">
        <v>184830</v>
      </c>
      <c r="Z280" t="s">
        <v>405</v>
      </c>
      <c r="AA280" t="s">
        <v>36</v>
      </c>
      <c r="AB280" t="s">
        <v>103</v>
      </c>
      <c r="AC280" t="s">
        <v>775</v>
      </c>
      <c r="AD280" t="s">
        <v>776</v>
      </c>
      <c r="AE280" t="s">
        <v>111</v>
      </c>
      <c r="AF280">
        <v>8</v>
      </c>
      <c r="AG280">
        <v>8</v>
      </c>
      <c r="AH280">
        <v>77.05</v>
      </c>
      <c r="AJ280" s="86" t="str">
        <f t="shared" si="56"/>
        <v>184604Share Sub Loc Pao Quente SC Johnson</v>
      </c>
      <c r="AK280">
        <v>184604</v>
      </c>
      <c r="AL280" t="s">
        <v>367</v>
      </c>
      <c r="AM280" t="s">
        <v>539</v>
      </c>
      <c r="AN280" t="s">
        <v>103</v>
      </c>
      <c r="AO280" t="s">
        <v>1025</v>
      </c>
      <c r="AP280" t="s">
        <v>1026</v>
      </c>
      <c r="AQ280" t="s">
        <v>458</v>
      </c>
      <c r="AR280">
        <v>3</v>
      </c>
      <c r="AS280">
        <v>12</v>
      </c>
      <c r="AT280">
        <v>63.54</v>
      </c>
      <c r="AV280" s="86" t="str">
        <f t="shared" si="57"/>
        <v>184830Share Sub Loc Pao Quente SC Johnson</v>
      </c>
      <c r="AW280">
        <v>184830</v>
      </c>
      <c r="AX280" t="s">
        <v>405</v>
      </c>
      <c r="AY280" t="s">
        <v>36</v>
      </c>
      <c r="AZ280" t="s">
        <v>103</v>
      </c>
      <c r="BA280" t="s">
        <v>1123</v>
      </c>
      <c r="BB280" t="s">
        <v>1124</v>
      </c>
      <c r="BC280" t="s">
        <v>458</v>
      </c>
      <c r="BD280">
        <v>6</v>
      </c>
      <c r="BE280">
        <v>12</v>
      </c>
      <c r="BF280">
        <v>59.53</v>
      </c>
      <c r="BH280" s="86" t="str">
        <f t="shared" si="58"/>
        <v>184214Share Sub Loc Pao Quente SC Johnson</v>
      </c>
      <c r="BI280">
        <v>184214</v>
      </c>
      <c r="BJ280" t="s">
        <v>400</v>
      </c>
      <c r="BK280" t="s">
        <v>482</v>
      </c>
      <c r="BL280" t="s">
        <v>103</v>
      </c>
      <c r="BM280" t="s">
        <v>1241</v>
      </c>
      <c r="BN280" t="s">
        <v>1242</v>
      </c>
      <c r="BO280" t="s">
        <v>458</v>
      </c>
      <c r="BP280">
        <v>12</v>
      </c>
      <c r="BQ280">
        <v>12</v>
      </c>
      <c r="BR280">
        <v>70.59</v>
      </c>
      <c r="BT280" s="86" t="str">
        <f t="shared" si="48"/>
        <v>181619Mix + Intocáveis SC Johnson</v>
      </c>
      <c r="BU280">
        <v>181619</v>
      </c>
      <c r="BV280" t="s">
        <v>382</v>
      </c>
      <c r="BW280" t="s">
        <v>1004</v>
      </c>
      <c r="BX280" t="s">
        <v>103</v>
      </c>
      <c r="BY280" t="s">
        <v>1317</v>
      </c>
      <c r="BZ280" t="s">
        <v>1318</v>
      </c>
      <c r="CA280" t="s">
        <v>459</v>
      </c>
      <c r="CB280">
        <v>28</v>
      </c>
      <c r="CC280">
        <v>40</v>
      </c>
      <c r="CD280">
        <v>66</v>
      </c>
      <c r="CF280" s="86" t="str">
        <f t="shared" si="49"/>
        <v>182592Mix + Intocáveis SC Johnson</v>
      </c>
      <c r="CG280">
        <v>182592</v>
      </c>
      <c r="CH280" t="s">
        <v>398</v>
      </c>
      <c r="CI280" t="s">
        <v>482</v>
      </c>
      <c r="CJ280" t="s">
        <v>103</v>
      </c>
      <c r="CK280" t="s">
        <v>1515</v>
      </c>
      <c r="CL280" t="s">
        <v>1516</v>
      </c>
      <c r="CM280" t="s">
        <v>459</v>
      </c>
      <c r="CN280">
        <v>25.6</v>
      </c>
      <c r="CO280">
        <v>40</v>
      </c>
      <c r="CP280">
        <v>84.03</v>
      </c>
      <c r="CR280" s="86" t="str">
        <f t="shared" si="50"/>
        <v>182637Mix + Intocáveis SC Johnson</v>
      </c>
      <c r="CS280">
        <v>182637</v>
      </c>
      <c r="CT280" t="s">
        <v>366</v>
      </c>
      <c r="CU280" t="s">
        <v>1306</v>
      </c>
      <c r="CV280" t="s">
        <v>103</v>
      </c>
      <c r="CW280" t="s">
        <v>1608</v>
      </c>
      <c r="CX280" t="s">
        <v>1609</v>
      </c>
      <c r="CY280" t="s">
        <v>459</v>
      </c>
      <c r="CZ280">
        <v>36.799999999999997</v>
      </c>
      <c r="DA280">
        <v>40</v>
      </c>
      <c r="DB280">
        <v>101.8</v>
      </c>
      <c r="DD280" s="86" t="str">
        <f t="shared" si="51"/>
        <v>182637Execucao Bonus</v>
      </c>
      <c r="DE280">
        <v>182637</v>
      </c>
      <c r="DF280" t="s">
        <v>366</v>
      </c>
      <c r="DG280" t="s">
        <v>1306</v>
      </c>
      <c r="DH280" t="s">
        <v>103</v>
      </c>
      <c r="DI280" t="s">
        <v>1730</v>
      </c>
      <c r="DJ280" t="s">
        <v>1731</v>
      </c>
      <c r="DK280" t="s">
        <v>1291</v>
      </c>
      <c r="DL280">
        <v>5</v>
      </c>
      <c r="DM280">
        <v>5</v>
      </c>
      <c r="DN280">
        <v>98.23</v>
      </c>
      <c r="DP280" s="86" t="str">
        <f t="shared" si="52"/>
        <v>182638Execucao Bonus</v>
      </c>
      <c r="DQ280">
        <v>182638</v>
      </c>
      <c r="DR280" t="s">
        <v>399</v>
      </c>
      <c r="DS280" t="s">
        <v>1306</v>
      </c>
      <c r="DT280" t="s">
        <v>103</v>
      </c>
      <c r="DU280" t="s">
        <v>1784</v>
      </c>
      <c r="DV280" t="s">
        <v>1785</v>
      </c>
      <c r="DW280" t="s">
        <v>1291</v>
      </c>
      <c r="DX280">
        <v>5</v>
      </c>
      <c r="DY280">
        <v>5</v>
      </c>
      <c r="DZ280">
        <v>98.23</v>
      </c>
    </row>
    <row r="281" spans="1:130" x14ac:dyDescent="0.35">
      <c r="A281" s="86" t="str">
        <f t="shared" si="53"/>
        <v>184830Share Sub Category SC Johnson</v>
      </c>
      <c r="B281">
        <v>184830</v>
      </c>
      <c r="C281" t="s">
        <v>405</v>
      </c>
      <c r="D281" t="s">
        <v>103</v>
      </c>
      <c r="E281" t="s">
        <v>606</v>
      </c>
      <c r="F281" t="s">
        <v>607</v>
      </c>
      <c r="G281" t="s">
        <v>457</v>
      </c>
      <c r="H281">
        <v>70.78</v>
      </c>
      <c r="I281">
        <v>25.71</v>
      </c>
      <c r="J281">
        <v>30</v>
      </c>
      <c r="L281" s="86" t="str">
        <f t="shared" si="54"/>
        <v>186321Share Sub Loc Pao Quente SC Johnson</v>
      </c>
      <c r="M281">
        <v>186321</v>
      </c>
      <c r="N281" t="s">
        <v>354</v>
      </c>
      <c r="O281" t="s">
        <v>758</v>
      </c>
      <c r="P281" t="s">
        <v>103</v>
      </c>
      <c r="Q281" t="s">
        <v>754</v>
      </c>
      <c r="R281" t="s">
        <v>755</v>
      </c>
      <c r="S281" t="s">
        <v>458</v>
      </c>
      <c r="T281">
        <v>8.5</v>
      </c>
      <c r="U281">
        <v>17</v>
      </c>
      <c r="V281">
        <v>57.49</v>
      </c>
      <c r="X281" s="86" t="str">
        <f t="shared" si="55"/>
        <v>184830Share Sub Loc Pao Quente SC Johnson</v>
      </c>
      <c r="Y281">
        <v>184830</v>
      </c>
      <c r="Z281" t="s">
        <v>405</v>
      </c>
      <c r="AA281" t="s">
        <v>36</v>
      </c>
      <c r="AB281" t="s">
        <v>103</v>
      </c>
      <c r="AC281" t="s">
        <v>775</v>
      </c>
      <c r="AD281" t="s">
        <v>776</v>
      </c>
      <c r="AE281" t="s">
        <v>458</v>
      </c>
      <c r="AF281">
        <v>12.75</v>
      </c>
      <c r="AG281">
        <v>17</v>
      </c>
      <c r="AH281">
        <v>77.05</v>
      </c>
      <c r="AJ281" s="86" t="str">
        <f t="shared" si="56"/>
        <v>184604Mix + Intocáveis SC Johnson</v>
      </c>
      <c r="AK281">
        <v>184604</v>
      </c>
      <c r="AL281" t="s">
        <v>367</v>
      </c>
      <c r="AM281" t="s">
        <v>539</v>
      </c>
      <c r="AN281" t="s">
        <v>103</v>
      </c>
      <c r="AO281" t="s">
        <v>1025</v>
      </c>
      <c r="AP281" t="s">
        <v>1026</v>
      </c>
      <c r="AQ281" t="s">
        <v>459</v>
      </c>
      <c r="AR281">
        <v>33.04</v>
      </c>
      <c r="AS281">
        <v>40</v>
      </c>
      <c r="AT281">
        <v>63.54</v>
      </c>
      <c r="AV281" s="86" t="str">
        <f t="shared" si="57"/>
        <v>184830Mix + Intocáveis SC Johnson</v>
      </c>
      <c r="AW281">
        <v>184830</v>
      </c>
      <c r="AX281" t="s">
        <v>405</v>
      </c>
      <c r="AY281" t="s">
        <v>36</v>
      </c>
      <c r="AZ281" t="s">
        <v>103</v>
      </c>
      <c r="BA281" t="s">
        <v>1123</v>
      </c>
      <c r="BB281" t="s">
        <v>1124</v>
      </c>
      <c r="BC281" t="s">
        <v>459</v>
      </c>
      <c r="BD281">
        <v>30.44</v>
      </c>
      <c r="BE281">
        <v>40</v>
      </c>
      <c r="BF281">
        <v>59.53</v>
      </c>
      <c r="BH281" s="86" t="str">
        <f t="shared" si="58"/>
        <v>184214Mix + Intocáveis SC Johnson</v>
      </c>
      <c r="BI281">
        <v>184214</v>
      </c>
      <c r="BJ281" t="s">
        <v>400</v>
      </c>
      <c r="BK281" t="s">
        <v>482</v>
      </c>
      <c r="BL281" t="s">
        <v>103</v>
      </c>
      <c r="BM281" t="s">
        <v>1241</v>
      </c>
      <c r="BN281" t="s">
        <v>1242</v>
      </c>
      <c r="BO281" t="s">
        <v>459</v>
      </c>
      <c r="BP281">
        <v>32.159999999999997</v>
      </c>
      <c r="BQ281">
        <v>40</v>
      </c>
      <c r="BR281">
        <v>70.59</v>
      </c>
      <c r="BT281" s="86" t="str">
        <f t="shared" si="48"/>
        <v>181619Share Sub Category SC Johnson</v>
      </c>
      <c r="BU281">
        <v>181619</v>
      </c>
      <c r="BV281" t="s">
        <v>382</v>
      </c>
      <c r="BW281" t="s">
        <v>1004</v>
      </c>
      <c r="BX281" t="s">
        <v>103</v>
      </c>
      <c r="BY281" t="s">
        <v>1317</v>
      </c>
      <c r="BZ281" t="s">
        <v>1318</v>
      </c>
      <c r="CA281" t="s">
        <v>457</v>
      </c>
      <c r="CB281">
        <v>25</v>
      </c>
      <c r="CC281">
        <v>25</v>
      </c>
      <c r="CD281">
        <v>66</v>
      </c>
      <c r="CF281" s="86" t="str">
        <f t="shared" si="49"/>
        <v>182592Share Sub Category SC Johnson</v>
      </c>
      <c r="CG281">
        <v>182592</v>
      </c>
      <c r="CH281" t="s">
        <v>398</v>
      </c>
      <c r="CI281" t="s">
        <v>482</v>
      </c>
      <c r="CJ281" t="s">
        <v>103</v>
      </c>
      <c r="CK281" t="s">
        <v>1515</v>
      </c>
      <c r="CL281" t="s">
        <v>1516</v>
      </c>
      <c r="CM281" t="s">
        <v>457</v>
      </c>
      <c r="CN281">
        <v>21.425000000000001</v>
      </c>
      <c r="CO281">
        <v>25</v>
      </c>
      <c r="CP281">
        <v>84.03</v>
      </c>
      <c r="CR281" s="86" t="str">
        <f t="shared" si="50"/>
        <v>182637Share Sub Category SC Johnson</v>
      </c>
      <c r="CS281">
        <v>182637</v>
      </c>
      <c r="CT281" t="s">
        <v>366</v>
      </c>
      <c r="CU281" t="s">
        <v>1306</v>
      </c>
      <c r="CV281" t="s">
        <v>103</v>
      </c>
      <c r="CW281" t="s">
        <v>1608</v>
      </c>
      <c r="CX281" t="s">
        <v>1609</v>
      </c>
      <c r="CY281" t="s">
        <v>457</v>
      </c>
      <c r="CZ281">
        <v>25</v>
      </c>
      <c r="DA281">
        <v>25</v>
      </c>
      <c r="DB281">
        <v>101.8</v>
      </c>
      <c r="DD281" s="86" t="str">
        <f t="shared" si="51"/>
        <v>182637Cross Merchan SC Johnson</v>
      </c>
      <c r="DE281">
        <v>182637</v>
      </c>
      <c r="DF281" t="s">
        <v>366</v>
      </c>
      <c r="DG281" t="s">
        <v>1306</v>
      </c>
      <c r="DH281" t="s">
        <v>103</v>
      </c>
      <c r="DI281" t="s">
        <v>1730</v>
      </c>
      <c r="DJ281" t="s">
        <v>1731</v>
      </c>
      <c r="DK281" t="s">
        <v>111</v>
      </c>
      <c r="DL281">
        <v>5</v>
      </c>
      <c r="DM281">
        <v>5</v>
      </c>
      <c r="DN281">
        <v>98.23</v>
      </c>
      <c r="DP281" s="86" t="str">
        <f t="shared" si="52"/>
        <v>182638Cross Merchan SC Johnson</v>
      </c>
      <c r="DQ281">
        <v>182638</v>
      </c>
      <c r="DR281" t="s">
        <v>399</v>
      </c>
      <c r="DS281" t="s">
        <v>1306</v>
      </c>
      <c r="DT281" t="s">
        <v>103</v>
      </c>
      <c r="DU281" t="s">
        <v>1784</v>
      </c>
      <c r="DV281" t="s">
        <v>1785</v>
      </c>
      <c r="DW281" t="s">
        <v>111</v>
      </c>
      <c r="DX281">
        <v>5</v>
      </c>
      <c r="DY281">
        <v>5</v>
      </c>
      <c r="DZ281">
        <v>98.23</v>
      </c>
    </row>
    <row r="282" spans="1:130" x14ac:dyDescent="0.35">
      <c r="A282" s="86" t="str">
        <f t="shared" si="53"/>
        <v>184830Cross Merchan SC Johnson</v>
      </c>
      <c r="B282">
        <v>184830</v>
      </c>
      <c r="C282" t="s">
        <v>405</v>
      </c>
      <c r="D282" t="s">
        <v>103</v>
      </c>
      <c r="E282" t="s">
        <v>606</v>
      </c>
      <c r="F282" t="s">
        <v>607</v>
      </c>
      <c r="G282" t="s">
        <v>111</v>
      </c>
      <c r="H282">
        <v>70.78</v>
      </c>
      <c r="I282">
        <v>0</v>
      </c>
      <c r="J282">
        <v>8</v>
      </c>
      <c r="L282" s="86" t="str">
        <f t="shared" si="54"/>
        <v>186321Mix + Intocáveis SC Johnson</v>
      </c>
      <c r="M282">
        <v>186321</v>
      </c>
      <c r="N282" t="s">
        <v>354</v>
      </c>
      <c r="O282" t="s">
        <v>758</v>
      </c>
      <c r="P282" t="s">
        <v>103</v>
      </c>
      <c r="Q282" t="s">
        <v>754</v>
      </c>
      <c r="R282" t="s">
        <v>755</v>
      </c>
      <c r="S282" t="s">
        <v>459</v>
      </c>
      <c r="T282">
        <v>28.125</v>
      </c>
      <c r="U282">
        <v>45</v>
      </c>
      <c r="V282">
        <v>57.49</v>
      </c>
      <c r="X282" s="86" t="str">
        <f t="shared" si="55"/>
        <v>184830Mix + Intocáveis SC Johnson</v>
      </c>
      <c r="Y282">
        <v>184830</v>
      </c>
      <c r="Z282" t="s">
        <v>405</v>
      </c>
      <c r="AA282" t="s">
        <v>36</v>
      </c>
      <c r="AB282" t="s">
        <v>103</v>
      </c>
      <c r="AC282" t="s">
        <v>775</v>
      </c>
      <c r="AD282" t="s">
        <v>776</v>
      </c>
      <c r="AE282" t="s">
        <v>459</v>
      </c>
      <c r="AF282">
        <v>34.875</v>
      </c>
      <c r="AG282">
        <v>45</v>
      </c>
      <c r="AH282">
        <v>77.05</v>
      </c>
      <c r="AJ282" s="86" t="str">
        <f t="shared" si="56"/>
        <v>184604Lancamentos</v>
      </c>
      <c r="AK282">
        <v>184604</v>
      </c>
      <c r="AL282" t="s">
        <v>367</v>
      </c>
      <c r="AM282" t="s">
        <v>539</v>
      </c>
      <c r="AN282" t="s">
        <v>103</v>
      </c>
      <c r="AO282" t="s">
        <v>1025</v>
      </c>
      <c r="AP282" t="s">
        <v>1026</v>
      </c>
      <c r="AQ282" t="s">
        <v>953</v>
      </c>
      <c r="AR282">
        <v>0</v>
      </c>
      <c r="AS282">
        <v>18</v>
      </c>
      <c r="AT282">
        <v>63.54</v>
      </c>
      <c r="AV282" s="86" t="str">
        <f t="shared" si="57"/>
        <v>184830Lancamentos</v>
      </c>
      <c r="AW282">
        <v>184830</v>
      </c>
      <c r="AX282" t="s">
        <v>405</v>
      </c>
      <c r="AY282" t="s">
        <v>36</v>
      </c>
      <c r="AZ282" t="s">
        <v>103</v>
      </c>
      <c r="BA282" t="s">
        <v>1123</v>
      </c>
      <c r="BB282" t="s">
        <v>1124</v>
      </c>
      <c r="BC282" t="s">
        <v>953</v>
      </c>
      <c r="BD282">
        <v>0</v>
      </c>
      <c r="BE282">
        <v>18</v>
      </c>
      <c r="BF282">
        <v>59.53</v>
      </c>
      <c r="BH282" s="86" t="str">
        <f t="shared" si="58"/>
        <v>184214Lancamentos</v>
      </c>
      <c r="BI282">
        <v>184214</v>
      </c>
      <c r="BJ282" t="s">
        <v>400</v>
      </c>
      <c r="BK282" t="s">
        <v>482</v>
      </c>
      <c r="BL282" t="s">
        <v>103</v>
      </c>
      <c r="BM282" t="s">
        <v>1241</v>
      </c>
      <c r="BN282" t="s">
        <v>1242</v>
      </c>
      <c r="BO282" t="s">
        <v>953</v>
      </c>
      <c r="BP282">
        <v>0</v>
      </c>
      <c r="BQ282">
        <v>18</v>
      </c>
      <c r="BR282">
        <v>70.59</v>
      </c>
      <c r="BT282" s="86" t="str">
        <f t="shared" si="48"/>
        <v>181619Share Sub Loc Pao Quente SC Johnson</v>
      </c>
      <c r="BU282">
        <v>181619</v>
      </c>
      <c r="BV282" t="s">
        <v>382</v>
      </c>
      <c r="BW282" t="s">
        <v>1004</v>
      </c>
      <c r="BX282" t="s">
        <v>103</v>
      </c>
      <c r="BY282" t="s">
        <v>1317</v>
      </c>
      <c r="BZ282" t="s">
        <v>1318</v>
      </c>
      <c r="CA282" t="s">
        <v>458</v>
      </c>
      <c r="CB282">
        <v>3</v>
      </c>
      <c r="CC282">
        <v>12</v>
      </c>
      <c r="CD282">
        <v>66</v>
      </c>
      <c r="CF282" s="86" t="str">
        <f t="shared" si="49"/>
        <v>182592Share Sub Loc Pao Quente SC Johnson</v>
      </c>
      <c r="CG282">
        <v>182592</v>
      </c>
      <c r="CH282" t="s">
        <v>398</v>
      </c>
      <c r="CI282" t="s">
        <v>482</v>
      </c>
      <c r="CJ282" t="s">
        <v>103</v>
      </c>
      <c r="CK282" t="s">
        <v>1515</v>
      </c>
      <c r="CL282" t="s">
        <v>1516</v>
      </c>
      <c r="CM282" t="s">
        <v>458</v>
      </c>
      <c r="CN282">
        <v>9</v>
      </c>
      <c r="CO282">
        <v>12</v>
      </c>
      <c r="CP282">
        <v>84.03</v>
      </c>
      <c r="CR282" s="86" t="str">
        <f t="shared" si="50"/>
        <v>182637Share Sub Loc Pao Quente SC Johnson</v>
      </c>
      <c r="CS282">
        <v>182637</v>
      </c>
      <c r="CT282" t="s">
        <v>366</v>
      </c>
      <c r="CU282" t="s">
        <v>1306</v>
      </c>
      <c r="CV282" t="s">
        <v>103</v>
      </c>
      <c r="CW282" t="s">
        <v>1608</v>
      </c>
      <c r="CX282" t="s">
        <v>1609</v>
      </c>
      <c r="CY282" t="s">
        <v>458</v>
      </c>
      <c r="CZ282">
        <v>12</v>
      </c>
      <c r="DA282">
        <v>12</v>
      </c>
      <c r="DB282">
        <v>101.8</v>
      </c>
      <c r="DD282" s="86" t="str">
        <f t="shared" si="51"/>
        <v>182637Lancamentos</v>
      </c>
      <c r="DE282">
        <v>182637</v>
      </c>
      <c r="DF282" t="s">
        <v>366</v>
      </c>
      <c r="DG282" t="s">
        <v>1306</v>
      </c>
      <c r="DH282" t="s">
        <v>103</v>
      </c>
      <c r="DI282" t="s">
        <v>1730</v>
      </c>
      <c r="DJ282" t="s">
        <v>1731</v>
      </c>
      <c r="DK282" t="s">
        <v>953</v>
      </c>
      <c r="DL282">
        <v>18</v>
      </c>
      <c r="DM282">
        <v>18</v>
      </c>
      <c r="DN282">
        <v>98.23</v>
      </c>
      <c r="DP282" s="86" t="str">
        <f t="shared" si="52"/>
        <v>182638Lancamentos</v>
      </c>
      <c r="DQ282">
        <v>182638</v>
      </c>
      <c r="DR282" t="s">
        <v>399</v>
      </c>
      <c r="DS282" t="s">
        <v>1306</v>
      </c>
      <c r="DT282" t="s">
        <v>103</v>
      </c>
      <c r="DU282" t="s">
        <v>1784</v>
      </c>
      <c r="DV282" t="s">
        <v>1785</v>
      </c>
      <c r="DW282" t="s">
        <v>953</v>
      </c>
      <c r="DX282">
        <v>18</v>
      </c>
      <c r="DY282">
        <v>18</v>
      </c>
      <c r="DZ282">
        <v>98.23</v>
      </c>
    </row>
    <row r="283" spans="1:130" x14ac:dyDescent="0.35">
      <c r="A283" s="86" t="str">
        <f t="shared" si="53"/>
        <v>184830Share Sub Loc Pao Quente SC Johnson</v>
      </c>
      <c r="B283">
        <v>184830</v>
      </c>
      <c r="C283" t="s">
        <v>405</v>
      </c>
      <c r="D283" t="s">
        <v>103</v>
      </c>
      <c r="E283" t="s">
        <v>606</v>
      </c>
      <c r="F283" t="s">
        <v>607</v>
      </c>
      <c r="G283" t="s">
        <v>458</v>
      </c>
      <c r="H283">
        <v>70.78</v>
      </c>
      <c r="I283">
        <v>10.199999999999999</v>
      </c>
      <c r="J283">
        <v>17</v>
      </c>
      <c r="L283" s="86" t="str">
        <f t="shared" si="54"/>
        <v>187744Share Sub Category SC Johnson</v>
      </c>
      <c r="M283">
        <v>187744</v>
      </c>
      <c r="N283" t="s">
        <v>355</v>
      </c>
      <c r="O283" t="s">
        <v>36</v>
      </c>
      <c r="P283" t="s">
        <v>103</v>
      </c>
      <c r="Q283" t="s">
        <v>756</v>
      </c>
      <c r="R283" t="s">
        <v>757</v>
      </c>
      <c r="S283" t="s">
        <v>457</v>
      </c>
      <c r="T283">
        <v>25.71</v>
      </c>
      <c r="U283">
        <v>30</v>
      </c>
      <c r="V283">
        <v>73.709999999999994</v>
      </c>
      <c r="X283" s="86" t="str">
        <f t="shared" si="55"/>
        <v>184994Share Sub Category SC Johnson</v>
      </c>
      <c r="Y283">
        <v>184994</v>
      </c>
      <c r="Z283" t="s">
        <v>353</v>
      </c>
      <c r="AA283" t="s">
        <v>460</v>
      </c>
      <c r="AB283" t="s">
        <v>103</v>
      </c>
      <c r="AC283" t="s">
        <v>783</v>
      </c>
      <c r="AD283" t="s">
        <v>784</v>
      </c>
      <c r="AE283" t="s">
        <v>457</v>
      </c>
      <c r="AF283">
        <v>21.42</v>
      </c>
      <c r="AG283">
        <v>30</v>
      </c>
      <c r="AH283">
        <v>70.3</v>
      </c>
      <c r="AJ283" s="86" t="str">
        <f t="shared" si="56"/>
        <v>184830Share Sub Category SC Johnson</v>
      </c>
      <c r="AK283">
        <v>184830</v>
      </c>
      <c r="AL283" t="s">
        <v>405</v>
      </c>
      <c r="AM283" t="s">
        <v>36</v>
      </c>
      <c r="AN283" t="s">
        <v>103</v>
      </c>
      <c r="AO283" t="s">
        <v>947</v>
      </c>
      <c r="AP283" t="s">
        <v>948</v>
      </c>
      <c r="AQ283" t="s">
        <v>457</v>
      </c>
      <c r="AR283">
        <v>21.425000000000001</v>
      </c>
      <c r="AS283">
        <v>25</v>
      </c>
      <c r="AT283">
        <v>61.61</v>
      </c>
      <c r="AV283" s="86" t="str">
        <f t="shared" si="57"/>
        <v>184994Share Sub Category SC Johnson</v>
      </c>
      <c r="AW283">
        <v>184994</v>
      </c>
      <c r="AX283" t="s">
        <v>353</v>
      </c>
      <c r="AY283" t="s">
        <v>460</v>
      </c>
      <c r="AZ283" t="s">
        <v>103</v>
      </c>
      <c r="BA283" t="s">
        <v>1125</v>
      </c>
      <c r="BB283" t="s">
        <v>1126</v>
      </c>
      <c r="BC283" t="s">
        <v>457</v>
      </c>
      <c r="BD283">
        <v>21.425000000000001</v>
      </c>
      <c r="BE283">
        <v>25</v>
      </c>
      <c r="BF283">
        <v>61.17</v>
      </c>
      <c r="BH283" s="86" t="str">
        <f t="shared" si="58"/>
        <v>184215Share Sub Category SC Johnson</v>
      </c>
      <c r="BI283">
        <v>184215</v>
      </c>
      <c r="BJ283" t="s">
        <v>401</v>
      </c>
      <c r="BK283" t="s">
        <v>482</v>
      </c>
      <c r="BL283" t="s">
        <v>103</v>
      </c>
      <c r="BM283" t="s">
        <v>1243</v>
      </c>
      <c r="BN283" t="s">
        <v>1244</v>
      </c>
      <c r="BO283" t="s">
        <v>457</v>
      </c>
      <c r="BP283">
        <v>21.425000000000001</v>
      </c>
      <c r="BQ283">
        <v>25</v>
      </c>
      <c r="BR283">
        <v>63.27</v>
      </c>
      <c r="BT283" s="86" t="str">
        <f t="shared" si="48"/>
        <v>181619Cross Merchan SC Johnson</v>
      </c>
      <c r="BU283">
        <v>181619</v>
      </c>
      <c r="BV283" t="s">
        <v>382</v>
      </c>
      <c r="BW283" t="s">
        <v>1004</v>
      </c>
      <c r="BX283" t="s">
        <v>103</v>
      </c>
      <c r="BY283" t="s">
        <v>1317</v>
      </c>
      <c r="BZ283" t="s">
        <v>1318</v>
      </c>
      <c r="CA283" t="s">
        <v>111</v>
      </c>
      <c r="CB283">
        <v>5</v>
      </c>
      <c r="CC283">
        <v>5</v>
      </c>
      <c r="CD283">
        <v>66</v>
      </c>
      <c r="CF283" s="86" t="str">
        <f t="shared" si="49"/>
        <v>182592Cross Merchan SC Johnson</v>
      </c>
      <c r="CG283">
        <v>182592</v>
      </c>
      <c r="CH283" t="s">
        <v>398</v>
      </c>
      <c r="CI283" t="s">
        <v>482</v>
      </c>
      <c r="CJ283" t="s">
        <v>103</v>
      </c>
      <c r="CK283" t="s">
        <v>1515</v>
      </c>
      <c r="CL283" t="s">
        <v>1516</v>
      </c>
      <c r="CM283" t="s">
        <v>111</v>
      </c>
      <c r="CN283">
        <v>5</v>
      </c>
      <c r="CO283">
        <v>5</v>
      </c>
      <c r="CP283">
        <v>84.03</v>
      </c>
      <c r="CR283" s="86" t="str">
        <f t="shared" si="50"/>
        <v>182637Cross Merchan SC Johnson</v>
      </c>
      <c r="CS283">
        <v>182637</v>
      </c>
      <c r="CT283" t="s">
        <v>366</v>
      </c>
      <c r="CU283" t="s">
        <v>1306</v>
      </c>
      <c r="CV283" t="s">
        <v>103</v>
      </c>
      <c r="CW283" t="s">
        <v>1608</v>
      </c>
      <c r="CX283" t="s">
        <v>1609</v>
      </c>
      <c r="CY283" t="s">
        <v>111</v>
      </c>
      <c r="CZ283">
        <v>5</v>
      </c>
      <c r="DA283">
        <v>5</v>
      </c>
      <c r="DB283">
        <v>101.8</v>
      </c>
      <c r="DD283" s="86" t="str">
        <f t="shared" si="51"/>
        <v>182637Share Sub Category SC Johnson</v>
      </c>
      <c r="DE283">
        <v>182637</v>
      </c>
      <c r="DF283" t="s">
        <v>366</v>
      </c>
      <c r="DG283" t="s">
        <v>1306</v>
      </c>
      <c r="DH283" t="s">
        <v>103</v>
      </c>
      <c r="DI283" t="s">
        <v>1730</v>
      </c>
      <c r="DJ283" t="s">
        <v>1731</v>
      </c>
      <c r="DK283" t="s">
        <v>457</v>
      </c>
      <c r="DL283">
        <v>21.425000000000001</v>
      </c>
      <c r="DM283">
        <v>25</v>
      </c>
      <c r="DN283">
        <v>98.23</v>
      </c>
      <c r="DP283" s="86" t="str">
        <f t="shared" si="52"/>
        <v>182638Share Sub Category SC Johnson</v>
      </c>
      <c r="DQ283">
        <v>182638</v>
      </c>
      <c r="DR283" t="s">
        <v>399</v>
      </c>
      <c r="DS283" t="s">
        <v>1306</v>
      </c>
      <c r="DT283" t="s">
        <v>103</v>
      </c>
      <c r="DU283" t="s">
        <v>1784</v>
      </c>
      <c r="DV283" t="s">
        <v>1785</v>
      </c>
      <c r="DW283" t="s">
        <v>457</v>
      </c>
      <c r="DX283">
        <v>21.425000000000001</v>
      </c>
      <c r="DY283">
        <v>25</v>
      </c>
      <c r="DZ283">
        <v>98.23</v>
      </c>
    </row>
    <row r="284" spans="1:130" x14ac:dyDescent="0.35">
      <c r="A284" s="86" t="str">
        <f t="shared" si="53"/>
        <v>184830Mix + Intocáveis SC Johnson</v>
      </c>
      <c r="B284">
        <v>184830</v>
      </c>
      <c r="C284" t="s">
        <v>405</v>
      </c>
      <c r="D284" t="s">
        <v>103</v>
      </c>
      <c r="E284" t="s">
        <v>606</v>
      </c>
      <c r="F284" t="s">
        <v>607</v>
      </c>
      <c r="G284" t="s">
        <v>459</v>
      </c>
      <c r="H284">
        <v>70.78</v>
      </c>
      <c r="I284">
        <v>34.875</v>
      </c>
      <c r="J284">
        <v>45</v>
      </c>
      <c r="L284" s="86" t="str">
        <f t="shared" si="54"/>
        <v>187744Cross Merchan SC Johnson</v>
      </c>
      <c r="M284">
        <v>187744</v>
      </c>
      <c r="N284" t="s">
        <v>355</v>
      </c>
      <c r="O284" t="s">
        <v>36</v>
      </c>
      <c r="P284" t="s">
        <v>103</v>
      </c>
      <c r="Q284" t="s">
        <v>756</v>
      </c>
      <c r="R284" t="s">
        <v>757</v>
      </c>
      <c r="S284" t="s">
        <v>111</v>
      </c>
      <c r="T284">
        <v>8</v>
      </c>
      <c r="U284">
        <v>8</v>
      </c>
      <c r="V284">
        <v>73.709999999999994</v>
      </c>
      <c r="X284" s="86" t="str">
        <f t="shared" si="55"/>
        <v>184994Cross Merchan SC Johnson</v>
      </c>
      <c r="Y284">
        <v>184994</v>
      </c>
      <c r="Z284" t="s">
        <v>353</v>
      </c>
      <c r="AA284" t="s">
        <v>460</v>
      </c>
      <c r="AB284" t="s">
        <v>103</v>
      </c>
      <c r="AC284" t="s">
        <v>783</v>
      </c>
      <c r="AD284" t="s">
        <v>784</v>
      </c>
      <c r="AE284" t="s">
        <v>111</v>
      </c>
      <c r="AF284">
        <v>8</v>
      </c>
      <c r="AG284">
        <v>8</v>
      </c>
      <c r="AH284">
        <v>70.3</v>
      </c>
      <c r="AJ284" s="86" t="str">
        <f t="shared" si="56"/>
        <v>184830Cross Merchan SC Johnson</v>
      </c>
      <c r="AK284">
        <v>184830</v>
      </c>
      <c r="AL284" t="s">
        <v>405</v>
      </c>
      <c r="AM284" t="s">
        <v>36</v>
      </c>
      <c r="AN284" t="s">
        <v>103</v>
      </c>
      <c r="AO284" t="s">
        <v>947</v>
      </c>
      <c r="AP284" t="s">
        <v>948</v>
      </c>
      <c r="AQ284" t="s">
        <v>111</v>
      </c>
      <c r="AR284">
        <v>2.5</v>
      </c>
      <c r="AS284">
        <v>5</v>
      </c>
      <c r="AT284">
        <v>61.61</v>
      </c>
      <c r="AV284" s="86" t="str">
        <f t="shared" si="57"/>
        <v>184994Cross Merchan SC Johnson</v>
      </c>
      <c r="AW284">
        <v>184994</v>
      </c>
      <c r="AX284" t="s">
        <v>353</v>
      </c>
      <c r="AY284" t="s">
        <v>460</v>
      </c>
      <c r="AZ284" t="s">
        <v>103</v>
      </c>
      <c r="BA284" t="s">
        <v>1125</v>
      </c>
      <c r="BB284" t="s">
        <v>1126</v>
      </c>
      <c r="BC284" t="s">
        <v>111</v>
      </c>
      <c r="BD284">
        <v>1.665</v>
      </c>
      <c r="BE284">
        <v>5</v>
      </c>
      <c r="BF284">
        <v>61.17</v>
      </c>
      <c r="BH284" s="86" t="str">
        <f t="shared" si="58"/>
        <v>184215Cross Merchan SC Johnson</v>
      </c>
      <c r="BI284">
        <v>184215</v>
      </c>
      <c r="BJ284" t="s">
        <v>401</v>
      </c>
      <c r="BK284" t="s">
        <v>482</v>
      </c>
      <c r="BL284" t="s">
        <v>103</v>
      </c>
      <c r="BM284" t="s">
        <v>1243</v>
      </c>
      <c r="BN284" t="s">
        <v>1244</v>
      </c>
      <c r="BO284" t="s">
        <v>111</v>
      </c>
      <c r="BP284">
        <v>5</v>
      </c>
      <c r="BQ284">
        <v>5</v>
      </c>
      <c r="BR284">
        <v>63.27</v>
      </c>
      <c r="BT284" s="86" t="str">
        <f t="shared" si="48"/>
        <v>181619Execucao Bonus</v>
      </c>
      <c r="BU284">
        <v>181619</v>
      </c>
      <c r="BV284" t="s">
        <v>382</v>
      </c>
      <c r="BW284" t="s">
        <v>1004</v>
      </c>
      <c r="BX284" t="s">
        <v>103</v>
      </c>
      <c r="BY284" t="s">
        <v>1317</v>
      </c>
      <c r="BZ284" t="s">
        <v>1318</v>
      </c>
      <c r="CA284" t="s">
        <v>1291</v>
      </c>
      <c r="CB284">
        <v>5</v>
      </c>
      <c r="CC284">
        <v>5</v>
      </c>
      <c r="CD284">
        <v>66</v>
      </c>
      <c r="CF284" s="86" t="str">
        <f t="shared" si="49"/>
        <v>182592Execucao Bonus</v>
      </c>
      <c r="CG284">
        <v>182592</v>
      </c>
      <c r="CH284" t="s">
        <v>398</v>
      </c>
      <c r="CI284" t="s">
        <v>482</v>
      </c>
      <c r="CJ284" t="s">
        <v>103</v>
      </c>
      <c r="CK284" t="s">
        <v>1515</v>
      </c>
      <c r="CL284" t="s">
        <v>1516</v>
      </c>
      <c r="CM284" t="s">
        <v>1291</v>
      </c>
      <c r="CN284">
        <v>5</v>
      </c>
      <c r="CO284">
        <v>5</v>
      </c>
      <c r="CP284">
        <v>84.03</v>
      </c>
      <c r="CR284" s="86" t="str">
        <f t="shared" si="50"/>
        <v>182637Execucao Bonus</v>
      </c>
      <c r="CS284">
        <v>182637</v>
      </c>
      <c r="CT284" t="s">
        <v>366</v>
      </c>
      <c r="CU284" t="s">
        <v>1306</v>
      </c>
      <c r="CV284" t="s">
        <v>103</v>
      </c>
      <c r="CW284" t="s">
        <v>1608</v>
      </c>
      <c r="CX284" t="s">
        <v>1609</v>
      </c>
      <c r="CY284" t="s">
        <v>1291</v>
      </c>
      <c r="CZ284">
        <v>3.2</v>
      </c>
      <c r="DA284">
        <v>5</v>
      </c>
      <c r="DB284">
        <v>101.8</v>
      </c>
      <c r="DD284" s="86" t="str">
        <f t="shared" si="51"/>
        <v>182637Share Sub Loc Pao Quente SC Johnson</v>
      </c>
      <c r="DE284">
        <v>182637</v>
      </c>
      <c r="DF284" t="s">
        <v>366</v>
      </c>
      <c r="DG284" t="s">
        <v>1306</v>
      </c>
      <c r="DH284" t="s">
        <v>103</v>
      </c>
      <c r="DI284" t="s">
        <v>1730</v>
      </c>
      <c r="DJ284" t="s">
        <v>1731</v>
      </c>
      <c r="DK284" t="s">
        <v>458</v>
      </c>
      <c r="DL284">
        <v>12</v>
      </c>
      <c r="DM284">
        <v>12</v>
      </c>
      <c r="DN284">
        <v>98.23</v>
      </c>
      <c r="DP284" s="86" t="str">
        <f t="shared" si="52"/>
        <v>182638Share Sub Loc Pao Quente SC Johnson</v>
      </c>
      <c r="DQ284">
        <v>182638</v>
      </c>
      <c r="DR284" t="s">
        <v>399</v>
      </c>
      <c r="DS284" t="s">
        <v>1306</v>
      </c>
      <c r="DT284" t="s">
        <v>103</v>
      </c>
      <c r="DU284" t="s">
        <v>1784</v>
      </c>
      <c r="DV284" t="s">
        <v>1785</v>
      </c>
      <c r="DW284" t="s">
        <v>458</v>
      </c>
      <c r="DX284">
        <v>12</v>
      </c>
      <c r="DY284">
        <v>12</v>
      </c>
      <c r="DZ284">
        <v>98.23</v>
      </c>
    </row>
    <row r="285" spans="1:130" x14ac:dyDescent="0.35">
      <c r="A285" s="86" t="str">
        <f t="shared" si="53"/>
        <v>184994Share Sub Category SC Johnson</v>
      </c>
      <c r="B285">
        <v>184994</v>
      </c>
      <c r="C285" t="s">
        <v>353</v>
      </c>
      <c r="D285" t="s">
        <v>103</v>
      </c>
      <c r="E285" t="s">
        <v>608</v>
      </c>
      <c r="F285" t="s">
        <v>609</v>
      </c>
      <c r="G285" t="s">
        <v>457</v>
      </c>
      <c r="H285">
        <v>78.81</v>
      </c>
      <c r="I285">
        <v>25.71</v>
      </c>
      <c r="J285">
        <v>30</v>
      </c>
      <c r="L285" s="86" t="str">
        <f t="shared" si="54"/>
        <v>187744Share Sub Loc Pao Quente SC Johnson</v>
      </c>
      <c r="M285">
        <v>187744</v>
      </c>
      <c r="N285" t="s">
        <v>355</v>
      </c>
      <c r="O285" t="s">
        <v>36</v>
      </c>
      <c r="P285" t="s">
        <v>103</v>
      </c>
      <c r="Q285" t="s">
        <v>756</v>
      </c>
      <c r="R285" t="s">
        <v>757</v>
      </c>
      <c r="S285" t="s">
        <v>458</v>
      </c>
      <c r="T285">
        <v>8.5</v>
      </c>
      <c r="U285">
        <v>17</v>
      </c>
      <c r="V285">
        <v>73.709999999999994</v>
      </c>
      <c r="X285" s="86" t="str">
        <f t="shared" si="55"/>
        <v>184994Share Sub Loc Pao Quente SC Johnson</v>
      </c>
      <c r="Y285">
        <v>184994</v>
      </c>
      <c r="Z285" t="s">
        <v>353</v>
      </c>
      <c r="AA285" t="s">
        <v>460</v>
      </c>
      <c r="AB285" t="s">
        <v>103</v>
      </c>
      <c r="AC285" t="s">
        <v>783</v>
      </c>
      <c r="AD285" t="s">
        <v>784</v>
      </c>
      <c r="AE285" t="s">
        <v>458</v>
      </c>
      <c r="AF285">
        <v>12.75</v>
      </c>
      <c r="AG285">
        <v>17</v>
      </c>
      <c r="AH285">
        <v>70.3</v>
      </c>
      <c r="AJ285" s="86" t="str">
        <f t="shared" si="56"/>
        <v>184830Share Sub Loc Pao Quente SC Johnson</v>
      </c>
      <c r="AK285">
        <v>184830</v>
      </c>
      <c r="AL285" t="s">
        <v>405</v>
      </c>
      <c r="AM285" t="s">
        <v>36</v>
      </c>
      <c r="AN285" t="s">
        <v>103</v>
      </c>
      <c r="AO285" t="s">
        <v>947</v>
      </c>
      <c r="AP285" t="s">
        <v>948</v>
      </c>
      <c r="AQ285" t="s">
        <v>458</v>
      </c>
      <c r="AR285">
        <v>9</v>
      </c>
      <c r="AS285">
        <v>12</v>
      </c>
      <c r="AT285">
        <v>61.61</v>
      </c>
      <c r="AV285" s="86" t="str">
        <f t="shared" si="57"/>
        <v>184994Share Sub Loc Pao Quente SC Johnson</v>
      </c>
      <c r="AW285">
        <v>184994</v>
      </c>
      <c r="AX285" t="s">
        <v>353</v>
      </c>
      <c r="AY285" t="s">
        <v>460</v>
      </c>
      <c r="AZ285" t="s">
        <v>103</v>
      </c>
      <c r="BA285" t="s">
        <v>1125</v>
      </c>
      <c r="BB285" t="s">
        <v>1126</v>
      </c>
      <c r="BC285" t="s">
        <v>458</v>
      </c>
      <c r="BD285">
        <v>12</v>
      </c>
      <c r="BE285">
        <v>12</v>
      </c>
      <c r="BF285">
        <v>61.17</v>
      </c>
      <c r="BH285" s="86" t="str">
        <f t="shared" si="58"/>
        <v>184215Share Sub Loc Pao Quente SC Johnson</v>
      </c>
      <c r="BI285">
        <v>184215</v>
      </c>
      <c r="BJ285" t="s">
        <v>401</v>
      </c>
      <c r="BK285" t="s">
        <v>482</v>
      </c>
      <c r="BL285" t="s">
        <v>103</v>
      </c>
      <c r="BM285" t="s">
        <v>1243</v>
      </c>
      <c r="BN285" t="s">
        <v>1244</v>
      </c>
      <c r="BO285" t="s">
        <v>458</v>
      </c>
      <c r="BP285">
        <v>9</v>
      </c>
      <c r="BQ285">
        <v>12</v>
      </c>
      <c r="BR285">
        <v>63.27</v>
      </c>
      <c r="BT285" s="86" t="str">
        <f t="shared" si="48"/>
        <v>181800Lancamentos</v>
      </c>
      <c r="BU285">
        <v>181800</v>
      </c>
      <c r="BV285" t="s">
        <v>348</v>
      </c>
      <c r="BW285" t="s">
        <v>477</v>
      </c>
      <c r="BX285" t="s">
        <v>103</v>
      </c>
      <c r="BY285" t="s">
        <v>1398</v>
      </c>
      <c r="BZ285" t="s">
        <v>1399</v>
      </c>
      <c r="CA285" t="s">
        <v>953</v>
      </c>
      <c r="CB285">
        <v>9</v>
      </c>
      <c r="CC285">
        <v>18</v>
      </c>
      <c r="CD285">
        <v>48.12</v>
      </c>
      <c r="CF285" s="86" t="str">
        <f t="shared" si="49"/>
        <v>182637Lancamentos</v>
      </c>
      <c r="CG285">
        <v>182637</v>
      </c>
      <c r="CH285" t="s">
        <v>366</v>
      </c>
      <c r="CI285" t="s">
        <v>1306</v>
      </c>
      <c r="CJ285" t="s">
        <v>103</v>
      </c>
      <c r="CK285" t="s">
        <v>1479</v>
      </c>
      <c r="CL285" t="s">
        <v>1480</v>
      </c>
      <c r="CM285" t="s">
        <v>953</v>
      </c>
      <c r="CN285">
        <v>9</v>
      </c>
      <c r="CO285">
        <v>18</v>
      </c>
      <c r="CP285">
        <v>85.22</v>
      </c>
      <c r="CR285" s="86" t="str">
        <f t="shared" si="50"/>
        <v>182638Lancamentos</v>
      </c>
      <c r="CS285">
        <v>182638</v>
      </c>
      <c r="CT285" t="s">
        <v>399</v>
      </c>
      <c r="CU285" t="s">
        <v>1306</v>
      </c>
      <c r="CV285" t="s">
        <v>103</v>
      </c>
      <c r="CW285" t="s">
        <v>1564</v>
      </c>
      <c r="CX285" t="s">
        <v>1565</v>
      </c>
      <c r="CY285" t="s">
        <v>953</v>
      </c>
      <c r="CZ285">
        <v>18</v>
      </c>
      <c r="DA285">
        <v>18</v>
      </c>
      <c r="DB285">
        <v>96.8</v>
      </c>
      <c r="DD285" s="86" t="str">
        <f t="shared" si="51"/>
        <v>182638Mix + Intocáveis SC Johnson</v>
      </c>
      <c r="DE285">
        <v>182638</v>
      </c>
      <c r="DF285" t="s">
        <v>399</v>
      </c>
      <c r="DG285" t="s">
        <v>1306</v>
      </c>
      <c r="DH285" t="s">
        <v>103</v>
      </c>
      <c r="DI285" t="s">
        <v>1732</v>
      </c>
      <c r="DJ285" t="s">
        <v>1733</v>
      </c>
      <c r="DK285" t="s">
        <v>459</v>
      </c>
      <c r="DL285">
        <v>36.799999999999997</v>
      </c>
      <c r="DM285">
        <v>40</v>
      </c>
      <c r="DN285">
        <v>100</v>
      </c>
      <c r="DP285" s="86" t="str">
        <f t="shared" si="52"/>
        <v>182640Mix + Intocáveis SC Johnson</v>
      </c>
      <c r="DQ285">
        <v>182640</v>
      </c>
      <c r="DR285" t="s">
        <v>351</v>
      </c>
      <c r="DS285" t="s">
        <v>1306</v>
      </c>
      <c r="DT285" t="s">
        <v>103</v>
      </c>
      <c r="DU285" t="s">
        <v>1786</v>
      </c>
      <c r="DV285" t="s">
        <v>1787</v>
      </c>
      <c r="DW285" t="s">
        <v>459</v>
      </c>
      <c r="DX285">
        <v>34.4</v>
      </c>
      <c r="DY285">
        <v>40</v>
      </c>
      <c r="DZ285">
        <v>99.4</v>
      </c>
    </row>
    <row r="286" spans="1:130" x14ac:dyDescent="0.35">
      <c r="A286" s="86" t="str">
        <f t="shared" si="53"/>
        <v>184994Cross Merchan SC Johnson</v>
      </c>
      <c r="B286">
        <v>184994</v>
      </c>
      <c r="C286" t="s">
        <v>353</v>
      </c>
      <c r="D286" t="s">
        <v>103</v>
      </c>
      <c r="E286" t="s">
        <v>608</v>
      </c>
      <c r="F286" t="s">
        <v>609</v>
      </c>
      <c r="G286" t="s">
        <v>111</v>
      </c>
      <c r="H286">
        <v>78.81</v>
      </c>
      <c r="I286">
        <v>8</v>
      </c>
      <c r="J286">
        <v>8</v>
      </c>
      <c r="L286" s="86" t="str">
        <f t="shared" si="54"/>
        <v>187744Mix + Intocáveis SC Johnson</v>
      </c>
      <c r="M286">
        <v>187744</v>
      </c>
      <c r="N286" t="s">
        <v>355</v>
      </c>
      <c r="O286" t="s">
        <v>36</v>
      </c>
      <c r="P286" t="s">
        <v>103</v>
      </c>
      <c r="Q286" t="s">
        <v>756</v>
      </c>
      <c r="R286" t="s">
        <v>757</v>
      </c>
      <c r="S286" t="s">
        <v>459</v>
      </c>
      <c r="T286">
        <v>31.5</v>
      </c>
      <c r="U286">
        <v>45</v>
      </c>
      <c r="V286">
        <v>73.709999999999994</v>
      </c>
      <c r="X286" s="86" t="str">
        <f t="shared" si="55"/>
        <v>184994Mix + Intocáveis SC Johnson</v>
      </c>
      <c r="Y286">
        <v>184994</v>
      </c>
      <c r="Z286" t="s">
        <v>353</v>
      </c>
      <c r="AA286" t="s">
        <v>460</v>
      </c>
      <c r="AB286" t="s">
        <v>103</v>
      </c>
      <c r="AC286" t="s">
        <v>783</v>
      </c>
      <c r="AD286" t="s">
        <v>784</v>
      </c>
      <c r="AE286" t="s">
        <v>459</v>
      </c>
      <c r="AF286">
        <v>28.125</v>
      </c>
      <c r="AG286">
        <v>45</v>
      </c>
      <c r="AH286">
        <v>70.3</v>
      </c>
      <c r="AJ286" s="86" t="str">
        <f t="shared" si="56"/>
        <v>184830Mix + Intocáveis SC Johnson</v>
      </c>
      <c r="AK286">
        <v>184830</v>
      </c>
      <c r="AL286" t="s">
        <v>405</v>
      </c>
      <c r="AM286" t="s">
        <v>36</v>
      </c>
      <c r="AN286" t="s">
        <v>103</v>
      </c>
      <c r="AO286" t="s">
        <v>947</v>
      </c>
      <c r="AP286" t="s">
        <v>948</v>
      </c>
      <c r="AQ286" t="s">
        <v>459</v>
      </c>
      <c r="AR286">
        <v>28.68</v>
      </c>
      <c r="AS286">
        <v>40</v>
      </c>
      <c r="AT286">
        <v>61.61</v>
      </c>
      <c r="AV286" s="86" t="str">
        <f t="shared" si="57"/>
        <v>184994Mix + Intocáveis SC Johnson</v>
      </c>
      <c r="AW286">
        <v>184994</v>
      </c>
      <c r="AX286" t="s">
        <v>353</v>
      </c>
      <c r="AY286" t="s">
        <v>460</v>
      </c>
      <c r="AZ286" t="s">
        <v>103</v>
      </c>
      <c r="BA286" t="s">
        <v>1125</v>
      </c>
      <c r="BB286" t="s">
        <v>1126</v>
      </c>
      <c r="BC286" t="s">
        <v>459</v>
      </c>
      <c r="BD286">
        <v>26.08</v>
      </c>
      <c r="BE286">
        <v>40</v>
      </c>
      <c r="BF286">
        <v>61.17</v>
      </c>
      <c r="BH286" s="86" t="str">
        <f t="shared" si="58"/>
        <v>184215Mix + Intocáveis SC Johnson</v>
      </c>
      <c r="BI286">
        <v>184215</v>
      </c>
      <c r="BJ286" t="s">
        <v>401</v>
      </c>
      <c r="BK286" t="s">
        <v>482</v>
      </c>
      <c r="BL286" t="s">
        <v>103</v>
      </c>
      <c r="BM286" t="s">
        <v>1243</v>
      </c>
      <c r="BN286" t="s">
        <v>1244</v>
      </c>
      <c r="BO286" t="s">
        <v>459</v>
      </c>
      <c r="BP286">
        <v>27.84</v>
      </c>
      <c r="BQ286">
        <v>40</v>
      </c>
      <c r="BR286">
        <v>63.27</v>
      </c>
      <c r="BT286" s="86" t="str">
        <f t="shared" si="48"/>
        <v>181800Mix + Intocáveis SC Johnson</v>
      </c>
      <c r="BU286">
        <v>181800</v>
      </c>
      <c r="BV286" t="s">
        <v>348</v>
      </c>
      <c r="BW286" t="s">
        <v>477</v>
      </c>
      <c r="BX286" t="s">
        <v>103</v>
      </c>
      <c r="BY286" t="s">
        <v>1398</v>
      </c>
      <c r="BZ286" t="s">
        <v>1399</v>
      </c>
      <c r="CA286" t="s">
        <v>459</v>
      </c>
      <c r="CB286">
        <v>13.6</v>
      </c>
      <c r="CC286">
        <v>40</v>
      </c>
      <c r="CD286">
        <v>48.12</v>
      </c>
      <c r="CF286" s="86" t="str">
        <f t="shared" si="49"/>
        <v>182637Mix + Intocáveis SC Johnson</v>
      </c>
      <c r="CG286">
        <v>182637</v>
      </c>
      <c r="CH286" t="s">
        <v>366</v>
      </c>
      <c r="CI286" t="s">
        <v>1306</v>
      </c>
      <c r="CJ286" t="s">
        <v>103</v>
      </c>
      <c r="CK286" t="s">
        <v>1479</v>
      </c>
      <c r="CL286" t="s">
        <v>1480</v>
      </c>
      <c r="CM286" t="s">
        <v>459</v>
      </c>
      <c r="CN286">
        <v>32.799999999999997</v>
      </c>
      <c r="CO286">
        <v>40</v>
      </c>
      <c r="CP286">
        <v>85.22</v>
      </c>
      <c r="CR286" s="86" t="str">
        <f t="shared" si="50"/>
        <v>182638Mix + Intocáveis SC Johnson</v>
      </c>
      <c r="CS286">
        <v>182638</v>
      </c>
      <c r="CT286" t="s">
        <v>399</v>
      </c>
      <c r="CU286" t="s">
        <v>1306</v>
      </c>
      <c r="CV286" t="s">
        <v>103</v>
      </c>
      <c r="CW286" t="s">
        <v>1564</v>
      </c>
      <c r="CX286" t="s">
        <v>1565</v>
      </c>
      <c r="CY286" t="s">
        <v>459</v>
      </c>
      <c r="CZ286">
        <v>36.799999999999997</v>
      </c>
      <c r="DA286">
        <v>40</v>
      </c>
      <c r="DB286">
        <v>96.8</v>
      </c>
      <c r="DD286" s="86" t="str">
        <f t="shared" si="51"/>
        <v>182638Execucao Bonus</v>
      </c>
      <c r="DE286">
        <v>182638</v>
      </c>
      <c r="DF286" t="s">
        <v>399</v>
      </c>
      <c r="DG286" t="s">
        <v>1306</v>
      </c>
      <c r="DH286" t="s">
        <v>103</v>
      </c>
      <c r="DI286" t="s">
        <v>1732</v>
      </c>
      <c r="DJ286" t="s">
        <v>1733</v>
      </c>
      <c r="DK286" t="s">
        <v>1291</v>
      </c>
      <c r="DL286">
        <v>3.2</v>
      </c>
      <c r="DM286">
        <v>5</v>
      </c>
      <c r="DN286">
        <v>100</v>
      </c>
      <c r="DP286" s="86" t="str">
        <f t="shared" si="52"/>
        <v>182640Execucao Bonus</v>
      </c>
      <c r="DQ286">
        <v>182640</v>
      </c>
      <c r="DR286" t="s">
        <v>351</v>
      </c>
      <c r="DS286" t="s">
        <v>1306</v>
      </c>
      <c r="DT286" t="s">
        <v>103</v>
      </c>
      <c r="DU286" t="s">
        <v>1786</v>
      </c>
      <c r="DV286" t="s">
        <v>1787</v>
      </c>
      <c r="DW286" t="s">
        <v>1291</v>
      </c>
      <c r="DX286">
        <v>5</v>
      </c>
      <c r="DY286">
        <v>5</v>
      </c>
      <c r="DZ286">
        <v>99.4</v>
      </c>
    </row>
    <row r="287" spans="1:130" x14ac:dyDescent="0.35">
      <c r="A287" s="86" t="str">
        <f t="shared" si="53"/>
        <v>184994Share Sub Loc Pao Quente SC Johnson</v>
      </c>
      <c r="B287">
        <v>184994</v>
      </c>
      <c r="C287" t="s">
        <v>353</v>
      </c>
      <c r="D287" t="s">
        <v>103</v>
      </c>
      <c r="E287" t="s">
        <v>608</v>
      </c>
      <c r="F287" t="s">
        <v>609</v>
      </c>
      <c r="G287" t="s">
        <v>458</v>
      </c>
      <c r="H287">
        <v>78.81</v>
      </c>
      <c r="I287">
        <v>13.6</v>
      </c>
      <c r="J287">
        <v>17</v>
      </c>
      <c r="X287" s="86" t="str">
        <f t="shared" si="55"/>
        <v>185710Share Sub Category SC Johnson</v>
      </c>
      <c r="Y287">
        <v>185710</v>
      </c>
      <c r="Z287" t="s">
        <v>368</v>
      </c>
      <c r="AA287" t="s">
        <v>104</v>
      </c>
      <c r="AB287" t="s">
        <v>103</v>
      </c>
      <c r="AC287" t="s">
        <v>845</v>
      </c>
      <c r="AD287" t="s">
        <v>846</v>
      </c>
      <c r="AE287" t="s">
        <v>457</v>
      </c>
      <c r="AF287">
        <v>25.71</v>
      </c>
      <c r="AG287">
        <v>30</v>
      </c>
      <c r="AH287">
        <v>75.459999999999994</v>
      </c>
      <c r="AJ287" s="86" t="str">
        <f t="shared" si="56"/>
        <v>184830Lancamentos</v>
      </c>
      <c r="AK287">
        <v>184830</v>
      </c>
      <c r="AL287" t="s">
        <v>405</v>
      </c>
      <c r="AM287" t="s">
        <v>36</v>
      </c>
      <c r="AN287" t="s">
        <v>103</v>
      </c>
      <c r="AO287" t="s">
        <v>947</v>
      </c>
      <c r="AP287" t="s">
        <v>948</v>
      </c>
      <c r="AQ287" t="s">
        <v>953</v>
      </c>
      <c r="AR287">
        <v>0</v>
      </c>
      <c r="AS287">
        <v>18</v>
      </c>
      <c r="AT287">
        <v>61.61</v>
      </c>
      <c r="AV287" s="86" t="str">
        <f t="shared" si="57"/>
        <v>184994Lancamentos</v>
      </c>
      <c r="AW287">
        <v>184994</v>
      </c>
      <c r="AX287" t="s">
        <v>353</v>
      </c>
      <c r="AY287" t="s">
        <v>460</v>
      </c>
      <c r="AZ287" t="s">
        <v>103</v>
      </c>
      <c r="BA287" t="s">
        <v>1125</v>
      </c>
      <c r="BB287" t="s">
        <v>1126</v>
      </c>
      <c r="BC287" t="s">
        <v>953</v>
      </c>
      <c r="BD287">
        <v>0</v>
      </c>
      <c r="BE287">
        <v>18</v>
      </c>
      <c r="BF287">
        <v>61.17</v>
      </c>
      <c r="BH287" s="86" t="str">
        <f t="shared" si="58"/>
        <v>184215Lancamentos</v>
      </c>
      <c r="BI287">
        <v>184215</v>
      </c>
      <c r="BJ287" t="s">
        <v>401</v>
      </c>
      <c r="BK287" t="s">
        <v>482</v>
      </c>
      <c r="BL287" t="s">
        <v>103</v>
      </c>
      <c r="BM287" t="s">
        <v>1243</v>
      </c>
      <c r="BN287" t="s">
        <v>1244</v>
      </c>
      <c r="BO287" t="s">
        <v>953</v>
      </c>
      <c r="BP287">
        <v>0</v>
      </c>
      <c r="BQ287">
        <v>18</v>
      </c>
      <c r="BR287">
        <v>63.27</v>
      </c>
      <c r="BT287" s="86" t="str">
        <f t="shared" si="48"/>
        <v>181800Share Sub Category SC Johnson</v>
      </c>
      <c r="BU287">
        <v>181800</v>
      </c>
      <c r="BV287" t="s">
        <v>348</v>
      </c>
      <c r="BW287" t="s">
        <v>477</v>
      </c>
      <c r="BX287" t="s">
        <v>103</v>
      </c>
      <c r="BY287" t="s">
        <v>1398</v>
      </c>
      <c r="BZ287" t="s">
        <v>1399</v>
      </c>
      <c r="CA287" t="s">
        <v>457</v>
      </c>
      <c r="CB287">
        <v>17.850000000000001</v>
      </c>
      <c r="CC287">
        <v>25</v>
      </c>
      <c r="CD287">
        <v>48.12</v>
      </c>
      <c r="CF287" s="86" t="str">
        <f t="shared" si="49"/>
        <v>182637Share Sub Category SC Johnson</v>
      </c>
      <c r="CG287">
        <v>182637</v>
      </c>
      <c r="CH287" t="s">
        <v>366</v>
      </c>
      <c r="CI287" t="s">
        <v>1306</v>
      </c>
      <c r="CJ287" t="s">
        <v>103</v>
      </c>
      <c r="CK287" t="s">
        <v>1479</v>
      </c>
      <c r="CL287" t="s">
        <v>1480</v>
      </c>
      <c r="CM287" t="s">
        <v>457</v>
      </c>
      <c r="CN287">
        <v>21.425000000000001</v>
      </c>
      <c r="CO287">
        <v>25</v>
      </c>
      <c r="CP287">
        <v>85.22</v>
      </c>
      <c r="CR287" s="86" t="str">
        <f t="shared" si="50"/>
        <v>182638Share Sub Category SC Johnson</v>
      </c>
      <c r="CS287">
        <v>182638</v>
      </c>
      <c r="CT287" t="s">
        <v>399</v>
      </c>
      <c r="CU287" t="s">
        <v>1306</v>
      </c>
      <c r="CV287" t="s">
        <v>103</v>
      </c>
      <c r="CW287" t="s">
        <v>1564</v>
      </c>
      <c r="CX287" t="s">
        <v>1565</v>
      </c>
      <c r="CY287" t="s">
        <v>457</v>
      </c>
      <c r="CZ287">
        <v>25</v>
      </c>
      <c r="DA287">
        <v>25</v>
      </c>
      <c r="DB287">
        <v>96.8</v>
      </c>
      <c r="DD287" s="86" t="str">
        <f t="shared" si="51"/>
        <v>182638Cross Merchan SC Johnson</v>
      </c>
      <c r="DE287">
        <v>182638</v>
      </c>
      <c r="DF287" t="s">
        <v>399</v>
      </c>
      <c r="DG287" t="s">
        <v>1306</v>
      </c>
      <c r="DH287" t="s">
        <v>103</v>
      </c>
      <c r="DI287" t="s">
        <v>1732</v>
      </c>
      <c r="DJ287" t="s">
        <v>1733</v>
      </c>
      <c r="DK287" t="s">
        <v>111</v>
      </c>
      <c r="DL287">
        <v>5</v>
      </c>
      <c r="DM287">
        <v>5</v>
      </c>
      <c r="DN287">
        <v>100</v>
      </c>
      <c r="DP287" s="86" t="str">
        <f t="shared" si="52"/>
        <v>182640Cross Merchan SC Johnson</v>
      </c>
      <c r="DQ287">
        <v>182640</v>
      </c>
      <c r="DR287" t="s">
        <v>351</v>
      </c>
      <c r="DS287" t="s">
        <v>1306</v>
      </c>
      <c r="DT287" t="s">
        <v>103</v>
      </c>
      <c r="DU287" t="s">
        <v>1786</v>
      </c>
      <c r="DV287" t="s">
        <v>1787</v>
      </c>
      <c r="DW287" t="s">
        <v>111</v>
      </c>
      <c r="DX287">
        <v>5</v>
      </c>
      <c r="DY287">
        <v>5</v>
      </c>
      <c r="DZ287">
        <v>99.4</v>
      </c>
    </row>
    <row r="288" spans="1:130" x14ac:dyDescent="0.35">
      <c r="A288" s="86" t="str">
        <f t="shared" si="53"/>
        <v>184994Mix + Intocáveis SC Johnson</v>
      </c>
      <c r="B288">
        <v>184994</v>
      </c>
      <c r="C288" t="s">
        <v>353</v>
      </c>
      <c r="D288" t="s">
        <v>103</v>
      </c>
      <c r="E288" t="s">
        <v>608</v>
      </c>
      <c r="F288" t="s">
        <v>609</v>
      </c>
      <c r="G288" t="s">
        <v>459</v>
      </c>
      <c r="H288">
        <v>78.81</v>
      </c>
      <c r="I288">
        <v>31.5</v>
      </c>
      <c r="J288">
        <v>45</v>
      </c>
      <c r="X288" s="86" t="str">
        <f t="shared" si="55"/>
        <v>185710Cross Merchan SC Johnson</v>
      </c>
      <c r="Y288">
        <v>185710</v>
      </c>
      <c r="Z288" t="s">
        <v>368</v>
      </c>
      <c r="AA288" t="s">
        <v>104</v>
      </c>
      <c r="AB288" t="s">
        <v>103</v>
      </c>
      <c r="AC288" t="s">
        <v>845</v>
      </c>
      <c r="AD288" t="s">
        <v>846</v>
      </c>
      <c r="AE288" t="s">
        <v>111</v>
      </c>
      <c r="AF288">
        <v>8</v>
      </c>
      <c r="AG288">
        <v>8</v>
      </c>
      <c r="AH288">
        <v>75.459999999999994</v>
      </c>
      <c r="AJ288" s="86" t="str">
        <f t="shared" si="56"/>
        <v>186321Share Sub Category SC Johnson</v>
      </c>
      <c r="AK288">
        <v>186321</v>
      </c>
      <c r="AL288" t="s">
        <v>354</v>
      </c>
      <c r="AM288" t="s">
        <v>36</v>
      </c>
      <c r="AN288" t="s">
        <v>103</v>
      </c>
      <c r="AO288" t="s">
        <v>949</v>
      </c>
      <c r="AP288" t="s">
        <v>950</v>
      </c>
      <c r="AQ288" t="s">
        <v>457</v>
      </c>
      <c r="AR288">
        <v>17.850000000000001</v>
      </c>
      <c r="AS288">
        <v>25</v>
      </c>
      <c r="AT288">
        <v>56.71</v>
      </c>
      <c r="AV288" s="86" t="str">
        <f t="shared" si="57"/>
        <v>186321Share Sub Category SC Johnson</v>
      </c>
      <c r="AW288">
        <v>186321</v>
      </c>
      <c r="AX288" t="s">
        <v>354</v>
      </c>
      <c r="AY288" t="s">
        <v>36</v>
      </c>
      <c r="AZ288" t="s">
        <v>103</v>
      </c>
      <c r="BA288" t="s">
        <v>1127</v>
      </c>
      <c r="BB288" t="s">
        <v>1128</v>
      </c>
      <c r="BC288" t="s">
        <v>457</v>
      </c>
      <c r="BD288">
        <v>17.850000000000001</v>
      </c>
      <c r="BE288">
        <v>25</v>
      </c>
      <c r="BF288">
        <v>53.35</v>
      </c>
      <c r="BH288" s="86" t="str">
        <f t="shared" si="58"/>
        <v>184217Share Sub Category SC Johnson</v>
      </c>
      <c r="BI288">
        <v>184217</v>
      </c>
      <c r="BJ288" t="s">
        <v>402</v>
      </c>
      <c r="BK288" t="s">
        <v>482</v>
      </c>
      <c r="BL288" t="s">
        <v>103</v>
      </c>
      <c r="BM288" t="s">
        <v>1245</v>
      </c>
      <c r="BN288" t="s">
        <v>1246</v>
      </c>
      <c r="BO288" t="s">
        <v>457</v>
      </c>
      <c r="BP288">
        <v>21.425000000000001</v>
      </c>
      <c r="BQ288">
        <v>25</v>
      </c>
      <c r="BR288">
        <v>59.05</v>
      </c>
      <c r="BT288" s="86" t="str">
        <f t="shared" si="48"/>
        <v>181800Share Sub Loc Pao Quente SC Johnson</v>
      </c>
      <c r="BU288">
        <v>181800</v>
      </c>
      <c r="BV288" t="s">
        <v>348</v>
      </c>
      <c r="BW288" t="s">
        <v>477</v>
      </c>
      <c r="BX288" t="s">
        <v>103</v>
      </c>
      <c r="BY288" t="s">
        <v>1398</v>
      </c>
      <c r="BZ288" t="s">
        <v>1399</v>
      </c>
      <c r="CA288" t="s">
        <v>458</v>
      </c>
      <c r="CB288">
        <v>6</v>
      </c>
      <c r="CC288">
        <v>12</v>
      </c>
      <c r="CD288">
        <v>48.12</v>
      </c>
      <c r="CF288" s="86" t="str">
        <f t="shared" si="49"/>
        <v>182637Share Sub Loc Pao Quente SC Johnson</v>
      </c>
      <c r="CG288">
        <v>182637</v>
      </c>
      <c r="CH288" t="s">
        <v>366</v>
      </c>
      <c r="CI288" t="s">
        <v>1306</v>
      </c>
      <c r="CJ288" t="s">
        <v>103</v>
      </c>
      <c r="CK288" t="s">
        <v>1479</v>
      </c>
      <c r="CL288" t="s">
        <v>1480</v>
      </c>
      <c r="CM288" t="s">
        <v>458</v>
      </c>
      <c r="CN288">
        <v>12</v>
      </c>
      <c r="CO288">
        <v>12</v>
      </c>
      <c r="CP288">
        <v>85.22</v>
      </c>
      <c r="CR288" s="86" t="str">
        <f t="shared" si="50"/>
        <v>182638Share Sub Loc Pao Quente SC Johnson</v>
      </c>
      <c r="CS288">
        <v>182638</v>
      </c>
      <c r="CT288" t="s">
        <v>399</v>
      </c>
      <c r="CU288" t="s">
        <v>1306</v>
      </c>
      <c r="CV288" t="s">
        <v>103</v>
      </c>
      <c r="CW288" t="s">
        <v>1564</v>
      </c>
      <c r="CX288" t="s">
        <v>1565</v>
      </c>
      <c r="CY288" t="s">
        <v>458</v>
      </c>
      <c r="CZ288">
        <v>12</v>
      </c>
      <c r="DA288">
        <v>12</v>
      </c>
      <c r="DB288">
        <v>96.8</v>
      </c>
      <c r="DD288" s="86" t="str">
        <f t="shared" si="51"/>
        <v>182638Lancamentos</v>
      </c>
      <c r="DE288">
        <v>182638</v>
      </c>
      <c r="DF288" t="s">
        <v>399</v>
      </c>
      <c r="DG288" t="s">
        <v>1306</v>
      </c>
      <c r="DH288" t="s">
        <v>103</v>
      </c>
      <c r="DI288" t="s">
        <v>1732</v>
      </c>
      <c r="DJ288" t="s">
        <v>1733</v>
      </c>
      <c r="DK288" t="s">
        <v>953</v>
      </c>
      <c r="DL288">
        <v>18</v>
      </c>
      <c r="DM288">
        <v>18</v>
      </c>
      <c r="DN288">
        <v>100</v>
      </c>
      <c r="DP288" s="86" t="str">
        <f t="shared" si="52"/>
        <v>182640Lancamentos</v>
      </c>
      <c r="DQ288">
        <v>182640</v>
      </c>
      <c r="DR288" t="s">
        <v>351</v>
      </c>
      <c r="DS288" t="s">
        <v>1306</v>
      </c>
      <c r="DT288" t="s">
        <v>103</v>
      </c>
      <c r="DU288" t="s">
        <v>1786</v>
      </c>
      <c r="DV288" t="s">
        <v>1787</v>
      </c>
      <c r="DW288" t="s">
        <v>953</v>
      </c>
      <c r="DX288">
        <v>18</v>
      </c>
      <c r="DY288">
        <v>18</v>
      </c>
      <c r="DZ288">
        <v>99.4</v>
      </c>
    </row>
    <row r="289" spans="1:130" x14ac:dyDescent="0.35">
      <c r="A289" s="86" t="str">
        <f t="shared" si="53"/>
        <v>185710Share Sub Category SC Johnson</v>
      </c>
      <c r="B289">
        <v>185710</v>
      </c>
      <c r="C289" t="s">
        <v>368</v>
      </c>
      <c r="D289" t="s">
        <v>103</v>
      </c>
      <c r="E289" t="s">
        <v>610</v>
      </c>
      <c r="F289" t="s">
        <v>611</v>
      </c>
      <c r="G289" t="s">
        <v>457</v>
      </c>
      <c r="H289">
        <v>37.450000000000003</v>
      </c>
      <c r="I289">
        <v>17.13</v>
      </c>
      <c r="J289">
        <v>30</v>
      </c>
      <c r="X289" s="86" t="str">
        <f t="shared" si="55"/>
        <v>185710Share Sub Loc Pao Quente SC Johnson</v>
      </c>
      <c r="Y289">
        <v>185710</v>
      </c>
      <c r="Z289" t="s">
        <v>368</v>
      </c>
      <c r="AA289" t="s">
        <v>104</v>
      </c>
      <c r="AB289" t="s">
        <v>103</v>
      </c>
      <c r="AC289" t="s">
        <v>845</v>
      </c>
      <c r="AD289" t="s">
        <v>846</v>
      </c>
      <c r="AE289" t="s">
        <v>458</v>
      </c>
      <c r="AF289">
        <v>17</v>
      </c>
      <c r="AG289">
        <v>17</v>
      </c>
      <c r="AH289">
        <v>75.459999999999994</v>
      </c>
      <c r="AJ289" s="86" t="str">
        <f t="shared" si="56"/>
        <v>186321Cross Merchan SC Johnson</v>
      </c>
      <c r="AK289">
        <v>186321</v>
      </c>
      <c r="AL289" t="s">
        <v>354</v>
      </c>
      <c r="AM289" t="s">
        <v>36</v>
      </c>
      <c r="AN289" t="s">
        <v>103</v>
      </c>
      <c r="AO289" t="s">
        <v>949</v>
      </c>
      <c r="AP289" t="s">
        <v>950</v>
      </c>
      <c r="AQ289" t="s">
        <v>111</v>
      </c>
      <c r="AR289">
        <v>2.5</v>
      </c>
      <c r="AS289">
        <v>5</v>
      </c>
      <c r="AT289">
        <v>56.71</v>
      </c>
      <c r="AV289" s="86" t="str">
        <f t="shared" si="57"/>
        <v>186321Cross Merchan SC Johnson</v>
      </c>
      <c r="AW289">
        <v>186321</v>
      </c>
      <c r="AX289" t="s">
        <v>354</v>
      </c>
      <c r="AY289" t="s">
        <v>36</v>
      </c>
      <c r="AZ289" t="s">
        <v>103</v>
      </c>
      <c r="BA289" t="s">
        <v>1127</v>
      </c>
      <c r="BB289" t="s">
        <v>1128</v>
      </c>
      <c r="BC289" t="s">
        <v>111</v>
      </c>
      <c r="BD289">
        <v>1.665</v>
      </c>
      <c r="BE289">
        <v>5</v>
      </c>
      <c r="BF289">
        <v>53.35</v>
      </c>
      <c r="BH289" s="86" t="str">
        <f t="shared" si="58"/>
        <v>184217Cross Merchan SC Johnson</v>
      </c>
      <c r="BI289">
        <v>184217</v>
      </c>
      <c r="BJ289" t="s">
        <v>402</v>
      </c>
      <c r="BK289" t="s">
        <v>482</v>
      </c>
      <c r="BL289" t="s">
        <v>103</v>
      </c>
      <c r="BM289" t="s">
        <v>1245</v>
      </c>
      <c r="BN289" t="s">
        <v>1246</v>
      </c>
      <c r="BO289" t="s">
        <v>111</v>
      </c>
      <c r="BP289">
        <v>1.665</v>
      </c>
      <c r="BQ289">
        <v>5</v>
      </c>
      <c r="BR289">
        <v>59.05</v>
      </c>
      <c r="BT289" s="86" t="str">
        <f t="shared" si="48"/>
        <v>181800Cross Merchan SC Johnson</v>
      </c>
      <c r="BU289">
        <v>181800</v>
      </c>
      <c r="BV289" t="s">
        <v>348</v>
      </c>
      <c r="BW289" t="s">
        <v>477</v>
      </c>
      <c r="BX289" t="s">
        <v>103</v>
      </c>
      <c r="BY289" t="s">
        <v>1398</v>
      </c>
      <c r="BZ289" t="s">
        <v>1399</v>
      </c>
      <c r="CA289" t="s">
        <v>111</v>
      </c>
      <c r="CB289">
        <v>1.665</v>
      </c>
      <c r="CC289">
        <v>5</v>
      </c>
      <c r="CD289">
        <v>48.12</v>
      </c>
      <c r="CF289" s="86" t="str">
        <f t="shared" si="49"/>
        <v>182637Cross Merchan SC Johnson</v>
      </c>
      <c r="CG289">
        <v>182637</v>
      </c>
      <c r="CH289" t="s">
        <v>366</v>
      </c>
      <c r="CI289" t="s">
        <v>1306</v>
      </c>
      <c r="CJ289" t="s">
        <v>103</v>
      </c>
      <c r="CK289" t="s">
        <v>1479</v>
      </c>
      <c r="CL289" t="s">
        <v>1480</v>
      </c>
      <c r="CM289" t="s">
        <v>111</v>
      </c>
      <c r="CN289">
        <v>5</v>
      </c>
      <c r="CO289">
        <v>5</v>
      </c>
      <c r="CP289">
        <v>85.22</v>
      </c>
      <c r="CR289" s="86" t="str">
        <f t="shared" si="50"/>
        <v>182638Cross Merchan SC Johnson</v>
      </c>
      <c r="CS289">
        <v>182638</v>
      </c>
      <c r="CT289" t="s">
        <v>399</v>
      </c>
      <c r="CU289" t="s">
        <v>1306</v>
      </c>
      <c r="CV289" t="s">
        <v>103</v>
      </c>
      <c r="CW289" t="s">
        <v>1564</v>
      </c>
      <c r="CX289" t="s">
        <v>1565</v>
      </c>
      <c r="CY289" t="s">
        <v>111</v>
      </c>
      <c r="CZ289">
        <v>5</v>
      </c>
      <c r="DA289">
        <v>5</v>
      </c>
      <c r="DB289">
        <v>96.8</v>
      </c>
      <c r="DD289" s="86" t="str">
        <f t="shared" si="51"/>
        <v>182638Share Sub Category SC Johnson</v>
      </c>
      <c r="DE289">
        <v>182638</v>
      </c>
      <c r="DF289" t="s">
        <v>399</v>
      </c>
      <c r="DG289" t="s">
        <v>1306</v>
      </c>
      <c r="DH289" t="s">
        <v>103</v>
      </c>
      <c r="DI289" t="s">
        <v>1732</v>
      </c>
      <c r="DJ289" t="s">
        <v>1733</v>
      </c>
      <c r="DK289" t="s">
        <v>457</v>
      </c>
      <c r="DL289">
        <v>25</v>
      </c>
      <c r="DM289">
        <v>25</v>
      </c>
      <c r="DN289">
        <v>100</v>
      </c>
      <c r="DP289" s="86" t="str">
        <f t="shared" si="52"/>
        <v>182640Share Sub Category SC Johnson</v>
      </c>
      <c r="DQ289">
        <v>182640</v>
      </c>
      <c r="DR289" t="s">
        <v>351</v>
      </c>
      <c r="DS289" t="s">
        <v>1306</v>
      </c>
      <c r="DT289" t="s">
        <v>103</v>
      </c>
      <c r="DU289" t="s">
        <v>1786</v>
      </c>
      <c r="DV289" t="s">
        <v>1787</v>
      </c>
      <c r="DW289" t="s">
        <v>457</v>
      </c>
      <c r="DX289">
        <v>25</v>
      </c>
      <c r="DY289">
        <v>25</v>
      </c>
      <c r="DZ289">
        <v>99.4</v>
      </c>
    </row>
    <row r="290" spans="1:130" x14ac:dyDescent="0.35">
      <c r="A290" s="86" t="str">
        <f t="shared" si="53"/>
        <v>185710Cross Merchan SC Johnson</v>
      </c>
      <c r="B290">
        <v>185710</v>
      </c>
      <c r="C290" t="s">
        <v>368</v>
      </c>
      <c r="D290" t="s">
        <v>103</v>
      </c>
      <c r="E290" t="s">
        <v>610</v>
      </c>
      <c r="F290" t="s">
        <v>611</v>
      </c>
      <c r="G290" t="s">
        <v>111</v>
      </c>
      <c r="H290">
        <v>37.450000000000003</v>
      </c>
      <c r="I290">
        <v>0</v>
      </c>
      <c r="J290">
        <v>8</v>
      </c>
      <c r="X290" s="86" t="str">
        <f t="shared" si="55"/>
        <v>185710Mix + Intocáveis SC Johnson</v>
      </c>
      <c r="Y290">
        <v>185710</v>
      </c>
      <c r="Z290" t="s">
        <v>368</v>
      </c>
      <c r="AA290" t="s">
        <v>104</v>
      </c>
      <c r="AB290" t="s">
        <v>103</v>
      </c>
      <c r="AC290" t="s">
        <v>845</v>
      </c>
      <c r="AD290" t="s">
        <v>846</v>
      </c>
      <c r="AE290" t="s">
        <v>459</v>
      </c>
      <c r="AF290">
        <v>24.75</v>
      </c>
      <c r="AG290">
        <v>45</v>
      </c>
      <c r="AH290">
        <v>75.459999999999994</v>
      </c>
      <c r="AJ290" s="86" t="str">
        <f t="shared" si="56"/>
        <v>186321Share Sub Loc Pao Quente SC Johnson</v>
      </c>
      <c r="AK290">
        <v>186321</v>
      </c>
      <c r="AL290" t="s">
        <v>354</v>
      </c>
      <c r="AM290" t="s">
        <v>36</v>
      </c>
      <c r="AN290" t="s">
        <v>103</v>
      </c>
      <c r="AO290" t="s">
        <v>949</v>
      </c>
      <c r="AP290" t="s">
        <v>950</v>
      </c>
      <c r="AQ290" t="s">
        <v>458</v>
      </c>
      <c r="AR290">
        <v>12</v>
      </c>
      <c r="AS290">
        <v>12</v>
      </c>
      <c r="AT290">
        <v>56.71</v>
      </c>
      <c r="AV290" s="86" t="str">
        <f t="shared" si="57"/>
        <v>186321Share Sub Loc Pao Quente SC Johnson</v>
      </c>
      <c r="AW290">
        <v>186321</v>
      </c>
      <c r="AX290" t="s">
        <v>354</v>
      </c>
      <c r="AY290" t="s">
        <v>36</v>
      </c>
      <c r="AZ290" t="s">
        <v>103</v>
      </c>
      <c r="BA290" t="s">
        <v>1127</v>
      </c>
      <c r="BB290" t="s">
        <v>1128</v>
      </c>
      <c r="BC290" t="s">
        <v>458</v>
      </c>
      <c r="BD290">
        <v>6</v>
      </c>
      <c r="BE290">
        <v>12</v>
      </c>
      <c r="BF290">
        <v>53.35</v>
      </c>
      <c r="BH290" s="86" t="str">
        <f t="shared" si="58"/>
        <v>184217Share Sub Loc Pao Quente SC Johnson</v>
      </c>
      <c r="BI290">
        <v>184217</v>
      </c>
      <c r="BJ290" t="s">
        <v>402</v>
      </c>
      <c r="BK290" t="s">
        <v>482</v>
      </c>
      <c r="BL290" t="s">
        <v>103</v>
      </c>
      <c r="BM290" t="s">
        <v>1245</v>
      </c>
      <c r="BN290" t="s">
        <v>1246</v>
      </c>
      <c r="BO290" t="s">
        <v>458</v>
      </c>
      <c r="BP290">
        <v>9</v>
      </c>
      <c r="BQ290">
        <v>12</v>
      </c>
      <c r="BR290">
        <v>59.05</v>
      </c>
      <c r="BT290" s="86" t="str">
        <f t="shared" si="48"/>
        <v>181800Execucao Bonus</v>
      </c>
      <c r="BU290">
        <v>181800</v>
      </c>
      <c r="BV290" t="s">
        <v>348</v>
      </c>
      <c r="BW290" t="s">
        <v>477</v>
      </c>
      <c r="BX290" t="s">
        <v>103</v>
      </c>
      <c r="BY290" t="s">
        <v>1398</v>
      </c>
      <c r="BZ290" t="s">
        <v>1399</v>
      </c>
      <c r="CA290" t="s">
        <v>1291</v>
      </c>
      <c r="CB290">
        <v>0</v>
      </c>
      <c r="CC290">
        <v>5</v>
      </c>
      <c r="CD290">
        <v>48.12</v>
      </c>
      <c r="CF290" s="86" t="str">
        <f t="shared" si="49"/>
        <v>182637Execucao Bonus</v>
      </c>
      <c r="CG290">
        <v>182637</v>
      </c>
      <c r="CH290" t="s">
        <v>366</v>
      </c>
      <c r="CI290" t="s">
        <v>1306</v>
      </c>
      <c r="CJ290" t="s">
        <v>103</v>
      </c>
      <c r="CK290" t="s">
        <v>1479</v>
      </c>
      <c r="CL290" t="s">
        <v>1480</v>
      </c>
      <c r="CM290" t="s">
        <v>1291</v>
      </c>
      <c r="CN290">
        <v>5</v>
      </c>
      <c r="CO290">
        <v>5</v>
      </c>
      <c r="CP290">
        <v>85.22</v>
      </c>
      <c r="CR290" s="86" t="str">
        <f t="shared" si="50"/>
        <v>182638Execucao Bonus</v>
      </c>
      <c r="CS290">
        <v>182638</v>
      </c>
      <c r="CT290" t="s">
        <v>399</v>
      </c>
      <c r="CU290" t="s">
        <v>1306</v>
      </c>
      <c r="CV290" t="s">
        <v>103</v>
      </c>
      <c r="CW290" t="s">
        <v>1564</v>
      </c>
      <c r="CX290" t="s">
        <v>1565</v>
      </c>
      <c r="CY290" t="s">
        <v>1291</v>
      </c>
      <c r="CZ290">
        <v>0</v>
      </c>
      <c r="DA290">
        <v>5</v>
      </c>
      <c r="DB290">
        <v>96.8</v>
      </c>
      <c r="DD290" s="86" t="str">
        <f t="shared" si="51"/>
        <v>182638Share Sub Loc Pao Quente SC Johnson</v>
      </c>
      <c r="DE290">
        <v>182638</v>
      </c>
      <c r="DF290" t="s">
        <v>399</v>
      </c>
      <c r="DG290" t="s">
        <v>1306</v>
      </c>
      <c r="DH290" t="s">
        <v>103</v>
      </c>
      <c r="DI290" t="s">
        <v>1732</v>
      </c>
      <c r="DJ290" t="s">
        <v>1733</v>
      </c>
      <c r="DK290" t="s">
        <v>458</v>
      </c>
      <c r="DL290">
        <v>12</v>
      </c>
      <c r="DM290">
        <v>12</v>
      </c>
      <c r="DN290">
        <v>100</v>
      </c>
      <c r="DP290" s="86" t="str">
        <f t="shared" si="52"/>
        <v>182640Share Sub Loc Pao Quente SC Johnson</v>
      </c>
      <c r="DQ290">
        <v>182640</v>
      </c>
      <c r="DR290" t="s">
        <v>351</v>
      </c>
      <c r="DS290" t="s">
        <v>1306</v>
      </c>
      <c r="DT290" t="s">
        <v>103</v>
      </c>
      <c r="DU290" t="s">
        <v>1786</v>
      </c>
      <c r="DV290" t="s">
        <v>1787</v>
      </c>
      <c r="DW290" t="s">
        <v>458</v>
      </c>
      <c r="DX290">
        <v>12</v>
      </c>
      <c r="DY290">
        <v>12</v>
      </c>
      <c r="DZ290">
        <v>99.4</v>
      </c>
    </row>
    <row r="291" spans="1:130" x14ac:dyDescent="0.35">
      <c r="A291" s="86" t="str">
        <f t="shared" si="53"/>
        <v>185710Share Sub Loc Pao Quente SC Johnson</v>
      </c>
      <c r="B291">
        <v>185710</v>
      </c>
      <c r="C291" t="s">
        <v>368</v>
      </c>
      <c r="D291" t="s">
        <v>103</v>
      </c>
      <c r="E291" t="s">
        <v>610</v>
      </c>
      <c r="F291" t="s">
        <v>611</v>
      </c>
      <c r="G291" t="s">
        <v>458</v>
      </c>
      <c r="H291">
        <v>37.450000000000003</v>
      </c>
      <c r="I291">
        <v>10.199999999999999</v>
      </c>
      <c r="J291">
        <v>17</v>
      </c>
      <c r="X291" s="86" t="str">
        <f t="shared" si="55"/>
        <v>186321Share Sub Category SC Johnson</v>
      </c>
      <c r="Y291">
        <v>186321</v>
      </c>
      <c r="Z291" t="s">
        <v>354</v>
      </c>
      <c r="AA291" t="s">
        <v>36</v>
      </c>
      <c r="AB291" t="s">
        <v>103</v>
      </c>
      <c r="AC291" t="s">
        <v>777</v>
      </c>
      <c r="AD291" t="s">
        <v>778</v>
      </c>
      <c r="AE291" t="s">
        <v>457</v>
      </c>
      <c r="AF291">
        <v>21.42</v>
      </c>
      <c r="AG291">
        <v>30</v>
      </c>
      <c r="AH291">
        <v>73.42</v>
      </c>
      <c r="AJ291" s="86" t="str">
        <f t="shared" si="56"/>
        <v>186321Mix + Intocáveis SC Johnson</v>
      </c>
      <c r="AK291">
        <v>186321</v>
      </c>
      <c r="AL291" t="s">
        <v>354</v>
      </c>
      <c r="AM291" t="s">
        <v>36</v>
      </c>
      <c r="AN291" t="s">
        <v>103</v>
      </c>
      <c r="AO291" t="s">
        <v>949</v>
      </c>
      <c r="AP291" t="s">
        <v>950</v>
      </c>
      <c r="AQ291" t="s">
        <v>459</v>
      </c>
      <c r="AR291">
        <v>24.36</v>
      </c>
      <c r="AS291">
        <v>40</v>
      </c>
      <c r="AT291">
        <v>56.71</v>
      </c>
      <c r="AV291" s="86" t="str">
        <f t="shared" si="57"/>
        <v>186321Mix + Intocáveis SC Johnson</v>
      </c>
      <c r="AW291">
        <v>186321</v>
      </c>
      <c r="AX291" t="s">
        <v>354</v>
      </c>
      <c r="AY291" t="s">
        <v>36</v>
      </c>
      <c r="AZ291" t="s">
        <v>103</v>
      </c>
      <c r="BA291" t="s">
        <v>1127</v>
      </c>
      <c r="BB291" t="s">
        <v>1128</v>
      </c>
      <c r="BC291" t="s">
        <v>459</v>
      </c>
      <c r="BD291">
        <v>27.84</v>
      </c>
      <c r="BE291">
        <v>40</v>
      </c>
      <c r="BF291">
        <v>53.35</v>
      </c>
      <c r="BH291" s="86" t="str">
        <f t="shared" si="58"/>
        <v>184217Mix + Intocáveis SC Johnson</v>
      </c>
      <c r="BI291">
        <v>184217</v>
      </c>
      <c r="BJ291" t="s">
        <v>402</v>
      </c>
      <c r="BK291" t="s">
        <v>482</v>
      </c>
      <c r="BL291" t="s">
        <v>103</v>
      </c>
      <c r="BM291" t="s">
        <v>1245</v>
      </c>
      <c r="BN291" t="s">
        <v>1246</v>
      </c>
      <c r="BO291" t="s">
        <v>459</v>
      </c>
      <c r="BP291">
        <v>26.96</v>
      </c>
      <c r="BQ291">
        <v>40</v>
      </c>
      <c r="BR291">
        <v>59.05</v>
      </c>
      <c r="BT291" s="86" t="str">
        <f t="shared" si="48"/>
        <v>182592Lancamentos</v>
      </c>
      <c r="BU291">
        <v>182592</v>
      </c>
      <c r="BV291" t="s">
        <v>398</v>
      </c>
      <c r="BW291" t="s">
        <v>482</v>
      </c>
      <c r="BX291" t="s">
        <v>103</v>
      </c>
      <c r="BY291" t="s">
        <v>1341</v>
      </c>
      <c r="BZ291" t="s">
        <v>1342</v>
      </c>
      <c r="CA291" t="s">
        <v>953</v>
      </c>
      <c r="CB291">
        <v>9</v>
      </c>
      <c r="CC291">
        <v>18</v>
      </c>
      <c r="CD291">
        <v>82.03</v>
      </c>
      <c r="CF291" s="86" t="str">
        <f t="shared" si="49"/>
        <v>182640Lancamentos</v>
      </c>
      <c r="CG291">
        <v>182640</v>
      </c>
      <c r="CH291" t="s">
        <v>351</v>
      </c>
      <c r="CI291" t="s">
        <v>1306</v>
      </c>
      <c r="CJ291" t="s">
        <v>103</v>
      </c>
      <c r="CK291" t="s">
        <v>1414</v>
      </c>
      <c r="CL291" t="s">
        <v>1415</v>
      </c>
      <c r="CM291" t="s">
        <v>953</v>
      </c>
      <c r="CN291">
        <v>9</v>
      </c>
      <c r="CO291">
        <v>18</v>
      </c>
      <c r="CP291">
        <v>72.62</v>
      </c>
      <c r="CR291" s="86" t="str">
        <f t="shared" si="50"/>
        <v>182640Lancamentos</v>
      </c>
      <c r="CS291">
        <v>182640</v>
      </c>
      <c r="CT291" t="s">
        <v>351</v>
      </c>
      <c r="CU291" t="s">
        <v>1306</v>
      </c>
      <c r="CV291" t="s">
        <v>103</v>
      </c>
      <c r="CW291" t="s">
        <v>1534</v>
      </c>
      <c r="CX291" t="s">
        <v>1535</v>
      </c>
      <c r="CY291" t="s">
        <v>953</v>
      </c>
      <c r="CZ291">
        <v>18</v>
      </c>
      <c r="DA291">
        <v>18</v>
      </c>
      <c r="DB291">
        <v>101</v>
      </c>
      <c r="DD291" s="86" t="str">
        <f t="shared" si="51"/>
        <v>182640Mix + Intocáveis SC Johnson</v>
      </c>
      <c r="DE291">
        <v>182640</v>
      </c>
      <c r="DF291" t="s">
        <v>351</v>
      </c>
      <c r="DG291" t="s">
        <v>1306</v>
      </c>
      <c r="DH291" t="s">
        <v>103</v>
      </c>
      <c r="DI291" t="s">
        <v>1734</v>
      </c>
      <c r="DJ291" t="s">
        <v>1735</v>
      </c>
      <c r="DK291" t="s">
        <v>459</v>
      </c>
      <c r="DL291">
        <v>34.4</v>
      </c>
      <c r="DM291">
        <v>40</v>
      </c>
      <c r="DN291">
        <v>99.4</v>
      </c>
      <c r="DP291" s="86" t="str">
        <f t="shared" si="52"/>
        <v>182641Mix + Intocáveis SC Johnson</v>
      </c>
      <c r="DQ291">
        <v>182641</v>
      </c>
      <c r="DR291" t="s">
        <v>352</v>
      </c>
      <c r="DS291" t="s">
        <v>1306</v>
      </c>
      <c r="DT291" t="s">
        <v>103</v>
      </c>
      <c r="DU291" t="s">
        <v>1766</v>
      </c>
      <c r="DV291" t="s">
        <v>1767</v>
      </c>
      <c r="DW291" t="s">
        <v>459</v>
      </c>
      <c r="DX291">
        <v>37.6</v>
      </c>
      <c r="DY291">
        <v>40</v>
      </c>
      <c r="DZ291">
        <v>96.02</v>
      </c>
    </row>
    <row r="292" spans="1:130" x14ac:dyDescent="0.35">
      <c r="A292" s="86" t="str">
        <f t="shared" si="53"/>
        <v>185710Mix + Intocáveis SC Johnson</v>
      </c>
      <c r="B292">
        <v>185710</v>
      </c>
      <c r="C292" t="s">
        <v>368</v>
      </c>
      <c r="D292" t="s">
        <v>103</v>
      </c>
      <c r="E292" t="s">
        <v>610</v>
      </c>
      <c r="F292" t="s">
        <v>611</v>
      </c>
      <c r="G292" t="s">
        <v>459</v>
      </c>
      <c r="H292">
        <v>37.450000000000003</v>
      </c>
      <c r="I292">
        <v>10.125</v>
      </c>
      <c r="J292">
        <v>45</v>
      </c>
      <c r="X292" s="86" t="str">
        <f t="shared" si="55"/>
        <v>186321Cross Merchan SC Johnson</v>
      </c>
      <c r="Y292">
        <v>186321</v>
      </c>
      <c r="Z292" t="s">
        <v>354</v>
      </c>
      <c r="AA292" t="s">
        <v>36</v>
      </c>
      <c r="AB292" t="s">
        <v>103</v>
      </c>
      <c r="AC292" t="s">
        <v>777</v>
      </c>
      <c r="AD292" t="s">
        <v>778</v>
      </c>
      <c r="AE292" t="s">
        <v>111</v>
      </c>
      <c r="AF292">
        <v>8</v>
      </c>
      <c r="AG292">
        <v>8</v>
      </c>
      <c r="AH292">
        <v>73.42</v>
      </c>
      <c r="AJ292" s="86" t="str">
        <f t="shared" si="56"/>
        <v>186321Lancamentos</v>
      </c>
      <c r="AK292">
        <v>186321</v>
      </c>
      <c r="AL292" t="s">
        <v>354</v>
      </c>
      <c r="AM292" t="s">
        <v>36</v>
      </c>
      <c r="AN292" t="s">
        <v>103</v>
      </c>
      <c r="AO292" t="s">
        <v>949</v>
      </c>
      <c r="AP292" t="s">
        <v>950</v>
      </c>
      <c r="AQ292" t="s">
        <v>953</v>
      </c>
      <c r="AR292">
        <v>0</v>
      </c>
      <c r="AS292">
        <v>18</v>
      </c>
      <c r="AT292">
        <v>56.71</v>
      </c>
      <c r="AV292" s="86" t="str">
        <f t="shared" si="57"/>
        <v>186321Lancamentos</v>
      </c>
      <c r="AW292">
        <v>186321</v>
      </c>
      <c r="AX292" t="s">
        <v>354</v>
      </c>
      <c r="AY292" t="s">
        <v>36</v>
      </c>
      <c r="AZ292" t="s">
        <v>103</v>
      </c>
      <c r="BA292" t="s">
        <v>1127</v>
      </c>
      <c r="BB292" t="s">
        <v>1128</v>
      </c>
      <c r="BC292" t="s">
        <v>953</v>
      </c>
      <c r="BD292">
        <v>0</v>
      </c>
      <c r="BE292">
        <v>18</v>
      </c>
      <c r="BF292">
        <v>53.35</v>
      </c>
      <c r="BH292" s="86" t="str">
        <f t="shared" si="58"/>
        <v>184217Lancamentos</v>
      </c>
      <c r="BI292">
        <v>184217</v>
      </c>
      <c r="BJ292" t="s">
        <v>402</v>
      </c>
      <c r="BK292" t="s">
        <v>482</v>
      </c>
      <c r="BL292" t="s">
        <v>103</v>
      </c>
      <c r="BM292" t="s">
        <v>1245</v>
      </c>
      <c r="BN292" t="s">
        <v>1246</v>
      </c>
      <c r="BO292" t="s">
        <v>953</v>
      </c>
      <c r="BP292">
        <v>0</v>
      </c>
      <c r="BQ292">
        <v>18</v>
      </c>
      <c r="BR292">
        <v>59.05</v>
      </c>
      <c r="BT292" s="86" t="str">
        <f t="shared" si="48"/>
        <v>182592Mix + Intocáveis SC Johnson</v>
      </c>
      <c r="BU292">
        <v>182592</v>
      </c>
      <c r="BV292" t="s">
        <v>398</v>
      </c>
      <c r="BW292" t="s">
        <v>482</v>
      </c>
      <c r="BX292" t="s">
        <v>103</v>
      </c>
      <c r="BY292" t="s">
        <v>1341</v>
      </c>
      <c r="BZ292" t="s">
        <v>1342</v>
      </c>
      <c r="CA292" t="s">
        <v>459</v>
      </c>
      <c r="CB292">
        <v>29.6</v>
      </c>
      <c r="CC292">
        <v>40</v>
      </c>
      <c r="CD292">
        <v>82.03</v>
      </c>
      <c r="CF292" s="86" t="str">
        <f t="shared" si="49"/>
        <v>182640Mix + Intocáveis SC Johnson</v>
      </c>
      <c r="CG292">
        <v>182640</v>
      </c>
      <c r="CH292" t="s">
        <v>351</v>
      </c>
      <c r="CI292" t="s">
        <v>1306</v>
      </c>
      <c r="CJ292" t="s">
        <v>103</v>
      </c>
      <c r="CK292" t="s">
        <v>1414</v>
      </c>
      <c r="CL292" t="s">
        <v>1415</v>
      </c>
      <c r="CM292" t="s">
        <v>459</v>
      </c>
      <c r="CN292">
        <v>31.2</v>
      </c>
      <c r="CO292">
        <v>40</v>
      </c>
      <c r="CP292">
        <v>72.62</v>
      </c>
      <c r="CR292" s="86" t="str">
        <f t="shared" si="50"/>
        <v>182640Mix + Intocáveis SC Johnson</v>
      </c>
      <c r="CS292">
        <v>182640</v>
      </c>
      <c r="CT292" t="s">
        <v>351</v>
      </c>
      <c r="CU292" t="s">
        <v>1306</v>
      </c>
      <c r="CV292" t="s">
        <v>103</v>
      </c>
      <c r="CW292" t="s">
        <v>1534</v>
      </c>
      <c r="CX292" t="s">
        <v>1535</v>
      </c>
      <c r="CY292" t="s">
        <v>459</v>
      </c>
      <c r="CZ292">
        <v>36</v>
      </c>
      <c r="DA292">
        <v>40</v>
      </c>
      <c r="DB292">
        <v>101</v>
      </c>
      <c r="DD292" s="86" t="str">
        <f t="shared" si="51"/>
        <v>182640Execucao Bonus</v>
      </c>
      <c r="DE292">
        <v>182640</v>
      </c>
      <c r="DF292" t="s">
        <v>351</v>
      </c>
      <c r="DG292" t="s">
        <v>1306</v>
      </c>
      <c r="DH292" t="s">
        <v>103</v>
      </c>
      <c r="DI292" t="s">
        <v>1734</v>
      </c>
      <c r="DJ292" t="s">
        <v>1735</v>
      </c>
      <c r="DK292" t="s">
        <v>1291</v>
      </c>
      <c r="DL292">
        <v>5</v>
      </c>
      <c r="DM292">
        <v>5</v>
      </c>
      <c r="DN292">
        <v>99.4</v>
      </c>
      <c r="DP292" s="86" t="str">
        <f t="shared" si="52"/>
        <v>182641Execucao Bonus</v>
      </c>
      <c r="DQ292">
        <v>182641</v>
      </c>
      <c r="DR292" t="s">
        <v>352</v>
      </c>
      <c r="DS292" t="s">
        <v>1306</v>
      </c>
      <c r="DT292" t="s">
        <v>103</v>
      </c>
      <c r="DU292" t="s">
        <v>1766</v>
      </c>
      <c r="DV292" t="s">
        <v>1767</v>
      </c>
      <c r="DW292" t="s">
        <v>1291</v>
      </c>
      <c r="DX292">
        <v>5</v>
      </c>
      <c r="DY292">
        <v>5</v>
      </c>
      <c r="DZ292">
        <v>96.02</v>
      </c>
    </row>
    <row r="293" spans="1:130" x14ac:dyDescent="0.35">
      <c r="A293" s="86" t="str">
        <f t="shared" si="53"/>
        <v>186321Share Sub Category SC Johnson</v>
      </c>
      <c r="B293">
        <v>186321</v>
      </c>
      <c r="C293" t="s">
        <v>354</v>
      </c>
      <c r="D293" t="s">
        <v>103</v>
      </c>
      <c r="E293" t="s">
        <v>612</v>
      </c>
      <c r="F293" t="s">
        <v>613</v>
      </c>
      <c r="G293" t="s">
        <v>457</v>
      </c>
      <c r="H293">
        <v>75.41</v>
      </c>
      <c r="I293">
        <v>25.71</v>
      </c>
      <c r="J293">
        <v>30</v>
      </c>
      <c r="X293" s="86" t="str">
        <f t="shared" si="55"/>
        <v>186321Share Sub Loc Pao Quente SC Johnson</v>
      </c>
      <c r="Y293">
        <v>186321</v>
      </c>
      <c r="Z293" t="s">
        <v>354</v>
      </c>
      <c r="AA293" t="s">
        <v>36</v>
      </c>
      <c r="AB293" t="s">
        <v>103</v>
      </c>
      <c r="AC293" t="s">
        <v>777</v>
      </c>
      <c r="AD293" t="s">
        <v>778</v>
      </c>
      <c r="AE293" t="s">
        <v>458</v>
      </c>
      <c r="AF293">
        <v>17</v>
      </c>
      <c r="AG293">
        <v>17</v>
      </c>
      <c r="AH293">
        <v>73.42</v>
      </c>
      <c r="AJ293" s="86" t="str">
        <f t="shared" si="56"/>
        <v>187744Share Sub Category SC Johnson</v>
      </c>
      <c r="AK293">
        <v>187744</v>
      </c>
      <c r="AL293" t="s">
        <v>355</v>
      </c>
      <c r="AM293" t="s">
        <v>36</v>
      </c>
      <c r="AN293" t="s">
        <v>103</v>
      </c>
      <c r="AO293" t="s">
        <v>951</v>
      </c>
      <c r="AP293" t="s">
        <v>952</v>
      </c>
      <c r="AQ293" t="s">
        <v>457</v>
      </c>
      <c r="AR293">
        <v>25</v>
      </c>
      <c r="AS293">
        <v>25</v>
      </c>
      <c r="AT293">
        <v>66.06</v>
      </c>
      <c r="AV293" s="86" t="str">
        <f t="shared" si="57"/>
        <v>187744Share Sub Category SC Johnson</v>
      </c>
      <c r="AW293">
        <v>187744</v>
      </c>
      <c r="AX293" t="s">
        <v>355</v>
      </c>
      <c r="AY293" t="s">
        <v>36</v>
      </c>
      <c r="AZ293" t="s">
        <v>103</v>
      </c>
      <c r="BA293" t="s">
        <v>1129</v>
      </c>
      <c r="BB293" t="s">
        <v>1130</v>
      </c>
      <c r="BC293" t="s">
        <v>457</v>
      </c>
      <c r="BD293">
        <v>25</v>
      </c>
      <c r="BE293">
        <v>25</v>
      </c>
      <c r="BF293">
        <v>69.19</v>
      </c>
      <c r="BH293" s="86" t="str">
        <f t="shared" si="58"/>
        <v>184335Share Sub Category SC Johnson</v>
      </c>
      <c r="BI293">
        <v>184335</v>
      </c>
      <c r="BJ293" t="s">
        <v>404</v>
      </c>
      <c r="BK293" t="s">
        <v>482</v>
      </c>
      <c r="BL293" t="s">
        <v>103</v>
      </c>
      <c r="BM293" t="s">
        <v>1215</v>
      </c>
      <c r="BN293" t="s">
        <v>1216</v>
      </c>
      <c r="BO293" t="s">
        <v>457</v>
      </c>
      <c r="BP293">
        <v>25</v>
      </c>
      <c r="BQ293">
        <v>25</v>
      </c>
      <c r="BR293">
        <v>64.75</v>
      </c>
      <c r="BT293" s="86" t="str">
        <f t="shared" si="48"/>
        <v>182592Share Sub Category SC Johnson</v>
      </c>
      <c r="BU293">
        <v>182592</v>
      </c>
      <c r="BV293" t="s">
        <v>398</v>
      </c>
      <c r="BW293" t="s">
        <v>482</v>
      </c>
      <c r="BX293" t="s">
        <v>103</v>
      </c>
      <c r="BY293" t="s">
        <v>1341</v>
      </c>
      <c r="BZ293" t="s">
        <v>1342</v>
      </c>
      <c r="CA293" t="s">
        <v>457</v>
      </c>
      <c r="CB293">
        <v>21.425000000000001</v>
      </c>
      <c r="CC293">
        <v>25</v>
      </c>
      <c r="CD293">
        <v>82.03</v>
      </c>
      <c r="CF293" s="86" t="str">
        <f t="shared" si="49"/>
        <v>182640Share Sub Category SC Johnson</v>
      </c>
      <c r="CG293">
        <v>182640</v>
      </c>
      <c r="CH293" t="s">
        <v>351</v>
      </c>
      <c r="CI293" t="s">
        <v>1306</v>
      </c>
      <c r="CJ293" t="s">
        <v>103</v>
      </c>
      <c r="CK293" t="s">
        <v>1414</v>
      </c>
      <c r="CL293" t="s">
        <v>1415</v>
      </c>
      <c r="CM293" t="s">
        <v>457</v>
      </c>
      <c r="CN293">
        <v>21.425000000000001</v>
      </c>
      <c r="CO293">
        <v>25</v>
      </c>
      <c r="CP293">
        <v>72.62</v>
      </c>
      <c r="CR293" s="86" t="str">
        <f t="shared" si="50"/>
        <v>182640Share Sub Category SC Johnson</v>
      </c>
      <c r="CS293">
        <v>182640</v>
      </c>
      <c r="CT293" t="s">
        <v>351</v>
      </c>
      <c r="CU293" t="s">
        <v>1306</v>
      </c>
      <c r="CV293" t="s">
        <v>103</v>
      </c>
      <c r="CW293" t="s">
        <v>1534</v>
      </c>
      <c r="CX293" t="s">
        <v>1535</v>
      </c>
      <c r="CY293" t="s">
        <v>457</v>
      </c>
      <c r="CZ293">
        <v>25</v>
      </c>
      <c r="DA293">
        <v>25</v>
      </c>
      <c r="DB293">
        <v>101</v>
      </c>
      <c r="DD293" s="86" t="str">
        <f t="shared" si="51"/>
        <v>182640Cross Merchan SC Johnson</v>
      </c>
      <c r="DE293">
        <v>182640</v>
      </c>
      <c r="DF293" t="s">
        <v>351</v>
      </c>
      <c r="DG293" t="s">
        <v>1306</v>
      </c>
      <c r="DH293" t="s">
        <v>103</v>
      </c>
      <c r="DI293" t="s">
        <v>1734</v>
      </c>
      <c r="DJ293" t="s">
        <v>1735</v>
      </c>
      <c r="DK293" t="s">
        <v>111</v>
      </c>
      <c r="DL293">
        <v>5</v>
      </c>
      <c r="DM293">
        <v>5</v>
      </c>
      <c r="DN293">
        <v>99.4</v>
      </c>
      <c r="DP293" s="86" t="str">
        <f t="shared" si="52"/>
        <v>182641Cross Merchan SC Johnson</v>
      </c>
      <c r="DQ293">
        <v>182641</v>
      </c>
      <c r="DR293" t="s">
        <v>352</v>
      </c>
      <c r="DS293" t="s">
        <v>1306</v>
      </c>
      <c r="DT293" t="s">
        <v>103</v>
      </c>
      <c r="DU293" t="s">
        <v>1766</v>
      </c>
      <c r="DV293" t="s">
        <v>1767</v>
      </c>
      <c r="DW293" t="s">
        <v>111</v>
      </c>
      <c r="DX293">
        <v>5</v>
      </c>
      <c r="DY293">
        <v>5</v>
      </c>
      <c r="DZ293">
        <v>96.02</v>
      </c>
    </row>
    <row r="294" spans="1:130" x14ac:dyDescent="0.35">
      <c r="A294" s="86" t="str">
        <f t="shared" si="53"/>
        <v>186321Cross Merchan SC Johnson</v>
      </c>
      <c r="B294">
        <v>186321</v>
      </c>
      <c r="C294" t="s">
        <v>354</v>
      </c>
      <c r="D294" t="s">
        <v>103</v>
      </c>
      <c r="E294" t="s">
        <v>612</v>
      </c>
      <c r="F294" t="s">
        <v>613</v>
      </c>
      <c r="G294" t="s">
        <v>111</v>
      </c>
      <c r="H294">
        <v>75.41</v>
      </c>
      <c r="I294">
        <v>8</v>
      </c>
      <c r="J294">
        <v>8</v>
      </c>
      <c r="X294" s="86" t="str">
        <f t="shared" si="55"/>
        <v>186321Mix + Intocáveis SC Johnson</v>
      </c>
      <c r="Y294">
        <v>186321</v>
      </c>
      <c r="Z294" t="s">
        <v>354</v>
      </c>
      <c r="AA294" t="s">
        <v>36</v>
      </c>
      <c r="AB294" t="s">
        <v>103</v>
      </c>
      <c r="AC294" t="s">
        <v>777</v>
      </c>
      <c r="AD294" t="s">
        <v>778</v>
      </c>
      <c r="AE294" t="s">
        <v>459</v>
      </c>
      <c r="AF294">
        <v>27</v>
      </c>
      <c r="AG294">
        <v>45</v>
      </c>
      <c r="AH294">
        <v>73.42</v>
      </c>
      <c r="AJ294" s="86" t="str">
        <f t="shared" si="56"/>
        <v>187744Cross Merchan SC Johnson</v>
      </c>
      <c r="AK294">
        <v>187744</v>
      </c>
      <c r="AL294" t="s">
        <v>355</v>
      </c>
      <c r="AM294" t="s">
        <v>36</v>
      </c>
      <c r="AN294" t="s">
        <v>103</v>
      </c>
      <c r="AO294" t="s">
        <v>951</v>
      </c>
      <c r="AP294" t="s">
        <v>952</v>
      </c>
      <c r="AQ294" t="s">
        <v>111</v>
      </c>
      <c r="AR294">
        <v>2.5</v>
      </c>
      <c r="AS294">
        <v>5</v>
      </c>
      <c r="AT294">
        <v>66.06</v>
      </c>
      <c r="AV294" s="86" t="str">
        <f t="shared" si="57"/>
        <v>187744Cross Merchan SC Johnson</v>
      </c>
      <c r="AW294">
        <v>187744</v>
      </c>
      <c r="AX294" t="s">
        <v>355</v>
      </c>
      <c r="AY294" t="s">
        <v>36</v>
      </c>
      <c r="AZ294" t="s">
        <v>103</v>
      </c>
      <c r="BA294" t="s">
        <v>1129</v>
      </c>
      <c r="BB294" t="s">
        <v>1130</v>
      </c>
      <c r="BC294" t="s">
        <v>111</v>
      </c>
      <c r="BD294">
        <v>1.665</v>
      </c>
      <c r="BE294">
        <v>5</v>
      </c>
      <c r="BF294">
        <v>69.19</v>
      </c>
      <c r="BH294" s="86" t="str">
        <f t="shared" si="58"/>
        <v>184335Cross Merchan SC Johnson</v>
      </c>
      <c r="BI294">
        <v>184335</v>
      </c>
      <c r="BJ294" t="s">
        <v>404</v>
      </c>
      <c r="BK294" t="s">
        <v>482</v>
      </c>
      <c r="BL294" t="s">
        <v>103</v>
      </c>
      <c r="BM294" t="s">
        <v>1215</v>
      </c>
      <c r="BN294" t="s">
        <v>1216</v>
      </c>
      <c r="BO294" t="s">
        <v>111</v>
      </c>
      <c r="BP294">
        <v>1.665</v>
      </c>
      <c r="BQ294">
        <v>5</v>
      </c>
      <c r="BR294">
        <v>64.75</v>
      </c>
      <c r="BT294" s="86" t="str">
        <f t="shared" si="48"/>
        <v>182592Share Sub Loc Pao Quente SC Johnson</v>
      </c>
      <c r="BU294">
        <v>182592</v>
      </c>
      <c r="BV294" t="s">
        <v>398</v>
      </c>
      <c r="BW294" t="s">
        <v>482</v>
      </c>
      <c r="BX294" t="s">
        <v>103</v>
      </c>
      <c r="BY294" t="s">
        <v>1341</v>
      </c>
      <c r="BZ294" t="s">
        <v>1342</v>
      </c>
      <c r="CA294" t="s">
        <v>458</v>
      </c>
      <c r="CB294">
        <v>12</v>
      </c>
      <c r="CC294">
        <v>12</v>
      </c>
      <c r="CD294">
        <v>82.03</v>
      </c>
      <c r="CF294" s="86" t="str">
        <f t="shared" si="49"/>
        <v>182640Share Sub Loc Pao Quente SC Johnson</v>
      </c>
      <c r="CG294">
        <v>182640</v>
      </c>
      <c r="CH294" t="s">
        <v>351</v>
      </c>
      <c r="CI294" t="s">
        <v>1306</v>
      </c>
      <c r="CJ294" t="s">
        <v>103</v>
      </c>
      <c r="CK294" t="s">
        <v>1414</v>
      </c>
      <c r="CL294" t="s">
        <v>1415</v>
      </c>
      <c r="CM294" t="s">
        <v>458</v>
      </c>
      <c r="CN294">
        <v>6</v>
      </c>
      <c r="CO294">
        <v>12</v>
      </c>
      <c r="CP294">
        <v>72.62</v>
      </c>
      <c r="CR294" s="86" t="str">
        <f t="shared" si="50"/>
        <v>182640Share Sub Loc Pao Quente SC Johnson</v>
      </c>
      <c r="CS294">
        <v>182640</v>
      </c>
      <c r="CT294" t="s">
        <v>351</v>
      </c>
      <c r="CU294" t="s">
        <v>1306</v>
      </c>
      <c r="CV294" t="s">
        <v>103</v>
      </c>
      <c r="CW294" t="s">
        <v>1534</v>
      </c>
      <c r="CX294" t="s">
        <v>1535</v>
      </c>
      <c r="CY294" t="s">
        <v>458</v>
      </c>
      <c r="CZ294">
        <v>12</v>
      </c>
      <c r="DA294">
        <v>12</v>
      </c>
      <c r="DB294">
        <v>101</v>
      </c>
      <c r="DD294" s="86" t="str">
        <f t="shared" si="51"/>
        <v>182640Lancamentos</v>
      </c>
      <c r="DE294">
        <v>182640</v>
      </c>
      <c r="DF294" t="s">
        <v>351</v>
      </c>
      <c r="DG294" t="s">
        <v>1306</v>
      </c>
      <c r="DH294" t="s">
        <v>103</v>
      </c>
      <c r="DI294" t="s">
        <v>1734</v>
      </c>
      <c r="DJ294" t="s">
        <v>1735</v>
      </c>
      <c r="DK294" t="s">
        <v>953</v>
      </c>
      <c r="DL294">
        <v>18</v>
      </c>
      <c r="DM294">
        <v>18</v>
      </c>
      <c r="DN294">
        <v>99.4</v>
      </c>
      <c r="DP294" s="86" t="str">
        <f t="shared" si="52"/>
        <v>182641Lancamentos</v>
      </c>
      <c r="DQ294">
        <v>182641</v>
      </c>
      <c r="DR294" t="s">
        <v>352</v>
      </c>
      <c r="DS294" t="s">
        <v>1306</v>
      </c>
      <c r="DT294" t="s">
        <v>103</v>
      </c>
      <c r="DU294" t="s">
        <v>1766</v>
      </c>
      <c r="DV294" t="s">
        <v>1767</v>
      </c>
      <c r="DW294" t="s">
        <v>953</v>
      </c>
      <c r="DX294">
        <v>18</v>
      </c>
      <c r="DY294">
        <v>18</v>
      </c>
      <c r="DZ294">
        <v>96.02</v>
      </c>
    </row>
    <row r="295" spans="1:130" x14ac:dyDescent="0.35">
      <c r="A295" s="86" t="str">
        <f t="shared" si="53"/>
        <v>186321Share Sub Loc Pao Quente SC Johnson</v>
      </c>
      <c r="B295">
        <v>186321</v>
      </c>
      <c r="C295" t="s">
        <v>354</v>
      </c>
      <c r="D295" t="s">
        <v>103</v>
      </c>
      <c r="E295" t="s">
        <v>612</v>
      </c>
      <c r="F295" t="s">
        <v>613</v>
      </c>
      <c r="G295" t="s">
        <v>458</v>
      </c>
      <c r="H295">
        <v>75.41</v>
      </c>
      <c r="I295">
        <v>10.199999999999999</v>
      </c>
      <c r="J295">
        <v>17</v>
      </c>
      <c r="X295" s="86" t="str">
        <f t="shared" si="55"/>
        <v>187744Share Sub Category SC Johnson</v>
      </c>
      <c r="Y295">
        <v>187744</v>
      </c>
      <c r="Z295" t="s">
        <v>355</v>
      </c>
      <c r="AA295" t="s">
        <v>104</v>
      </c>
      <c r="AB295" t="s">
        <v>103</v>
      </c>
      <c r="AC295" t="s">
        <v>905</v>
      </c>
      <c r="AD295" t="s">
        <v>906</v>
      </c>
      <c r="AE295" t="s">
        <v>457</v>
      </c>
      <c r="AF295">
        <v>25.71</v>
      </c>
      <c r="AG295">
        <v>30</v>
      </c>
      <c r="AH295">
        <v>81.34</v>
      </c>
      <c r="AJ295" s="86" t="str">
        <f t="shared" si="56"/>
        <v>187744Share Sub Loc Pao Quente SC Johnson</v>
      </c>
      <c r="AK295">
        <v>187744</v>
      </c>
      <c r="AL295" t="s">
        <v>355</v>
      </c>
      <c r="AM295" t="s">
        <v>36</v>
      </c>
      <c r="AN295" t="s">
        <v>103</v>
      </c>
      <c r="AO295" t="s">
        <v>951</v>
      </c>
      <c r="AP295" t="s">
        <v>952</v>
      </c>
      <c r="AQ295" t="s">
        <v>458</v>
      </c>
      <c r="AR295">
        <v>9</v>
      </c>
      <c r="AS295">
        <v>12</v>
      </c>
      <c r="AT295">
        <v>66.06</v>
      </c>
      <c r="AV295" s="86" t="str">
        <f t="shared" si="57"/>
        <v>187744Share Sub Loc Pao Quente SC Johnson</v>
      </c>
      <c r="AW295">
        <v>187744</v>
      </c>
      <c r="AX295" t="s">
        <v>355</v>
      </c>
      <c r="AY295" t="s">
        <v>36</v>
      </c>
      <c r="AZ295" t="s">
        <v>103</v>
      </c>
      <c r="BA295" t="s">
        <v>1129</v>
      </c>
      <c r="BB295" t="s">
        <v>1130</v>
      </c>
      <c r="BC295" t="s">
        <v>458</v>
      </c>
      <c r="BD295">
        <v>6</v>
      </c>
      <c r="BE295">
        <v>12</v>
      </c>
      <c r="BF295">
        <v>69.19</v>
      </c>
      <c r="BH295" s="86" t="str">
        <f t="shared" si="58"/>
        <v>184335Share Sub Loc Pao Quente SC Johnson</v>
      </c>
      <c r="BI295">
        <v>184335</v>
      </c>
      <c r="BJ295" t="s">
        <v>404</v>
      </c>
      <c r="BK295" t="s">
        <v>482</v>
      </c>
      <c r="BL295" t="s">
        <v>103</v>
      </c>
      <c r="BM295" t="s">
        <v>1215</v>
      </c>
      <c r="BN295" t="s">
        <v>1216</v>
      </c>
      <c r="BO295" t="s">
        <v>458</v>
      </c>
      <c r="BP295">
        <v>12</v>
      </c>
      <c r="BQ295">
        <v>12</v>
      </c>
      <c r="BR295">
        <v>64.75</v>
      </c>
      <c r="BT295" s="86" t="str">
        <f t="shared" si="48"/>
        <v>182592Cross Merchan SC Johnson</v>
      </c>
      <c r="BU295">
        <v>182592</v>
      </c>
      <c r="BV295" t="s">
        <v>398</v>
      </c>
      <c r="BW295" t="s">
        <v>482</v>
      </c>
      <c r="BX295" t="s">
        <v>103</v>
      </c>
      <c r="BY295" t="s">
        <v>1341</v>
      </c>
      <c r="BZ295" t="s">
        <v>1342</v>
      </c>
      <c r="CA295" t="s">
        <v>111</v>
      </c>
      <c r="CB295">
        <v>5</v>
      </c>
      <c r="CC295">
        <v>5</v>
      </c>
      <c r="CD295">
        <v>82.03</v>
      </c>
      <c r="CF295" s="86" t="str">
        <f t="shared" si="49"/>
        <v>182640Cross Merchan SC Johnson</v>
      </c>
      <c r="CG295">
        <v>182640</v>
      </c>
      <c r="CH295" t="s">
        <v>351</v>
      </c>
      <c r="CI295" t="s">
        <v>1306</v>
      </c>
      <c r="CJ295" t="s">
        <v>103</v>
      </c>
      <c r="CK295" t="s">
        <v>1414</v>
      </c>
      <c r="CL295" t="s">
        <v>1415</v>
      </c>
      <c r="CM295" t="s">
        <v>111</v>
      </c>
      <c r="CN295">
        <v>5</v>
      </c>
      <c r="CO295">
        <v>5</v>
      </c>
      <c r="CP295">
        <v>72.62</v>
      </c>
      <c r="CR295" s="86" t="str">
        <f t="shared" si="50"/>
        <v>182640Cross Merchan SC Johnson</v>
      </c>
      <c r="CS295">
        <v>182640</v>
      </c>
      <c r="CT295" t="s">
        <v>351</v>
      </c>
      <c r="CU295" t="s">
        <v>1306</v>
      </c>
      <c r="CV295" t="s">
        <v>103</v>
      </c>
      <c r="CW295" t="s">
        <v>1534</v>
      </c>
      <c r="CX295" t="s">
        <v>1535</v>
      </c>
      <c r="CY295" t="s">
        <v>111</v>
      </c>
      <c r="CZ295">
        <v>5</v>
      </c>
      <c r="DA295">
        <v>5</v>
      </c>
      <c r="DB295">
        <v>101</v>
      </c>
      <c r="DD295" s="86" t="str">
        <f t="shared" si="51"/>
        <v>182640Share Sub Category SC Johnson</v>
      </c>
      <c r="DE295">
        <v>182640</v>
      </c>
      <c r="DF295" t="s">
        <v>351</v>
      </c>
      <c r="DG295" t="s">
        <v>1306</v>
      </c>
      <c r="DH295" t="s">
        <v>103</v>
      </c>
      <c r="DI295" t="s">
        <v>1734</v>
      </c>
      <c r="DJ295" t="s">
        <v>1735</v>
      </c>
      <c r="DK295" t="s">
        <v>457</v>
      </c>
      <c r="DL295">
        <v>25</v>
      </c>
      <c r="DM295">
        <v>25</v>
      </c>
      <c r="DN295">
        <v>99.4</v>
      </c>
      <c r="DP295" s="86" t="str">
        <f t="shared" si="52"/>
        <v>182641Share Sub Category SC Johnson</v>
      </c>
      <c r="DQ295">
        <v>182641</v>
      </c>
      <c r="DR295" t="s">
        <v>352</v>
      </c>
      <c r="DS295" t="s">
        <v>1306</v>
      </c>
      <c r="DT295" t="s">
        <v>103</v>
      </c>
      <c r="DU295" t="s">
        <v>1766</v>
      </c>
      <c r="DV295" t="s">
        <v>1767</v>
      </c>
      <c r="DW295" t="s">
        <v>457</v>
      </c>
      <c r="DX295">
        <v>21.425000000000001</v>
      </c>
      <c r="DY295">
        <v>25</v>
      </c>
      <c r="DZ295">
        <v>96.02</v>
      </c>
    </row>
    <row r="296" spans="1:130" x14ac:dyDescent="0.35">
      <c r="A296" s="86" t="str">
        <f t="shared" si="53"/>
        <v>186321Mix + Intocáveis SC Johnson</v>
      </c>
      <c r="B296">
        <v>186321</v>
      </c>
      <c r="C296" t="s">
        <v>354</v>
      </c>
      <c r="D296" t="s">
        <v>103</v>
      </c>
      <c r="E296" t="s">
        <v>612</v>
      </c>
      <c r="F296" t="s">
        <v>613</v>
      </c>
      <c r="G296" t="s">
        <v>459</v>
      </c>
      <c r="H296">
        <v>75.41</v>
      </c>
      <c r="I296">
        <v>31.5</v>
      </c>
      <c r="J296">
        <v>45</v>
      </c>
      <c r="X296" s="86" t="str">
        <f t="shared" si="55"/>
        <v>187744Cross Merchan SC Johnson</v>
      </c>
      <c r="Y296">
        <v>187744</v>
      </c>
      <c r="Z296" t="s">
        <v>355</v>
      </c>
      <c r="AA296" t="s">
        <v>104</v>
      </c>
      <c r="AB296" t="s">
        <v>103</v>
      </c>
      <c r="AC296" t="s">
        <v>905</v>
      </c>
      <c r="AD296" t="s">
        <v>906</v>
      </c>
      <c r="AE296" t="s">
        <v>111</v>
      </c>
      <c r="AF296">
        <v>8</v>
      </c>
      <c r="AG296">
        <v>8</v>
      </c>
      <c r="AH296">
        <v>81.34</v>
      </c>
      <c r="AJ296" s="86" t="str">
        <f t="shared" si="56"/>
        <v>187744Mix + Intocáveis SC Johnson</v>
      </c>
      <c r="AK296">
        <v>187744</v>
      </c>
      <c r="AL296" t="s">
        <v>355</v>
      </c>
      <c r="AM296" t="s">
        <v>36</v>
      </c>
      <c r="AN296" t="s">
        <v>103</v>
      </c>
      <c r="AO296" t="s">
        <v>951</v>
      </c>
      <c r="AP296" t="s">
        <v>952</v>
      </c>
      <c r="AQ296" t="s">
        <v>459</v>
      </c>
      <c r="AR296">
        <v>29.56</v>
      </c>
      <c r="AS296">
        <v>40</v>
      </c>
      <c r="AT296">
        <v>66.06</v>
      </c>
      <c r="AV296" s="86" t="str">
        <f t="shared" si="57"/>
        <v>187744Mix + Intocáveis SC Johnson</v>
      </c>
      <c r="AW296">
        <v>187744</v>
      </c>
      <c r="AX296" t="s">
        <v>355</v>
      </c>
      <c r="AY296" t="s">
        <v>36</v>
      </c>
      <c r="AZ296" t="s">
        <v>103</v>
      </c>
      <c r="BA296" t="s">
        <v>1129</v>
      </c>
      <c r="BB296" t="s">
        <v>1130</v>
      </c>
      <c r="BC296" t="s">
        <v>459</v>
      </c>
      <c r="BD296">
        <v>36.520000000000003</v>
      </c>
      <c r="BE296">
        <v>40</v>
      </c>
      <c r="BF296">
        <v>69.19</v>
      </c>
      <c r="BH296" s="86" t="str">
        <f t="shared" si="58"/>
        <v>184335Mix + Intocáveis SC Johnson</v>
      </c>
      <c r="BI296">
        <v>184335</v>
      </c>
      <c r="BJ296" t="s">
        <v>404</v>
      </c>
      <c r="BK296" t="s">
        <v>482</v>
      </c>
      <c r="BL296" t="s">
        <v>103</v>
      </c>
      <c r="BM296" t="s">
        <v>1215</v>
      </c>
      <c r="BN296" t="s">
        <v>1216</v>
      </c>
      <c r="BO296" t="s">
        <v>459</v>
      </c>
      <c r="BP296">
        <v>26.08</v>
      </c>
      <c r="BQ296">
        <v>40</v>
      </c>
      <c r="BR296">
        <v>64.75</v>
      </c>
      <c r="BT296" s="86" t="str">
        <f t="shared" si="48"/>
        <v>182592Execucao Bonus</v>
      </c>
      <c r="BU296">
        <v>182592</v>
      </c>
      <c r="BV296" t="s">
        <v>398</v>
      </c>
      <c r="BW296" t="s">
        <v>482</v>
      </c>
      <c r="BX296" t="s">
        <v>103</v>
      </c>
      <c r="BY296" t="s">
        <v>1341</v>
      </c>
      <c r="BZ296" t="s">
        <v>1342</v>
      </c>
      <c r="CA296" t="s">
        <v>1291</v>
      </c>
      <c r="CB296">
        <v>5</v>
      </c>
      <c r="CC296">
        <v>5</v>
      </c>
      <c r="CD296">
        <v>82.03</v>
      </c>
      <c r="CF296" s="86" t="str">
        <f t="shared" si="49"/>
        <v>182640Execucao Bonus</v>
      </c>
      <c r="CG296">
        <v>182640</v>
      </c>
      <c r="CH296" t="s">
        <v>351</v>
      </c>
      <c r="CI296" t="s">
        <v>1306</v>
      </c>
      <c r="CJ296" t="s">
        <v>103</v>
      </c>
      <c r="CK296" t="s">
        <v>1414</v>
      </c>
      <c r="CL296" t="s">
        <v>1415</v>
      </c>
      <c r="CM296" t="s">
        <v>1291</v>
      </c>
      <c r="CN296">
        <v>0</v>
      </c>
      <c r="CO296">
        <v>5</v>
      </c>
      <c r="CP296">
        <v>72.62</v>
      </c>
      <c r="CR296" s="86" t="str">
        <f t="shared" si="50"/>
        <v>182640Execucao Bonus</v>
      </c>
      <c r="CS296">
        <v>182640</v>
      </c>
      <c r="CT296" t="s">
        <v>351</v>
      </c>
      <c r="CU296" t="s">
        <v>1306</v>
      </c>
      <c r="CV296" t="s">
        <v>103</v>
      </c>
      <c r="CW296" t="s">
        <v>1534</v>
      </c>
      <c r="CX296" t="s">
        <v>1535</v>
      </c>
      <c r="CY296" t="s">
        <v>1291</v>
      </c>
      <c r="CZ296">
        <v>4</v>
      </c>
      <c r="DA296">
        <v>5</v>
      </c>
      <c r="DB296">
        <v>101</v>
      </c>
      <c r="DD296" s="86" t="str">
        <f t="shared" si="51"/>
        <v>182640Share Sub Loc Pao Quente SC Johnson</v>
      </c>
      <c r="DE296">
        <v>182640</v>
      </c>
      <c r="DF296" t="s">
        <v>351</v>
      </c>
      <c r="DG296" t="s">
        <v>1306</v>
      </c>
      <c r="DH296" t="s">
        <v>103</v>
      </c>
      <c r="DI296" t="s">
        <v>1734</v>
      </c>
      <c r="DJ296" t="s">
        <v>1735</v>
      </c>
      <c r="DK296" t="s">
        <v>458</v>
      </c>
      <c r="DL296">
        <v>12</v>
      </c>
      <c r="DM296">
        <v>12</v>
      </c>
      <c r="DN296">
        <v>99.4</v>
      </c>
      <c r="DP296" s="86" t="str">
        <f t="shared" si="52"/>
        <v>182641Share Sub Loc Pao Quente SC Johnson</v>
      </c>
      <c r="DQ296">
        <v>182641</v>
      </c>
      <c r="DR296" t="s">
        <v>352</v>
      </c>
      <c r="DS296" t="s">
        <v>1306</v>
      </c>
      <c r="DT296" t="s">
        <v>103</v>
      </c>
      <c r="DU296" t="s">
        <v>1766</v>
      </c>
      <c r="DV296" t="s">
        <v>1767</v>
      </c>
      <c r="DW296" t="s">
        <v>458</v>
      </c>
      <c r="DX296">
        <v>9</v>
      </c>
      <c r="DY296">
        <v>12</v>
      </c>
      <c r="DZ296">
        <v>96.02</v>
      </c>
    </row>
    <row r="297" spans="1:130" x14ac:dyDescent="0.35">
      <c r="A297" s="86" t="str">
        <f t="shared" si="53"/>
        <v>187744Share Sub Category SC Johnson</v>
      </c>
      <c r="B297">
        <v>187744</v>
      </c>
      <c r="C297" t="s">
        <v>355</v>
      </c>
      <c r="D297" t="s">
        <v>103</v>
      </c>
      <c r="E297" t="s">
        <v>614</v>
      </c>
      <c r="F297" t="s">
        <v>615</v>
      </c>
      <c r="G297" t="s">
        <v>457</v>
      </c>
      <c r="H297">
        <v>65.14</v>
      </c>
      <c r="I297">
        <v>25.71</v>
      </c>
      <c r="J297">
        <v>30</v>
      </c>
      <c r="X297" s="86" t="str">
        <f t="shared" si="55"/>
        <v>187744Share Sub Loc Pao Quente SC Johnson</v>
      </c>
      <c r="Y297">
        <v>187744</v>
      </c>
      <c r="Z297" t="s">
        <v>355</v>
      </c>
      <c r="AA297" t="s">
        <v>104</v>
      </c>
      <c r="AB297" t="s">
        <v>103</v>
      </c>
      <c r="AC297" t="s">
        <v>905</v>
      </c>
      <c r="AD297" t="s">
        <v>906</v>
      </c>
      <c r="AE297" t="s">
        <v>458</v>
      </c>
      <c r="AF297">
        <v>12.75</v>
      </c>
      <c r="AG297">
        <v>17</v>
      </c>
      <c r="AH297">
        <v>81.34</v>
      </c>
      <c r="AJ297" s="86" t="str">
        <f t="shared" si="56"/>
        <v>187744Lancamentos</v>
      </c>
      <c r="AK297">
        <v>187744</v>
      </c>
      <c r="AL297" t="s">
        <v>355</v>
      </c>
      <c r="AM297" t="s">
        <v>36</v>
      </c>
      <c r="AN297" t="s">
        <v>103</v>
      </c>
      <c r="AO297" t="s">
        <v>951</v>
      </c>
      <c r="AP297" t="s">
        <v>952</v>
      </c>
      <c r="AQ297" t="s">
        <v>953</v>
      </c>
      <c r="AR297">
        <v>0</v>
      </c>
      <c r="AS297">
        <v>18</v>
      </c>
      <c r="AT297">
        <v>66.06</v>
      </c>
      <c r="AV297" s="86" t="str">
        <f t="shared" si="57"/>
        <v>187744Lancamentos</v>
      </c>
      <c r="AW297">
        <v>187744</v>
      </c>
      <c r="AX297" t="s">
        <v>355</v>
      </c>
      <c r="AY297" t="s">
        <v>36</v>
      </c>
      <c r="AZ297" t="s">
        <v>103</v>
      </c>
      <c r="BA297" t="s">
        <v>1129</v>
      </c>
      <c r="BB297" t="s">
        <v>1130</v>
      </c>
      <c r="BC297" t="s">
        <v>953</v>
      </c>
      <c r="BD297">
        <v>0</v>
      </c>
      <c r="BE297">
        <v>18</v>
      </c>
      <c r="BF297">
        <v>69.19</v>
      </c>
      <c r="BH297" s="86" t="str">
        <f t="shared" si="58"/>
        <v>184335Lancamentos</v>
      </c>
      <c r="BI297">
        <v>184335</v>
      </c>
      <c r="BJ297" t="s">
        <v>404</v>
      </c>
      <c r="BK297" t="s">
        <v>482</v>
      </c>
      <c r="BL297" t="s">
        <v>103</v>
      </c>
      <c r="BM297" t="s">
        <v>1215</v>
      </c>
      <c r="BN297" t="s">
        <v>1216</v>
      </c>
      <c r="BO297" t="s">
        <v>953</v>
      </c>
      <c r="BP297">
        <v>0</v>
      </c>
      <c r="BQ297">
        <v>18</v>
      </c>
      <c r="BR297">
        <v>64.75</v>
      </c>
      <c r="BT297" s="86" t="str">
        <f t="shared" si="48"/>
        <v>182636Lancamentos</v>
      </c>
      <c r="BU297">
        <v>182636</v>
      </c>
      <c r="BV297" t="s">
        <v>349</v>
      </c>
      <c r="BW297" t="s">
        <v>1306</v>
      </c>
      <c r="BX297" t="s">
        <v>103</v>
      </c>
      <c r="BY297" t="s">
        <v>1360</v>
      </c>
      <c r="BZ297" t="s">
        <v>1361</v>
      </c>
      <c r="CA297" t="s">
        <v>953</v>
      </c>
      <c r="CB297">
        <v>9</v>
      </c>
      <c r="CC297">
        <v>18</v>
      </c>
      <c r="CD297">
        <v>85.33</v>
      </c>
      <c r="CF297" s="86" t="str">
        <f t="shared" si="49"/>
        <v>182641Lancamentos</v>
      </c>
      <c r="CG297">
        <v>182641</v>
      </c>
      <c r="CH297" t="s">
        <v>352</v>
      </c>
      <c r="CI297" t="s">
        <v>1306</v>
      </c>
      <c r="CJ297" t="s">
        <v>103</v>
      </c>
      <c r="CK297" t="s">
        <v>1447</v>
      </c>
      <c r="CL297" t="s">
        <v>1448</v>
      </c>
      <c r="CM297" t="s">
        <v>953</v>
      </c>
      <c r="CN297">
        <v>18</v>
      </c>
      <c r="CO297">
        <v>18</v>
      </c>
      <c r="CP297">
        <v>89.22</v>
      </c>
      <c r="CR297" s="86" t="str">
        <f t="shared" si="50"/>
        <v>184214Lancamentos</v>
      </c>
      <c r="CS297">
        <v>184214</v>
      </c>
      <c r="CT297" t="s">
        <v>400</v>
      </c>
      <c r="CU297" t="s">
        <v>482</v>
      </c>
      <c r="CV297" t="s">
        <v>103</v>
      </c>
      <c r="CW297" t="s">
        <v>1610</v>
      </c>
      <c r="CX297" t="s">
        <v>1611</v>
      </c>
      <c r="CY297" t="s">
        <v>953</v>
      </c>
      <c r="CZ297">
        <v>18</v>
      </c>
      <c r="DA297">
        <v>18</v>
      </c>
      <c r="DB297">
        <v>86.03</v>
      </c>
      <c r="DD297" s="86" t="str">
        <f t="shared" si="51"/>
        <v>182641Mix + Intocáveis SC Johnson</v>
      </c>
      <c r="DE297">
        <v>182641</v>
      </c>
      <c r="DF297" t="s">
        <v>352</v>
      </c>
      <c r="DG297" t="s">
        <v>1306</v>
      </c>
      <c r="DH297" t="s">
        <v>103</v>
      </c>
      <c r="DI297" t="s">
        <v>1736</v>
      </c>
      <c r="DJ297" t="s">
        <v>1737</v>
      </c>
      <c r="DK297" t="s">
        <v>459</v>
      </c>
      <c r="DL297">
        <v>32.799999999999997</v>
      </c>
      <c r="DM297">
        <v>40</v>
      </c>
      <c r="DN297">
        <v>88.22</v>
      </c>
      <c r="DP297" s="86" t="str">
        <f t="shared" si="52"/>
        <v>184214Mix + Intocáveis SC Johnson</v>
      </c>
      <c r="DQ297">
        <v>184214</v>
      </c>
      <c r="DR297" t="s">
        <v>400</v>
      </c>
      <c r="DS297" t="s">
        <v>482</v>
      </c>
      <c r="DT297" t="s">
        <v>103</v>
      </c>
      <c r="DU297" t="s">
        <v>1788</v>
      </c>
      <c r="DV297" t="s">
        <v>1789</v>
      </c>
      <c r="DW297" t="s">
        <v>459</v>
      </c>
      <c r="DX297">
        <v>28.8</v>
      </c>
      <c r="DY297">
        <v>40</v>
      </c>
      <c r="DZ297">
        <v>84.22</v>
      </c>
    </row>
    <row r="298" spans="1:130" x14ac:dyDescent="0.35">
      <c r="A298" s="86" t="str">
        <f t="shared" si="53"/>
        <v>187744Cross Merchan SC Johnson</v>
      </c>
      <c r="B298">
        <v>187744</v>
      </c>
      <c r="C298" t="s">
        <v>355</v>
      </c>
      <c r="D298" t="s">
        <v>103</v>
      </c>
      <c r="E298" t="s">
        <v>614</v>
      </c>
      <c r="F298" t="s">
        <v>615</v>
      </c>
      <c r="G298" t="s">
        <v>111</v>
      </c>
      <c r="H298">
        <v>65.14</v>
      </c>
      <c r="I298">
        <v>0</v>
      </c>
      <c r="J298">
        <v>8</v>
      </c>
      <c r="X298" s="86" t="str">
        <f t="shared" si="55"/>
        <v>187744Mix + Intocáveis SC Johnson</v>
      </c>
      <c r="Y298">
        <v>187744</v>
      </c>
      <c r="Z298" t="s">
        <v>355</v>
      </c>
      <c r="AA298" t="s">
        <v>104</v>
      </c>
      <c r="AB298" t="s">
        <v>103</v>
      </c>
      <c r="AC298" t="s">
        <v>905</v>
      </c>
      <c r="AD298" t="s">
        <v>906</v>
      </c>
      <c r="AE298" t="s">
        <v>459</v>
      </c>
      <c r="AF298">
        <v>34.875</v>
      </c>
      <c r="AG298">
        <v>45</v>
      </c>
      <c r="AH298">
        <v>81.34</v>
      </c>
      <c r="BH298" s="86" t="str">
        <f t="shared" si="58"/>
        <v>184830Share Sub Category SC Johnson</v>
      </c>
      <c r="BI298">
        <v>184830</v>
      </c>
      <c r="BJ298" t="s">
        <v>405</v>
      </c>
      <c r="BK298" t="s">
        <v>36</v>
      </c>
      <c r="BL298" t="s">
        <v>103</v>
      </c>
      <c r="BM298" t="s">
        <v>1264</v>
      </c>
      <c r="BN298" t="s">
        <v>1265</v>
      </c>
      <c r="BO298" t="s">
        <v>457</v>
      </c>
      <c r="BP298">
        <v>21.425000000000001</v>
      </c>
      <c r="BQ298">
        <v>25</v>
      </c>
      <c r="BR298">
        <v>46.36</v>
      </c>
      <c r="BT298" s="86" t="str">
        <f t="shared" si="48"/>
        <v>182636Mix + Intocáveis SC Johnson</v>
      </c>
      <c r="BU298">
        <v>182636</v>
      </c>
      <c r="BV298" t="s">
        <v>349</v>
      </c>
      <c r="BW298" t="s">
        <v>1306</v>
      </c>
      <c r="BX298" t="s">
        <v>103</v>
      </c>
      <c r="BY298" t="s">
        <v>1360</v>
      </c>
      <c r="BZ298" t="s">
        <v>1361</v>
      </c>
      <c r="CA298" t="s">
        <v>459</v>
      </c>
      <c r="CB298">
        <v>36</v>
      </c>
      <c r="CC298">
        <v>40</v>
      </c>
      <c r="CD298">
        <v>85.33</v>
      </c>
      <c r="CF298" s="86" t="str">
        <f t="shared" si="49"/>
        <v>182641Mix + Intocáveis SC Johnson</v>
      </c>
      <c r="CG298">
        <v>182641</v>
      </c>
      <c r="CH298" t="s">
        <v>352</v>
      </c>
      <c r="CI298" t="s">
        <v>1306</v>
      </c>
      <c r="CJ298" t="s">
        <v>103</v>
      </c>
      <c r="CK298" t="s">
        <v>1447</v>
      </c>
      <c r="CL298" t="s">
        <v>1448</v>
      </c>
      <c r="CM298" t="s">
        <v>459</v>
      </c>
      <c r="CN298">
        <v>32.799999999999997</v>
      </c>
      <c r="CO298">
        <v>40</v>
      </c>
      <c r="CP298">
        <v>89.22</v>
      </c>
      <c r="CR298" s="86" t="str">
        <f t="shared" si="50"/>
        <v>184214Mix + Intocáveis SC Johnson</v>
      </c>
      <c r="CS298">
        <v>184214</v>
      </c>
      <c r="CT298" t="s">
        <v>400</v>
      </c>
      <c r="CU298" t="s">
        <v>482</v>
      </c>
      <c r="CV298" t="s">
        <v>103</v>
      </c>
      <c r="CW298" t="s">
        <v>1610</v>
      </c>
      <c r="CX298" t="s">
        <v>1611</v>
      </c>
      <c r="CY298" t="s">
        <v>459</v>
      </c>
      <c r="CZ298">
        <v>29.6</v>
      </c>
      <c r="DA298">
        <v>40</v>
      </c>
      <c r="DB298">
        <v>86.03</v>
      </c>
      <c r="DD298" s="86" t="str">
        <f t="shared" si="51"/>
        <v>182641Execucao Bonus</v>
      </c>
      <c r="DE298">
        <v>182641</v>
      </c>
      <c r="DF298" t="s">
        <v>352</v>
      </c>
      <c r="DG298" t="s">
        <v>1306</v>
      </c>
      <c r="DH298" t="s">
        <v>103</v>
      </c>
      <c r="DI298" t="s">
        <v>1736</v>
      </c>
      <c r="DJ298" t="s">
        <v>1737</v>
      </c>
      <c r="DK298" t="s">
        <v>1291</v>
      </c>
      <c r="DL298">
        <v>5</v>
      </c>
      <c r="DM298">
        <v>5</v>
      </c>
      <c r="DN298">
        <v>88.22</v>
      </c>
      <c r="DP298" s="86" t="str">
        <f t="shared" si="52"/>
        <v>184214Execucao Bonus</v>
      </c>
      <c r="DQ298">
        <v>184214</v>
      </c>
      <c r="DR298" t="s">
        <v>400</v>
      </c>
      <c r="DS298" t="s">
        <v>482</v>
      </c>
      <c r="DT298" t="s">
        <v>103</v>
      </c>
      <c r="DU298" t="s">
        <v>1788</v>
      </c>
      <c r="DV298" t="s">
        <v>1789</v>
      </c>
      <c r="DW298" t="s">
        <v>1291</v>
      </c>
      <c r="DX298">
        <v>5</v>
      </c>
      <c r="DY298">
        <v>5</v>
      </c>
      <c r="DZ298">
        <v>84.22</v>
      </c>
    </row>
    <row r="299" spans="1:130" x14ac:dyDescent="0.35">
      <c r="A299" s="86" t="str">
        <f t="shared" si="53"/>
        <v>187744Share Sub Loc Pao Quente SC Johnson</v>
      </c>
      <c r="B299">
        <v>187744</v>
      </c>
      <c r="C299" t="s">
        <v>355</v>
      </c>
      <c r="D299" t="s">
        <v>103</v>
      </c>
      <c r="E299" t="s">
        <v>614</v>
      </c>
      <c r="F299" t="s">
        <v>615</v>
      </c>
      <c r="G299" t="s">
        <v>458</v>
      </c>
      <c r="H299">
        <v>65.14</v>
      </c>
      <c r="I299">
        <v>6.8</v>
      </c>
      <c r="J299">
        <v>17</v>
      </c>
      <c r="BH299" s="86" t="str">
        <f t="shared" si="58"/>
        <v>184830Cross Merchan SC Johnson</v>
      </c>
      <c r="BI299">
        <v>184830</v>
      </c>
      <c r="BJ299" t="s">
        <v>405</v>
      </c>
      <c r="BK299" t="s">
        <v>36</v>
      </c>
      <c r="BL299" t="s">
        <v>103</v>
      </c>
      <c r="BM299" t="s">
        <v>1264</v>
      </c>
      <c r="BN299" t="s">
        <v>1265</v>
      </c>
      <c r="BO299" t="s">
        <v>111</v>
      </c>
      <c r="BP299">
        <v>3.335</v>
      </c>
      <c r="BQ299">
        <v>5</v>
      </c>
      <c r="BR299">
        <v>46.36</v>
      </c>
      <c r="BT299" s="86" t="str">
        <f t="shared" si="48"/>
        <v>182636Share Sub Category SC Johnson</v>
      </c>
      <c r="BU299">
        <v>182636</v>
      </c>
      <c r="BV299" t="s">
        <v>349</v>
      </c>
      <c r="BW299" t="s">
        <v>1306</v>
      </c>
      <c r="BX299" t="s">
        <v>103</v>
      </c>
      <c r="BY299" t="s">
        <v>1360</v>
      </c>
      <c r="BZ299" t="s">
        <v>1361</v>
      </c>
      <c r="CA299" t="s">
        <v>457</v>
      </c>
      <c r="CB299">
        <v>25</v>
      </c>
      <c r="CC299">
        <v>25</v>
      </c>
      <c r="CD299">
        <v>85.33</v>
      </c>
      <c r="CF299" s="86" t="str">
        <f t="shared" si="49"/>
        <v>182641Share Sub Category SC Johnson</v>
      </c>
      <c r="CG299">
        <v>182641</v>
      </c>
      <c r="CH299" t="s">
        <v>352</v>
      </c>
      <c r="CI299" t="s">
        <v>1306</v>
      </c>
      <c r="CJ299" t="s">
        <v>103</v>
      </c>
      <c r="CK299" t="s">
        <v>1447</v>
      </c>
      <c r="CL299" t="s">
        <v>1448</v>
      </c>
      <c r="CM299" t="s">
        <v>457</v>
      </c>
      <c r="CN299">
        <v>21.425000000000001</v>
      </c>
      <c r="CO299">
        <v>25</v>
      </c>
      <c r="CP299">
        <v>89.22</v>
      </c>
      <c r="CR299" s="86" t="str">
        <f t="shared" si="50"/>
        <v>184214Share Sub Category SC Johnson</v>
      </c>
      <c r="CS299">
        <v>184214</v>
      </c>
      <c r="CT299" t="s">
        <v>400</v>
      </c>
      <c r="CU299" t="s">
        <v>482</v>
      </c>
      <c r="CV299" t="s">
        <v>103</v>
      </c>
      <c r="CW299" t="s">
        <v>1610</v>
      </c>
      <c r="CX299" t="s">
        <v>1611</v>
      </c>
      <c r="CY299" t="s">
        <v>457</v>
      </c>
      <c r="CZ299">
        <v>21.425000000000001</v>
      </c>
      <c r="DA299">
        <v>25</v>
      </c>
      <c r="DB299">
        <v>86.03</v>
      </c>
      <c r="DD299" s="86" t="str">
        <f t="shared" si="51"/>
        <v>182641Cross Merchan SC Johnson</v>
      </c>
      <c r="DE299">
        <v>182641</v>
      </c>
      <c r="DF299" t="s">
        <v>352</v>
      </c>
      <c r="DG299" t="s">
        <v>1306</v>
      </c>
      <c r="DH299" t="s">
        <v>103</v>
      </c>
      <c r="DI299" t="s">
        <v>1736</v>
      </c>
      <c r="DJ299" t="s">
        <v>1737</v>
      </c>
      <c r="DK299" t="s">
        <v>111</v>
      </c>
      <c r="DL299">
        <v>5</v>
      </c>
      <c r="DM299">
        <v>5</v>
      </c>
      <c r="DN299">
        <v>88.22</v>
      </c>
      <c r="DP299" s="86" t="str">
        <f t="shared" si="52"/>
        <v>184214Cross Merchan SC Johnson</v>
      </c>
      <c r="DQ299">
        <v>184214</v>
      </c>
      <c r="DR299" t="s">
        <v>400</v>
      </c>
      <c r="DS299" t="s">
        <v>482</v>
      </c>
      <c r="DT299" t="s">
        <v>103</v>
      </c>
      <c r="DU299" t="s">
        <v>1788</v>
      </c>
      <c r="DV299" t="s">
        <v>1789</v>
      </c>
      <c r="DW299" t="s">
        <v>111</v>
      </c>
      <c r="DX299">
        <v>5</v>
      </c>
      <c r="DY299">
        <v>5</v>
      </c>
      <c r="DZ299">
        <v>84.22</v>
      </c>
    </row>
    <row r="300" spans="1:130" x14ac:dyDescent="0.35">
      <c r="A300" s="86" t="str">
        <f t="shared" si="53"/>
        <v>187744Mix + Intocáveis SC Johnson</v>
      </c>
      <c r="B300">
        <v>187744</v>
      </c>
      <c r="C300" t="s">
        <v>355</v>
      </c>
      <c r="D300" t="s">
        <v>103</v>
      </c>
      <c r="E300" t="s">
        <v>614</v>
      </c>
      <c r="F300" t="s">
        <v>615</v>
      </c>
      <c r="G300" t="s">
        <v>459</v>
      </c>
      <c r="H300">
        <v>65.14</v>
      </c>
      <c r="I300">
        <v>32.625</v>
      </c>
      <c r="J300">
        <v>45</v>
      </c>
      <c r="BH300" s="86" t="str">
        <f t="shared" si="58"/>
        <v>184830Share Sub Loc Pao Quente SC Johnson</v>
      </c>
      <c r="BI300">
        <v>184830</v>
      </c>
      <c r="BJ300" t="s">
        <v>405</v>
      </c>
      <c r="BK300" t="s">
        <v>36</v>
      </c>
      <c r="BL300" t="s">
        <v>103</v>
      </c>
      <c r="BM300" t="s">
        <v>1264</v>
      </c>
      <c r="BN300" t="s">
        <v>1265</v>
      </c>
      <c r="BO300" t="s">
        <v>458</v>
      </c>
      <c r="BP300">
        <v>9</v>
      </c>
      <c r="BQ300">
        <v>12</v>
      </c>
      <c r="BR300">
        <v>46.36</v>
      </c>
      <c r="BT300" s="86" t="str">
        <f t="shared" si="48"/>
        <v>182636Share Sub Loc Pao Quente SC Johnson</v>
      </c>
      <c r="BU300">
        <v>182636</v>
      </c>
      <c r="BV300" t="s">
        <v>349</v>
      </c>
      <c r="BW300" t="s">
        <v>1306</v>
      </c>
      <c r="BX300" t="s">
        <v>103</v>
      </c>
      <c r="BY300" t="s">
        <v>1360</v>
      </c>
      <c r="BZ300" t="s">
        <v>1361</v>
      </c>
      <c r="CA300" t="s">
        <v>458</v>
      </c>
      <c r="CB300">
        <v>12</v>
      </c>
      <c r="CC300">
        <v>12</v>
      </c>
      <c r="CD300">
        <v>85.33</v>
      </c>
      <c r="CF300" s="86" t="str">
        <f t="shared" si="49"/>
        <v>182641Share Sub Loc Pao Quente SC Johnson</v>
      </c>
      <c r="CG300">
        <v>182641</v>
      </c>
      <c r="CH300" t="s">
        <v>352</v>
      </c>
      <c r="CI300" t="s">
        <v>1306</v>
      </c>
      <c r="CJ300" t="s">
        <v>103</v>
      </c>
      <c r="CK300" t="s">
        <v>1447</v>
      </c>
      <c r="CL300" t="s">
        <v>1448</v>
      </c>
      <c r="CM300" t="s">
        <v>458</v>
      </c>
      <c r="CN300">
        <v>12</v>
      </c>
      <c r="CO300">
        <v>12</v>
      </c>
      <c r="CP300">
        <v>89.22</v>
      </c>
      <c r="CR300" s="86" t="str">
        <f t="shared" si="50"/>
        <v>184214Share Sub Loc Pao Quente SC Johnson</v>
      </c>
      <c r="CS300">
        <v>184214</v>
      </c>
      <c r="CT300" t="s">
        <v>400</v>
      </c>
      <c r="CU300" t="s">
        <v>482</v>
      </c>
      <c r="CV300" t="s">
        <v>103</v>
      </c>
      <c r="CW300" t="s">
        <v>1610</v>
      </c>
      <c r="CX300" t="s">
        <v>1611</v>
      </c>
      <c r="CY300" t="s">
        <v>458</v>
      </c>
      <c r="CZ300">
        <v>12</v>
      </c>
      <c r="DA300">
        <v>12</v>
      </c>
      <c r="DB300">
        <v>86.03</v>
      </c>
      <c r="DD300" s="86" t="str">
        <f t="shared" si="51"/>
        <v>182641Lancamentos</v>
      </c>
      <c r="DE300">
        <v>182641</v>
      </c>
      <c r="DF300" t="s">
        <v>352</v>
      </c>
      <c r="DG300" t="s">
        <v>1306</v>
      </c>
      <c r="DH300" t="s">
        <v>103</v>
      </c>
      <c r="DI300" t="s">
        <v>1736</v>
      </c>
      <c r="DJ300" t="s">
        <v>1737</v>
      </c>
      <c r="DK300" t="s">
        <v>953</v>
      </c>
      <c r="DL300">
        <v>18</v>
      </c>
      <c r="DM300">
        <v>18</v>
      </c>
      <c r="DN300">
        <v>88.22</v>
      </c>
      <c r="DP300" s="86" t="str">
        <f t="shared" si="52"/>
        <v>184214Lancamentos</v>
      </c>
      <c r="DQ300">
        <v>184214</v>
      </c>
      <c r="DR300" t="s">
        <v>400</v>
      </c>
      <c r="DS300" t="s">
        <v>482</v>
      </c>
      <c r="DT300" t="s">
        <v>103</v>
      </c>
      <c r="DU300" t="s">
        <v>1788</v>
      </c>
      <c r="DV300" t="s">
        <v>1789</v>
      </c>
      <c r="DW300" t="s">
        <v>953</v>
      </c>
      <c r="DX300">
        <v>18</v>
      </c>
      <c r="DY300">
        <v>18</v>
      </c>
      <c r="DZ300">
        <v>84.22</v>
      </c>
    </row>
    <row r="301" spans="1:130" x14ac:dyDescent="0.35">
      <c r="BH301" s="86" t="str">
        <f t="shared" si="58"/>
        <v>184830Mix + Intocáveis SC Johnson</v>
      </c>
      <c r="BI301">
        <v>184830</v>
      </c>
      <c r="BJ301" t="s">
        <v>405</v>
      </c>
      <c r="BK301" t="s">
        <v>36</v>
      </c>
      <c r="BL301" t="s">
        <v>103</v>
      </c>
      <c r="BM301" t="s">
        <v>1264</v>
      </c>
      <c r="BN301" t="s">
        <v>1265</v>
      </c>
      <c r="BO301" t="s">
        <v>459</v>
      </c>
      <c r="BP301">
        <v>12.6</v>
      </c>
      <c r="BQ301">
        <v>40</v>
      </c>
      <c r="BR301">
        <v>46.36</v>
      </c>
      <c r="BT301" s="86" t="str">
        <f t="shared" si="48"/>
        <v>182636Cross Merchan SC Johnson</v>
      </c>
      <c r="BU301">
        <v>182636</v>
      </c>
      <c r="BV301" t="s">
        <v>349</v>
      </c>
      <c r="BW301" t="s">
        <v>1306</v>
      </c>
      <c r="BX301" t="s">
        <v>103</v>
      </c>
      <c r="BY301" t="s">
        <v>1360</v>
      </c>
      <c r="BZ301" t="s">
        <v>1361</v>
      </c>
      <c r="CA301" t="s">
        <v>111</v>
      </c>
      <c r="CB301">
        <v>3.335</v>
      </c>
      <c r="CC301">
        <v>5</v>
      </c>
      <c r="CD301">
        <v>85.33</v>
      </c>
      <c r="CF301" s="86" t="str">
        <f t="shared" si="49"/>
        <v>182641Cross Merchan SC Johnson</v>
      </c>
      <c r="CG301">
        <v>182641</v>
      </c>
      <c r="CH301" t="s">
        <v>352</v>
      </c>
      <c r="CI301" t="s">
        <v>1306</v>
      </c>
      <c r="CJ301" t="s">
        <v>103</v>
      </c>
      <c r="CK301" t="s">
        <v>1447</v>
      </c>
      <c r="CL301" t="s">
        <v>1448</v>
      </c>
      <c r="CM301" t="s">
        <v>111</v>
      </c>
      <c r="CN301">
        <v>5</v>
      </c>
      <c r="CO301">
        <v>5</v>
      </c>
      <c r="CP301">
        <v>89.22</v>
      </c>
      <c r="CR301" s="86" t="str">
        <f t="shared" si="50"/>
        <v>184214Cross Merchan SC Johnson</v>
      </c>
      <c r="CS301">
        <v>184214</v>
      </c>
      <c r="CT301" t="s">
        <v>400</v>
      </c>
      <c r="CU301" t="s">
        <v>482</v>
      </c>
      <c r="CV301" t="s">
        <v>103</v>
      </c>
      <c r="CW301" t="s">
        <v>1610</v>
      </c>
      <c r="CX301" t="s">
        <v>1611</v>
      </c>
      <c r="CY301" t="s">
        <v>111</v>
      </c>
      <c r="CZ301">
        <v>5</v>
      </c>
      <c r="DA301">
        <v>5</v>
      </c>
      <c r="DB301">
        <v>86.03</v>
      </c>
      <c r="DD301" s="86" t="str">
        <f t="shared" si="51"/>
        <v>182641Share Sub Category SC Johnson</v>
      </c>
      <c r="DE301">
        <v>182641</v>
      </c>
      <c r="DF301" t="s">
        <v>352</v>
      </c>
      <c r="DG301" t="s">
        <v>1306</v>
      </c>
      <c r="DH301" t="s">
        <v>103</v>
      </c>
      <c r="DI301" t="s">
        <v>1736</v>
      </c>
      <c r="DJ301" t="s">
        <v>1737</v>
      </c>
      <c r="DK301" t="s">
        <v>457</v>
      </c>
      <c r="DL301">
        <v>21.425000000000001</v>
      </c>
      <c r="DM301">
        <v>25</v>
      </c>
      <c r="DN301">
        <v>88.22</v>
      </c>
      <c r="DP301" s="86" t="str">
        <f t="shared" si="52"/>
        <v>184214Share Sub Category SC Johnson</v>
      </c>
      <c r="DQ301">
        <v>184214</v>
      </c>
      <c r="DR301" t="s">
        <v>400</v>
      </c>
      <c r="DS301" t="s">
        <v>482</v>
      </c>
      <c r="DT301" t="s">
        <v>103</v>
      </c>
      <c r="DU301" t="s">
        <v>1788</v>
      </c>
      <c r="DV301" t="s">
        <v>1789</v>
      </c>
      <c r="DW301" t="s">
        <v>457</v>
      </c>
      <c r="DX301">
        <v>21.425000000000001</v>
      </c>
      <c r="DY301">
        <v>25</v>
      </c>
      <c r="DZ301">
        <v>84.22</v>
      </c>
    </row>
    <row r="302" spans="1:130" x14ac:dyDescent="0.35">
      <c r="BH302" s="86" t="str">
        <f t="shared" si="58"/>
        <v>184830Lancamentos</v>
      </c>
      <c r="BI302">
        <v>184830</v>
      </c>
      <c r="BJ302" t="s">
        <v>405</v>
      </c>
      <c r="BK302" t="s">
        <v>36</v>
      </c>
      <c r="BL302" t="s">
        <v>103</v>
      </c>
      <c r="BM302" t="s">
        <v>1264</v>
      </c>
      <c r="BN302" t="s">
        <v>1265</v>
      </c>
      <c r="BO302" t="s">
        <v>953</v>
      </c>
      <c r="BP302">
        <v>0</v>
      </c>
      <c r="BQ302">
        <v>18</v>
      </c>
      <c r="BR302">
        <v>46.36</v>
      </c>
      <c r="BT302" s="86" t="str">
        <f t="shared" si="48"/>
        <v>182636Execucao Bonus</v>
      </c>
      <c r="BU302">
        <v>182636</v>
      </c>
      <c r="BV302" t="s">
        <v>349</v>
      </c>
      <c r="BW302" t="s">
        <v>1306</v>
      </c>
      <c r="BX302" t="s">
        <v>103</v>
      </c>
      <c r="BY302" t="s">
        <v>1360</v>
      </c>
      <c r="BZ302" t="s">
        <v>1361</v>
      </c>
      <c r="CA302" t="s">
        <v>1291</v>
      </c>
      <c r="CB302">
        <v>0</v>
      </c>
      <c r="CC302">
        <v>5</v>
      </c>
      <c r="CD302">
        <v>85.33</v>
      </c>
      <c r="CF302" s="86" t="str">
        <f t="shared" si="49"/>
        <v>182641Execucao Bonus</v>
      </c>
      <c r="CG302">
        <v>182641</v>
      </c>
      <c r="CH302" t="s">
        <v>352</v>
      </c>
      <c r="CI302" t="s">
        <v>1306</v>
      </c>
      <c r="CJ302" t="s">
        <v>103</v>
      </c>
      <c r="CK302" t="s">
        <v>1447</v>
      </c>
      <c r="CL302" t="s">
        <v>1448</v>
      </c>
      <c r="CM302" t="s">
        <v>1291</v>
      </c>
      <c r="CN302">
        <v>0</v>
      </c>
      <c r="CO302">
        <v>5</v>
      </c>
      <c r="CP302">
        <v>89.22</v>
      </c>
      <c r="CR302" s="86" t="str">
        <f t="shared" si="50"/>
        <v>184214Execucao Bonus</v>
      </c>
      <c r="CS302">
        <v>184214</v>
      </c>
      <c r="CT302" t="s">
        <v>400</v>
      </c>
      <c r="CU302" t="s">
        <v>482</v>
      </c>
      <c r="CV302" t="s">
        <v>103</v>
      </c>
      <c r="CW302" t="s">
        <v>1610</v>
      </c>
      <c r="CX302" t="s">
        <v>1611</v>
      </c>
      <c r="CY302" t="s">
        <v>1291</v>
      </c>
      <c r="CZ302">
        <v>0</v>
      </c>
      <c r="DA302">
        <v>5</v>
      </c>
      <c r="DB302">
        <v>86.03</v>
      </c>
      <c r="DD302" s="86" t="str">
        <f t="shared" si="51"/>
        <v>182641Share Sub Loc Pao Quente SC Johnson</v>
      </c>
      <c r="DE302">
        <v>182641</v>
      </c>
      <c r="DF302" t="s">
        <v>352</v>
      </c>
      <c r="DG302" t="s">
        <v>1306</v>
      </c>
      <c r="DH302" t="s">
        <v>103</v>
      </c>
      <c r="DI302" t="s">
        <v>1736</v>
      </c>
      <c r="DJ302" t="s">
        <v>1737</v>
      </c>
      <c r="DK302" t="s">
        <v>458</v>
      </c>
      <c r="DL302">
        <v>6</v>
      </c>
      <c r="DM302">
        <v>12</v>
      </c>
      <c r="DN302">
        <v>88.22</v>
      </c>
      <c r="DP302" s="86" t="str">
        <f t="shared" si="52"/>
        <v>184214Share Sub Loc Pao Quente SC Johnson</v>
      </c>
      <c r="DQ302">
        <v>184214</v>
      </c>
      <c r="DR302" t="s">
        <v>400</v>
      </c>
      <c r="DS302" t="s">
        <v>482</v>
      </c>
      <c r="DT302" t="s">
        <v>103</v>
      </c>
      <c r="DU302" t="s">
        <v>1788</v>
      </c>
      <c r="DV302" t="s">
        <v>1789</v>
      </c>
      <c r="DW302" t="s">
        <v>458</v>
      </c>
      <c r="DX302">
        <v>6</v>
      </c>
      <c r="DY302">
        <v>12</v>
      </c>
      <c r="DZ302">
        <v>84.22</v>
      </c>
    </row>
    <row r="303" spans="1:130" x14ac:dyDescent="0.35">
      <c r="BH303" s="86" t="str">
        <f t="shared" si="58"/>
        <v>184994Share Sub Category SC Johnson</v>
      </c>
      <c r="BI303">
        <v>184994</v>
      </c>
      <c r="BJ303" t="s">
        <v>353</v>
      </c>
      <c r="BK303" t="s">
        <v>460</v>
      </c>
      <c r="BL303" t="s">
        <v>103</v>
      </c>
      <c r="BM303" t="s">
        <v>1247</v>
      </c>
      <c r="BN303" t="s">
        <v>1248</v>
      </c>
      <c r="BO303" t="s">
        <v>457</v>
      </c>
      <c r="BP303">
        <v>17.850000000000001</v>
      </c>
      <c r="BQ303">
        <v>25</v>
      </c>
      <c r="BR303">
        <v>38.950000000000003</v>
      </c>
      <c r="BT303" s="86" t="str">
        <f t="shared" si="48"/>
        <v>182637Lancamentos</v>
      </c>
      <c r="BU303">
        <v>182637</v>
      </c>
      <c r="BV303" t="s">
        <v>366</v>
      </c>
      <c r="BW303" t="s">
        <v>1306</v>
      </c>
      <c r="BX303" t="s">
        <v>103</v>
      </c>
      <c r="BY303" t="s">
        <v>1319</v>
      </c>
      <c r="BZ303" t="s">
        <v>1320</v>
      </c>
      <c r="CA303" t="s">
        <v>953</v>
      </c>
      <c r="CB303">
        <v>9</v>
      </c>
      <c r="CC303">
        <v>18</v>
      </c>
      <c r="CD303">
        <v>68.930000000000007</v>
      </c>
      <c r="CF303" s="86" t="str">
        <f t="shared" si="49"/>
        <v>184214Lancamentos</v>
      </c>
      <c r="CG303">
        <v>184214</v>
      </c>
      <c r="CH303" t="s">
        <v>400</v>
      </c>
      <c r="CI303" t="s">
        <v>482</v>
      </c>
      <c r="CJ303" t="s">
        <v>103</v>
      </c>
      <c r="CK303" t="s">
        <v>1505</v>
      </c>
      <c r="CL303" t="s">
        <v>1506</v>
      </c>
      <c r="CM303" t="s">
        <v>953</v>
      </c>
      <c r="CN303">
        <v>18</v>
      </c>
      <c r="CO303">
        <v>18</v>
      </c>
      <c r="CP303">
        <v>82.03</v>
      </c>
      <c r="CR303" s="86" t="str">
        <f t="shared" si="50"/>
        <v>184215Lancamentos</v>
      </c>
      <c r="CS303">
        <v>184215</v>
      </c>
      <c r="CT303" t="s">
        <v>401</v>
      </c>
      <c r="CU303" t="s">
        <v>482</v>
      </c>
      <c r="CV303" t="s">
        <v>103</v>
      </c>
      <c r="CW303" t="s">
        <v>1612</v>
      </c>
      <c r="CX303" t="s">
        <v>1613</v>
      </c>
      <c r="CY303" t="s">
        <v>953</v>
      </c>
      <c r="CZ303">
        <v>0</v>
      </c>
      <c r="DA303">
        <v>18</v>
      </c>
      <c r="DB303">
        <v>72.22</v>
      </c>
      <c r="DD303" s="86" t="str">
        <f t="shared" si="51"/>
        <v>184214Mix + Intocáveis SC Johnson</v>
      </c>
      <c r="DE303">
        <v>184214</v>
      </c>
      <c r="DF303" t="s">
        <v>400</v>
      </c>
      <c r="DG303" t="s">
        <v>482</v>
      </c>
      <c r="DH303" t="s">
        <v>103</v>
      </c>
      <c r="DI303" t="s">
        <v>1654</v>
      </c>
      <c r="DJ303" t="s">
        <v>1655</v>
      </c>
      <c r="DK303" t="s">
        <v>459</v>
      </c>
      <c r="DL303">
        <v>26.4</v>
      </c>
      <c r="DM303">
        <v>40</v>
      </c>
      <c r="DN303">
        <v>75.83</v>
      </c>
      <c r="DP303" s="86" t="str">
        <f t="shared" si="52"/>
        <v>184215Mix + Intocáveis SC Johnson</v>
      </c>
      <c r="DQ303">
        <v>184215</v>
      </c>
      <c r="DR303" t="s">
        <v>401</v>
      </c>
      <c r="DS303" t="s">
        <v>482</v>
      </c>
      <c r="DT303" t="s">
        <v>103</v>
      </c>
      <c r="DU303" t="s">
        <v>1790</v>
      </c>
      <c r="DV303" t="s">
        <v>1791</v>
      </c>
      <c r="DW303" t="s">
        <v>459</v>
      </c>
      <c r="DX303">
        <v>28.8</v>
      </c>
      <c r="DY303">
        <v>40</v>
      </c>
      <c r="DZ303">
        <v>81.22</v>
      </c>
    </row>
    <row r="304" spans="1:130" x14ac:dyDescent="0.35">
      <c r="BH304" s="86" t="str">
        <f t="shared" si="58"/>
        <v>184994Cross Merchan SC Johnson</v>
      </c>
      <c r="BI304">
        <v>184994</v>
      </c>
      <c r="BJ304" t="s">
        <v>353</v>
      </c>
      <c r="BK304" t="s">
        <v>460</v>
      </c>
      <c r="BL304" t="s">
        <v>103</v>
      </c>
      <c r="BM304" t="s">
        <v>1247</v>
      </c>
      <c r="BN304" t="s">
        <v>1248</v>
      </c>
      <c r="BO304" t="s">
        <v>111</v>
      </c>
      <c r="BP304">
        <v>1.665</v>
      </c>
      <c r="BQ304">
        <v>5</v>
      </c>
      <c r="BR304">
        <v>38.950000000000003</v>
      </c>
      <c r="BT304" s="86" t="str">
        <f t="shared" si="48"/>
        <v>182637Mix + Intocáveis SC Johnson</v>
      </c>
      <c r="BU304">
        <v>182637</v>
      </c>
      <c r="BV304" t="s">
        <v>366</v>
      </c>
      <c r="BW304" t="s">
        <v>1306</v>
      </c>
      <c r="BX304" t="s">
        <v>103</v>
      </c>
      <c r="BY304" t="s">
        <v>1319</v>
      </c>
      <c r="BZ304" t="s">
        <v>1320</v>
      </c>
      <c r="CA304" t="s">
        <v>459</v>
      </c>
      <c r="CB304">
        <v>25.6</v>
      </c>
      <c r="CC304">
        <v>40</v>
      </c>
      <c r="CD304">
        <v>68.930000000000007</v>
      </c>
      <c r="CF304" s="86" t="str">
        <f t="shared" si="49"/>
        <v>184214Mix + Intocáveis SC Johnson</v>
      </c>
      <c r="CG304">
        <v>184214</v>
      </c>
      <c r="CH304" t="s">
        <v>400</v>
      </c>
      <c r="CI304" t="s">
        <v>482</v>
      </c>
      <c r="CJ304" t="s">
        <v>103</v>
      </c>
      <c r="CK304" t="s">
        <v>1505</v>
      </c>
      <c r="CL304" t="s">
        <v>1506</v>
      </c>
      <c r="CM304" t="s">
        <v>459</v>
      </c>
      <c r="CN304">
        <v>29.6</v>
      </c>
      <c r="CO304">
        <v>40</v>
      </c>
      <c r="CP304">
        <v>82.03</v>
      </c>
      <c r="CR304" s="86" t="str">
        <f t="shared" si="50"/>
        <v>184215Mix + Intocáveis SC Johnson</v>
      </c>
      <c r="CS304">
        <v>184215</v>
      </c>
      <c r="CT304" t="s">
        <v>401</v>
      </c>
      <c r="CU304" t="s">
        <v>482</v>
      </c>
      <c r="CV304" t="s">
        <v>103</v>
      </c>
      <c r="CW304" t="s">
        <v>1612</v>
      </c>
      <c r="CX304" t="s">
        <v>1613</v>
      </c>
      <c r="CY304" t="s">
        <v>459</v>
      </c>
      <c r="CZ304">
        <v>28.8</v>
      </c>
      <c r="DA304">
        <v>40</v>
      </c>
      <c r="DB304">
        <v>72.22</v>
      </c>
      <c r="DD304" s="86" t="str">
        <f t="shared" si="51"/>
        <v>184214Execucao Bonus</v>
      </c>
      <c r="DE304">
        <v>184214</v>
      </c>
      <c r="DF304" t="s">
        <v>400</v>
      </c>
      <c r="DG304" t="s">
        <v>482</v>
      </c>
      <c r="DH304" t="s">
        <v>103</v>
      </c>
      <c r="DI304" t="s">
        <v>1654</v>
      </c>
      <c r="DJ304" t="s">
        <v>1655</v>
      </c>
      <c r="DK304" t="s">
        <v>1291</v>
      </c>
      <c r="DL304">
        <v>5</v>
      </c>
      <c r="DM304">
        <v>5</v>
      </c>
      <c r="DN304">
        <v>75.83</v>
      </c>
      <c r="DP304" s="86" t="str">
        <f t="shared" si="52"/>
        <v>184215Execucao Bonus</v>
      </c>
      <c r="DQ304">
        <v>184215</v>
      </c>
      <c r="DR304" t="s">
        <v>401</v>
      </c>
      <c r="DS304" t="s">
        <v>482</v>
      </c>
      <c r="DT304" t="s">
        <v>103</v>
      </c>
      <c r="DU304" t="s">
        <v>1790</v>
      </c>
      <c r="DV304" t="s">
        <v>1791</v>
      </c>
      <c r="DW304" t="s">
        <v>1291</v>
      </c>
      <c r="DX304">
        <v>5</v>
      </c>
      <c r="DY304">
        <v>5</v>
      </c>
      <c r="DZ304">
        <v>81.22</v>
      </c>
    </row>
    <row r="305" spans="60:130" x14ac:dyDescent="0.35">
      <c r="BH305" s="86" t="str">
        <f t="shared" si="58"/>
        <v>184994Share Sub Loc Pao Quente SC Johnson</v>
      </c>
      <c r="BI305">
        <v>184994</v>
      </c>
      <c r="BJ305" t="s">
        <v>353</v>
      </c>
      <c r="BK305" t="s">
        <v>460</v>
      </c>
      <c r="BL305" t="s">
        <v>103</v>
      </c>
      <c r="BM305" t="s">
        <v>1247</v>
      </c>
      <c r="BN305" t="s">
        <v>1248</v>
      </c>
      <c r="BO305" t="s">
        <v>458</v>
      </c>
      <c r="BP305">
        <v>9</v>
      </c>
      <c r="BQ305">
        <v>12</v>
      </c>
      <c r="BR305">
        <v>38.950000000000003</v>
      </c>
      <c r="BT305" s="86" t="str">
        <f t="shared" si="48"/>
        <v>182637Share Sub Category SC Johnson</v>
      </c>
      <c r="BU305">
        <v>182637</v>
      </c>
      <c r="BV305" t="s">
        <v>366</v>
      </c>
      <c r="BW305" t="s">
        <v>1306</v>
      </c>
      <c r="BX305" t="s">
        <v>103</v>
      </c>
      <c r="BY305" t="s">
        <v>1319</v>
      </c>
      <c r="BZ305" t="s">
        <v>1320</v>
      </c>
      <c r="CA305" t="s">
        <v>457</v>
      </c>
      <c r="CB305">
        <v>25</v>
      </c>
      <c r="CC305">
        <v>25</v>
      </c>
      <c r="CD305">
        <v>68.930000000000007</v>
      </c>
      <c r="CF305" s="86" t="str">
        <f t="shared" si="49"/>
        <v>184214Share Sub Category SC Johnson</v>
      </c>
      <c r="CG305">
        <v>184214</v>
      </c>
      <c r="CH305" t="s">
        <v>400</v>
      </c>
      <c r="CI305" t="s">
        <v>482</v>
      </c>
      <c r="CJ305" t="s">
        <v>103</v>
      </c>
      <c r="CK305" t="s">
        <v>1505</v>
      </c>
      <c r="CL305" t="s">
        <v>1506</v>
      </c>
      <c r="CM305" t="s">
        <v>457</v>
      </c>
      <c r="CN305">
        <v>21.425000000000001</v>
      </c>
      <c r="CO305">
        <v>25</v>
      </c>
      <c r="CP305">
        <v>82.03</v>
      </c>
      <c r="CR305" s="86" t="str">
        <f t="shared" si="50"/>
        <v>184215Share Sub Category SC Johnson</v>
      </c>
      <c r="CS305">
        <v>184215</v>
      </c>
      <c r="CT305" t="s">
        <v>401</v>
      </c>
      <c r="CU305" t="s">
        <v>482</v>
      </c>
      <c r="CV305" t="s">
        <v>103</v>
      </c>
      <c r="CW305" t="s">
        <v>1612</v>
      </c>
      <c r="CX305" t="s">
        <v>1613</v>
      </c>
      <c r="CY305" t="s">
        <v>457</v>
      </c>
      <c r="CZ305">
        <v>21.425000000000001</v>
      </c>
      <c r="DA305">
        <v>25</v>
      </c>
      <c r="DB305">
        <v>72.22</v>
      </c>
      <c r="DD305" s="86" t="str">
        <f t="shared" si="51"/>
        <v>184214Cross Merchan SC Johnson</v>
      </c>
      <c r="DE305">
        <v>184214</v>
      </c>
      <c r="DF305" t="s">
        <v>400</v>
      </c>
      <c r="DG305" t="s">
        <v>482</v>
      </c>
      <c r="DH305" t="s">
        <v>103</v>
      </c>
      <c r="DI305" t="s">
        <v>1654</v>
      </c>
      <c r="DJ305" t="s">
        <v>1655</v>
      </c>
      <c r="DK305" t="s">
        <v>111</v>
      </c>
      <c r="DL305">
        <v>5</v>
      </c>
      <c r="DM305">
        <v>5</v>
      </c>
      <c r="DN305">
        <v>75.83</v>
      </c>
      <c r="DP305" s="86" t="str">
        <f t="shared" si="52"/>
        <v>184215Cross Merchan SC Johnson</v>
      </c>
      <c r="DQ305">
        <v>184215</v>
      </c>
      <c r="DR305" t="s">
        <v>401</v>
      </c>
      <c r="DS305" t="s">
        <v>482</v>
      </c>
      <c r="DT305" t="s">
        <v>103</v>
      </c>
      <c r="DU305" t="s">
        <v>1790</v>
      </c>
      <c r="DV305" t="s">
        <v>1791</v>
      </c>
      <c r="DW305" t="s">
        <v>111</v>
      </c>
      <c r="DX305">
        <v>5</v>
      </c>
      <c r="DY305">
        <v>5</v>
      </c>
      <c r="DZ305">
        <v>81.22</v>
      </c>
    </row>
    <row r="306" spans="60:130" x14ac:dyDescent="0.35">
      <c r="BH306" s="86" t="str">
        <f t="shared" si="58"/>
        <v>184994Mix + Intocáveis SC Johnson</v>
      </c>
      <c r="BI306">
        <v>184994</v>
      </c>
      <c r="BJ306" t="s">
        <v>353</v>
      </c>
      <c r="BK306" t="s">
        <v>460</v>
      </c>
      <c r="BL306" t="s">
        <v>103</v>
      </c>
      <c r="BM306" t="s">
        <v>1247</v>
      </c>
      <c r="BN306" t="s">
        <v>1248</v>
      </c>
      <c r="BO306" t="s">
        <v>459</v>
      </c>
      <c r="BP306">
        <v>10.44</v>
      </c>
      <c r="BQ306">
        <v>40</v>
      </c>
      <c r="BR306">
        <v>38.950000000000003</v>
      </c>
      <c r="BT306" s="86" t="str">
        <f t="shared" si="48"/>
        <v>182637Share Sub Loc Pao Quente SC Johnson</v>
      </c>
      <c r="BU306">
        <v>182637</v>
      </c>
      <c r="BV306" t="s">
        <v>366</v>
      </c>
      <c r="BW306" t="s">
        <v>1306</v>
      </c>
      <c r="BX306" t="s">
        <v>103</v>
      </c>
      <c r="BY306" t="s">
        <v>1319</v>
      </c>
      <c r="BZ306" t="s">
        <v>1320</v>
      </c>
      <c r="CA306" t="s">
        <v>458</v>
      </c>
      <c r="CB306">
        <v>6</v>
      </c>
      <c r="CC306">
        <v>12</v>
      </c>
      <c r="CD306">
        <v>68.930000000000007</v>
      </c>
      <c r="CF306" s="86" t="str">
        <f t="shared" si="49"/>
        <v>184214Share Sub Loc Pao Quente SC Johnson</v>
      </c>
      <c r="CG306">
        <v>184214</v>
      </c>
      <c r="CH306" t="s">
        <v>400</v>
      </c>
      <c r="CI306" t="s">
        <v>482</v>
      </c>
      <c r="CJ306" t="s">
        <v>103</v>
      </c>
      <c r="CK306" t="s">
        <v>1505</v>
      </c>
      <c r="CL306" t="s">
        <v>1506</v>
      </c>
      <c r="CM306" t="s">
        <v>458</v>
      </c>
      <c r="CN306">
        <v>3</v>
      </c>
      <c r="CO306">
        <v>12</v>
      </c>
      <c r="CP306">
        <v>82.03</v>
      </c>
      <c r="CR306" s="86" t="str">
        <f t="shared" si="50"/>
        <v>184215Share Sub Loc Pao Quente SC Johnson</v>
      </c>
      <c r="CS306">
        <v>184215</v>
      </c>
      <c r="CT306" t="s">
        <v>401</v>
      </c>
      <c r="CU306" t="s">
        <v>482</v>
      </c>
      <c r="CV306" t="s">
        <v>103</v>
      </c>
      <c r="CW306" t="s">
        <v>1612</v>
      </c>
      <c r="CX306" t="s">
        <v>1613</v>
      </c>
      <c r="CY306" t="s">
        <v>458</v>
      </c>
      <c r="CZ306">
        <v>12</v>
      </c>
      <c r="DA306">
        <v>12</v>
      </c>
      <c r="DB306">
        <v>72.22</v>
      </c>
      <c r="DD306" s="86" t="str">
        <f t="shared" si="51"/>
        <v>184214Lancamentos</v>
      </c>
      <c r="DE306">
        <v>184214</v>
      </c>
      <c r="DF306" t="s">
        <v>400</v>
      </c>
      <c r="DG306" t="s">
        <v>482</v>
      </c>
      <c r="DH306" t="s">
        <v>103</v>
      </c>
      <c r="DI306" t="s">
        <v>1654</v>
      </c>
      <c r="DJ306" t="s">
        <v>1655</v>
      </c>
      <c r="DK306" t="s">
        <v>953</v>
      </c>
      <c r="DL306">
        <v>9</v>
      </c>
      <c r="DM306">
        <v>18</v>
      </c>
      <c r="DN306">
        <v>75.83</v>
      </c>
      <c r="DP306" s="86" t="str">
        <f t="shared" si="52"/>
        <v>184215Lancamentos</v>
      </c>
      <c r="DQ306">
        <v>184215</v>
      </c>
      <c r="DR306" t="s">
        <v>401</v>
      </c>
      <c r="DS306" t="s">
        <v>482</v>
      </c>
      <c r="DT306" t="s">
        <v>103</v>
      </c>
      <c r="DU306" t="s">
        <v>1790</v>
      </c>
      <c r="DV306" t="s">
        <v>1791</v>
      </c>
      <c r="DW306" t="s">
        <v>953</v>
      </c>
      <c r="DX306">
        <v>9</v>
      </c>
      <c r="DY306">
        <v>18</v>
      </c>
      <c r="DZ306">
        <v>81.22</v>
      </c>
    </row>
    <row r="307" spans="60:130" x14ac:dyDescent="0.35">
      <c r="BH307" s="86" t="str">
        <f t="shared" si="58"/>
        <v>184994Lancamentos</v>
      </c>
      <c r="BI307">
        <v>184994</v>
      </c>
      <c r="BJ307" t="s">
        <v>353</v>
      </c>
      <c r="BK307" t="s">
        <v>460</v>
      </c>
      <c r="BL307" t="s">
        <v>103</v>
      </c>
      <c r="BM307" t="s">
        <v>1247</v>
      </c>
      <c r="BN307" t="s">
        <v>1248</v>
      </c>
      <c r="BO307" t="s">
        <v>953</v>
      </c>
      <c r="BP307">
        <v>0</v>
      </c>
      <c r="BQ307">
        <v>18</v>
      </c>
      <c r="BR307">
        <v>38.950000000000003</v>
      </c>
      <c r="BT307" s="86" t="str">
        <f t="shared" si="48"/>
        <v>182637Cross Merchan SC Johnson</v>
      </c>
      <c r="BU307">
        <v>182637</v>
      </c>
      <c r="BV307" t="s">
        <v>366</v>
      </c>
      <c r="BW307" t="s">
        <v>1306</v>
      </c>
      <c r="BX307" t="s">
        <v>103</v>
      </c>
      <c r="BY307" t="s">
        <v>1319</v>
      </c>
      <c r="BZ307" t="s">
        <v>1320</v>
      </c>
      <c r="CA307" t="s">
        <v>111</v>
      </c>
      <c r="CB307">
        <v>3.335</v>
      </c>
      <c r="CC307">
        <v>5</v>
      </c>
      <c r="CD307">
        <v>68.930000000000007</v>
      </c>
      <c r="CF307" s="86" t="str">
        <f t="shared" si="49"/>
        <v>184214Cross Merchan SC Johnson</v>
      </c>
      <c r="CG307">
        <v>184214</v>
      </c>
      <c r="CH307" t="s">
        <v>400</v>
      </c>
      <c r="CI307" t="s">
        <v>482</v>
      </c>
      <c r="CJ307" t="s">
        <v>103</v>
      </c>
      <c r="CK307" t="s">
        <v>1505</v>
      </c>
      <c r="CL307" t="s">
        <v>1506</v>
      </c>
      <c r="CM307" t="s">
        <v>111</v>
      </c>
      <c r="CN307">
        <v>5</v>
      </c>
      <c r="CO307">
        <v>5</v>
      </c>
      <c r="CP307">
        <v>82.03</v>
      </c>
      <c r="CR307" s="86" t="str">
        <f t="shared" si="50"/>
        <v>184215Cross Merchan SC Johnson</v>
      </c>
      <c r="CS307">
        <v>184215</v>
      </c>
      <c r="CT307" t="s">
        <v>401</v>
      </c>
      <c r="CU307" t="s">
        <v>482</v>
      </c>
      <c r="CV307" t="s">
        <v>103</v>
      </c>
      <c r="CW307" t="s">
        <v>1612</v>
      </c>
      <c r="CX307" t="s">
        <v>1613</v>
      </c>
      <c r="CY307" t="s">
        <v>111</v>
      </c>
      <c r="CZ307">
        <v>5</v>
      </c>
      <c r="DA307">
        <v>5</v>
      </c>
      <c r="DB307">
        <v>72.22</v>
      </c>
      <c r="DD307" s="86" t="str">
        <f t="shared" si="51"/>
        <v>184214Share Sub Category SC Johnson</v>
      </c>
      <c r="DE307">
        <v>184214</v>
      </c>
      <c r="DF307" t="s">
        <v>400</v>
      </c>
      <c r="DG307" t="s">
        <v>482</v>
      </c>
      <c r="DH307" t="s">
        <v>103</v>
      </c>
      <c r="DI307" t="s">
        <v>1654</v>
      </c>
      <c r="DJ307" t="s">
        <v>1655</v>
      </c>
      <c r="DK307" t="s">
        <v>457</v>
      </c>
      <c r="DL307">
        <v>21.425000000000001</v>
      </c>
      <c r="DM307">
        <v>25</v>
      </c>
      <c r="DN307">
        <v>75.83</v>
      </c>
      <c r="DP307" s="86" t="str">
        <f t="shared" si="52"/>
        <v>184215Share Sub Category SC Johnson</v>
      </c>
      <c r="DQ307">
        <v>184215</v>
      </c>
      <c r="DR307" t="s">
        <v>401</v>
      </c>
      <c r="DS307" t="s">
        <v>482</v>
      </c>
      <c r="DT307" t="s">
        <v>103</v>
      </c>
      <c r="DU307" t="s">
        <v>1790</v>
      </c>
      <c r="DV307" t="s">
        <v>1791</v>
      </c>
      <c r="DW307" t="s">
        <v>457</v>
      </c>
      <c r="DX307">
        <v>21.425000000000001</v>
      </c>
      <c r="DY307">
        <v>25</v>
      </c>
      <c r="DZ307">
        <v>81.22</v>
      </c>
    </row>
    <row r="308" spans="60:130" x14ac:dyDescent="0.35">
      <c r="BH308" s="86" t="str">
        <f t="shared" si="58"/>
        <v>186321Share Sub Category SC Johnson</v>
      </c>
      <c r="BI308">
        <v>186321</v>
      </c>
      <c r="BJ308" t="s">
        <v>354</v>
      </c>
      <c r="BK308" t="s">
        <v>36</v>
      </c>
      <c r="BL308" t="s">
        <v>103</v>
      </c>
      <c r="BM308" t="s">
        <v>1266</v>
      </c>
      <c r="BN308" t="s">
        <v>1267</v>
      </c>
      <c r="BO308" t="s">
        <v>457</v>
      </c>
      <c r="BP308">
        <v>25</v>
      </c>
      <c r="BQ308">
        <v>25</v>
      </c>
      <c r="BR308">
        <v>87.89</v>
      </c>
      <c r="BT308" s="86" t="str">
        <f t="shared" si="48"/>
        <v>182637Execucao Bonus</v>
      </c>
      <c r="BU308">
        <v>182637</v>
      </c>
      <c r="BV308" t="s">
        <v>366</v>
      </c>
      <c r="BW308" t="s">
        <v>1306</v>
      </c>
      <c r="BX308" t="s">
        <v>103</v>
      </c>
      <c r="BY308" t="s">
        <v>1319</v>
      </c>
      <c r="BZ308" t="s">
        <v>1320</v>
      </c>
      <c r="CA308" t="s">
        <v>1291</v>
      </c>
      <c r="CB308">
        <v>0</v>
      </c>
      <c r="CC308">
        <v>5</v>
      </c>
      <c r="CD308">
        <v>68.930000000000007</v>
      </c>
      <c r="CF308" s="86" t="str">
        <f t="shared" si="49"/>
        <v>184214Execucao Bonus</v>
      </c>
      <c r="CG308">
        <v>184214</v>
      </c>
      <c r="CH308" t="s">
        <v>400</v>
      </c>
      <c r="CI308" t="s">
        <v>482</v>
      </c>
      <c r="CJ308" t="s">
        <v>103</v>
      </c>
      <c r="CK308" t="s">
        <v>1505</v>
      </c>
      <c r="CL308" t="s">
        <v>1506</v>
      </c>
      <c r="CM308" t="s">
        <v>1291</v>
      </c>
      <c r="CN308">
        <v>5</v>
      </c>
      <c r="CO308">
        <v>5</v>
      </c>
      <c r="CP308">
        <v>82.03</v>
      </c>
      <c r="CR308" s="86" t="str">
        <f t="shared" si="50"/>
        <v>184215Execucao Bonus</v>
      </c>
      <c r="CS308">
        <v>184215</v>
      </c>
      <c r="CT308" t="s">
        <v>401</v>
      </c>
      <c r="CU308" t="s">
        <v>482</v>
      </c>
      <c r="CV308" t="s">
        <v>103</v>
      </c>
      <c r="CW308" t="s">
        <v>1612</v>
      </c>
      <c r="CX308" t="s">
        <v>1613</v>
      </c>
      <c r="CY308" t="s">
        <v>1291</v>
      </c>
      <c r="CZ308">
        <v>5</v>
      </c>
      <c r="DA308">
        <v>5</v>
      </c>
      <c r="DB308">
        <v>72.22</v>
      </c>
      <c r="DD308" s="86" t="str">
        <f t="shared" si="51"/>
        <v>184214Share Sub Loc Pao Quente SC Johnson</v>
      </c>
      <c r="DE308">
        <v>184214</v>
      </c>
      <c r="DF308" t="s">
        <v>400</v>
      </c>
      <c r="DG308" t="s">
        <v>482</v>
      </c>
      <c r="DH308" t="s">
        <v>103</v>
      </c>
      <c r="DI308" t="s">
        <v>1654</v>
      </c>
      <c r="DJ308" t="s">
        <v>1655</v>
      </c>
      <c r="DK308" t="s">
        <v>458</v>
      </c>
      <c r="DL308">
        <v>9</v>
      </c>
      <c r="DM308">
        <v>12</v>
      </c>
      <c r="DN308">
        <v>75.83</v>
      </c>
      <c r="DP308" s="86" t="str">
        <f t="shared" si="52"/>
        <v>184215Share Sub Loc Pao Quente SC Johnson</v>
      </c>
      <c r="DQ308">
        <v>184215</v>
      </c>
      <c r="DR308" t="s">
        <v>401</v>
      </c>
      <c r="DS308" t="s">
        <v>482</v>
      </c>
      <c r="DT308" t="s">
        <v>103</v>
      </c>
      <c r="DU308" t="s">
        <v>1790</v>
      </c>
      <c r="DV308" t="s">
        <v>1791</v>
      </c>
      <c r="DW308" t="s">
        <v>458</v>
      </c>
      <c r="DX308">
        <v>12</v>
      </c>
      <c r="DY308">
        <v>12</v>
      </c>
      <c r="DZ308">
        <v>81.22</v>
      </c>
    </row>
    <row r="309" spans="60:130" x14ac:dyDescent="0.35">
      <c r="BH309" s="86" t="str">
        <f t="shared" si="58"/>
        <v>186321Cross Merchan SC Johnson</v>
      </c>
      <c r="BI309">
        <v>186321</v>
      </c>
      <c r="BJ309" t="s">
        <v>354</v>
      </c>
      <c r="BK309" t="s">
        <v>36</v>
      </c>
      <c r="BL309" t="s">
        <v>103</v>
      </c>
      <c r="BM309" t="s">
        <v>1266</v>
      </c>
      <c r="BN309" t="s">
        <v>1267</v>
      </c>
      <c r="BO309" t="s">
        <v>111</v>
      </c>
      <c r="BP309">
        <v>3.335</v>
      </c>
      <c r="BQ309">
        <v>5</v>
      </c>
      <c r="BR309">
        <v>87.89</v>
      </c>
      <c r="BT309" s="86" t="str">
        <f t="shared" si="48"/>
        <v>182638Lancamentos</v>
      </c>
      <c r="BU309">
        <v>182638</v>
      </c>
      <c r="BV309" t="s">
        <v>399</v>
      </c>
      <c r="BW309" t="s">
        <v>1306</v>
      </c>
      <c r="BX309" t="s">
        <v>103</v>
      </c>
      <c r="BY309" t="s">
        <v>1362</v>
      </c>
      <c r="BZ309" t="s">
        <v>1363</v>
      </c>
      <c r="CA309" t="s">
        <v>953</v>
      </c>
      <c r="CB309">
        <v>9</v>
      </c>
      <c r="CC309">
        <v>18</v>
      </c>
      <c r="CD309">
        <v>82.93</v>
      </c>
      <c r="CF309" s="86" t="str">
        <f t="shared" si="49"/>
        <v>184215Lancamentos</v>
      </c>
      <c r="CG309">
        <v>184215</v>
      </c>
      <c r="CH309" t="s">
        <v>401</v>
      </c>
      <c r="CI309" t="s">
        <v>482</v>
      </c>
      <c r="CJ309" t="s">
        <v>103</v>
      </c>
      <c r="CK309" t="s">
        <v>1449</v>
      </c>
      <c r="CL309" t="s">
        <v>1450</v>
      </c>
      <c r="CM309" t="s">
        <v>953</v>
      </c>
      <c r="CN309">
        <v>9</v>
      </c>
      <c r="CO309">
        <v>18</v>
      </c>
      <c r="CP309">
        <v>82.83</v>
      </c>
      <c r="CR309" s="86" t="str">
        <f t="shared" si="50"/>
        <v>184217Lancamentos</v>
      </c>
      <c r="CS309">
        <v>184217</v>
      </c>
      <c r="CT309" t="s">
        <v>402</v>
      </c>
      <c r="CU309" t="s">
        <v>482</v>
      </c>
      <c r="CV309" t="s">
        <v>103</v>
      </c>
      <c r="CW309" t="s">
        <v>1566</v>
      </c>
      <c r="CX309" t="s">
        <v>1567</v>
      </c>
      <c r="CY309" t="s">
        <v>953</v>
      </c>
      <c r="CZ309">
        <v>9</v>
      </c>
      <c r="DA309">
        <v>18</v>
      </c>
      <c r="DB309">
        <v>88</v>
      </c>
      <c r="DD309" s="86" t="str">
        <f t="shared" si="51"/>
        <v>184215Mix + Intocáveis SC Johnson</v>
      </c>
      <c r="DE309">
        <v>184215</v>
      </c>
      <c r="DF309" t="s">
        <v>401</v>
      </c>
      <c r="DG309" t="s">
        <v>482</v>
      </c>
      <c r="DH309" t="s">
        <v>103</v>
      </c>
      <c r="DI309" t="s">
        <v>1738</v>
      </c>
      <c r="DJ309" t="s">
        <v>1739</v>
      </c>
      <c r="DK309" t="s">
        <v>459</v>
      </c>
      <c r="DL309">
        <v>27.2</v>
      </c>
      <c r="DM309">
        <v>40</v>
      </c>
      <c r="DN309">
        <v>76.05</v>
      </c>
      <c r="DP309" s="86" t="str">
        <f t="shared" si="52"/>
        <v>184217Mix + Intocáveis SC Johnson</v>
      </c>
      <c r="DQ309">
        <v>184217</v>
      </c>
      <c r="DR309" t="s">
        <v>402</v>
      </c>
      <c r="DS309" t="s">
        <v>482</v>
      </c>
      <c r="DT309" t="s">
        <v>103</v>
      </c>
      <c r="DU309" t="s">
        <v>1756</v>
      </c>
      <c r="DV309" t="s">
        <v>1757</v>
      </c>
      <c r="DW309" t="s">
        <v>459</v>
      </c>
      <c r="DX309">
        <v>35.200000000000003</v>
      </c>
      <c r="DY309">
        <v>40</v>
      </c>
      <c r="DZ309">
        <v>91.2</v>
      </c>
    </row>
    <row r="310" spans="60:130" x14ac:dyDescent="0.35">
      <c r="BH310" s="86" t="str">
        <f t="shared" si="58"/>
        <v>186321Share Sub Loc Pao Quente SC Johnson</v>
      </c>
      <c r="BI310">
        <v>186321</v>
      </c>
      <c r="BJ310" t="s">
        <v>354</v>
      </c>
      <c r="BK310" t="s">
        <v>36</v>
      </c>
      <c r="BL310" t="s">
        <v>103</v>
      </c>
      <c r="BM310" t="s">
        <v>1266</v>
      </c>
      <c r="BN310" t="s">
        <v>1267</v>
      </c>
      <c r="BO310" t="s">
        <v>458</v>
      </c>
      <c r="BP310">
        <v>12</v>
      </c>
      <c r="BQ310">
        <v>12</v>
      </c>
      <c r="BR310">
        <v>87.89</v>
      </c>
      <c r="BT310" s="86" t="str">
        <f t="shared" si="48"/>
        <v>182638Mix + Intocáveis SC Johnson</v>
      </c>
      <c r="BU310">
        <v>182638</v>
      </c>
      <c r="BV310" t="s">
        <v>399</v>
      </c>
      <c r="BW310" t="s">
        <v>1306</v>
      </c>
      <c r="BX310" t="s">
        <v>103</v>
      </c>
      <c r="BY310" t="s">
        <v>1362</v>
      </c>
      <c r="BZ310" t="s">
        <v>1363</v>
      </c>
      <c r="CA310" t="s">
        <v>459</v>
      </c>
      <c r="CB310">
        <v>33.6</v>
      </c>
      <c r="CC310">
        <v>40</v>
      </c>
      <c r="CD310">
        <v>82.93</v>
      </c>
      <c r="CF310" s="86" t="str">
        <f t="shared" si="49"/>
        <v>184215Mix + Intocáveis SC Johnson</v>
      </c>
      <c r="CG310">
        <v>184215</v>
      </c>
      <c r="CH310" t="s">
        <v>401</v>
      </c>
      <c r="CI310" t="s">
        <v>482</v>
      </c>
      <c r="CJ310" t="s">
        <v>103</v>
      </c>
      <c r="CK310" t="s">
        <v>1449</v>
      </c>
      <c r="CL310" t="s">
        <v>1450</v>
      </c>
      <c r="CM310" t="s">
        <v>459</v>
      </c>
      <c r="CN310">
        <v>30.4</v>
      </c>
      <c r="CO310">
        <v>40</v>
      </c>
      <c r="CP310">
        <v>82.83</v>
      </c>
      <c r="CR310" s="86" t="str">
        <f t="shared" si="50"/>
        <v>184217Mix + Intocáveis SC Johnson</v>
      </c>
      <c r="CS310">
        <v>184217</v>
      </c>
      <c r="CT310" t="s">
        <v>402</v>
      </c>
      <c r="CU310" t="s">
        <v>482</v>
      </c>
      <c r="CV310" t="s">
        <v>103</v>
      </c>
      <c r="CW310" t="s">
        <v>1566</v>
      </c>
      <c r="CX310" t="s">
        <v>1567</v>
      </c>
      <c r="CY310" t="s">
        <v>459</v>
      </c>
      <c r="CZ310">
        <v>32</v>
      </c>
      <c r="DA310">
        <v>40</v>
      </c>
      <c r="DB310">
        <v>88</v>
      </c>
      <c r="DD310" s="86" t="str">
        <f t="shared" si="51"/>
        <v>184215Execucao Bonus</v>
      </c>
      <c r="DE310">
        <v>184215</v>
      </c>
      <c r="DF310" t="s">
        <v>401</v>
      </c>
      <c r="DG310" t="s">
        <v>482</v>
      </c>
      <c r="DH310" t="s">
        <v>103</v>
      </c>
      <c r="DI310" t="s">
        <v>1738</v>
      </c>
      <c r="DJ310" t="s">
        <v>1739</v>
      </c>
      <c r="DK310" t="s">
        <v>1291</v>
      </c>
      <c r="DL310">
        <v>5</v>
      </c>
      <c r="DM310">
        <v>5</v>
      </c>
      <c r="DN310">
        <v>76.05</v>
      </c>
      <c r="DP310" s="86" t="str">
        <f t="shared" si="52"/>
        <v>184217Execucao Bonus</v>
      </c>
      <c r="DQ310">
        <v>184217</v>
      </c>
      <c r="DR310" t="s">
        <v>402</v>
      </c>
      <c r="DS310" t="s">
        <v>482</v>
      </c>
      <c r="DT310" t="s">
        <v>103</v>
      </c>
      <c r="DU310" t="s">
        <v>1756</v>
      </c>
      <c r="DV310" t="s">
        <v>1757</v>
      </c>
      <c r="DW310" t="s">
        <v>1291</v>
      </c>
      <c r="DX310">
        <v>5</v>
      </c>
      <c r="DY310">
        <v>5</v>
      </c>
      <c r="DZ310">
        <v>91.2</v>
      </c>
    </row>
    <row r="311" spans="60:130" x14ac:dyDescent="0.35">
      <c r="BH311" s="86" t="str">
        <f t="shared" si="58"/>
        <v>186321Mix + Intocáveis SC Johnson</v>
      </c>
      <c r="BI311">
        <v>186321</v>
      </c>
      <c r="BJ311" t="s">
        <v>354</v>
      </c>
      <c r="BK311" t="s">
        <v>36</v>
      </c>
      <c r="BL311" t="s">
        <v>103</v>
      </c>
      <c r="BM311" t="s">
        <v>1266</v>
      </c>
      <c r="BN311" t="s">
        <v>1267</v>
      </c>
      <c r="BO311" t="s">
        <v>459</v>
      </c>
      <c r="BP311">
        <v>29.56</v>
      </c>
      <c r="BQ311">
        <v>40</v>
      </c>
      <c r="BR311">
        <v>87.89</v>
      </c>
      <c r="BT311" s="86" t="str">
        <f t="shared" si="48"/>
        <v>182638Share Sub Category SC Johnson</v>
      </c>
      <c r="BU311">
        <v>182638</v>
      </c>
      <c r="BV311" t="s">
        <v>399</v>
      </c>
      <c r="BW311" t="s">
        <v>1306</v>
      </c>
      <c r="BX311" t="s">
        <v>103</v>
      </c>
      <c r="BY311" t="s">
        <v>1362</v>
      </c>
      <c r="BZ311" t="s">
        <v>1363</v>
      </c>
      <c r="CA311" t="s">
        <v>457</v>
      </c>
      <c r="CB311">
        <v>25</v>
      </c>
      <c r="CC311">
        <v>25</v>
      </c>
      <c r="CD311">
        <v>82.93</v>
      </c>
      <c r="CF311" s="86" t="str">
        <f t="shared" si="49"/>
        <v>184215Share Sub Category SC Johnson</v>
      </c>
      <c r="CG311">
        <v>184215</v>
      </c>
      <c r="CH311" t="s">
        <v>401</v>
      </c>
      <c r="CI311" t="s">
        <v>482</v>
      </c>
      <c r="CJ311" t="s">
        <v>103</v>
      </c>
      <c r="CK311" t="s">
        <v>1449</v>
      </c>
      <c r="CL311" t="s">
        <v>1450</v>
      </c>
      <c r="CM311" t="s">
        <v>457</v>
      </c>
      <c r="CN311">
        <v>21.425000000000001</v>
      </c>
      <c r="CO311">
        <v>25</v>
      </c>
      <c r="CP311">
        <v>82.83</v>
      </c>
      <c r="CR311" s="86" t="str">
        <f t="shared" si="50"/>
        <v>184217Share Sub Category SC Johnson</v>
      </c>
      <c r="CS311">
        <v>184217</v>
      </c>
      <c r="CT311" t="s">
        <v>402</v>
      </c>
      <c r="CU311" t="s">
        <v>482</v>
      </c>
      <c r="CV311" t="s">
        <v>103</v>
      </c>
      <c r="CW311" t="s">
        <v>1566</v>
      </c>
      <c r="CX311" t="s">
        <v>1567</v>
      </c>
      <c r="CY311" t="s">
        <v>457</v>
      </c>
      <c r="CZ311">
        <v>25</v>
      </c>
      <c r="DA311">
        <v>25</v>
      </c>
      <c r="DB311">
        <v>88</v>
      </c>
      <c r="DD311" s="86" t="str">
        <f t="shared" si="51"/>
        <v>184215Cross Merchan SC Johnson</v>
      </c>
      <c r="DE311">
        <v>184215</v>
      </c>
      <c r="DF311" t="s">
        <v>401</v>
      </c>
      <c r="DG311" t="s">
        <v>482</v>
      </c>
      <c r="DH311" t="s">
        <v>103</v>
      </c>
      <c r="DI311" t="s">
        <v>1738</v>
      </c>
      <c r="DJ311" t="s">
        <v>1739</v>
      </c>
      <c r="DK311" t="s">
        <v>111</v>
      </c>
      <c r="DL311">
        <v>5</v>
      </c>
      <c r="DM311">
        <v>5</v>
      </c>
      <c r="DN311">
        <v>76.05</v>
      </c>
      <c r="DP311" s="86" t="str">
        <f t="shared" si="52"/>
        <v>184217Cross Merchan SC Johnson</v>
      </c>
      <c r="DQ311">
        <v>184217</v>
      </c>
      <c r="DR311" t="s">
        <v>402</v>
      </c>
      <c r="DS311" t="s">
        <v>482</v>
      </c>
      <c r="DT311" t="s">
        <v>103</v>
      </c>
      <c r="DU311" t="s">
        <v>1756</v>
      </c>
      <c r="DV311" t="s">
        <v>1757</v>
      </c>
      <c r="DW311" t="s">
        <v>111</v>
      </c>
      <c r="DX311">
        <v>5</v>
      </c>
      <c r="DY311">
        <v>5</v>
      </c>
      <c r="DZ311">
        <v>91.2</v>
      </c>
    </row>
    <row r="312" spans="60:130" x14ac:dyDescent="0.35">
      <c r="BH312" s="86" t="str">
        <f t="shared" si="58"/>
        <v>186321Lancamentos</v>
      </c>
      <c r="BI312">
        <v>186321</v>
      </c>
      <c r="BJ312" t="s">
        <v>354</v>
      </c>
      <c r="BK312" t="s">
        <v>36</v>
      </c>
      <c r="BL312" t="s">
        <v>103</v>
      </c>
      <c r="BM312" t="s">
        <v>1266</v>
      </c>
      <c r="BN312" t="s">
        <v>1267</v>
      </c>
      <c r="BO312" t="s">
        <v>953</v>
      </c>
      <c r="BP312">
        <v>18</v>
      </c>
      <c r="BQ312">
        <v>18</v>
      </c>
      <c r="BR312">
        <v>87.89</v>
      </c>
      <c r="BT312" s="86" t="str">
        <f t="shared" si="48"/>
        <v>182638Share Sub Loc Pao Quente SC Johnson</v>
      </c>
      <c r="BU312">
        <v>182638</v>
      </c>
      <c r="BV312" t="s">
        <v>399</v>
      </c>
      <c r="BW312" t="s">
        <v>1306</v>
      </c>
      <c r="BX312" t="s">
        <v>103</v>
      </c>
      <c r="BY312" t="s">
        <v>1362</v>
      </c>
      <c r="BZ312" t="s">
        <v>1363</v>
      </c>
      <c r="CA312" t="s">
        <v>458</v>
      </c>
      <c r="CB312">
        <v>12</v>
      </c>
      <c r="CC312">
        <v>12</v>
      </c>
      <c r="CD312">
        <v>82.93</v>
      </c>
      <c r="CF312" s="86" t="str">
        <f t="shared" si="49"/>
        <v>184215Share Sub Loc Pao Quente SC Johnson</v>
      </c>
      <c r="CG312">
        <v>184215</v>
      </c>
      <c r="CH312" t="s">
        <v>401</v>
      </c>
      <c r="CI312" t="s">
        <v>482</v>
      </c>
      <c r="CJ312" t="s">
        <v>103</v>
      </c>
      <c r="CK312" t="s">
        <v>1449</v>
      </c>
      <c r="CL312" t="s">
        <v>1450</v>
      </c>
      <c r="CM312" t="s">
        <v>458</v>
      </c>
      <c r="CN312">
        <v>12</v>
      </c>
      <c r="CO312">
        <v>12</v>
      </c>
      <c r="CP312">
        <v>82.83</v>
      </c>
      <c r="CR312" s="86" t="str">
        <f t="shared" si="50"/>
        <v>184217Share Sub Loc Pao Quente SC Johnson</v>
      </c>
      <c r="CS312">
        <v>184217</v>
      </c>
      <c r="CT312" t="s">
        <v>402</v>
      </c>
      <c r="CU312" t="s">
        <v>482</v>
      </c>
      <c r="CV312" t="s">
        <v>103</v>
      </c>
      <c r="CW312" t="s">
        <v>1566</v>
      </c>
      <c r="CX312" t="s">
        <v>1567</v>
      </c>
      <c r="CY312" t="s">
        <v>458</v>
      </c>
      <c r="CZ312">
        <v>12</v>
      </c>
      <c r="DA312">
        <v>12</v>
      </c>
      <c r="DB312">
        <v>88</v>
      </c>
      <c r="DD312" s="86" t="str">
        <f t="shared" si="51"/>
        <v>184215Lancamentos</v>
      </c>
      <c r="DE312">
        <v>184215</v>
      </c>
      <c r="DF312" t="s">
        <v>401</v>
      </c>
      <c r="DG312" t="s">
        <v>482</v>
      </c>
      <c r="DH312" t="s">
        <v>103</v>
      </c>
      <c r="DI312" t="s">
        <v>1738</v>
      </c>
      <c r="DJ312" t="s">
        <v>1739</v>
      </c>
      <c r="DK312" t="s">
        <v>953</v>
      </c>
      <c r="DL312">
        <v>9</v>
      </c>
      <c r="DM312">
        <v>18</v>
      </c>
      <c r="DN312">
        <v>76.05</v>
      </c>
      <c r="DP312" s="86" t="str">
        <f t="shared" si="52"/>
        <v>184217Lancamentos</v>
      </c>
      <c r="DQ312">
        <v>184217</v>
      </c>
      <c r="DR312" t="s">
        <v>402</v>
      </c>
      <c r="DS312" t="s">
        <v>482</v>
      </c>
      <c r="DT312" t="s">
        <v>103</v>
      </c>
      <c r="DU312" t="s">
        <v>1756</v>
      </c>
      <c r="DV312" t="s">
        <v>1757</v>
      </c>
      <c r="DW312" t="s">
        <v>953</v>
      </c>
      <c r="DX312">
        <v>9</v>
      </c>
      <c r="DY312">
        <v>18</v>
      </c>
      <c r="DZ312">
        <v>91.2</v>
      </c>
    </row>
    <row r="313" spans="60:130" x14ac:dyDescent="0.35">
      <c r="BH313" s="86" t="str">
        <f t="shared" si="58"/>
        <v>187744Share Sub Category SC Johnson</v>
      </c>
      <c r="BI313">
        <v>187744</v>
      </c>
      <c r="BJ313" t="s">
        <v>355</v>
      </c>
      <c r="BK313" t="s">
        <v>36</v>
      </c>
      <c r="BL313" t="s">
        <v>103</v>
      </c>
      <c r="BM313" t="s">
        <v>1249</v>
      </c>
      <c r="BN313" t="s">
        <v>1250</v>
      </c>
      <c r="BO313" t="s">
        <v>457</v>
      </c>
      <c r="BP313">
        <v>17.14</v>
      </c>
      <c r="BQ313">
        <v>20</v>
      </c>
      <c r="BR313">
        <v>68.900000000000006</v>
      </c>
      <c r="BT313" s="86" t="str">
        <f t="shared" si="48"/>
        <v>182638Cross Merchan SC Johnson</v>
      </c>
      <c r="BU313">
        <v>182638</v>
      </c>
      <c r="BV313" t="s">
        <v>399</v>
      </c>
      <c r="BW313" t="s">
        <v>1306</v>
      </c>
      <c r="BX313" t="s">
        <v>103</v>
      </c>
      <c r="BY313" t="s">
        <v>1362</v>
      </c>
      <c r="BZ313" t="s">
        <v>1363</v>
      </c>
      <c r="CA313" t="s">
        <v>111</v>
      </c>
      <c r="CB313">
        <v>3.335</v>
      </c>
      <c r="CC313">
        <v>5</v>
      </c>
      <c r="CD313">
        <v>82.93</v>
      </c>
      <c r="CF313" s="86" t="str">
        <f t="shared" si="49"/>
        <v>184215Cross Merchan SC Johnson</v>
      </c>
      <c r="CG313">
        <v>184215</v>
      </c>
      <c r="CH313" t="s">
        <v>401</v>
      </c>
      <c r="CI313" t="s">
        <v>482</v>
      </c>
      <c r="CJ313" t="s">
        <v>103</v>
      </c>
      <c r="CK313" t="s">
        <v>1449</v>
      </c>
      <c r="CL313" t="s">
        <v>1450</v>
      </c>
      <c r="CM313" t="s">
        <v>111</v>
      </c>
      <c r="CN313">
        <v>5</v>
      </c>
      <c r="CO313">
        <v>5</v>
      </c>
      <c r="CP313">
        <v>82.83</v>
      </c>
      <c r="CR313" s="86" t="str">
        <f t="shared" si="50"/>
        <v>184217Cross Merchan SC Johnson</v>
      </c>
      <c r="CS313">
        <v>184217</v>
      </c>
      <c r="CT313" t="s">
        <v>402</v>
      </c>
      <c r="CU313" t="s">
        <v>482</v>
      </c>
      <c r="CV313" t="s">
        <v>103</v>
      </c>
      <c r="CW313" t="s">
        <v>1566</v>
      </c>
      <c r="CX313" t="s">
        <v>1567</v>
      </c>
      <c r="CY313" t="s">
        <v>111</v>
      </c>
      <c r="CZ313">
        <v>5</v>
      </c>
      <c r="DA313">
        <v>5</v>
      </c>
      <c r="DB313">
        <v>88</v>
      </c>
      <c r="DD313" s="86" t="str">
        <f t="shared" si="51"/>
        <v>184215Share Sub Category SC Johnson</v>
      </c>
      <c r="DE313">
        <v>184215</v>
      </c>
      <c r="DF313" t="s">
        <v>401</v>
      </c>
      <c r="DG313" t="s">
        <v>482</v>
      </c>
      <c r="DH313" t="s">
        <v>103</v>
      </c>
      <c r="DI313" t="s">
        <v>1738</v>
      </c>
      <c r="DJ313" t="s">
        <v>1739</v>
      </c>
      <c r="DK313" t="s">
        <v>457</v>
      </c>
      <c r="DL313">
        <v>17.850000000000001</v>
      </c>
      <c r="DM313">
        <v>25</v>
      </c>
      <c r="DN313">
        <v>76.05</v>
      </c>
      <c r="DP313" s="86" t="str">
        <f t="shared" si="52"/>
        <v>184217Share Sub Category SC Johnson</v>
      </c>
      <c r="DQ313">
        <v>184217</v>
      </c>
      <c r="DR313" t="s">
        <v>402</v>
      </c>
      <c r="DS313" t="s">
        <v>482</v>
      </c>
      <c r="DT313" t="s">
        <v>103</v>
      </c>
      <c r="DU313" t="s">
        <v>1756</v>
      </c>
      <c r="DV313" t="s">
        <v>1757</v>
      </c>
      <c r="DW313" t="s">
        <v>457</v>
      </c>
      <c r="DX313">
        <v>25</v>
      </c>
      <c r="DY313">
        <v>25</v>
      </c>
      <c r="DZ313">
        <v>91.2</v>
      </c>
    </row>
    <row r="314" spans="60:130" x14ac:dyDescent="0.35">
      <c r="BH314" s="86" t="str">
        <f t="shared" si="58"/>
        <v>187744Cross Merchan SC Johnson</v>
      </c>
      <c r="BI314">
        <v>187744</v>
      </c>
      <c r="BJ314" t="s">
        <v>355</v>
      </c>
      <c r="BK314" t="s">
        <v>36</v>
      </c>
      <c r="BL314" t="s">
        <v>103</v>
      </c>
      <c r="BM314" t="s">
        <v>1249</v>
      </c>
      <c r="BN314" t="s">
        <v>1250</v>
      </c>
      <c r="BO314" t="s">
        <v>111</v>
      </c>
      <c r="BP314">
        <v>1.665</v>
      </c>
      <c r="BQ314">
        <v>5</v>
      </c>
      <c r="BR314">
        <v>68.900000000000006</v>
      </c>
      <c r="BT314" s="86" t="str">
        <f t="shared" si="48"/>
        <v>182638Execucao Bonus</v>
      </c>
      <c r="BU314">
        <v>182638</v>
      </c>
      <c r="BV314" t="s">
        <v>399</v>
      </c>
      <c r="BW314" t="s">
        <v>1306</v>
      </c>
      <c r="BX314" t="s">
        <v>103</v>
      </c>
      <c r="BY314" t="s">
        <v>1362</v>
      </c>
      <c r="BZ314" t="s">
        <v>1363</v>
      </c>
      <c r="CA314" t="s">
        <v>1291</v>
      </c>
      <c r="CB314">
        <v>0</v>
      </c>
      <c r="CC314">
        <v>5</v>
      </c>
      <c r="CD314">
        <v>82.93</v>
      </c>
      <c r="CF314" s="86" t="str">
        <f t="shared" si="49"/>
        <v>184215Execucao Bonus</v>
      </c>
      <c r="CG314">
        <v>184215</v>
      </c>
      <c r="CH314" t="s">
        <v>401</v>
      </c>
      <c r="CI314" t="s">
        <v>482</v>
      </c>
      <c r="CJ314" t="s">
        <v>103</v>
      </c>
      <c r="CK314" t="s">
        <v>1449</v>
      </c>
      <c r="CL314" t="s">
        <v>1450</v>
      </c>
      <c r="CM314" t="s">
        <v>1291</v>
      </c>
      <c r="CN314">
        <v>5</v>
      </c>
      <c r="CO314">
        <v>5</v>
      </c>
      <c r="CP314">
        <v>82.83</v>
      </c>
      <c r="CR314" s="86" t="str">
        <f t="shared" si="50"/>
        <v>184217Execucao Bonus</v>
      </c>
      <c r="CS314">
        <v>184217</v>
      </c>
      <c r="CT314" t="s">
        <v>402</v>
      </c>
      <c r="CU314" t="s">
        <v>482</v>
      </c>
      <c r="CV314" t="s">
        <v>103</v>
      </c>
      <c r="CW314" t="s">
        <v>1566</v>
      </c>
      <c r="CX314" t="s">
        <v>1567</v>
      </c>
      <c r="CY314" t="s">
        <v>1291</v>
      </c>
      <c r="CZ314">
        <v>5</v>
      </c>
      <c r="DA314">
        <v>5</v>
      </c>
      <c r="DB314">
        <v>88</v>
      </c>
      <c r="DD314" s="86" t="str">
        <f t="shared" si="51"/>
        <v>184215Share Sub Loc Pao Quente SC Johnson</v>
      </c>
      <c r="DE314">
        <v>184215</v>
      </c>
      <c r="DF314" t="s">
        <v>401</v>
      </c>
      <c r="DG314" t="s">
        <v>482</v>
      </c>
      <c r="DH314" t="s">
        <v>103</v>
      </c>
      <c r="DI314" t="s">
        <v>1738</v>
      </c>
      <c r="DJ314" t="s">
        <v>1739</v>
      </c>
      <c r="DK314" t="s">
        <v>458</v>
      </c>
      <c r="DL314">
        <v>12</v>
      </c>
      <c r="DM314">
        <v>12</v>
      </c>
      <c r="DN314">
        <v>76.05</v>
      </c>
      <c r="DP314" s="86" t="str">
        <f t="shared" si="52"/>
        <v>184217Share Sub Loc Pao Quente SC Johnson</v>
      </c>
      <c r="DQ314">
        <v>184217</v>
      </c>
      <c r="DR314" t="s">
        <v>402</v>
      </c>
      <c r="DS314" t="s">
        <v>482</v>
      </c>
      <c r="DT314" t="s">
        <v>103</v>
      </c>
      <c r="DU314" t="s">
        <v>1756</v>
      </c>
      <c r="DV314" t="s">
        <v>1757</v>
      </c>
      <c r="DW314" t="s">
        <v>458</v>
      </c>
      <c r="DX314">
        <v>12</v>
      </c>
      <c r="DY314">
        <v>12</v>
      </c>
      <c r="DZ314">
        <v>91.2</v>
      </c>
    </row>
    <row r="315" spans="60:130" x14ac:dyDescent="0.35">
      <c r="BH315" s="86" t="str">
        <f t="shared" si="58"/>
        <v>187744Share Sub Loc Pao Quente SC Johnson</v>
      </c>
      <c r="BI315">
        <v>187744</v>
      </c>
      <c r="BJ315" t="s">
        <v>355</v>
      </c>
      <c r="BK315" t="s">
        <v>36</v>
      </c>
      <c r="BL315" t="s">
        <v>103</v>
      </c>
      <c r="BM315" t="s">
        <v>1249</v>
      </c>
      <c r="BN315" t="s">
        <v>1250</v>
      </c>
      <c r="BO315" t="s">
        <v>458</v>
      </c>
      <c r="BP315">
        <v>10</v>
      </c>
      <c r="BQ315">
        <v>10</v>
      </c>
      <c r="BR315">
        <v>68.900000000000006</v>
      </c>
      <c r="BT315" s="86" t="str">
        <f t="shared" si="48"/>
        <v>182640Lancamentos</v>
      </c>
      <c r="BU315">
        <v>182640</v>
      </c>
      <c r="BV315" t="s">
        <v>351</v>
      </c>
      <c r="BW315" t="s">
        <v>36</v>
      </c>
      <c r="BX315" t="s">
        <v>103</v>
      </c>
      <c r="BY315" t="s">
        <v>1285</v>
      </c>
      <c r="BZ315" t="s">
        <v>1286</v>
      </c>
      <c r="CA315" t="s">
        <v>953</v>
      </c>
      <c r="CB315">
        <v>9</v>
      </c>
      <c r="CC315">
        <v>18</v>
      </c>
      <c r="CD315">
        <v>38.61</v>
      </c>
      <c r="CF315" s="86" t="str">
        <f t="shared" si="49"/>
        <v>184217Lancamentos</v>
      </c>
      <c r="CG315">
        <v>184217</v>
      </c>
      <c r="CH315" t="s">
        <v>402</v>
      </c>
      <c r="CI315" t="s">
        <v>482</v>
      </c>
      <c r="CJ315" t="s">
        <v>103</v>
      </c>
      <c r="CK315" t="s">
        <v>1451</v>
      </c>
      <c r="CL315" t="s">
        <v>1452</v>
      </c>
      <c r="CM315" t="s">
        <v>953</v>
      </c>
      <c r="CN315">
        <v>9</v>
      </c>
      <c r="CO315">
        <v>18</v>
      </c>
      <c r="CP315">
        <v>88.8</v>
      </c>
      <c r="CR315" s="86" t="str">
        <f t="shared" si="50"/>
        <v>184221Lancamentos</v>
      </c>
      <c r="CS315">
        <v>184221</v>
      </c>
      <c r="CT315" t="s">
        <v>403</v>
      </c>
      <c r="CU315" t="s">
        <v>482</v>
      </c>
      <c r="CV315" t="s">
        <v>103</v>
      </c>
      <c r="CW315" t="s">
        <v>1614</v>
      </c>
      <c r="CX315" t="s">
        <v>1615</v>
      </c>
      <c r="CY315" t="s">
        <v>953</v>
      </c>
      <c r="CZ315">
        <v>0</v>
      </c>
      <c r="DA315">
        <v>18</v>
      </c>
      <c r="DB315">
        <v>69.83</v>
      </c>
      <c r="DD315" s="86" t="str">
        <f t="shared" si="51"/>
        <v>184217Mix + Intocáveis SC Johnson</v>
      </c>
      <c r="DE315">
        <v>184217</v>
      </c>
      <c r="DF315" t="s">
        <v>402</v>
      </c>
      <c r="DG315" t="s">
        <v>482</v>
      </c>
      <c r="DH315" t="s">
        <v>103</v>
      </c>
      <c r="DI315" t="s">
        <v>1668</v>
      </c>
      <c r="DJ315" t="s">
        <v>1669</v>
      </c>
      <c r="DK315" t="s">
        <v>459</v>
      </c>
      <c r="DL315">
        <v>31.2</v>
      </c>
      <c r="DM315">
        <v>40</v>
      </c>
      <c r="DN315">
        <v>87.2</v>
      </c>
      <c r="DP315" s="86" t="str">
        <f t="shared" si="52"/>
        <v>184221Mix + Intocáveis SC Johnson</v>
      </c>
      <c r="DQ315">
        <v>184221</v>
      </c>
      <c r="DR315" t="s">
        <v>403</v>
      </c>
      <c r="DS315" t="s">
        <v>482</v>
      </c>
      <c r="DT315" t="s">
        <v>103</v>
      </c>
      <c r="DU315" t="s">
        <v>1792</v>
      </c>
      <c r="DV315" t="s">
        <v>1793</v>
      </c>
      <c r="DW315" t="s">
        <v>459</v>
      </c>
      <c r="DX315">
        <v>29.6</v>
      </c>
      <c r="DY315">
        <v>40</v>
      </c>
      <c r="DZ315">
        <v>82.03</v>
      </c>
    </row>
    <row r="316" spans="60:130" x14ac:dyDescent="0.35">
      <c r="BH316" s="86" t="str">
        <f t="shared" si="58"/>
        <v>187744Mix + Intocáveis SC Johnson</v>
      </c>
      <c r="BI316">
        <v>187744</v>
      </c>
      <c r="BJ316" t="s">
        <v>355</v>
      </c>
      <c r="BK316" t="s">
        <v>36</v>
      </c>
      <c r="BL316" t="s">
        <v>103</v>
      </c>
      <c r="BM316" t="s">
        <v>1249</v>
      </c>
      <c r="BN316" t="s">
        <v>1250</v>
      </c>
      <c r="BO316" t="s">
        <v>459</v>
      </c>
      <c r="BP316">
        <v>25.094999999999999</v>
      </c>
      <c r="BQ316">
        <v>35</v>
      </c>
      <c r="BR316">
        <v>68.900000000000006</v>
      </c>
      <c r="BT316" s="86" t="str">
        <f t="shared" si="48"/>
        <v>182640Mix + Intocáveis SC Johnson</v>
      </c>
      <c r="BU316">
        <v>182640</v>
      </c>
      <c r="BV316" t="s">
        <v>351</v>
      </c>
      <c r="BW316" t="s">
        <v>36</v>
      </c>
      <c r="BX316" t="s">
        <v>103</v>
      </c>
      <c r="BY316" t="s">
        <v>1285</v>
      </c>
      <c r="BZ316" t="s">
        <v>1286</v>
      </c>
      <c r="CA316" t="s">
        <v>459</v>
      </c>
      <c r="CB316">
        <v>6</v>
      </c>
      <c r="CC316">
        <v>40</v>
      </c>
      <c r="CD316">
        <v>38.61</v>
      </c>
      <c r="CF316" s="86" t="str">
        <f t="shared" si="49"/>
        <v>184217Mix + Intocáveis SC Johnson</v>
      </c>
      <c r="CG316">
        <v>184217</v>
      </c>
      <c r="CH316" t="s">
        <v>402</v>
      </c>
      <c r="CI316" t="s">
        <v>482</v>
      </c>
      <c r="CJ316" t="s">
        <v>103</v>
      </c>
      <c r="CK316" t="s">
        <v>1451</v>
      </c>
      <c r="CL316" t="s">
        <v>1452</v>
      </c>
      <c r="CM316" t="s">
        <v>459</v>
      </c>
      <c r="CN316">
        <v>32.799999999999997</v>
      </c>
      <c r="CO316">
        <v>40</v>
      </c>
      <c r="CP316">
        <v>88.8</v>
      </c>
      <c r="CR316" s="86" t="str">
        <f t="shared" si="50"/>
        <v>184221Mix + Intocáveis SC Johnson</v>
      </c>
      <c r="CS316">
        <v>184221</v>
      </c>
      <c r="CT316" t="s">
        <v>403</v>
      </c>
      <c r="CU316" t="s">
        <v>482</v>
      </c>
      <c r="CV316" t="s">
        <v>103</v>
      </c>
      <c r="CW316" t="s">
        <v>1614</v>
      </c>
      <c r="CX316" t="s">
        <v>1615</v>
      </c>
      <c r="CY316" t="s">
        <v>459</v>
      </c>
      <c r="CZ316">
        <v>26.4</v>
      </c>
      <c r="DA316">
        <v>40</v>
      </c>
      <c r="DB316">
        <v>69.83</v>
      </c>
      <c r="DD316" s="86" t="str">
        <f t="shared" si="51"/>
        <v>184217Execucao Bonus</v>
      </c>
      <c r="DE316">
        <v>184217</v>
      </c>
      <c r="DF316" t="s">
        <v>402</v>
      </c>
      <c r="DG316" t="s">
        <v>482</v>
      </c>
      <c r="DH316" t="s">
        <v>103</v>
      </c>
      <c r="DI316" t="s">
        <v>1668</v>
      </c>
      <c r="DJ316" t="s">
        <v>1669</v>
      </c>
      <c r="DK316" t="s">
        <v>1291</v>
      </c>
      <c r="DL316">
        <v>5</v>
      </c>
      <c r="DM316">
        <v>5</v>
      </c>
      <c r="DN316">
        <v>87.2</v>
      </c>
      <c r="DP316" s="86" t="str">
        <f t="shared" si="52"/>
        <v>184221Execucao Bonus</v>
      </c>
      <c r="DQ316">
        <v>184221</v>
      </c>
      <c r="DR316" t="s">
        <v>403</v>
      </c>
      <c r="DS316" t="s">
        <v>482</v>
      </c>
      <c r="DT316" t="s">
        <v>103</v>
      </c>
      <c r="DU316" t="s">
        <v>1792</v>
      </c>
      <c r="DV316" t="s">
        <v>1793</v>
      </c>
      <c r="DW316" t="s">
        <v>1291</v>
      </c>
      <c r="DX316">
        <v>5</v>
      </c>
      <c r="DY316">
        <v>5</v>
      </c>
      <c r="DZ316">
        <v>82.03</v>
      </c>
    </row>
    <row r="317" spans="60:130" x14ac:dyDescent="0.35">
      <c r="BH317" s="86" t="str">
        <f t="shared" si="58"/>
        <v>187744Plano Foco SC Johnson</v>
      </c>
      <c r="BI317">
        <v>187744</v>
      </c>
      <c r="BJ317" t="s">
        <v>355</v>
      </c>
      <c r="BK317" t="s">
        <v>36</v>
      </c>
      <c r="BL317" t="s">
        <v>103</v>
      </c>
      <c r="BM317" t="s">
        <v>1249</v>
      </c>
      <c r="BN317" t="s">
        <v>1250</v>
      </c>
      <c r="BO317" t="s">
        <v>1251</v>
      </c>
      <c r="BP317">
        <v>15</v>
      </c>
      <c r="BQ317">
        <v>15</v>
      </c>
      <c r="BR317">
        <v>68.900000000000006</v>
      </c>
      <c r="BT317" s="86" t="str">
        <f t="shared" si="48"/>
        <v>182640Share Sub Category SC Johnson</v>
      </c>
      <c r="BU317">
        <v>182640</v>
      </c>
      <c r="BV317" t="s">
        <v>351</v>
      </c>
      <c r="BW317" t="s">
        <v>36</v>
      </c>
      <c r="BX317" t="s">
        <v>103</v>
      </c>
      <c r="BY317" t="s">
        <v>1285</v>
      </c>
      <c r="BZ317" t="s">
        <v>1286</v>
      </c>
      <c r="CA317" t="s">
        <v>457</v>
      </c>
      <c r="CB317">
        <v>14.275</v>
      </c>
      <c r="CC317">
        <v>25</v>
      </c>
      <c r="CD317">
        <v>38.61</v>
      </c>
      <c r="CF317" s="86" t="str">
        <f t="shared" si="49"/>
        <v>184217Share Sub Category SC Johnson</v>
      </c>
      <c r="CG317">
        <v>184217</v>
      </c>
      <c r="CH317" t="s">
        <v>402</v>
      </c>
      <c r="CI317" t="s">
        <v>482</v>
      </c>
      <c r="CJ317" t="s">
        <v>103</v>
      </c>
      <c r="CK317" t="s">
        <v>1451</v>
      </c>
      <c r="CL317" t="s">
        <v>1452</v>
      </c>
      <c r="CM317" t="s">
        <v>457</v>
      </c>
      <c r="CN317">
        <v>25</v>
      </c>
      <c r="CO317">
        <v>25</v>
      </c>
      <c r="CP317">
        <v>88.8</v>
      </c>
      <c r="CR317" s="86" t="str">
        <f t="shared" si="50"/>
        <v>184221Share Sub Category SC Johnson</v>
      </c>
      <c r="CS317">
        <v>184221</v>
      </c>
      <c r="CT317" t="s">
        <v>403</v>
      </c>
      <c r="CU317" t="s">
        <v>482</v>
      </c>
      <c r="CV317" t="s">
        <v>103</v>
      </c>
      <c r="CW317" t="s">
        <v>1614</v>
      </c>
      <c r="CX317" t="s">
        <v>1615</v>
      </c>
      <c r="CY317" t="s">
        <v>457</v>
      </c>
      <c r="CZ317">
        <v>21.425000000000001</v>
      </c>
      <c r="DA317">
        <v>25</v>
      </c>
      <c r="DB317">
        <v>69.83</v>
      </c>
      <c r="DD317" s="86" t="str">
        <f t="shared" si="51"/>
        <v>184217Cross Merchan SC Johnson</v>
      </c>
      <c r="DE317">
        <v>184217</v>
      </c>
      <c r="DF317" t="s">
        <v>402</v>
      </c>
      <c r="DG317" t="s">
        <v>482</v>
      </c>
      <c r="DH317" t="s">
        <v>103</v>
      </c>
      <c r="DI317" t="s">
        <v>1668</v>
      </c>
      <c r="DJ317" t="s">
        <v>1669</v>
      </c>
      <c r="DK317" t="s">
        <v>111</v>
      </c>
      <c r="DL317">
        <v>5</v>
      </c>
      <c r="DM317">
        <v>5</v>
      </c>
      <c r="DN317">
        <v>87.2</v>
      </c>
      <c r="DP317" s="86" t="str">
        <f t="shared" si="52"/>
        <v>184221Cross Merchan SC Johnson</v>
      </c>
      <c r="DQ317">
        <v>184221</v>
      </c>
      <c r="DR317" t="s">
        <v>403</v>
      </c>
      <c r="DS317" t="s">
        <v>482</v>
      </c>
      <c r="DT317" t="s">
        <v>103</v>
      </c>
      <c r="DU317" t="s">
        <v>1792</v>
      </c>
      <c r="DV317" t="s">
        <v>1793</v>
      </c>
      <c r="DW317" t="s">
        <v>111</v>
      </c>
      <c r="DX317">
        <v>5</v>
      </c>
      <c r="DY317">
        <v>5</v>
      </c>
      <c r="DZ317">
        <v>82.03</v>
      </c>
    </row>
    <row r="318" spans="60:130" x14ac:dyDescent="0.35">
      <c r="BH318" s="86" t="str">
        <f t="shared" si="58"/>
        <v>187744Lancamentos</v>
      </c>
      <c r="BI318">
        <v>187744</v>
      </c>
      <c r="BJ318" t="s">
        <v>355</v>
      </c>
      <c r="BK318" t="s">
        <v>36</v>
      </c>
      <c r="BL318" t="s">
        <v>103</v>
      </c>
      <c r="BM318" t="s">
        <v>1249</v>
      </c>
      <c r="BN318" t="s">
        <v>1250</v>
      </c>
      <c r="BO318" t="s">
        <v>953</v>
      </c>
      <c r="BP318">
        <v>0</v>
      </c>
      <c r="BQ318">
        <v>15</v>
      </c>
      <c r="BR318">
        <v>68.900000000000006</v>
      </c>
      <c r="BT318" s="86" t="str">
        <f t="shared" si="48"/>
        <v>182640Share Sub Loc Pao Quente SC Johnson</v>
      </c>
      <c r="BU318">
        <v>182640</v>
      </c>
      <c r="BV318" t="s">
        <v>351</v>
      </c>
      <c r="BW318" t="s">
        <v>36</v>
      </c>
      <c r="BX318" t="s">
        <v>103</v>
      </c>
      <c r="BY318" t="s">
        <v>1285</v>
      </c>
      <c r="BZ318" t="s">
        <v>1286</v>
      </c>
      <c r="CA318" t="s">
        <v>458</v>
      </c>
      <c r="CB318">
        <v>6</v>
      </c>
      <c r="CC318">
        <v>12</v>
      </c>
      <c r="CD318">
        <v>38.61</v>
      </c>
      <c r="CF318" s="86" t="str">
        <f t="shared" si="49"/>
        <v>184217Share Sub Loc Pao Quente SC Johnson</v>
      </c>
      <c r="CG318">
        <v>184217</v>
      </c>
      <c r="CH318" t="s">
        <v>402</v>
      </c>
      <c r="CI318" t="s">
        <v>482</v>
      </c>
      <c r="CJ318" t="s">
        <v>103</v>
      </c>
      <c r="CK318" t="s">
        <v>1451</v>
      </c>
      <c r="CL318" t="s">
        <v>1452</v>
      </c>
      <c r="CM318" t="s">
        <v>458</v>
      </c>
      <c r="CN318">
        <v>12</v>
      </c>
      <c r="CO318">
        <v>12</v>
      </c>
      <c r="CP318">
        <v>88.8</v>
      </c>
      <c r="CR318" s="86" t="str">
        <f t="shared" si="50"/>
        <v>184221Share Sub Loc Pao Quente SC Johnson</v>
      </c>
      <c r="CS318">
        <v>184221</v>
      </c>
      <c r="CT318" t="s">
        <v>403</v>
      </c>
      <c r="CU318" t="s">
        <v>482</v>
      </c>
      <c r="CV318" t="s">
        <v>103</v>
      </c>
      <c r="CW318" t="s">
        <v>1614</v>
      </c>
      <c r="CX318" t="s">
        <v>1615</v>
      </c>
      <c r="CY318" t="s">
        <v>458</v>
      </c>
      <c r="CZ318">
        <v>12</v>
      </c>
      <c r="DA318">
        <v>12</v>
      </c>
      <c r="DB318">
        <v>69.83</v>
      </c>
      <c r="DD318" s="86" t="str">
        <f t="shared" si="51"/>
        <v>184217Lancamentos</v>
      </c>
      <c r="DE318">
        <v>184217</v>
      </c>
      <c r="DF318" t="s">
        <v>402</v>
      </c>
      <c r="DG318" t="s">
        <v>482</v>
      </c>
      <c r="DH318" t="s">
        <v>103</v>
      </c>
      <c r="DI318" t="s">
        <v>1668</v>
      </c>
      <c r="DJ318" t="s">
        <v>1669</v>
      </c>
      <c r="DK318" t="s">
        <v>953</v>
      </c>
      <c r="DL318">
        <v>9</v>
      </c>
      <c r="DM318">
        <v>18</v>
      </c>
      <c r="DN318">
        <v>87.2</v>
      </c>
      <c r="DP318" s="86" t="str">
        <f t="shared" si="52"/>
        <v>184221Lancamentos</v>
      </c>
      <c r="DQ318">
        <v>184221</v>
      </c>
      <c r="DR318" t="s">
        <v>403</v>
      </c>
      <c r="DS318" t="s">
        <v>482</v>
      </c>
      <c r="DT318" t="s">
        <v>103</v>
      </c>
      <c r="DU318" t="s">
        <v>1792</v>
      </c>
      <c r="DV318" t="s">
        <v>1793</v>
      </c>
      <c r="DW318" t="s">
        <v>953</v>
      </c>
      <c r="DX318">
        <v>9</v>
      </c>
      <c r="DY318">
        <v>18</v>
      </c>
      <c r="DZ318">
        <v>82.03</v>
      </c>
    </row>
    <row r="319" spans="60:130" x14ac:dyDescent="0.35">
      <c r="BT319" s="86" t="str">
        <f t="shared" si="48"/>
        <v>182640Cross Merchan SC Johnson</v>
      </c>
      <c r="BU319">
        <v>182640</v>
      </c>
      <c r="BV319" t="s">
        <v>351</v>
      </c>
      <c r="BW319" t="s">
        <v>36</v>
      </c>
      <c r="BX319" t="s">
        <v>103</v>
      </c>
      <c r="BY319" t="s">
        <v>1285</v>
      </c>
      <c r="BZ319" t="s">
        <v>1286</v>
      </c>
      <c r="CA319" t="s">
        <v>111</v>
      </c>
      <c r="CB319">
        <v>3.335</v>
      </c>
      <c r="CC319">
        <v>5</v>
      </c>
      <c r="CD319">
        <v>38.61</v>
      </c>
      <c r="CF319" s="86" t="str">
        <f t="shared" si="49"/>
        <v>184217Cross Merchan SC Johnson</v>
      </c>
      <c r="CG319">
        <v>184217</v>
      </c>
      <c r="CH319" t="s">
        <v>402</v>
      </c>
      <c r="CI319" t="s">
        <v>482</v>
      </c>
      <c r="CJ319" t="s">
        <v>103</v>
      </c>
      <c r="CK319" t="s">
        <v>1451</v>
      </c>
      <c r="CL319" t="s">
        <v>1452</v>
      </c>
      <c r="CM319" t="s">
        <v>111</v>
      </c>
      <c r="CN319">
        <v>5</v>
      </c>
      <c r="CO319">
        <v>5</v>
      </c>
      <c r="CP319">
        <v>88.8</v>
      </c>
      <c r="CR319" s="86" t="str">
        <f t="shared" si="50"/>
        <v>184221Cross Merchan SC Johnson</v>
      </c>
      <c r="CS319">
        <v>184221</v>
      </c>
      <c r="CT319" t="s">
        <v>403</v>
      </c>
      <c r="CU319" t="s">
        <v>482</v>
      </c>
      <c r="CV319" t="s">
        <v>103</v>
      </c>
      <c r="CW319" t="s">
        <v>1614</v>
      </c>
      <c r="CX319" t="s">
        <v>1615</v>
      </c>
      <c r="CY319" t="s">
        <v>111</v>
      </c>
      <c r="CZ319">
        <v>5</v>
      </c>
      <c r="DA319">
        <v>5</v>
      </c>
      <c r="DB319">
        <v>69.83</v>
      </c>
      <c r="DD319" s="86" t="str">
        <f t="shared" si="51"/>
        <v>184217Share Sub Category SC Johnson</v>
      </c>
      <c r="DE319">
        <v>184217</v>
      </c>
      <c r="DF319" t="s">
        <v>402</v>
      </c>
      <c r="DG319" t="s">
        <v>482</v>
      </c>
      <c r="DH319" t="s">
        <v>103</v>
      </c>
      <c r="DI319" t="s">
        <v>1668</v>
      </c>
      <c r="DJ319" t="s">
        <v>1669</v>
      </c>
      <c r="DK319" t="s">
        <v>457</v>
      </c>
      <c r="DL319">
        <v>25</v>
      </c>
      <c r="DM319">
        <v>25</v>
      </c>
      <c r="DN319">
        <v>87.2</v>
      </c>
      <c r="DP319" s="86" t="str">
        <f t="shared" si="52"/>
        <v>184221Share Sub Category SC Johnson</v>
      </c>
      <c r="DQ319">
        <v>184221</v>
      </c>
      <c r="DR319" t="s">
        <v>403</v>
      </c>
      <c r="DS319" t="s">
        <v>482</v>
      </c>
      <c r="DT319" t="s">
        <v>103</v>
      </c>
      <c r="DU319" t="s">
        <v>1792</v>
      </c>
      <c r="DV319" t="s">
        <v>1793</v>
      </c>
      <c r="DW319" t="s">
        <v>457</v>
      </c>
      <c r="DX319">
        <v>21.425000000000001</v>
      </c>
      <c r="DY319">
        <v>25</v>
      </c>
      <c r="DZ319">
        <v>82.03</v>
      </c>
    </row>
    <row r="320" spans="60:130" x14ac:dyDescent="0.35">
      <c r="BT320" s="86" t="str">
        <f t="shared" si="48"/>
        <v>182640Execucao Bonus</v>
      </c>
      <c r="BU320">
        <v>182640</v>
      </c>
      <c r="BV320" t="s">
        <v>351</v>
      </c>
      <c r="BW320" t="s">
        <v>36</v>
      </c>
      <c r="BX320" t="s">
        <v>103</v>
      </c>
      <c r="BY320" t="s">
        <v>1285</v>
      </c>
      <c r="BZ320" t="s">
        <v>1286</v>
      </c>
      <c r="CA320" t="s">
        <v>1291</v>
      </c>
      <c r="CB320">
        <v>0</v>
      </c>
      <c r="CC320">
        <v>5</v>
      </c>
      <c r="CD320">
        <v>38.61</v>
      </c>
      <c r="CF320" s="86" t="str">
        <f t="shared" si="49"/>
        <v>184217Execucao Bonus</v>
      </c>
      <c r="CG320">
        <v>184217</v>
      </c>
      <c r="CH320" t="s">
        <v>402</v>
      </c>
      <c r="CI320" t="s">
        <v>482</v>
      </c>
      <c r="CJ320" t="s">
        <v>103</v>
      </c>
      <c r="CK320" t="s">
        <v>1451</v>
      </c>
      <c r="CL320" t="s">
        <v>1452</v>
      </c>
      <c r="CM320" t="s">
        <v>1291</v>
      </c>
      <c r="CN320">
        <v>5</v>
      </c>
      <c r="CO320">
        <v>5</v>
      </c>
      <c r="CP320">
        <v>88.8</v>
      </c>
      <c r="CR320" s="86" t="str">
        <f t="shared" si="50"/>
        <v>184221Execucao Bonus</v>
      </c>
      <c r="CS320">
        <v>184221</v>
      </c>
      <c r="CT320" t="s">
        <v>403</v>
      </c>
      <c r="CU320" t="s">
        <v>482</v>
      </c>
      <c r="CV320" t="s">
        <v>103</v>
      </c>
      <c r="CW320" t="s">
        <v>1614</v>
      </c>
      <c r="CX320" t="s">
        <v>1615</v>
      </c>
      <c r="CY320" t="s">
        <v>1291</v>
      </c>
      <c r="CZ320">
        <v>5</v>
      </c>
      <c r="DA320">
        <v>5</v>
      </c>
      <c r="DB320">
        <v>69.83</v>
      </c>
      <c r="DD320" s="86" t="str">
        <f t="shared" si="51"/>
        <v>184217Share Sub Loc Pao Quente SC Johnson</v>
      </c>
      <c r="DE320">
        <v>184217</v>
      </c>
      <c r="DF320" t="s">
        <v>402</v>
      </c>
      <c r="DG320" t="s">
        <v>482</v>
      </c>
      <c r="DH320" t="s">
        <v>103</v>
      </c>
      <c r="DI320" t="s">
        <v>1668</v>
      </c>
      <c r="DJ320" t="s">
        <v>1669</v>
      </c>
      <c r="DK320" t="s">
        <v>458</v>
      </c>
      <c r="DL320">
        <v>12</v>
      </c>
      <c r="DM320">
        <v>12</v>
      </c>
      <c r="DN320">
        <v>87.2</v>
      </c>
      <c r="DP320" s="86" t="str">
        <f t="shared" si="52"/>
        <v>184221Share Sub Loc Pao Quente SC Johnson</v>
      </c>
      <c r="DQ320">
        <v>184221</v>
      </c>
      <c r="DR320" t="s">
        <v>403</v>
      </c>
      <c r="DS320" t="s">
        <v>482</v>
      </c>
      <c r="DT320" t="s">
        <v>103</v>
      </c>
      <c r="DU320" t="s">
        <v>1792</v>
      </c>
      <c r="DV320" t="s">
        <v>1793</v>
      </c>
      <c r="DW320" t="s">
        <v>458</v>
      </c>
      <c r="DX320">
        <v>12</v>
      </c>
      <c r="DY320">
        <v>12</v>
      </c>
      <c r="DZ320">
        <v>82.03</v>
      </c>
    </row>
    <row r="321" spans="72:130" x14ac:dyDescent="0.35">
      <c r="BT321" s="86" t="str">
        <f t="shared" si="48"/>
        <v>182641Lancamentos</v>
      </c>
      <c r="BU321">
        <v>182641</v>
      </c>
      <c r="BV321" t="s">
        <v>352</v>
      </c>
      <c r="BW321" t="s">
        <v>1306</v>
      </c>
      <c r="BX321" t="s">
        <v>103</v>
      </c>
      <c r="BY321" t="s">
        <v>1364</v>
      </c>
      <c r="BZ321" t="s">
        <v>1365</v>
      </c>
      <c r="CA321" t="s">
        <v>953</v>
      </c>
      <c r="CB321">
        <v>9</v>
      </c>
      <c r="CC321">
        <v>18</v>
      </c>
      <c r="CD321">
        <v>80.53</v>
      </c>
      <c r="CF321" s="86" t="str">
        <f t="shared" si="49"/>
        <v>184221Lancamentos</v>
      </c>
      <c r="CG321">
        <v>184221</v>
      </c>
      <c r="CH321" t="s">
        <v>403</v>
      </c>
      <c r="CI321" t="s">
        <v>482</v>
      </c>
      <c r="CJ321" t="s">
        <v>103</v>
      </c>
      <c r="CK321" t="s">
        <v>1481</v>
      </c>
      <c r="CL321" t="s">
        <v>1482</v>
      </c>
      <c r="CM321" t="s">
        <v>953</v>
      </c>
      <c r="CN321">
        <v>18</v>
      </c>
      <c r="CO321">
        <v>18</v>
      </c>
      <c r="CP321">
        <v>87.03</v>
      </c>
      <c r="CR321" s="86" t="str">
        <f t="shared" si="50"/>
        <v>184335Lancamentos</v>
      </c>
      <c r="CS321">
        <v>184335</v>
      </c>
      <c r="CT321" t="s">
        <v>404</v>
      </c>
      <c r="CU321" t="s">
        <v>482</v>
      </c>
      <c r="CV321" t="s">
        <v>103</v>
      </c>
      <c r="CW321" t="s">
        <v>1568</v>
      </c>
      <c r="CX321" t="s">
        <v>1569</v>
      </c>
      <c r="CY321" t="s">
        <v>953</v>
      </c>
      <c r="CZ321">
        <v>9</v>
      </c>
      <c r="DA321">
        <v>18</v>
      </c>
      <c r="DB321">
        <v>84.8</v>
      </c>
      <c r="DD321" s="86" t="str">
        <f t="shared" si="51"/>
        <v>184221Mix + Intocáveis SC Johnson</v>
      </c>
      <c r="DE321">
        <v>184221</v>
      </c>
      <c r="DF321" t="s">
        <v>403</v>
      </c>
      <c r="DG321" t="s">
        <v>482</v>
      </c>
      <c r="DH321" t="s">
        <v>103</v>
      </c>
      <c r="DI321" t="s">
        <v>1740</v>
      </c>
      <c r="DJ321" t="s">
        <v>1741</v>
      </c>
      <c r="DK321" t="s">
        <v>459</v>
      </c>
      <c r="DL321">
        <v>30.4</v>
      </c>
      <c r="DM321">
        <v>40</v>
      </c>
      <c r="DN321">
        <v>73.83</v>
      </c>
      <c r="DP321" s="86" t="str">
        <f t="shared" si="52"/>
        <v>184335Mix + Intocáveis SC Johnson</v>
      </c>
      <c r="DQ321">
        <v>184335</v>
      </c>
      <c r="DR321" t="s">
        <v>404</v>
      </c>
      <c r="DS321" t="s">
        <v>482</v>
      </c>
      <c r="DT321" t="s">
        <v>103</v>
      </c>
      <c r="DU321" t="s">
        <v>1826</v>
      </c>
      <c r="DV321" t="s">
        <v>1827</v>
      </c>
      <c r="DW321" t="s">
        <v>459</v>
      </c>
      <c r="DX321">
        <v>31.2</v>
      </c>
      <c r="DY321">
        <v>40</v>
      </c>
      <c r="DZ321">
        <v>92.62</v>
      </c>
    </row>
    <row r="322" spans="72:130" x14ac:dyDescent="0.35">
      <c r="BT322" s="86" t="str">
        <f t="shared" si="48"/>
        <v>182641Mix + Intocáveis SC Johnson</v>
      </c>
      <c r="BU322">
        <v>182641</v>
      </c>
      <c r="BV322" t="s">
        <v>352</v>
      </c>
      <c r="BW322" t="s">
        <v>1306</v>
      </c>
      <c r="BX322" t="s">
        <v>103</v>
      </c>
      <c r="BY322" t="s">
        <v>1364</v>
      </c>
      <c r="BZ322" t="s">
        <v>1365</v>
      </c>
      <c r="CA322" t="s">
        <v>459</v>
      </c>
      <c r="CB322">
        <v>31.2</v>
      </c>
      <c r="CC322">
        <v>40</v>
      </c>
      <c r="CD322">
        <v>80.53</v>
      </c>
      <c r="CF322" s="86" t="str">
        <f t="shared" si="49"/>
        <v>184221Mix + Intocáveis SC Johnson</v>
      </c>
      <c r="CG322">
        <v>184221</v>
      </c>
      <c r="CH322" t="s">
        <v>403</v>
      </c>
      <c r="CI322" t="s">
        <v>482</v>
      </c>
      <c r="CJ322" t="s">
        <v>103</v>
      </c>
      <c r="CK322" t="s">
        <v>1481</v>
      </c>
      <c r="CL322" t="s">
        <v>1482</v>
      </c>
      <c r="CM322" t="s">
        <v>459</v>
      </c>
      <c r="CN322">
        <v>25.6</v>
      </c>
      <c r="CO322">
        <v>40</v>
      </c>
      <c r="CP322">
        <v>87.03</v>
      </c>
      <c r="CR322" s="86" t="str">
        <f t="shared" si="50"/>
        <v>184335Mix + Intocáveis SC Johnson</v>
      </c>
      <c r="CS322">
        <v>184335</v>
      </c>
      <c r="CT322" t="s">
        <v>404</v>
      </c>
      <c r="CU322" t="s">
        <v>482</v>
      </c>
      <c r="CV322" t="s">
        <v>103</v>
      </c>
      <c r="CW322" t="s">
        <v>1568</v>
      </c>
      <c r="CX322" t="s">
        <v>1569</v>
      </c>
      <c r="CY322" t="s">
        <v>459</v>
      </c>
      <c r="CZ322">
        <v>28.8</v>
      </c>
      <c r="DA322">
        <v>40</v>
      </c>
      <c r="DB322">
        <v>84.8</v>
      </c>
      <c r="DD322" s="86" t="str">
        <f t="shared" si="51"/>
        <v>184221Execucao Bonus</v>
      </c>
      <c r="DE322">
        <v>184221</v>
      </c>
      <c r="DF322" t="s">
        <v>403</v>
      </c>
      <c r="DG322" t="s">
        <v>482</v>
      </c>
      <c r="DH322" t="s">
        <v>103</v>
      </c>
      <c r="DI322" t="s">
        <v>1740</v>
      </c>
      <c r="DJ322" t="s">
        <v>1741</v>
      </c>
      <c r="DK322" t="s">
        <v>1291</v>
      </c>
      <c r="DL322">
        <v>5</v>
      </c>
      <c r="DM322">
        <v>5</v>
      </c>
      <c r="DN322">
        <v>73.83</v>
      </c>
      <c r="DP322" s="86" t="str">
        <f t="shared" si="52"/>
        <v>184335Execucao Bonus</v>
      </c>
      <c r="DQ322">
        <v>184335</v>
      </c>
      <c r="DR322" t="s">
        <v>404</v>
      </c>
      <c r="DS322" t="s">
        <v>482</v>
      </c>
      <c r="DT322" t="s">
        <v>103</v>
      </c>
      <c r="DU322" t="s">
        <v>1826</v>
      </c>
      <c r="DV322" t="s">
        <v>1827</v>
      </c>
      <c r="DW322" t="s">
        <v>1291</v>
      </c>
      <c r="DX322">
        <v>5</v>
      </c>
      <c r="DY322">
        <v>5</v>
      </c>
      <c r="DZ322">
        <v>92.62</v>
      </c>
    </row>
    <row r="323" spans="72:130" x14ac:dyDescent="0.35">
      <c r="BT323" s="86" t="str">
        <f t="shared" ref="BT323:BT386" si="59">BU323&amp;CA323</f>
        <v>182641Share Sub Category SC Johnson</v>
      </c>
      <c r="BU323">
        <v>182641</v>
      </c>
      <c r="BV323" t="s">
        <v>352</v>
      </c>
      <c r="BW323" t="s">
        <v>1306</v>
      </c>
      <c r="BX323" t="s">
        <v>103</v>
      </c>
      <c r="BY323" t="s">
        <v>1364</v>
      </c>
      <c r="BZ323" t="s">
        <v>1365</v>
      </c>
      <c r="CA323" t="s">
        <v>457</v>
      </c>
      <c r="CB323">
        <v>25</v>
      </c>
      <c r="CC323">
        <v>25</v>
      </c>
      <c r="CD323">
        <v>80.53</v>
      </c>
      <c r="CF323" s="86" t="str">
        <f t="shared" ref="CF323:CF351" si="60">CG323&amp;CM323</f>
        <v>184221Share Sub Category SC Johnson</v>
      </c>
      <c r="CG323">
        <v>184221</v>
      </c>
      <c r="CH323" t="s">
        <v>403</v>
      </c>
      <c r="CI323" t="s">
        <v>482</v>
      </c>
      <c r="CJ323" t="s">
        <v>103</v>
      </c>
      <c r="CK323" t="s">
        <v>1481</v>
      </c>
      <c r="CL323" t="s">
        <v>1482</v>
      </c>
      <c r="CM323" t="s">
        <v>457</v>
      </c>
      <c r="CN323">
        <v>21.425000000000001</v>
      </c>
      <c r="CO323">
        <v>25</v>
      </c>
      <c r="CP323">
        <v>87.03</v>
      </c>
      <c r="CR323" s="86" t="str">
        <f t="shared" ref="CR323:CR351" si="61">CS323&amp;CY323</f>
        <v>184335Share Sub Category SC Johnson</v>
      </c>
      <c r="CS323">
        <v>184335</v>
      </c>
      <c r="CT323" t="s">
        <v>404</v>
      </c>
      <c r="CU323" t="s">
        <v>482</v>
      </c>
      <c r="CV323" t="s">
        <v>103</v>
      </c>
      <c r="CW323" t="s">
        <v>1568</v>
      </c>
      <c r="CX323" t="s">
        <v>1569</v>
      </c>
      <c r="CY323" t="s">
        <v>457</v>
      </c>
      <c r="CZ323">
        <v>25</v>
      </c>
      <c r="DA323">
        <v>25</v>
      </c>
      <c r="DB323">
        <v>84.8</v>
      </c>
      <c r="DD323" s="86" t="str">
        <f t="shared" ref="DD323:DD351" si="62">DE323&amp;DK323</f>
        <v>184221Cross Merchan SC Johnson</v>
      </c>
      <c r="DE323">
        <v>184221</v>
      </c>
      <c r="DF323" t="s">
        <v>403</v>
      </c>
      <c r="DG323" t="s">
        <v>482</v>
      </c>
      <c r="DH323" t="s">
        <v>103</v>
      </c>
      <c r="DI323" t="s">
        <v>1740</v>
      </c>
      <c r="DJ323" t="s">
        <v>1741</v>
      </c>
      <c r="DK323" t="s">
        <v>111</v>
      </c>
      <c r="DL323">
        <v>5</v>
      </c>
      <c r="DM323">
        <v>5</v>
      </c>
      <c r="DN323">
        <v>73.83</v>
      </c>
      <c r="DP323" s="86" t="str">
        <f t="shared" ref="DP323:DP345" si="63">DQ323&amp;DW323</f>
        <v>184335Cross Merchan SC Johnson</v>
      </c>
      <c r="DQ323">
        <v>184335</v>
      </c>
      <c r="DR323" t="s">
        <v>404</v>
      </c>
      <c r="DS323" t="s">
        <v>482</v>
      </c>
      <c r="DT323" t="s">
        <v>103</v>
      </c>
      <c r="DU323" t="s">
        <v>1826</v>
      </c>
      <c r="DV323" t="s">
        <v>1827</v>
      </c>
      <c r="DW323" t="s">
        <v>111</v>
      </c>
      <c r="DX323">
        <v>5</v>
      </c>
      <c r="DY323">
        <v>5</v>
      </c>
      <c r="DZ323">
        <v>92.62</v>
      </c>
    </row>
    <row r="324" spans="72:130" x14ac:dyDescent="0.35">
      <c r="BT324" s="86" t="str">
        <f t="shared" si="59"/>
        <v>182641Share Sub Loc Pao Quente SC Johnson</v>
      </c>
      <c r="BU324">
        <v>182641</v>
      </c>
      <c r="BV324" t="s">
        <v>352</v>
      </c>
      <c r="BW324" t="s">
        <v>1306</v>
      </c>
      <c r="BX324" t="s">
        <v>103</v>
      </c>
      <c r="BY324" t="s">
        <v>1364</v>
      </c>
      <c r="BZ324" t="s">
        <v>1365</v>
      </c>
      <c r="CA324" t="s">
        <v>458</v>
      </c>
      <c r="CB324">
        <v>12</v>
      </c>
      <c r="CC324">
        <v>12</v>
      </c>
      <c r="CD324">
        <v>80.53</v>
      </c>
      <c r="CF324" s="86" t="str">
        <f t="shared" si="60"/>
        <v>184221Share Sub Loc Pao Quente SC Johnson</v>
      </c>
      <c r="CG324">
        <v>184221</v>
      </c>
      <c r="CH324" t="s">
        <v>403</v>
      </c>
      <c r="CI324" t="s">
        <v>482</v>
      </c>
      <c r="CJ324" t="s">
        <v>103</v>
      </c>
      <c r="CK324" t="s">
        <v>1481</v>
      </c>
      <c r="CL324" t="s">
        <v>1482</v>
      </c>
      <c r="CM324" t="s">
        <v>458</v>
      </c>
      <c r="CN324">
        <v>12</v>
      </c>
      <c r="CO324">
        <v>12</v>
      </c>
      <c r="CP324">
        <v>87.03</v>
      </c>
      <c r="CR324" s="86" t="str">
        <f t="shared" si="61"/>
        <v>184335Share Sub Loc Pao Quente SC Johnson</v>
      </c>
      <c r="CS324">
        <v>184335</v>
      </c>
      <c r="CT324" t="s">
        <v>404</v>
      </c>
      <c r="CU324" t="s">
        <v>482</v>
      </c>
      <c r="CV324" t="s">
        <v>103</v>
      </c>
      <c r="CW324" t="s">
        <v>1568</v>
      </c>
      <c r="CX324" t="s">
        <v>1569</v>
      </c>
      <c r="CY324" t="s">
        <v>458</v>
      </c>
      <c r="CZ324">
        <v>12</v>
      </c>
      <c r="DA324">
        <v>12</v>
      </c>
      <c r="DB324">
        <v>84.8</v>
      </c>
      <c r="DD324" s="86" t="str">
        <f t="shared" si="62"/>
        <v>184221Lancamentos</v>
      </c>
      <c r="DE324">
        <v>184221</v>
      </c>
      <c r="DF324" t="s">
        <v>403</v>
      </c>
      <c r="DG324" t="s">
        <v>482</v>
      </c>
      <c r="DH324" t="s">
        <v>103</v>
      </c>
      <c r="DI324" t="s">
        <v>1740</v>
      </c>
      <c r="DJ324" t="s">
        <v>1741</v>
      </c>
      <c r="DK324" t="s">
        <v>953</v>
      </c>
      <c r="DL324">
        <v>9</v>
      </c>
      <c r="DM324">
        <v>18</v>
      </c>
      <c r="DN324">
        <v>73.83</v>
      </c>
      <c r="DP324" s="86" t="str">
        <f t="shared" si="63"/>
        <v>184335Lancamentos</v>
      </c>
      <c r="DQ324">
        <v>184335</v>
      </c>
      <c r="DR324" t="s">
        <v>404</v>
      </c>
      <c r="DS324" t="s">
        <v>482</v>
      </c>
      <c r="DT324" t="s">
        <v>103</v>
      </c>
      <c r="DU324" t="s">
        <v>1826</v>
      </c>
      <c r="DV324" t="s">
        <v>1827</v>
      </c>
      <c r="DW324" t="s">
        <v>953</v>
      </c>
      <c r="DX324">
        <v>18</v>
      </c>
      <c r="DY324">
        <v>18</v>
      </c>
      <c r="DZ324">
        <v>92.62</v>
      </c>
    </row>
    <row r="325" spans="72:130" x14ac:dyDescent="0.35">
      <c r="BT325" s="86" t="str">
        <f t="shared" si="59"/>
        <v>182641Cross Merchan SC Johnson</v>
      </c>
      <c r="BU325">
        <v>182641</v>
      </c>
      <c r="BV325" t="s">
        <v>352</v>
      </c>
      <c r="BW325" t="s">
        <v>1306</v>
      </c>
      <c r="BX325" t="s">
        <v>103</v>
      </c>
      <c r="BY325" t="s">
        <v>1364</v>
      </c>
      <c r="BZ325" t="s">
        <v>1365</v>
      </c>
      <c r="CA325" t="s">
        <v>111</v>
      </c>
      <c r="CB325">
        <v>3.335</v>
      </c>
      <c r="CC325">
        <v>5</v>
      </c>
      <c r="CD325">
        <v>80.53</v>
      </c>
      <c r="CF325" s="86" t="str">
        <f t="shared" si="60"/>
        <v>184221Cross Merchan SC Johnson</v>
      </c>
      <c r="CG325">
        <v>184221</v>
      </c>
      <c r="CH325" t="s">
        <v>403</v>
      </c>
      <c r="CI325" t="s">
        <v>482</v>
      </c>
      <c r="CJ325" t="s">
        <v>103</v>
      </c>
      <c r="CK325" t="s">
        <v>1481</v>
      </c>
      <c r="CL325" t="s">
        <v>1482</v>
      </c>
      <c r="CM325" t="s">
        <v>111</v>
      </c>
      <c r="CN325">
        <v>5</v>
      </c>
      <c r="CO325">
        <v>5</v>
      </c>
      <c r="CP325">
        <v>87.03</v>
      </c>
      <c r="CR325" s="86" t="str">
        <f t="shared" si="61"/>
        <v>184335Cross Merchan SC Johnson</v>
      </c>
      <c r="CS325">
        <v>184335</v>
      </c>
      <c r="CT325" t="s">
        <v>404</v>
      </c>
      <c r="CU325" t="s">
        <v>482</v>
      </c>
      <c r="CV325" t="s">
        <v>103</v>
      </c>
      <c r="CW325" t="s">
        <v>1568</v>
      </c>
      <c r="CX325" t="s">
        <v>1569</v>
      </c>
      <c r="CY325" t="s">
        <v>111</v>
      </c>
      <c r="CZ325">
        <v>5</v>
      </c>
      <c r="DA325">
        <v>5</v>
      </c>
      <c r="DB325">
        <v>84.8</v>
      </c>
      <c r="DD325" s="86" t="str">
        <f t="shared" si="62"/>
        <v>184221Share Sub Category SC Johnson</v>
      </c>
      <c r="DE325">
        <v>184221</v>
      </c>
      <c r="DF325" t="s">
        <v>403</v>
      </c>
      <c r="DG325" t="s">
        <v>482</v>
      </c>
      <c r="DH325" t="s">
        <v>103</v>
      </c>
      <c r="DI325" t="s">
        <v>1740</v>
      </c>
      <c r="DJ325" t="s">
        <v>1741</v>
      </c>
      <c r="DK325" t="s">
        <v>457</v>
      </c>
      <c r="DL325">
        <v>21.425000000000001</v>
      </c>
      <c r="DM325">
        <v>25</v>
      </c>
      <c r="DN325">
        <v>73.83</v>
      </c>
      <c r="DP325" s="86" t="str">
        <f t="shared" si="63"/>
        <v>184335Share Sub Category SC Johnson</v>
      </c>
      <c r="DQ325">
        <v>184335</v>
      </c>
      <c r="DR325" t="s">
        <v>404</v>
      </c>
      <c r="DS325" t="s">
        <v>482</v>
      </c>
      <c r="DT325" t="s">
        <v>103</v>
      </c>
      <c r="DU325" t="s">
        <v>1826</v>
      </c>
      <c r="DV325" t="s">
        <v>1827</v>
      </c>
      <c r="DW325" t="s">
        <v>457</v>
      </c>
      <c r="DX325">
        <v>21.425000000000001</v>
      </c>
      <c r="DY325">
        <v>25</v>
      </c>
      <c r="DZ325">
        <v>92.62</v>
      </c>
    </row>
    <row r="326" spans="72:130" x14ac:dyDescent="0.35">
      <c r="BT326" s="86" t="str">
        <f t="shared" si="59"/>
        <v>182641Execucao Bonus</v>
      </c>
      <c r="BU326">
        <v>182641</v>
      </c>
      <c r="BV326" t="s">
        <v>352</v>
      </c>
      <c r="BW326" t="s">
        <v>1306</v>
      </c>
      <c r="BX326" t="s">
        <v>103</v>
      </c>
      <c r="BY326" t="s">
        <v>1364</v>
      </c>
      <c r="BZ326" t="s">
        <v>1365</v>
      </c>
      <c r="CA326" t="s">
        <v>1291</v>
      </c>
      <c r="CB326">
        <v>0</v>
      </c>
      <c r="CC326">
        <v>5</v>
      </c>
      <c r="CD326">
        <v>80.53</v>
      </c>
      <c r="CF326" s="86" t="str">
        <f t="shared" si="60"/>
        <v>184221Execucao Bonus</v>
      </c>
      <c r="CG326">
        <v>184221</v>
      </c>
      <c r="CH326" t="s">
        <v>403</v>
      </c>
      <c r="CI326" t="s">
        <v>482</v>
      </c>
      <c r="CJ326" t="s">
        <v>103</v>
      </c>
      <c r="CK326" t="s">
        <v>1481</v>
      </c>
      <c r="CL326" t="s">
        <v>1482</v>
      </c>
      <c r="CM326" t="s">
        <v>1291</v>
      </c>
      <c r="CN326">
        <v>5</v>
      </c>
      <c r="CO326">
        <v>5</v>
      </c>
      <c r="CP326">
        <v>87.03</v>
      </c>
      <c r="CR326" s="86" t="str">
        <f t="shared" si="61"/>
        <v>184335Execucao Bonus</v>
      </c>
      <c r="CS326">
        <v>184335</v>
      </c>
      <c r="CT326" t="s">
        <v>404</v>
      </c>
      <c r="CU326" t="s">
        <v>482</v>
      </c>
      <c r="CV326" t="s">
        <v>103</v>
      </c>
      <c r="CW326" t="s">
        <v>1568</v>
      </c>
      <c r="CX326" t="s">
        <v>1569</v>
      </c>
      <c r="CY326" t="s">
        <v>1291</v>
      </c>
      <c r="CZ326">
        <v>5</v>
      </c>
      <c r="DA326">
        <v>5</v>
      </c>
      <c r="DB326">
        <v>84.8</v>
      </c>
      <c r="DD326" s="86" t="str">
        <f t="shared" si="62"/>
        <v>184221Share Sub Loc Pao Quente SC Johnson</v>
      </c>
      <c r="DE326">
        <v>184221</v>
      </c>
      <c r="DF326" t="s">
        <v>403</v>
      </c>
      <c r="DG326" t="s">
        <v>482</v>
      </c>
      <c r="DH326" t="s">
        <v>103</v>
      </c>
      <c r="DI326" t="s">
        <v>1740</v>
      </c>
      <c r="DJ326" t="s">
        <v>1741</v>
      </c>
      <c r="DK326" t="s">
        <v>458</v>
      </c>
      <c r="DL326">
        <v>3</v>
      </c>
      <c r="DM326">
        <v>12</v>
      </c>
      <c r="DN326">
        <v>73.83</v>
      </c>
      <c r="DP326" s="86" t="str">
        <f t="shared" si="63"/>
        <v>184335Share Sub Loc Pao Quente SC Johnson</v>
      </c>
      <c r="DQ326">
        <v>184335</v>
      </c>
      <c r="DR326" t="s">
        <v>404</v>
      </c>
      <c r="DS326" t="s">
        <v>482</v>
      </c>
      <c r="DT326" t="s">
        <v>103</v>
      </c>
      <c r="DU326" t="s">
        <v>1826</v>
      </c>
      <c r="DV326" t="s">
        <v>1827</v>
      </c>
      <c r="DW326" t="s">
        <v>458</v>
      </c>
      <c r="DX326">
        <v>12</v>
      </c>
      <c r="DY326">
        <v>12</v>
      </c>
      <c r="DZ326">
        <v>92.62</v>
      </c>
    </row>
    <row r="327" spans="72:130" x14ac:dyDescent="0.35">
      <c r="BT327" s="86" t="str">
        <f t="shared" si="59"/>
        <v>184214Lancamentos</v>
      </c>
      <c r="BU327">
        <v>184214</v>
      </c>
      <c r="BV327" t="s">
        <v>400</v>
      </c>
      <c r="BW327" t="s">
        <v>482</v>
      </c>
      <c r="BX327" t="s">
        <v>103</v>
      </c>
      <c r="BY327" t="s">
        <v>1382</v>
      </c>
      <c r="BZ327" t="s">
        <v>1383</v>
      </c>
      <c r="CA327" t="s">
        <v>953</v>
      </c>
      <c r="CB327">
        <v>9</v>
      </c>
      <c r="CC327">
        <v>18</v>
      </c>
      <c r="CD327">
        <v>75.42</v>
      </c>
      <c r="CF327" s="86" t="str">
        <f t="shared" si="60"/>
        <v>184335Lancamentos</v>
      </c>
      <c r="CG327">
        <v>184335</v>
      </c>
      <c r="CH327" t="s">
        <v>404</v>
      </c>
      <c r="CI327" t="s">
        <v>482</v>
      </c>
      <c r="CJ327" t="s">
        <v>103</v>
      </c>
      <c r="CK327" t="s">
        <v>1507</v>
      </c>
      <c r="CL327" t="s">
        <v>1508</v>
      </c>
      <c r="CM327" t="s">
        <v>953</v>
      </c>
      <c r="CN327">
        <v>18</v>
      </c>
      <c r="CO327">
        <v>18</v>
      </c>
      <c r="CP327">
        <v>97.8</v>
      </c>
      <c r="CR327" s="86" t="str">
        <f t="shared" si="61"/>
        <v>184604Lancamentos</v>
      </c>
      <c r="CS327">
        <v>184604</v>
      </c>
      <c r="CT327" t="s">
        <v>367</v>
      </c>
      <c r="CU327" t="s">
        <v>539</v>
      </c>
      <c r="CV327" t="s">
        <v>103</v>
      </c>
      <c r="CW327" t="s">
        <v>1570</v>
      </c>
      <c r="CX327" t="s">
        <v>1571</v>
      </c>
      <c r="CY327" t="s">
        <v>953</v>
      </c>
      <c r="CZ327">
        <v>18</v>
      </c>
      <c r="DA327">
        <v>18</v>
      </c>
      <c r="DB327">
        <v>90.6</v>
      </c>
      <c r="DD327" s="86" t="str">
        <f t="shared" si="62"/>
        <v>184335Mix + Intocáveis SC Johnson</v>
      </c>
      <c r="DE327">
        <v>184335</v>
      </c>
      <c r="DF327" t="s">
        <v>404</v>
      </c>
      <c r="DG327" t="s">
        <v>482</v>
      </c>
      <c r="DH327" t="s">
        <v>103</v>
      </c>
      <c r="DI327" t="s">
        <v>1742</v>
      </c>
      <c r="DJ327" t="s">
        <v>1743</v>
      </c>
      <c r="DK327" t="s">
        <v>459</v>
      </c>
      <c r="DL327">
        <v>28</v>
      </c>
      <c r="DM327">
        <v>40</v>
      </c>
      <c r="DN327">
        <v>84.18</v>
      </c>
      <c r="DP327" s="86" t="str">
        <f t="shared" si="63"/>
        <v>184830Mix + Intocáveis SC Johnson</v>
      </c>
      <c r="DQ327">
        <v>184830</v>
      </c>
      <c r="DR327" t="s">
        <v>405</v>
      </c>
      <c r="DS327" t="s">
        <v>1306</v>
      </c>
      <c r="DT327" t="s">
        <v>103</v>
      </c>
      <c r="DU327" t="s">
        <v>1794</v>
      </c>
      <c r="DV327" t="s">
        <v>1795</v>
      </c>
      <c r="DW327" t="s">
        <v>459</v>
      </c>
      <c r="DX327">
        <v>36</v>
      </c>
      <c r="DY327">
        <v>40</v>
      </c>
      <c r="DZ327">
        <v>100</v>
      </c>
    </row>
    <row r="328" spans="72:130" x14ac:dyDescent="0.35">
      <c r="BT328" s="86" t="str">
        <f t="shared" si="59"/>
        <v>184214Mix + Intocáveis SC Johnson</v>
      </c>
      <c r="BU328">
        <v>184214</v>
      </c>
      <c r="BV328" t="s">
        <v>400</v>
      </c>
      <c r="BW328" t="s">
        <v>482</v>
      </c>
      <c r="BX328" t="s">
        <v>103</v>
      </c>
      <c r="BY328" t="s">
        <v>1382</v>
      </c>
      <c r="BZ328" t="s">
        <v>1383</v>
      </c>
      <c r="CA328" t="s">
        <v>459</v>
      </c>
      <c r="CB328">
        <v>28</v>
      </c>
      <c r="CC328">
        <v>40</v>
      </c>
      <c r="CD328">
        <v>75.42</v>
      </c>
      <c r="CF328" s="86" t="str">
        <f t="shared" si="60"/>
        <v>184335Mix + Intocáveis SC Johnson</v>
      </c>
      <c r="CG328">
        <v>184335</v>
      </c>
      <c r="CH328" t="s">
        <v>404</v>
      </c>
      <c r="CI328" t="s">
        <v>482</v>
      </c>
      <c r="CJ328" t="s">
        <v>103</v>
      </c>
      <c r="CK328" t="s">
        <v>1507</v>
      </c>
      <c r="CL328" t="s">
        <v>1508</v>
      </c>
      <c r="CM328" t="s">
        <v>459</v>
      </c>
      <c r="CN328">
        <v>32.799999999999997</v>
      </c>
      <c r="CO328">
        <v>40</v>
      </c>
      <c r="CP328">
        <v>97.8</v>
      </c>
      <c r="CR328" s="86" t="str">
        <f t="shared" si="61"/>
        <v>184604Mix + Intocáveis SC Johnson</v>
      </c>
      <c r="CS328">
        <v>184604</v>
      </c>
      <c r="CT328" t="s">
        <v>367</v>
      </c>
      <c r="CU328" t="s">
        <v>539</v>
      </c>
      <c r="CV328" t="s">
        <v>103</v>
      </c>
      <c r="CW328" t="s">
        <v>1570</v>
      </c>
      <c r="CX328" t="s">
        <v>1571</v>
      </c>
      <c r="CY328" t="s">
        <v>459</v>
      </c>
      <c r="CZ328">
        <v>25.6</v>
      </c>
      <c r="DA328">
        <v>40</v>
      </c>
      <c r="DB328">
        <v>90.6</v>
      </c>
      <c r="DD328" s="86" t="str">
        <f t="shared" si="62"/>
        <v>184335Execucao Bonus</v>
      </c>
      <c r="DE328">
        <v>184335</v>
      </c>
      <c r="DF328" t="s">
        <v>404</v>
      </c>
      <c r="DG328" t="s">
        <v>482</v>
      </c>
      <c r="DH328" t="s">
        <v>103</v>
      </c>
      <c r="DI328" t="s">
        <v>1742</v>
      </c>
      <c r="DJ328" t="s">
        <v>1743</v>
      </c>
      <c r="DK328" t="s">
        <v>1291</v>
      </c>
      <c r="DL328">
        <v>5</v>
      </c>
      <c r="DM328">
        <v>5</v>
      </c>
      <c r="DN328">
        <v>84.18</v>
      </c>
      <c r="DP328" s="86" t="str">
        <f t="shared" si="63"/>
        <v>184830Execucao Bonus</v>
      </c>
      <c r="DQ328">
        <v>184830</v>
      </c>
      <c r="DR328" t="s">
        <v>405</v>
      </c>
      <c r="DS328" t="s">
        <v>1306</v>
      </c>
      <c r="DT328" t="s">
        <v>103</v>
      </c>
      <c r="DU328" t="s">
        <v>1794</v>
      </c>
      <c r="DV328" t="s">
        <v>1795</v>
      </c>
      <c r="DW328" t="s">
        <v>1291</v>
      </c>
      <c r="DX328">
        <v>4</v>
      </c>
      <c r="DY328">
        <v>5</v>
      </c>
      <c r="DZ328">
        <v>100</v>
      </c>
    </row>
    <row r="329" spans="72:130" x14ac:dyDescent="0.35">
      <c r="BT329" s="86" t="str">
        <f t="shared" si="59"/>
        <v>184214Share Sub Category SC Johnson</v>
      </c>
      <c r="BU329">
        <v>184214</v>
      </c>
      <c r="BV329" t="s">
        <v>400</v>
      </c>
      <c r="BW329" t="s">
        <v>482</v>
      </c>
      <c r="BX329" t="s">
        <v>103</v>
      </c>
      <c r="BY329" t="s">
        <v>1382</v>
      </c>
      <c r="BZ329" t="s">
        <v>1383</v>
      </c>
      <c r="CA329" t="s">
        <v>457</v>
      </c>
      <c r="CB329">
        <v>21.425000000000001</v>
      </c>
      <c r="CC329">
        <v>25</v>
      </c>
      <c r="CD329">
        <v>75.42</v>
      </c>
      <c r="CF329" s="86" t="str">
        <f t="shared" si="60"/>
        <v>184335Share Sub Category SC Johnson</v>
      </c>
      <c r="CG329">
        <v>184335</v>
      </c>
      <c r="CH329" t="s">
        <v>404</v>
      </c>
      <c r="CI329" t="s">
        <v>482</v>
      </c>
      <c r="CJ329" t="s">
        <v>103</v>
      </c>
      <c r="CK329" t="s">
        <v>1507</v>
      </c>
      <c r="CL329" t="s">
        <v>1508</v>
      </c>
      <c r="CM329" t="s">
        <v>457</v>
      </c>
      <c r="CN329">
        <v>25</v>
      </c>
      <c r="CO329">
        <v>25</v>
      </c>
      <c r="CP329">
        <v>97.8</v>
      </c>
      <c r="CR329" s="86" t="str">
        <f t="shared" si="61"/>
        <v>184604Share Sub Category SC Johnson</v>
      </c>
      <c r="CS329">
        <v>184604</v>
      </c>
      <c r="CT329" t="s">
        <v>367</v>
      </c>
      <c r="CU329" t="s">
        <v>539</v>
      </c>
      <c r="CV329" t="s">
        <v>103</v>
      </c>
      <c r="CW329" t="s">
        <v>1570</v>
      </c>
      <c r="CX329" t="s">
        <v>1571</v>
      </c>
      <c r="CY329" t="s">
        <v>457</v>
      </c>
      <c r="CZ329">
        <v>25</v>
      </c>
      <c r="DA329">
        <v>25</v>
      </c>
      <c r="DB329">
        <v>90.6</v>
      </c>
      <c r="DD329" s="86" t="str">
        <f t="shared" si="62"/>
        <v>184335Cross Merchan SC Johnson</v>
      </c>
      <c r="DE329">
        <v>184335</v>
      </c>
      <c r="DF329" t="s">
        <v>404</v>
      </c>
      <c r="DG329" t="s">
        <v>482</v>
      </c>
      <c r="DH329" t="s">
        <v>103</v>
      </c>
      <c r="DI329" t="s">
        <v>1742</v>
      </c>
      <c r="DJ329" t="s">
        <v>1743</v>
      </c>
      <c r="DK329" t="s">
        <v>111</v>
      </c>
      <c r="DL329">
        <v>3.335</v>
      </c>
      <c r="DM329">
        <v>5</v>
      </c>
      <c r="DN329">
        <v>84.18</v>
      </c>
      <c r="DP329" s="86" t="str">
        <f t="shared" si="63"/>
        <v>184830Cross Merchan SC Johnson</v>
      </c>
      <c r="DQ329">
        <v>184830</v>
      </c>
      <c r="DR329" t="s">
        <v>405</v>
      </c>
      <c r="DS329" t="s">
        <v>1306</v>
      </c>
      <c r="DT329" t="s">
        <v>103</v>
      </c>
      <c r="DU329" t="s">
        <v>1794</v>
      </c>
      <c r="DV329" t="s">
        <v>1795</v>
      </c>
      <c r="DW329" t="s">
        <v>111</v>
      </c>
      <c r="DX329">
        <v>5</v>
      </c>
      <c r="DY329">
        <v>5</v>
      </c>
      <c r="DZ329">
        <v>100</v>
      </c>
    </row>
    <row r="330" spans="72:130" x14ac:dyDescent="0.35">
      <c r="BT330" s="86" t="str">
        <f t="shared" si="59"/>
        <v>184214Share Sub Loc Pao Quente SC Johnson</v>
      </c>
      <c r="BU330">
        <v>184214</v>
      </c>
      <c r="BV330" t="s">
        <v>400</v>
      </c>
      <c r="BW330" t="s">
        <v>482</v>
      </c>
      <c r="BX330" t="s">
        <v>103</v>
      </c>
      <c r="BY330" t="s">
        <v>1382</v>
      </c>
      <c r="BZ330" t="s">
        <v>1383</v>
      </c>
      <c r="CA330" t="s">
        <v>458</v>
      </c>
      <c r="CB330">
        <v>12</v>
      </c>
      <c r="CC330">
        <v>12</v>
      </c>
      <c r="CD330">
        <v>75.42</v>
      </c>
      <c r="CF330" s="86" t="str">
        <f t="shared" si="60"/>
        <v>184335Share Sub Loc Pao Quente SC Johnson</v>
      </c>
      <c r="CG330">
        <v>184335</v>
      </c>
      <c r="CH330" t="s">
        <v>404</v>
      </c>
      <c r="CI330" t="s">
        <v>482</v>
      </c>
      <c r="CJ330" t="s">
        <v>103</v>
      </c>
      <c r="CK330" t="s">
        <v>1507</v>
      </c>
      <c r="CL330" t="s">
        <v>1508</v>
      </c>
      <c r="CM330" t="s">
        <v>458</v>
      </c>
      <c r="CN330">
        <v>12</v>
      </c>
      <c r="CO330">
        <v>12</v>
      </c>
      <c r="CP330">
        <v>97.8</v>
      </c>
      <c r="CR330" s="86" t="str">
        <f t="shared" si="61"/>
        <v>184604Share Sub Loc Pao Quente SC Johnson</v>
      </c>
      <c r="CS330">
        <v>184604</v>
      </c>
      <c r="CT330" t="s">
        <v>367</v>
      </c>
      <c r="CU330" t="s">
        <v>539</v>
      </c>
      <c r="CV330" t="s">
        <v>103</v>
      </c>
      <c r="CW330" t="s">
        <v>1570</v>
      </c>
      <c r="CX330" t="s">
        <v>1571</v>
      </c>
      <c r="CY330" t="s">
        <v>458</v>
      </c>
      <c r="CZ330">
        <v>12</v>
      </c>
      <c r="DA330">
        <v>12</v>
      </c>
      <c r="DB330">
        <v>90.6</v>
      </c>
      <c r="DD330" s="86" t="str">
        <f t="shared" si="62"/>
        <v>184335Lancamentos</v>
      </c>
      <c r="DE330">
        <v>184335</v>
      </c>
      <c r="DF330" t="s">
        <v>404</v>
      </c>
      <c r="DG330" t="s">
        <v>482</v>
      </c>
      <c r="DH330" t="s">
        <v>103</v>
      </c>
      <c r="DI330" t="s">
        <v>1742</v>
      </c>
      <c r="DJ330" t="s">
        <v>1743</v>
      </c>
      <c r="DK330" t="s">
        <v>953</v>
      </c>
      <c r="DL330">
        <v>18</v>
      </c>
      <c r="DM330">
        <v>18</v>
      </c>
      <c r="DN330">
        <v>84.18</v>
      </c>
      <c r="DP330" s="86" t="str">
        <f t="shared" si="63"/>
        <v>184830Lancamentos</v>
      </c>
      <c r="DQ330">
        <v>184830</v>
      </c>
      <c r="DR330" t="s">
        <v>405</v>
      </c>
      <c r="DS330" t="s">
        <v>1306</v>
      </c>
      <c r="DT330" t="s">
        <v>103</v>
      </c>
      <c r="DU330" t="s">
        <v>1794</v>
      </c>
      <c r="DV330" t="s">
        <v>1795</v>
      </c>
      <c r="DW330" t="s">
        <v>953</v>
      </c>
      <c r="DX330">
        <v>18</v>
      </c>
      <c r="DY330">
        <v>18</v>
      </c>
      <c r="DZ330">
        <v>100</v>
      </c>
    </row>
    <row r="331" spans="72:130" x14ac:dyDescent="0.35">
      <c r="BT331" s="86" t="str">
        <f t="shared" si="59"/>
        <v>184214Cross Merchan SC Johnson</v>
      </c>
      <c r="BU331">
        <v>184214</v>
      </c>
      <c r="BV331" t="s">
        <v>400</v>
      </c>
      <c r="BW331" t="s">
        <v>482</v>
      </c>
      <c r="BX331" t="s">
        <v>103</v>
      </c>
      <c r="BY331" t="s">
        <v>1382</v>
      </c>
      <c r="BZ331" t="s">
        <v>1383</v>
      </c>
      <c r="CA331" t="s">
        <v>111</v>
      </c>
      <c r="CB331">
        <v>5</v>
      </c>
      <c r="CC331">
        <v>5</v>
      </c>
      <c r="CD331">
        <v>75.42</v>
      </c>
      <c r="CF331" s="86" t="str">
        <f t="shared" si="60"/>
        <v>184335Cross Merchan SC Johnson</v>
      </c>
      <c r="CG331">
        <v>184335</v>
      </c>
      <c r="CH331" t="s">
        <v>404</v>
      </c>
      <c r="CI331" t="s">
        <v>482</v>
      </c>
      <c r="CJ331" t="s">
        <v>103</v>
      </c>
      <c r="CK331" t="s">
        <v>1507</v>
      </c>
      <c r="CL331" t="s">
        <v>1508</v>
      </c>
      <c r="CM331" t="s">
        <v>111</v>
      </c>
      <c r="CN331">
        <v>5</v>
      </c>
      <c r="CO331">
        <v>5</v>
      </c>
      <c r="CP331">
        <v>97.8</v>
      </c>
      <c r="CR331" s="86" t="str">
        <f t="shared" si="61"/>
        <v>184604Cross Merchan SC Johnson</v>
      </c>
      <c r="CS331">
        <v>184604</v>
      </c>
      <c r="CT331" t="s">
        <v>367</v>
      </c>
      <c r="CU331" t="s">
        <v>539</v>
      </c>
      <c r="CV331" t="s">
        <v>103</v>
      </c>
      <c r="CW331" t="s">
        <v>1570</v>
      </c>
      <c r="CX331" t="s">
        <v>1571</v>
      </c>
      <c r="CY331" t="s">
        <v>111</v>
      </c>
      <c r="CZ331">
        <v>5</v>
      </c>
      <c r="DA331">
        <v>5</v>
      </c>
      <c r="DB331">
        <v>90.6</v>
      </c>
      <c r="DD331" s="86" t="str">
        <f t="shared" si="62"/>
        <v>184335Share Sub Category SC Johnson</v>
      </c>
      <c r="DE331">
        <v>184335</v>
      </c>
      <c r="DF331" t="s">
        <v>404</v>
      </c>
      <c r="DG331" t="s">
        <v>482</v>
      </c>
      <c r="DH331" t="s">
        <v>103</v>
      </c>
      <c r="DI331" t="s">
        <v>1742</v>
      </c>
      <c r="DJ331" t="s">
        <v>1743</v>
      </c>
      <c r="DK331" t="s">
        <v>457</v>
      </c>
      <c r="DL331">
        <v>17.850000000000001</v>
      </c>
      <c r="DM331">
        <v>25</v>
      </c>
      <c r="DN331">
        <v>84.18</v>
      </c>
      <c r="DP331" s="86" t="str">
        <f t="shared" si="63"/>
        <v>184830Share Sub Category SC Johnson</v>
      </c>
      <c r="DQ331">
        <v>184830</v>
      </c>
      <c r="DR331" t="s">
        <v>405</v>
      </c>
      <c r="DS331" t="s">
        <v>1306</v>
      </c>
      <c r="DT331" t="s">
        <v>103</v>
      </c>
      <c r="DU331" t="s">
        <v>1794</v>
      </c>
      <c r="DV331" t="s">
        <v>1795</v>
      </c>
      <c r="DW331" t="s">
        <v>457</v>
      </c>
      <c r="DX331">
        <v>25</v>
      </c>
      <c r="DY331">
        <v>25</v>
      </c>
      <c r="DZ331">
        <v>100</v>
      </c>
    </row>
    <row r="332" spans="72:130" x14ac:dyDescent="0.35">
      <c r="BT332" s="86" t="str">
        <f t="shared" si="59"/>
        <v>184214Execucao Bonus</v>
      </c>
      <c r="BU332">
        <v>184214</v>
      </c>
      <c r="BV332" t="s">
        <v>400</v>
      </c>
      <c r="BW332" t="s">
        <v>482</v>
      </c>
      <c r="BX332" t="s">
        <v>103</v>
      </c>
      <c r="BY332" t="s">
        <v>1382</v>
      </c>
      <c r="BZ332" t="s">
        <v>1383</v>
      </c>
      <c r="CA332" t="s">
        <v>1291</v>
      </c>
      <c r="CB332">
        <v>0</v>
      </c>
      <c r="CC332">
        <v>5</v>
      </c>
      <c r="CD332">
        <v>75.42</v>
      </c>
      <c r="CF332" s="86" t="str">
        <f t="shared" si="60"/>
        <v>184335Execucao Bonus</v>
      </c>
      <c r="CG332">
        <v>184335</v>
      </c>
      <c r="CH332" t="s">
        <v>404</v>
      </c>
      <c r="CI332" t="s">
        <v>482</v>
      </c>
      <c r="CJ332" t="s">
        <v>103</v>
      </c>
      <c r="CK332" t="s">
        <v>1507</v>
      </c>
      <c r="CL332" t="s">
        <v>1508</v>
      </c>
      <c r="CM332" t="s">
        <v>1291</v>
      </c>
      <c r="CN332">
        <v>5</v>
      </c>
      <c r="CO332">
        <v>5</v>
      </c>
      <c r="CP332">
        <v>97.8</v>
      </c>
      <c r="CR332" s="86" t="str">
        <f t="shared" si="61"/>
        <v>184604Execucao Bonus</v>
      </c>
      <c r="CS332">
        <v>184604</v>
      </c>
      <c r="CT332" t="s">
        <v>367</v>
      </c>
      <c r="CU332" t="s">
        <v>539</v>
      </c>
      <c r="CV332" t="s">
        <v>103</v>
      </c>
      <c r="CW332" t="s">
        <v>1570</v>
      </c>
      <c r="CX332" t="s">
        <v>1571</v>
      </c>
      <c r="CY332" t="s">
        <v>1291</v>
      </c>
      <c r="CZ332">
        <v>5</v>
      </c>
      <c r="DA332">
        <v>5</v>
      </c>
      <c r="DB332">
        <v>90.6</v>
      </c>
      <c r="DD332" s="86" t="str">
        <f t="shared" si="62"/>
        <v>184335Share Sub Loc Pao Quente SC Johnson</v>
      </c>
      <c r="DE332">
        <v>184335</v>
      </c>
      <c r="DF332" t="s">
        <v>404</v>
      </c>
      <c r="DG332" t="s">
        <v>482</v>
      </c>
      <c r="DH332" t="s">
        <v>103</v>
      </c>
      <c r="DI332" t="s">
        <v>1742</v>
      </c>
      <c r="DJ332" t="s">
        <v>1743</v>
      </c>
      <c r="DK332" t="s">
        <v>458</v>
      </c>
      <c r="DL332">
        <v>12</v>
      </c>
      <c r="DM332">
        <v>12</v>
      </c>
      <c r="DN332">
        <v>84.18</v>
      </c>
      <c r="DP332" s="86" t="str">
        <f t="shared" si="63"/>
        <v>184830Share Sub Loc Pao Quente SC Johnson</v>
      </c>
      <c r="DQ332">
        <v>184830</v>
      </c>
      <c r="DR332" t="s">
        <v>405</v>
      </c>
      <c r="DS332" t="s">
        <v>1306</v>
      </c>
      <c r="DT332" t="s">
        <v>103</v>
      </c>
      <c r="DU332" t="s">
        <v>1794</v>
      </c>
      <c r="DV332" t="s">
        <v>1795</v>
      </c>
      <c r="DW332" t="s">
        <v>458</v>
      </c>
      <c r="DX332">
        <v>12</v>
      </c>
      <c r="DY332">
        <v>12</v>
      </c>
      <c r="DZ332">
        <v>100</v>
      </c>
    </row>
    <row r="333" spans="72:130" x14ac:dyDescent="0.35">
      <c r="BT333" s="86" t="str">
        <f t="shared" si="59"/>
        <v>184215Lancamentos</v>
      </c>
      <c r="BU333">
        <v>184215</v>
      </c>
      <c r="BV333" t="s">
        <v>401</v>
      </c>
      <c r="BW333" t="s">
        <v>482</v>
      </c>
      <c r="BX333" t="s">
        <v>103</v>
      </c>
      <c r="BY333" t="s">
        <v>1384</v>
      </c>
      <c r="BZ333" t="s">
        <v>1385</v>
      </c>
      <c r="CA333" t="s">
        <v>953</v>
      </c>
      <c r="CB333">
        <v>9</v>
      </c>
      <c r="CC333">
        <v>18</v>
      </c>
      <c r="CD333">
        <v>76.42</v>
      </c>
      <c r="CF333" s="86" t="str">
        <f t="shared" si="60"/>
        <v>184604Lancamentos</v>
      </c>
      <c r="CG333">
        <v>184604</v>
      </c>
      <c r="CH333" t="s">
        <v>367</v>
      </c>
      <c r="CI333" t="s">
        <v>539</v>
      </c>
      <c r="CJ333" t="s">
        <v>103</v>
      </c>
      <c r="CK333" t="s">
        <v>1483</v>
      </c>
      <c r="CL333" t="s">
        <v>1484</v>
      </c>
      <c r="CM333" t="s">
        <v>953</v>
      </c>
      <c r="CN333">
        <v>18</v>
      </c>
      <c r="CO333">
        <v>18</v>
      </c>
      <c r="CP333">
        <v>96.2</v>
      </c>
      <c r="CR333" s="86" t="str">
        <f t="shared" si="61"/>
        <v>184830Mix + Intocáveis SC Johnson</v>
      </c>
      <c r="CS333">
        <v>184830</v>
      </c>
      <c r="CT333" t="s">
        <v>405</v>
      </c>
      <c r="CU333" t="s">
        <v>1306</v>
      </c>
      <c r="CV333" t="s">
        <v>103</v>
      </c>
      <c r="CW333" t="s">
        <v>1632</v>
      </c>
      <c r="CX333" t="s">
        <v>1633</v>
      </c>
      <c r="CY333" t="s">
        <v>459</v>
      </c>
      <c r="CZ333">
        <v>34.4</v>
      </c>
      <c r="DA333">
        <v>40</v>
      </c>
      <c r="DB333">
        <v>99.4</v>
      </c>
      <c r="DD333" s="86" t="str">
        <f t="shared" si="62"/>
        <v>184830Mix + Intocáveis SC Johnson</v>
      </c>
      <c r="DE333">
        <v>184830</v>
      </c>
      <c r="DF333" t="s">
        <v>405</v>
      </c>
      <c r="DG333" t="s">
        <v>1306</v>
      </c>
      <c r="DH333" t="s">
        <v>103</v>
      </c>
      <c r="DI333" t="s">
        <v>1744</v>
      </c>
      <c r="DJ333" t="s">
        <v>1745</v>
      </c>
      <c r="DK333" t="s">
        <v>459</v>
      </c>
      <c r="DL333">
        <v>39.200000000000003</v>
      </c>
      <c r="DM333">
        <v>40</v>
      </c>
      <c r="DN333">
        <v>99.2</v>
      </c>
      <c r="DP333" s="86" t="str">
        <f t="shared" si="63"/>
        <v>186321Mix + Intocáveis SC Johnson</v>
      </c>
      <c r="DQ333">
        <v>186321</v>
      </c>
      <c r="DR333" t="s">
        <v>354</v>
      </c>
      <c r="DS333" t="s">
        <v>1306</v>
      </c>
      <c r="DT333" t="s">
        <v>103</v>
      </c>
      <c r="DU333" t="s">
        <v>1796</v>
      </c>
      <c r="DV333" t="s">
        <v>1797</v>
      </c>
      <c r="DW333" t="s">
        <v>459</v>
      </c>
      <c r="DX333">
        <v>36.799999999999997</v>
      </c>
      <c r="DY333">
        <v>40</v>
      </c>
      <c r="DZ333">
        <v>89.23</v>
      </c>
    </row>
    <row r="334" spans="72:130" x14ac:dyDescent="0.35">
      <c r="BT334" s="86" t="str">
        <f t="shared" si="59"/>
        <v>184215Mix + Intocáveis SC Johnson</v>
      </c>
      <c r="BU334">
        <v>184215</v>
      </c>
      <c r="BV334" t="s">
        <v>401</v>
      </c>
      <c r="BW334" t="s">
        <v>482</v>
      </c>
      <c r="BX334" t="s">
        <v>103</v>
      </c>
      <c r="BY334" t="s">
        <v>1384</v>
      </c>
      <c r="BZ334" t="s">
        <v>1385</v>
      </c>
      <c r="CA334" t="s">
        <v>459</v>
      </c>
      <c r="CB334">
        <v>24</v>
      </c>
      <c r="CC334">
        <v>40</v>
      </c>
      <c r="CD334">
        <v>76.42</v>
      </c>
      <c r="CF334" s="86" t="str">
        <f t="shared" si="60"/>
        <v>184604Mix + Intocáveis SC Johnson</v>
      </c>
      <c r="CG334">
        <v>184604</v>
      </c>
      <c r="CH334" t="s">
        <v>367</v>
      </c>
      <c r="CI334" t="s">
        <v>539</v>
      </c>
      <c r="CJ334" t="s">
        <v>103</v>
      </c>
      <c r="CK334" t="s">
        <v>1483</v>
      </c>
      <c r="CL334" t="s">
        <v>1484</v>
      </c>
      <c r="CM334" t="s">
        <v>459</v>
      </c>
      <c r="CN334">
        <v>31.2</v>
      </c>
      <c r="CO334">
        <v>40</v>
      </c>
      <c r="CP334">
        <v>96.2</v>
      </c>
      <c r="CR334" s="86" t="str">
        <f t="shared" si="61"/>
        <v>184830Execucao Bonus</v>
      </c>
      <c r="CS334">
        <v>184830</v>
      </c>
      <c r="CT334" t="s">
        <v>405</v>
      </c>
      <c r="CU334" t="s">
        <v>1306</v>
      </c>
      <c r="CV334" t="s">
        <v>103</v>
      </c>
      <c r="CW334" t="s">
        <v>1632</v>
      </c>
      <c r="CX334" t="s">
        <v>1633</v>
      </c>
      <c r="CY334" t="s">
        <v>1291</v>
      </c>
      <c r="CZ334">
        <v>5</v>
      </c>
      <c r="DA334">
        <v>5</v>
      </c>
      <c r="DB334">
        <v>99.4</v>
      </c>
      <c r="DD334" s="86" t="str">
        <f t="shared" si="62"/>
        <v>184830Execucao Bonus</v>
      </c>
      <c r="DE334">
        <v>184830</v>
      </c>
      <c r="DF334" t="s">
        <v>405</v>
      </c>
      <c r="DG334" t="s">
        <v>1306</v>
      </c>
      <c r="DH334" t="s">
        <v>103</v>
      </c>
      <c r="DI334" t="s">
        <v>1744</v>
      </c>
      <c r="DJ334" t="s">
        <v>1745</v>
      </c>
      <c r="DK334" t="s">
        <v>1291</v>
      </c>
      <c r="DL334">
        <v>0</v>
      </c>
      <c r="DM334">
        <v>5</v>
      </c>
      <c r="DN334">
        <v>99.2</v>
      </c>
      <c r="DP334" s="86" t="str">
        <f t="shared" si="63"/>
        <v>186321Execucao Bonus</v>
      </c>
      <c r="DQ334">
        <v>186321</v>
      </c>
      <c r="DR334" t="s">
        <v>354</v>
      </c>
      <c r="DS334" t="s">
        <v>1306</v>
      </c>
      <c r="DT334" t="s">
        <v>103</v>
      </c>
      <c r="DU334" t="s">
        <v>1796</v>
      </c>
      <c r="DV334" t="s">
        <v>1797</v>
      </c>
      <c r="DW334" t="s">
        <v>1291</v>
      </c>
      <c r="DX334">
        <v>5</v>
      </c>
      <c r="DY334">
        <v>5</v>
      </c>
      <c r="DZ334">
        <v>89.23</v>
      </c>
    </row>
    <row r="335" spans="72:130" x14ac:dyDescent="0.35">
      <c r="BT335" s="86" t="str">
        <f t="shared" si="59"/>
        <v>184215Share Sub Category SC Johnson</v>
      </c>
      <c r="BU335">
        <v>184215</v>
      </c>
      <c r="BV335" t="s">
        <v>401</v>
      </c>
      <c r="BW335" t="s">
        <v>482</v>
      </c>
      <c r="BX335" t="s">
        <v>103</v>
      </c>
      <c r="BY335" t="s">
        <v>1384</v>
      </c>
      <c r="BZ335" t="s">
        <v>1385</v>
      </c>
      <c r="CA335" t="s">
        <v>457</v>
      </c>
      <c r="CB335">
        <v>21.425000000000001</v>
      </c>
      <c r="CC335">
        <v>25</v>
      </c>
      <c r="CD335">
        <v>76.42</v>
      </c>
      <c r="CF335" s="86" t="str">
        <f t="shared" si="60"/>
        <v>184604Share Sub Category SC Johnson</v>
      </c>
      <c r="CG335">
        <v>184604</v>
      </c>
      <c r="CH335" t="s">
        <v>367</v>
      </c>
      <c r="CI335" t="s">
        <v>539</v>
      </c>
      <c r="CJ335" t="s">
        <v>103</v>
      </c>
      <c r="CK335" t="s">
        <v>1483</v>
      </c>
      <c r="CL335" t="s">
        <v>1484</v>
      </c>
      <c r="CM335" t="s">
        <v>457</v>
      </c>
      <c r="CN335">
        <v>25</v>
      </c>
      <c r="CO335">
        <v>25</v>
      </c>
      <c r="CP335">
        <v>96.2</v>
      </c>
      <c r="CR335" s="86" t="str">
        <f t="shared" si="61"/>
        <v>184830Cross Merchan SC Johnson</v>
      </c>
      <c r="CS335">
        <v>184830</v>
      </c>
      <c r="CT335" t="s">
        <v>405</v>
      </c>
      <c r="CU335" t="s">
        <v>1306</v>
      </c>
      <c r="CV335" t="s">
        <v>103</v>
      </c>
      <c r="CW335" t="s">
        <v>1632</v>
      </c>
      <c r="CX335" t="s">
        <v>1633</v>
      </c>
      <c r="CY335" t="s">
        <v>111</v>
      </c>
      <c r="CZ335">
        <v>5</v>
      </c>
      <c r="DA335">
        <v>5</v>
      </c>
      <c r="DB335">
        <v>99.4</v>
      </c>
      <c r="DD335" s="86" t="str">
        <f t="shared" si="62"/>
        <v>184830Cross Merchan SC Johnson</v>
      </c>
      <c r="DE335">
        <v>184830</v>
      </c>
      <c r="DF335" t="s">
        <v>405</v>
      </c>
      <c r="DG335" t="s">
        <v>1306</v>
      </c>
      <c r="DH335" t="s">
        <v>103</v>
      </c>
      <c r="DI335" t="s">
        <v>1744</v>
      </c>
      <c r="DJ335" t="s">
        <v>1745</v>
      </c>
      <c r="DK335" t="s">
        <v>111</v>
      </c>
      <c r="DL335">
        <v>5</v>
      </c>
      <c r="DM335">
        <v>5</v>
      </c>
      <c r="DN335">
        <v>99.2</v>
      </c>
      <c r="DP335" s="86" t="str">
        <f t="shared" si="63"/>
        <v>186321Cross Merchan SC Johnson</v>
      </c>
      <c r="DQ335">
        <v>186321</v>
      </c>
      <c r="DR335" t="s">
        <v>354</v>
      </c>
      <c r="DS335" t="s">
        <v>1306</v>
      </c>
      <c r="DT335" t="s">
        <v>103</v>
      </c>
      <c r="DU335" t="s">
        <v>1796</v>
      </c>
      <c r="DV335" t="s">
        <v>1797</v>
      </c>
      <c r="DW335" t="s">
        <v>111</v>
      </c>
      <c r="DX335">
        <v>5</v>
      </c>
      <c r="DY335">
        <v>5</v>
      </c>
      <c r="DZ335">
        <v>89.23</v>
      </c>
    </row>
    <row r="336" spans="72:130" x14ac:dyDescent="0.35">
      <c r="BT336" s="86" t="str">
        <f t="shared" si="59"/>
        <v>184215Share Sub Loc Pao Quente SC Johnson</v>
      </c>
      <c r="BU336">
        <v>184215</v>
      </c>
      <c r="BV336" t="s">
        <v>401</v>
      </c>
      <c r="BW336" t="s">
        <v>482</v>
      </c>
      <c r="BX336" t="s">
        <v>103</v>
      </c>
      <c r="BY336" t="s">
        <v>1384</v>
      </c>
      <c r="BZ336" t="s">
        <v>1385</v>
      </c>
      <c r="CA336" t="s">
        <v>458</v>
      </c>
      <c r="CB336">
        <v>12</v>
      </c>
      <c r="CC336">
        <v>12</v>
      </c>
      <c r="CD336">
        <v>76.42</v>
      </c>
      <c r="CF336" s="86" t="str">
        <f t="shared" si="60"/>
        <v>184604Share Sub Loc Pao Quente SC Johnson</v>
      </c>
      <c r="CG336">
        <v>184604</v>
      </c>
      <c r="CH336" t="s">
        <v>367</v>
      </c>
      <c r="CI336" t="s">
        <v>539</v>
      </c>
      <c r="CJ336" t="s">
        <v>103</v>
      </c>
      <c r="CK336" t="s">
        <v>1483</v>
      </c>
      <c r="CL336" t="s">
        <v>1484</v>
      </c>
      <c r="CM336" t="s">
        <v>458</v>
      </c>
      <c r="CN336">
        <v>12</v>
      </c>
      <c r="CO336">
        <v>12</v>
      </c>
      <c r="CP336">
        <v>96.2</v>
      </c>
      <c r="CR336" s="86" t="str">
        <f t="shared" si="61"/>
        <v>184830Lancamentos</v>
      </c>
      <c r="CS336">
        <v>184830</v>
      </c>
      <c r="CT336" t="s">
        <v>405</v>
      </c>
      <c r="CU336" t="s">
        <v>1306</v>
      </c>
      <c r="CV336" t="s">
        <v>103</v>
      </c>
      <c r="CW336" t="s">
        <v>1632</v>
      </c>
      <c r="CX336" t="s">
        <v>1633</v>
      </c>
      <c r="CY336" t="s">
        <v>953</v>
      </c>
      <c r="CZ336">
        <v>18</v>
      </c>
      <c r="DA336">
        <v>18</v>
      </c>
      <c r="DB336">
        <v>99.4</v>
      </c>
      <c r="DD336" s="86" t="str">
        <f t="shared" si="62"/>
        <v>184830Lancamentos</v>
      </c>
      <c r="DE336">
        <v>184830</v>
      </c>
      <c r="DF336" t="s">
        <v>405</v>
      </c>
      <c r="DG336" t="s">
        <v>1306</v>
      </c>
      <c r="DH336" t="s">
        <v>103</v>
      </c>
      <c r="DI336" t="s">
        <v>1744</v>
      </c>
      <c r="DJ336" t="s">
        <v>1745</v>
      </c>
      <c r="DK336" t="s">
        <v>953</v>
      </c>
      <c r="DL336">
        <v>18</v>
      </c>
      <c r="DM336">
        <v>18</v>
      </c>
      <c r="DN336">
        <v>99.2</v>
      </c>
      <c r="DP336" s="86" t="str">
        <f t="shared" si="63"/>
        <v>186321Lancamentos</v>
      </c>
      <c r="DQ336">
        <v>186321</v>
      </c>
      <c r="DR336" t="s">
        <v>354</v>
      </c>
      <c r="DS336" t="s">
        <v>1306</v>
      </c>
      <c r="DT336" t="s">
        <v>103</v>
      </c>
      <c r="DU336" t="s">
        <v>1796</v>
      </c>
      <c r="DV336" t="s">
        <v>1797</v>
      </c>
      <c r="DW336" t="s">
        <v>953</v>
      </c>
      <c r="DX336">
        <v>9</v>
      </c>
      <c r="DY336">
        <v>18</v>
      </c>
      <c r="DZ336">
        <v>89.23</v>
      </c>
    </row>
    <row r="337" spans="72:130" x14ac:dyDescent="0.35">
      <c r="BT337" s="86" t="str">
        <f t="shared" si="59"/>
        <v>184215Cross Merchan SC Johnson</v>
      </c>
      <c r="BU337">
        <v>184215</v>
      </c>
      <c r="BV337" t="s">
        <v>401</v>
      </c>
      <c r="BW337" t="s">
        <v>482</v>
      </c>
      <c r="BX337" t="s">
        <v>103</v>
      </c>
      <c r="BY337" t="s">
        <v>1384</v>
      </c>
      <c r="BZ337" t="s">
        <v>1385</v>
      </c>
      <c r="CA337" t="s">
        <v>111</v>
      </c>
      <c r="CB337">
        <v>5</v>
      </c>
      <c r="CC337">
        <v>5</v>
      </c>
      <c r="CD337">
        <v>76.42</v>
      </c>
      <c r="CF337" s="86" t="str">
        <f t="shared" si="60"/>
        <v>184604Cross Merchan SC Johnson</v>
      </c>
      <c r="CG337">
        <v>184604</v>
      </c>
      <c r="CH337" t="s">
        <v>367</v>
      </c>
      <c r="CI337" t="s">
        <v>539</v>
      </c>
      <c r="CJ337" t="s">
        <v>103</v>
      </c>
      <c r="CK337" t="s">
        <v>1483</v>
      </c>
      <c r="CL337" t="s">
        <v>1484</v>
      </c>
      <c r="CM337" t="s">
        <v>111</v>
      </c>
      <c r="CN337">
        <v>5</v>
      </c>
      <c r="CO337">
        <v>5</v>
      </c>
      <c r="CP337">
        <v>96.2</v>
      </c>
      <c r="CR337" s="86" t="str">
        <f t="shared" si="61"/>
        <v>184830Share Sub Category SC Johnson</v>
      </c>
      <c r="CS337">
        <v>184830</v>
      </c>
      <c r="CT337" t="s">
        <v>405</v>
      </c>
      <c r="CU337" t="s">
        <v>1306</v>
      </c>
      <c r="CV337" t="s">
        <v>103</v>
      </c>
      <c r="CW337" t="s">
        <v>1632</v>
      </c>
      <c r="CX337" t="s">
        <v>1633</v>
      </c>
      <c r="CY337" t="s">
        <v>457</v>
      </c>
      <c r="CZ337">
        <v>25</v>
      </c>
      <c r="DA337">
        <v>25</v>
      </c>
      <c r="DB337">
        <v>99.4</v>
      </c>
      <c r="DD337" s="86" t="str">
        <f t="shared" si="62"/>
        <v>184830Share Sub Category SC Johnson</v>
      </c>
      <c r="DE337">
        <v>184830</v>
      </c>
      <c r="DF337" t="s">
        <v>405</v>
      </c>
      <c r="DG337" t="s">
        <v>1306</v>
      </c>
      <c r="DH337" t="s">
        <v>103</v>
      </c>
      <c r="DI337" t="s">
        <v>1744</v>
      </c>
      <c r="DJ337" t="s">
        <v>1745</v>
      </c>
      <c r="DK337" t="s">
        <v>457</v>
      </c>
      <c r="DL337">
        <v>25</v>
      </c>
      <c r="DM337">
        <v>25</v>
      </c>
      <c r="DN337">
        <v>99.2</v>
      </c>
      <c r="DP337" s="86" t="str">
        <f t="shared" si="63"/>
        <v>186321Share Sub Category SC Johnson</v>
      </c>
      <c r="DQ337">
        <v>186321</v>
      </c>
      <c r="DR337" t="s">
        <v>354</v>
      </c>
      <c r="DS337" t="s">
        <v>1306</v>
      </c>
      <c r="DT337" t="s">
        <v>103</v>
      </c>
      <c r="DU337" t="s">
        <v>1796</v>
      </c>
      <c r="DV337" t="s">
        <v>1797</v>
      </c>
      <c r="DW337" t="s">
        <v>457</v>
      </c>
      <c r="DX337">
        <v>21.425000000000001</v>
      </c>
      <c r="DY337">
        <v>25</v>
      </c>
      <c r="DZ337">
        <v>89.23</v>
      </c>
    </row>
    <row r="338" spans="72:130" x14ac:dyDescent="0.35">
      <c r="BT338" s="86" t="str">
        <f t="shared" si="59"/>
        <v>184215Execucao Bonus</v>
      </c>
      <c r="BU338">
        <v>184215</v>
      </c>
      <c r="BV338" t="s">
        <v>401</v>
      </c>
      <c r="BW338" t="s">
        <v>482</v>
      </c>
      <c r="BX338" t="s">
        <v>103</v>
      </c>
      <c r="BY338" t="s">
        <v>1384</v>
      </c>
      <c r="BZ338" t="s">
        <v>1385</v>
      </c>
      <c r="CA338" t="s">
        <v>1291</v>
      </c>
      <c r="CB338">
        <v>5</v>
      </c>
      <c r="CC338">
        <v>5</v>
      </c>
      <c r="CD338">
        <v>76.42</v>
      </c>
      <c r="CF338" s="86" t="str">
        <f t="shared" si="60"/>
        <v>184604Execucao Bonus</v>
      </c>
      <c r="CG338">
        <v>184604</v>
      </c>
      <c r="CH338" t="s">
        <v>367</v>
      </c>
      <c r="CI338" t="s">
        <v>539</v>
      </c>
      <c r="CJ338" t="s">
        <v>103</v>
      </c>
      <c r="CK338" t="s">
        <v>1483</v>
      </c>
      <c r="CL338" t="s">
        <v>1484</v>
      </c>
      <c r="CM338" t="s">
        <v>1291</v>
      </c>
      <c r="CN338">
        <v>5</v>
      </c>
      <c r="CO338">
        <v>5</v>
      </c>
      <c r="CP338">
        <v>96.2</v>
      </c>
      <c r="CR338" s="86" t="str">
        <f t="shared" si="61"/>
        <v>184830Share Sub Loc Pao Quente SC Johnson</v>
      </c>
      <c r="CS338">
        <v>184830</v>
      </c>
      <c r="CT338" t="s">
        <v>405</v>
      </c>
      <c r="CU338" t="s">
        <v>1306</v>
      </c>
      <c r="CV338" t="s">
        <v>103</v>
      </c>
      <c r="CW338" t="s">
        <v>1632</v>
      </c>
      <c r="CX338" t="s">
        <v>1633</v>
      </c>
      <c r="CY338" t="s">
        <v>458</v>
      </c>
      <c r="CZ338">
        <v>12</v>
      </c>
      <c r="DA338">
        <v>12</v>
      </c>
      <c r="DB338">
        <v>99.4</v>
      </c>
      <c r="DD338" s="86" t="str">
        <f t="shared" si="62"/>
        <v>184830Share Sub Loc Pao Quente SC Johnson</v>
      </c>
      <c r="DE338">
        <v>184830</v>
      </c>
      <c r="DF338" t="s">
        <v>405</v>
      </c>
      <c r="DG338" t="s">
        <v>1306</v>
      </c>
      <c r="DH338" t="s">
        <v>103</v>
      </c>
      <c r="DI338" t="s">
        <v>1744</v>
      </c>
      <c r="DJ338" t="s">
        <v>1745</v>
      </c>
      <c r="DK338" t="s">
        <v>458</v>
      </c>
      <c r="DL338">
        <v>12</v>
      </c>
      <c r="DM338">
        <v>12</v>
      </c>
      <c r="DN338">
        <v>99.2</v>
      </c>
      <c r="DP338" s="86" t="str">
        <f t="shared" si="63"/>
        <v>186321Share Sub Loc Pao Quente SC Johnson</v>
      </c>
      <c r="DQ338">
        <v>186321</v>
      </c>
      <c r="DR338" t="s">
        <v>354</v>
      </c>
      <c r="DS338" t="s">
        <v>1306</v>
      </c>
      <c r="DT338" t="s">
        <v>103</v>
      </c>
      <c r="DU338" t="s">
        <v>1796</v>
      </c>
      <c r="DV338" t="s">
        <v>1797</v>
      </c>
      <c r="DW338" t="s">
        <v>458</v>
      </c>
      <c r="DX338">
        <v>12</v>
      </c>
      <c r="DY338">
        <v>12</v>
      </c>
      <c r="DZ338">
        <v>89.23</v>
      </c>
    </row>
    <row r="339" spans="72:130" x14ac:dyDescent="0.35">
      <c r="BT339" s="86" t="str">
        <f t="shared" si="59"/>
        <v>184217Lancamentos</v>
      </c>
      <c r="BU339">
        <v>184217</v>
      </c>
      <c r="BV339" t="s">
        <v>402</v>
      </c>
      <c r="BW339" t="s">
        <v>482</v>
      </c>
      <c r="BX339" t="s">
        <v>103</v>
      </c>
      <c r="BY339" t="s">
        <v>1343</v>
      </c>
      <c r="BZ339" t="s">
        <v>1344</v>
      </c>
      <c r="CA339" t="s">
        <v>953</v>
      </c>
      <c r="CB339">
        <v>0</v>
      </c>
      <c r="CC339">
        <v>18</v>
      </c>
      <c r="CD339">
        <v>67.22</v>
      </c>
      <c r="CF339" s="86" t="str">
        <f t="shared" si="60"/>
        <v>184830Lancamentos</v>
      </c>
      <c r="CG339">
        <v>184830</v>
      </c>
      <c r="CH339" t="s">
        <v>405</v>
      </c>
      <c r="CI339" t="s">
        <v>1306</v>
      </c>
      <c r="CJ339" t="s">
        <v>103</v>
      </c>
      <c r="CK339" t="s">
        <v>1416</v>
      </c>
      <c r="CL339" t="s">
        <v>1417</v>
      </c>
      <c r="CM339" t="s">
        <v>953</v>
      </c>
      <c r="CN339">
        <v>9</v>
      </c>
      <c r="CO339">
        <v>18</v>
      </c>
      <c r="CP339">
        <v>81</v>
      </c>
      <c r="CR339" s="86" t="str">
        <f t="shared" si="61"/>
        <v>186321Mix + Intocáveis SC Johnson</v>
      </c>
      <c r="CS339">
        <v>186321</v>
      </c>
      <c r="CT339" t="s">
        <v>354</v>
      </c>
      <c r="CU339" t="s">
        <v>1306</v>
      </c>
      <c r="CV339" t="s">
        <v>103</v>
      </c>
      <c r="CW339" t="s">
        <v>1634</v>
      </c>
      <c r="CX339" t="s">
        <v>1635</v>
      </c>
      <c r="CY339" t="s">
        <v>459</v>
      </c>
      <c r="CZ339">
        <v>39.200000000000003</v>
      </c>
      <c r="DA339">
        <v>40</v>
      </c>
      <c r="DB339">
        <v>91.62</v>
      </c>
      <c r="DD339" s="86" t="str">
        <f t="shared" si="62"/>
        <v>186321Mix + Intocáveis SC Johnson</v>
      </c>
      <c r="DE339">
        <v>186321</v>
      </c>
      <c r="DF339" t="s">
        <v>354</v>
      </c>
      <c r="DG339" t="s">
        <v>1306</v>
      </c>
      <c r="DH339" t="s">
        <v>103</v>
      </c>
      <c r="DI339" t="s">
        <v>1746</v>
      </c>
      <c r="DJ339" t="s">
        <v>1747</v>
      </c>
      <c r="DK339" t="s">
        <v>459</v>
      </c>
      <c r="DL339">
        <v>18.8</v>
      </c>
      <c r="DM339">
        <v>40</v>
      </c>
      <c r="DN339">
        <v>68.8</v>
      </c>
      <c r="DP339" s="86" t="str">
        <f t="shared" si="63"/>
        <v>187744Mix + Intocáveis SC Johnson</v>
      </c>
      <c r="DQ339">
        <v>187744</v>
      </c>
      <c r="DR339" t="s">
        <v>355</v>
      </c>
      <c r="DS339" t="s">
        <v>1306</v>
      </c>
      <c r="DT339" t="s">
        <v>103</v>
      </c>
      <c r="DU339" t="s">
        <v>1798</v>
      </c>
      <c r="DV339" t="s">
        <v>1799</v>
      </c>
      <c r="DW339" t="s">
        <v>459</v>
      </c>
      <c r="DX339">
        <v>32.200000000000003</v>
      </c>
      <c r="DY339">
        <v>35</v>
      </c>
      <c r="DZ339">
        <v>87.2</v>
      </c>
    </row>
    <row r="340" spans="72:130" x14ac:dyDescent="0.35">
      <c r="BT340" s="86" t="str">
        <f t="shared" si="59"/>
        <v>184217Mix + Intocáveis SC Johnson</v>
      </c>
      <c r="BU340">
        <v>184217</v>
      </c>
      <c r="BV340" t="s">
        <v>402</v>
      </c>
      <c r="BW340" t="s">
        <v>482</v>
      </c>
      <c r="BX340" t="s">
        <v>103</v>
      </c>
      <c r="BY340" t="s">
        <v>1343</v>
      </c>
      <c r="BZ340" t="s">
        <v>1344</v>
      </c>
      <c r="CA340" t="s">
        <v>459</v>
      </c>
      <c r="CB340">
        <v>28.8</v>
      </c>
      <c r="CC340">
        <v>40</v>
      </c>
      <c r="CD340">
        <v>67.22</v>
      </c>
      <c r="CF340" s="86" t="str">
        <f t="shared" si="60"/>
        <v>184830Mix + Intocáveis SC Johnson</v>
      </c>
      <c r="CG340">
        <v>184830</v>
      </c>
      <c r="CH340" t="s">
        <v>405</v>
      </c>
      <c r="CI340" t="s">
        <v>1306</v>
      </c>
      <c r="CJ340" t="s">
        <v>103</v>
      </c>
      <c r="CK340" t="s">
        <v>1416</v>
      </c>
      <c r="CL340" t="s">
        <v>1417</v>
      </c>
      <c r="CM340" t="s">
        <v>459</v>
      </c>
      <c r="CN340">
        <v>36</v>
      </c>
      <c r="CO340">
        <v>40</v>
      </c>
      <c r="CP340">
        <v>81</v>
      </c>
      <c r="CR340" s="86" t="str">
        <f t="shared" si="61"/>
        <v>186321Execucao Bonus</v>
      </c>
      <c r="CS340">
        <v>186321</v>
      </c>
      <c r="CT340" t="s">
        <v>354</v>
      </c>
      <c r="CU340" t="s">
        <v>1306</v>
      </c>
      <c r="CV340" t="s">
        <v>103</v>
      </c>
      <c r="CW340" t="s">
        <v>1634</v>
      </c>
      <c r="CX340" t="s">
        <v>1635</v>
      </c>
      <c r="CY340" t="s">
        <v>1291</v>
      </c>
      <c r="CZ340">
        <v>5</v>
      </c>
      <c r="DA340">
        <v>5</v>
      </c>
      <c r="DB340">
        <v>91.62</v>
      </c>
      <c r="DD340" s="86" t="str">
        <f t="shared" si="62"/>
        <v>186321Execucao Bonus</v>
      </c>
      <c r="DE340">
        <v>186321</v>
      </c>
      <c r="DF340" t="s">
        <v>354</v>
      </c>
      <c r="DG340" t="s">
        <v>1306</v>
      </c>
      <c r="DH340" t="s">
        <v>103</v>
      </c>
      <c r="DI340" t="s">
        <v>1746</v>
      </c>
      <c r="DJ340" t="s">
        <v>1747</v>
      </c>
      <c r="DK340" t="s">
        <v>1291</v>
      </c>
      <c r="DL340">
        <v>5</v>
      </c>
      <c r="DM340">
        <v>5</v>
      </c>
      <c r="DN340">
        <v>68.8</v>
      </c>
      <c r="DP340" s="86" t="str">
        <f t="shared" si="63"/>
        <v>187744Plano Foco SC Johnson</v>
      </c>
      <c r="DQ340">
        <v>187744</v>
      </c>
      <c r="DR340" t="s">
        <v>355</v>
      </c>
      <c r="DS340" t="s">
        <v>1306</v>
      </c>
      <c r="DT340" t="s">
        <v>103</v>
      </c>
      <c r="DU340" t="s">
        <v>1798</v>
      </c>
      <c r="DV340" t="s">
        <v>1799</v>
      </c>
      <c r="DW340" t="s">
        <v>1251</v>
      </c>
      <c r="DX340">
        <v>0</v>
      </c>
      <c r="DY340">
        <v>15</v>
      </c>
      <c r="DZ340">
        <v>87.2</v>
      </c>
    </row>
    <row r="341" spans="72:130" x14ac:dyDescent="0.35">
      <c r="BT341" s="86" t="str">
        <f t="shared" si="59"/>
        <v>184217Share Sub Category SC Johnson</v>
      </c>
      <c r="BU341">
        <v>184217</v>
      </c>
      <c r="BV341" t="s">
        <v>402</v>
      </c>
      <c r="BW341" t="s">
        <v>482</v>
      </c>
      <c r="BX341" t="s">
        <v>103</v>
      </c>
      <c r="BY341" t="s">
        <v>1343</v>
      </c>
      <c r="BZ341" t="s">
        <v>1344</v>
      </c>
      <c r="CA341" t="s">
        <v>457</v>
      </c>
      <c r="CB341">
        <v>21.425000000000001</v>
      </c>
      <c r="CC341">
        <v>25</v>
      </c>
      <c r="CD341">
        <v>67.22</v>
      </c>
      <c r="CF341" s="86" t="str">
        <f t="shared" si="60"/>
        <v>184830Share Sub Category SC Johnson</v>
      </c>
      <c r="CG341">
        <v>184830</v>
      </c>
      <c r="CH341" t="s">
        <v>405</v>
      </c>
      <c r="CI341" t="s">
        <v>1306</v>
      </c>
      <c r="CJ341" t="s">
        <v>103</v>
      </c>
      <c r="CK341" t="s">
        <v>1416</v>
      </c>
      <c r="CL341" t="s">
        <v>1417</v>
      </c>
      <c r="CM341" t="s">
        <v>457</v>
      </c>
      <c r="CN341">
        <v>25</v>
      </c>
      <c r="CO341">
        <v>25</v>
      </c>
      <c r="CP341">
        <v>81</v>
      </c>
      <c r="CR341" s="86" t="str">
        <f t="shared" si="61"/>
        <v>186321Cross Merchan SC Johnson</v>
      </c>
      <c r="CS341">
        <v>186321</v>
      </c>
      <c r="CT341" t="s">
        <v>354</v>
      </c>
      <c r="CU341" t="s">
        <v>1306</v>
      </c>
      <c r="CV341" t="s">
        <v>103</v>
      </c>
      <c r="CW341" t="s">
        <v>1634</v>
      </c>
      <c r="CX341" t="s">
        <v>1635</v>
      </c>
      <c r="CY341" t="s">
        <v>111</v>
      </c>
      <c r="CZ341">
        <v>5</v>
      </c>
      <c r="DA341">
        <v>5</v>
      </c>
      <c r="DB341">
        <v>91.62</v>
      </c>
      <c r="DD341" s="86" t="str">
        <f t="shared" si="62"/>
        <v>186321Cross Merchan SC Johnson</v>
      </c>
      <c r="DE341">
        <v>186321</v>
      </c>
      <c r="DF341" t="s">
        <v>354</v>
      </c>
      <c r="DG341" t="s">
        <v>1306</v>
      </c>
      <c r="DH341" t="s">
        <v>103</v>
      </c>
      <c r="DI341" t="s">
        <v>1746</v>
      </c>
      <c r="DJ341" t="s">
        <v>1747</v>
      </c>
      <c r="DK341" t="s">
        <v>111</v>
      </c>
      <c r="DL341">
        <v>5</v>
      </c>
      <c r="DM341">
        <v>5</v>
      </c>
      <c r="DN341">
        <v>68.8</v>
      </c>
      <c r="DP341" s="86" t="str">
        <f t="shared" si="63"/>
        <v>187744Execucao Bonus</v>
      </c>
      <c r="DQ341">
        <v>187744</v>
      </c>
      <c r="DR341" t="s">
        <v>355</v>
      </c>
      <c r="DS341" t="s">
        <v>1306</v>
      </c>
      <c r="DT341" t="s">
        <v>103</v>
      </c>
      <c r="DU341" t="s">
        <v>1798</v>
      </c>
      <c r="DV341" t="s">
        <v>1799</v>
      </c>
      <c r="DW341" t="s">
        <v>1291</v>
      </c>
      <c r="DX341">
        <v>5</v>
      </c>
      <c r="DY341">
        <v>5</v>
      </c>
      <c r="DZ341">
        <v>87.2</v>
      </c>
    </row>
    <row r="342" spans="72:130" x14ac:dyDescent="0.35">
      <c r="BT342" s="86" t="str">
        <f t="shared" si="59"/>
        <v>184217Share Sub Loc Pao Quente SC Johnson</v>
      </c>
      <c r="BU342">
        <v>184217</v>
      </c>
      <c r="BV342" t="s">
        <v>402</v>
      </c>
      <c r="BW342" t="s">
        <v>482</v>
      </c>
      <c r="BX342" t="s">
        <v>103</v>
      </c>
      <c r="BY342" t="s">
        <v>1343</v>
      </c>
      <c r="BZ342" t="s">
        <v>1344</v>
      </c>
      <c r="CA342" t="s">
        <v>458</v>
      </c>
      <c r="CB342">
        <v>12</v>
      </c>
      <c r="CC342">
        <v>12</v>
      </c>
      <c r="CD342">
        <v>67.22</v>
      </c>
      <c r="CF342" s="86" t="str">
        <f t="shared" si="60"/>
        <v>184830Share Sub Loc Pao Quente SC Johnson</v>
      </c>
      <c r="CG342">
        <v>184830</v>
      </c>
      <c r="CH342" t="s">
        <v>405</v>
      </c>
      <c r="CI342" t="s">
        <v>1306</v>
      </c>
      <c r="CJ342" t="s">
        <v>103</v>
      </c>
      <c r="CK342" t="s">
        <v>1416</v>
      </c>
      <c r="CL342" t="s">
        <v>1417</v>
      </c>
      <c r="CM342" t="s">
        <v>458</v>
      </c>
      <c r="CN342">
        <v>6</v>
      </c>
      <c r="CO342">
        <v>12</v>
      </c>
      <c r="CP342">
        <v>81</v>
      </c>
      <c r="CR342" s="86" t="str">
        <f t="shared" si="61"/>
        <v>186321Lancamentos</v>
      </c>
      <c r="CS342">
        <v>186321</v>
      </c>
      <c r="CT342" t="s">
        <v>354</v>
      </c>
      <c r="CU342" t="s">
        <v>1306</v>
      </c>
      <c r="CV342" t="s">
        <v>103</v>
      </c>
      <c r="CW342" t="s">
        <v>1634</v>
      </c>
      <c r="CX342" t="s">
        <v>1635</v>
      </c>
      <c r="CY342" t="s">
        <v>953</v>
      </c>
      <c r="CZ342">
        <v>9</v>
      </c>
      <c r="DA342">
        <v>18</v>
      </c>
      <c r="DB342">
        <v>91.62</v>
      </c>
      <c r="DD342" s="86" t="str">
        <f t="shared" si="62"/>
        <v>186321Lancamentos</v>
      </c>
      <c r="DE342">
        <v>186321</v>
      </c>
      <c r="DF342" t="s">
        <v>354</v>
      </c>
      <c r="DG342" t="s">
        <v>1306</v>
      </c>
      <c r="DH342" t="s">
        <v>103</v>
      </c>
      <c r="DI342" t="s">
        <v>1746</v>
      </c>
      <c r="DJ342" t="s">
        <v>1747</v>
      </c>
      <c r="DK342" t="s">
        <v>953</v>
      </c>
      <c r="DL342">
        <v>9</v>
      </c>
      <c r="DM342">
        <v>18</v>
      </c>
      <c r="DN342">
        <v>68.8</v>
      </c>
      <c r="DP342" s="86" t="str">
        <f t="shared" si="63"/>
        <v>187744Cross Merchan SC Johnson</v>
      </c>
      <c r="DQ342">
        <v>187744</v>
      </c>
      <c r="DR342" t="s">
        <v>355</v>
      </c>
      <c r="DS342" t="s">
        <v>1306</v>
      </c>
      <c r="DT342" t="s">
        <v>103</v>
      </c>
      <c r="DU342" t="s">
        <v>1798</v>
      </c>
      <c r="DV342" t="s">
        <v>1799</v>
      </c>
      <c r="DW342" t="s">
        <v>111</v>
      </c>
      <c r="DX342">
        <v>5</v>
      </c>
      <c r="DY342">
        <v>5</v>
      </c>
      <c r="DZ342">
        <v>87.2</v>
      </c>
    </row>
    <row r="343" spans="72:130" x14ac:dyDescent="0.35">
      <c r="BT343" s="86" t="str">
        <f t="shared" si="59"/>
        <v>184217Cross Merchan SC Johnson</v>
      </c>
      <c r="BU343">
        <v>184217</v>
      </c>
      <c r="BV343" t="s">
        <v>402</v>
      </c>
      <c r="BW343" t="s">
        <v>482</v>
      </c>
      <c r="BX343" t="s">
        <v>103</v>
      </c>
      <c r="BY343" t="s">
        <v>1343</v>
      </c>
      <c r="BZ343" t="s">
        <v>1344</v>
      </c>
      <c r="CA343" t="s">
        <v>111</v>
      </c>
      <c r="CB343">
        <v>5</v>
      </c>
      <c r="CC343">
        <v>5</v>
      </c>
      <c r="CD343">
        <v>67.22</v>
      </c>
      <c r="CF343" s="86" t="str">
        <f t="shared" si="60"/>
        <v>184830Cross Merchan SC Johnson</v>
      </c>
      <c r="CG343">
        <v>184830</v>
      </c>
      <c r="CH343" t="s">
        <v>405</v>
      </c>
      <c r="CI343" t="s">
        <v>1306</v>
      </c>
      <c r="CJ343" t="s">
        <v>103</v>
      </c>
      <c r="CK343" t="s">
        <v>1416</v>
      </c>
      <c r="CL343" t="s">
        <v>1417</v>
      </c>
      <c r="CM343" t="s">
        <v>111</v>
      </c>
      <c r="CN343">
        <v>5</v>
      </c>
      <c r="CO343">
        <v>5</v>
      </c>
      <c r="CP343">
        <v>81</v>
      </c>
      <c r="CR343" s="86" t="str">
        <f t="shared" si="61"/>
        <v>186321Share Sub Category SC Johnson</v>
      </c>
      <c r="CS343">
        <v>186321</v>
      </c>
      <c r="CT343" t="s">
        <v>354</v>
      </c>
      <c r="CU343" t="s">
        <v>1306</v>
      </c>
      <c r="CV343" t="s">
        <v>103</v>
      </c>
      <c r="CW343" t="s">
        <v>1634</v>
      </c>
      <c r="CX343" t="s">
        <v>1635</v>
      </c>
      <c r="CY343" t="s">
        <v>457</v>
      </c>
      <c r="CZ343">
        <v>21.425000000000001</v>
      </c>
      <c r="DA343">
        <v>25</v>
      </c>
      <c r="DB343">
        <v>91.62</v>
      </c>
      <c r="DD343" s="86" t="str">
        <f t="shared" si="62"/>
        <v>186321Share Sub Category SC Johnson</v>
      </c>
      <c r="DE343">
        <v>186321</v>
      </c>
      <c r="DF343" t="s">
        <v>354</v>
      </c>
      <c r="DG343" t="s">
        <v>1306</v>
      </c>
      <c r="DH343" t="s">
        <v>103</v>
      </c>
      <c r="DI343" t="s">
        <v>1746</v>
      </c>
      <c r="DJ343" t="s">
        <v>1747</v>
      </c>
      <c r="DK343" t="s">
        <v>457</v>
      </c>
      <c r="DL343">
        <v>25</v>
      </c>
      <c r="DM343">
        <v>25</v>
      </c>
      <c r="DN343">
        <v>68.8</v>
      </c>
      <c r="DP343" s="86" t="str">
        <f t="shared" si="63"/>
        <v>187744Lancamentos</v>
      </c>
      <c r="DQ343">
        <v>187744</v>
      </c>
      <c r="DR343" t="s">
        <v>355</v>
      </c>
      <c r="DS343" t="s">
        <v>1306</v>
      </c>
      <c r="DT343" t="s">
        <v>103</v>
      </c>
      <c r="DU343" t="s">
        <v>1798</v>
      </c>
      <c r="DV343" t="s">
        <v>1799</v>
      </c>
      <c r="DW343" t="s">
        <v>953</v>
      </c>
      <c r="DX343">
        <v>15</v>
      </c>
      <c r="DY343">
        <v>15</v>
      </c>
      <c r="DZ343">
        <v>87.2</v>
      </c>
    </row>
    <row r="344" spans="72:130" x14ac:dyDescent="0.35">
      <c r="BT344" s="86" t="str">
        <f t="shared" si="59"/>
        <v>184217Execucao Bonus</v>
      </c>
      <c r="BU344">
        <v>184217</v>
      </c>
      <c r="BV344" t="s">
        <v>402</v>
      </c>
      <c r="BW344" t="s">
        <v>482</v>
      </c>
      <c r="BX344" t="s">
        <v>103</v>
      </c>
      <c r="BY344" t="s">
        <v>1343</v>
      </c>
      <c r="BZ344" t="s">
        <v>1344</v>
      </c>
      <c r="CA344" t="s">
        <v>1291</v>
      </c>
      <c r="CB344">
        <v>0</v>
      </c>
      <c r="CC344">
        <v>5</v>
      </c>
      <c r="CD344">
        <v>67.22</v>
      </c>
      <c r="CF344" s="86" t="str">
        <f t="shared" si="60"/>
        <v>184830Execucao Bonus</v>
      </c>
      <c r="CG344">
        <v>184830</v>
      </c>
      <c r="CH344" t="s">
        <v>405</v>
      </c>
      <c r="CI344" t="s">
        <v>1306</v>
      </c>
      <c r="CJ344" t="s">
        <v>103</v>
      </c>
      <c r="CK344" t="s">
        <v>1416</v>
      </c>
      <c r="CL344" t="s">
        <v>1417</v>
      </c>
      <c r="CM344" t="s">
        <v>1291</v>
      </c>
      <c r="CN344">
        <v>0</v>
      </c>
      <c r="CO344">
        <v>5</v>
      </c>
      <c r="CP344">
        <v>81</v>
      </c>
      <c r="CR344" s="86" t="str">
        <f t="shared" si="61"/>
        <v>186321Share Sub Loc Pao Quente SC Johnson</v>
      </c>
      <c r="CS344">
        <v>186321</v>
      </c>
      <c r="CT344" t="s">
        <v>354</v>
      </c>
      <c r="CU344" t="s">
        <v>1306</v>
      </c>
      <c r="CV344" t="s">
        <v>103</v>
      </c>
      <c r="CW344" t="s">
        <v>1634</v>
      </c>
      <c r="CX344" t="s">
        <v>1635</v>
      </c>
      <c r="CY344" t="s">
        <v>458</v>
      </c>
      <c r="CZ344">
        <v>12</v>
      </c>
      <c r="DA344">
        <v>12</v>
      </c>
      <c r="DB344">
        <v>91.62</v>
      </c>
      <c r="DD344" s="86" t="str">
        <f t="shared" si="62"/>
        <v>186321Share Sub Loc Pao Quente SC Johnson</v>
      </c>
      <c r="DE344">
        <v>186321</v>
      </c>
      <c r="DF344" t="s">
        <v>354</v>
      </c>
      <c r="DG344" t="s">
        <v>1306</v>
      </c>
      <c r="DH344" t="s">
        <v>103</v>
      </c>
      <c r="DI344" t="s">
        <v>1746</v>
      </c>
      <c r="DJ344" t="s">
        <v>1747</v>
      </c>
      <c r="DK344" t="s">
        <v>458</v>
      </c>
      <c r="DL344">
        <v>6</v>
      </c>
      <c r="DM344">
        <v>12</v>
      </c>
      <c r="DN344">
        <v>68.8</v>
      </c>
      <c r="DP344" s="86" t="str">
        <f t="shared" si="63"/>
        <v>187744Share Sub Category SC Johnson</v>
      </c>
      <c r="DQ344">
        <v>187744</v>
      </c>
      <c r="DR344" t="s">
        <v>355</v>
      </c>
      <c r="DS344" t="s">
        <v>1306</v>
      </c>
      <c r="DT344" t="s">
        <v>103</v>
      </c>
      <c r="DU344" t="s">
        <v>1798</v>
      </c>
      <c r="DV344" t="s">
        <v>1799</v>
      </c>
      <c r="DW344" t="s">
        <v>457</v>
      </c>
      <c r="DX344">
        <v>20</v>
      </c>
      <c r="DY344">
        <v>20</v>
      </c>
      <c r="DZ344">
        <v>87.2</v>
      </c>
    </row>
    <row r="345" spans="72:130" x14ac:dyDescent="0.35">
      <c r="BT345" s="86" t="str">
        <f t="shared" si="59"/>
        <v>184221Lancamentos</v>
      </c>
      <c r="BU345">
        <v>184221</v>
      </c>
      <c r="BV345" t="s">
        <v>403</v>
      </c>
      <c r="BW345" t="s">
        <v>482</v>
      </c>
      <c r="BX345" t="s">
        <v>103</v>
      </c>
      <c r="BY345" t="s">
        <v>1386</v>
      </c>
      <c r="BZ345" t="s">
        <v>1387</v>
      </c>
      <c r="CA345" t="s">
        <v>953</v>
      </c>
      <c r="CB345">
        <v>9</v>
      </c>
      <c r="CC345">
        <v>18</v>
      </c>
      <c r="CD345">
        <v>79.62</v>
      </c>
      <c r="CF345" s="86" t="str">
        <f t="shared" si="60"/>
        <v>187744Lancamentos</v>
      </c>
      <c r="CG345">
        <v>187744</v>
      </c>
      <c r="CH345" t="s">
        <v>355</v>
      </c>
      <c r="CI345" t="s">
        <v>1306</v>
      </c>
      <c r="CJ345" t="s">
        <v>103</v>
      </c>
      <c r="CK345" t="s">
        <v>1418</v>
      </c>
      <c r="CL345" t="s">
        <v>1419</v>
      </c>
      <c r="CM345" t="s">
        <v>953</v>
      </c>
      <c r="CN345">
        <v>7.5</v>
      </c>
      <c r="CO345">
        <v>15</v>
      </c>
      <c r="CP345">
        <v>68.34</v>
      </c>
      <c r="CR345" s="86" t="str">
        <f t="shared" si="61"/>
        <v>187744Lancamentos</v>
      </c>
      <c r="CS345">
        <v>187744</v>
      </c>
      <c r="CT345" t="s">
        <v>355</v>
      </c>
      <c r="CU345" t="s">
        <v>1306</v>
      </c>
      <c r="CV345" t="s">
        <v>103</v>
      </c>
      <c r="CW345" t="s">
        <v>1536</v>
      </c>
      <c r="CX345" t="s">
        <v>1537</v>
      </c>
      <c r="CY345" t="s">
        <v>953</v>
      </c>
      <c r="CZ345">
        <v>15</v>
      </c>
      <c r="DA345">
        <v>15</v>
      </c>
      <c r="DB345">
        <v>79</v>
      </c>
      <c r="DD345" s="86" t="str">
        <f t="shared" si="62"/>
        <v>187744Mix + Intocáveis SC Johnson</v>
      </c>
      <c r="DE345">
        <v>187744</v>
      </c>
      <c r="DF345" t="s">
        <v>355</v>
      </c>
      <c r="DG345" t="s">
        <v>1306</v>
      </c>
      <c r="DH345" t="s">
        <v>103</v>
      </c>
      <c r="DI345" t="s">
        <v>1748</v>
      </c>
      <c r="DJ345" t="s">
        <v>1749</v>
      </c>
      <c r="DK345" t="s">
        <v>459</v>
      </c>
      <c r="DL345">
        <v>31.5</v>
      </c>
      <c r="DM345">
        <v>35</v>
      </c>
      <c r="DN345">
        <v>86.5</v>
      </c>
      <c r="DP345" s="86" t="str">
        <f t="shared" si="63"/>
        <v>187744Share Sub Loc Pao Quente SC Johnson</v>
      </c>
      <c r="DQ345">
        <v>187744</v>
      </c>
      <c r="DR345" t="s">
        <v>355</v>
      </c>
      <c r="DS345" t="s">
        <v>1306</v>
      </c>
      <c r="DT345" t="s">
        <v>103</v>
      </c>
      <c r="DU345" t="s">
        <v>1798</v>
      </c>
      <c r="DV345" t="s">
        <v>1799</v>
      </c>
      <c r="DW345" t="s">
        <v>458</v>
      </c>
      <c r="DX345">
        <v>10</v>
      </c>
      <c r="DY345">
        <v>10</v>
      </c>
      <c r="DZ345">
        <v>87.2</v>
      </c>
    </row>
    <row r="346" spans="72:130" x14ac:dyDescent="0.35">
      <c r="BT346" s="86" t="str">
        <f t="shared" si="59"/>
        <v>184221Mix + Intocáveis SC Johnson</v>
      </c>
      <c r="BU346">
        <v>184221</v>
      </c>
      <c r="BV346" t="s">
        <v>403</v>
      </c>
      <c r="BW346" t="s">
        <v>482</v>
      </c>
      <c r="BX346" t="s">
        <v>103</v>
      </c>
      <c r="BY346" t="s">
        <v>1386</v>
      </c>
      <c r="BZ346" t="s">
        <v>1387</v>
      </c>
      <c r="CA346" t="s">
        <v>459</v>
      </c>
      <c r="CB346">
        <v>27.2</v>
      </c>
      <c r="CC346">
        <v>40</v>
      </c>
      <c r="CD346">
        <v>79.62</v>
      </c>
      <c r="CF346" s="86" t="str">
        <f t="shared" si="60"/>
        <v>187744Plano Foco SC Johnson</v>
      </c>
      <c r="CG346">
        <v>187744</v>
      </c>
      <c r="CH346" t="s">
        <v>355</v>
      </c>
      <c r="CI346" t="s">
        <v>1306</v>
      </c>
      <c r="CJ346" t="s">
        <v>103</v>
      </c>
      <c r="CK346" t="s">
        <v>1418</v>
      </c>
      <c r="CL346" t="s">
        <v>1419</v>
      </c>
      <c r="CM346" t="s">
        <v>1251</v>
      </c>
      <c r="CN346">
        <v>0</v>
      </c>
      <c r="CO346">
        <v>15</v>
      </c>
      <c r="CP346">
        <v>68.34</v>
      </c>
      <c r="CR346" s="86" t="str">
        <f t="shared" si="61"/>
        <v>187744Plano Foco SC Johnson</v>
      </c>
      <c r="CS346">
        <v>187744</v>
      </c>
      <c r="CT346" t="s">
        <v>355</v>
      </c>
      <c r="CU346" t="s">
        <v>1306</v>
      </c>
      <c r="CV346" t="s">
        <v>103</v>
      </c>
      <c r="CW346" t="s">
        <v>1536</v>
      </c>
      <c r="CX346" t="s">
        <v>1537</v>
      </c>
      <c r="CY346" t="s">
        <v>1251</v>
      </c>
      <c r="CZ346">
        <v>0</v>
      </c>
      <c r="DA346">
        <v>15</v>
      </c>
      <c r="DB346">
        <v>79</v>
      </c>
      <c r="DD346" s="86" t="str">
        <f t="shared" si="62"/>
        <v>187744Plano Foco SC Johnson</v>
      </c>
      <c r="DE346">
        <v>187744</v>
      </c>
      <c r="DF346" t="s">
        <v>355</v>
      </c>
      <c r="DG346" t="s">
        <v>1306</v>
      </c>
      <c r="DH346" t="s">
        <v>103</v>
      </c>
      <c r="DI346" t="s">
        <v>1748</v>
      </c>
      <c r="DJ346" t="s">
        <v>1749</v>
      </c>
      <c r="DK346" t="s">
        <v>1251</v>
      </c>
      <c r="DL346">
        <v>0</v>
      </c>
      <c r="DM346">
        <v>15</v>
      </c>
      <c r="DN346">
        <v>86.5</v>
      </c>
    </row>
    <row r="347" spans="72:130" x14ac:dyDescent="0.35">
      <c r="BT347" s="86" t="str">
        <f t="shared" si="59"/>
        <v>184221Share Sub Category SC Johnson</v>
      </c>
      <c r="BU347">
        <v>184221</v>
      </c>
      <c r="BV347" t="s">
        <v>403</v>
      </c>
      <c r="BW347" t="s">
        <v>482</v>
      </c>
      <c r="BX347" t="s">
        <v>103</v>
      </c>
      <c r="BY347" t="s">
        <v>1386</v>
      </c>
      <c r="BZ347" t="s">
        <v>1387</v>
      </c>
      <c r="CA347" t="s">
        <v>457</v>
      </c>
      <c r="CB347">
        <v>21.425000000000001</v>
      </c>
      <c r="CC347">
        <v>25</v>
      </c>
      <c r="CD347">
        <v>79.62</v>
      </c>
      <c r="CF347" s="86" t="str">
        <f t="shared" si="60"/>
        <v>187744Mix + Intocáveis SC Johnson</v>
      </c>
      <c r="CG347">
        <v>187744</v>
      </c>
      <c r="CH347" t="s">
        <v>355</v>
      </c>
      <c r="CI347" t="s">
        <v>1306</v>
      </c>
      <c r="CJ347" t="s">
        <v>103</v>
      </c>
      <c r="CK347" t="s">
        <v>1418</v>
      </c>
      <c r="CL347" t="s">
        <v>1419</v>
      </c>
      <c r="CM347" t="s">
        <v>459</v>
      </c>
      <c r="CN347">
        <v>28.7</v>
      </c>
      <c r="CO347">
        <v>35</v>
      </c>
      <c r="CP347">
        <v>68.34</v>
      </c>
      <c r="CR347" s="86" t="str">
        <f t="shared" si="61"/>
        <v>187744Mix + Intocáveis SC Johnson</v>
      </c>
      <c r="CS347">
        <v>187744</v>
      </c>
      <c r="CT347" t="s">
        <v>355</v>
      </c>
      <c r="CU347" t="s">
        <v>1306</v>
      </c>
      <c r="CV347" t="s">
        <v>103</v>
      </c>
      <c r="CW347" t="s">
        <v>1536</v>
      </c>
      <c r="CX347" t="s">
        <v>1537</v>
      </c>
      <c r="CY347" t="s">
        <v>459</v>
      </c>
      <c r="CZ347">
        <v>31.5</v>
      </c>
      <c r="DA347">
        <v>35</v>
      </c>
      <c r="DB347">
        <v>79</v>
      </c>
      <c r="DD347" s="86" t="str">
        <f t="shared" si="62"/>
        <v>187744Execucao Bonus</v>
      </c>
      <c r="DE347">
        <v>187744</v>
      </c>
      <c r="DF347" t="s">
        <v>355</v>
      </c>
      <c r="DG347" t="s">
        <v>1306</v>
      </c>
      <c r="DH347" t="s">
        <v>103</v>
      </c>
      <c r="DI347" t="s">
        <v>1748</v>
      </c>
      <c r="DJ347" t="s">
        <v>1749</v>
      </c>
      <c r="DK347" t="s">
        <v>1291</v>
      </c>
      <c r="DL347">
        <v>5</v>
      </c>
      <c r="DM347">
        <v>5</v>
      </c>
      <c r="DN347">
        <v>86.5</v>
      </c>
    </row>
    <row r="348" spans="72:130" x14ac:dyDescent="0.35">
      <c r="BT348" s="86" t="str">
        <f t="shared" si="59"/>
        <v>184221Share Sub Loc Pao Quente SC Johnson</v>
      </c>
      <c r="BU348">
        <v>184221</v>
      </c>
      <c r="BV348" t="s">
        <v>403</v>
      </c>
      <c r="BW348" t="s">
        <v>482</v>
      </c>
      <c r="BX348" t="s">
        <v>103</v>
      </c>
      <c r="BY348" t="s">
        <v>1386</v>
      </c>
      <c r="BZ348" t="s">
        <v>1387</v>
      </c>
      <c r="CA348" t="s">
        <v>458</v>
      </c>
      <c r="CB348">
        <v>12</v>
      </c>
      <c r="CC348">
        <v>12</v>
      </c>
      <c r="CD348">
        <v>79.62</v>
      </c>
      <c r="CF348" s="86" t="str">
        <f t="shared" si="60"/>
        <v>187744Share Sub Category SC Johnson</v>
      </c>
      <c r="CG348">
        <v>187744</v>
      </c>
      <c r="CH348" t="s">
        <v>355</v>
      </c>
      <c r="CI348" t="s">
        <v>1306</v>
      </c>
      <c r="CJ348" t="s">
        <v>103</v>
      </c>
      <c r="CK348" t="s">
        <v>1418</v>
      </c>
      <c r="CL348" t="s">
        <v>1419</v>
      </c>
      <c r="CM348" t="s">
        <v>457</v>
      </c>
      <c r="CN348">
        <v>17.14</v>
      </c>
      <c r="CO348">
        <v>20</v>
      </c>
      <c r="CP348">
        <v>68.34</v>
      </c>
      <c r="CR348" s="86" t="str">
        <f t="shared" si="61"/>
        <v>187744Share Sub Category SC Johnson</v>
      </c>
      <c r="CS348">
        <v>187744</v>
      </c>
      <c r="CT348" t="s">
        <v>355</v>
      </c>
      <c r="CU348" t="s">
        <v>1306</v>
      </c>
      <c r="CV348" t="s">
        <v>103</v>
      </c>
      <c r="CW348" t="s">
        <v>1536</v>
      </c>
      <c r="CX348" t="s">
        <v>1537</v>
      </c>
      <c r="CY348" t="s">
        <v>457</v>
      </c>
      <c r="CZ348">
        <v>20</v>
      </c>
      <c r="DA348">
        <v>20</v>
      </c>
      <c r="DB348">
        <v>79</v>
      </c>
      <c r="DD348" s="86" t="str">
        <f t="shared" si="62"/>
        <v>187744Cross Merchan SC Johnson</v>
      </c>
      <c r="DE348">
        <v>187744</v>
      </c>
      <c r="DF348" t="s">
        <v>355</v>
      </c>
      <c r="DG348" t="s">
        <v>1306</v>
      </c>
      <c r="DH348" t="s">
        <v>103</v>
      </c>
      <c r="DI348" t="s">
        <v>1748</v>
      </c>
      <c r="DJ348" t="s">
        <v>1749</v>
      </c>
      <c r="DK348" t="s">
        <v>111</v>
      </c>
      <c r="DL348">
        <v>5</v>
      </c>
      <c r="DM348">
        <v>5</v>
      </c>
      <c r="DN348">
        <v>86.5</v>
      </c>
    </row>
    <row r="349" spans="72:130" x14ac:dyDescent="0.35">
      <c r="BT349" s="86" t="str">
        <f t="shared" si="59"/>
        <v>184221Cross Merchan SC Johnson</v>
      </c>
      <c r="BU349">
        <v>184221</v>
      </c>
      <c r="BV349" t="s">
        <v>403</v>
      </c>
      <c r="BW349" t="s">
        <v>482</v>
      </c>
      <c r="BX349" t="s">
        <v>103</v>
      </c>
      <c r="BY349" t="s">
        <v>1386</v>
      </c>
      <c r="BZ349" t="s">
        <v>1387</v>
      </c>
      <c r="CA349" t="s">
        <v>111</v>
      </c>
      <c r="CB349">
        <v>5</v>
      </c>
      <c r="CC349">
        <v>5</v>
      </c>
      <c r="CD349">
        <v>79.62</v>
      </c>
      <c r="CF349" s="86" t="str">
        <f t="shared" si="60"/>
        <v>187744Share Sub Loc Pao Quente SC Johnson</v>
      </c>
      <c r="CG349">
        <v>187744</v>
      </c>
      <c r="CH349" t="s">
        <v>355</v>
      </c>
      <c r="CI349" t="s">
        <v>1306</v>
      </c>
      <c r="CJ349" t="s">
        <v>103</v>
      </c>
      <c r="CK349" t="s">
        <v>1418</v>
      </c>
      <c r="CL349" t="s">
        <v>1419</v>
      </c>
      <c r="CM349" t="s">
        <v>458</v>
      </c>
      <c r="CN349">
        <v>10</v>
      </c>
      <c r="CO349">
        <v>10</v>
      </c>
      <c r="CP349">
        <v>68.34</v>
      </c>
      <c r="CR349" s="86" t="str">
        <f t="shared" si="61"/>
        <v>187744Share Sub Loc Pao Quente SC Johnson</v>
      </c>
      <c r="CS349">
        <v>187744</v>
      </c>
      <c r="CT349" t="s">
        <v>355</v>
      </c>
      <c r="CU349" t="s">
        <v>1306</v>
      </c>
      <c r="CV349" t="s">
        <v>103</v>
      </c>
      <c r="CW349" t="s">
        <v>1536</v>
      </c>
      <c r="CX349" t="s">
        <v>1537</v>
      </c>
      <c r="CY349" t="s">
        <v>458</v>
      </c>
      <c r="CZ349">
        <v>7.5</v>
      </c>
      <c r="DA349">
        <v>10</v>
      </c>
      <c r="DB349">
        <v>79</v>
      </c>
      <c r="DD349" s="86" t="str">
        <f t="shared" si="62"/>
        <v>187744Lancamentos</v>
      </c>
      <c r="DE349">
        <v>187744</v>
      </c>
      <c r="DF349" t="s">
        <v>355</v>
      </c>
      <c r="DG349" t="s">
        <v>1306</v>
      </c>
      <c r="DH349" t="s">
        <v>103</v>
      </c>
      <c r="DI349" t="s">
        <v>1748</v>
      </c>
      <c r="DJ349" t="s">
        <v>1749</v>
      </c>
      <c r="DK349" t="s">
        <v>953</v>
      </c>
      <c r="DL349">
        <v>15</v>
      </c>
      <c r="DM349">
        <v>15</v>
      </c>
      <c r="DN349">
        <v>86.5</v>
      </c>
    </row>
    <row r="350" spans="72:130" x14ac:dyDescent="0.35">
      <c r="BT350" s="86" t="str">
        <f t="shared" si="59"/>
        <v>184221Execucao Bonus</v>
      </c>
      <c r="BU350">
        <v>184221</v>
      </c>
      <c r="BV350" t="s">
        <v>403</v>
      </c>
      <c r="BW350" t="s">
        <v>482</v>
      </c>
      <c r="BX350" t="s">
        <v>103</v>
      </c>
      <c r="BY350" t="s">
        <v>1386</v>
      </c>
      <c r="BZ350" t="s">
        <v>1387</v>
      </c>
      <c r="CA350" t="s">
        <v>1291</v>
      </c>
      <c r="CB350">
        <v>5</v>
      </c>
      <c r="CC350">
        <v>5</v>
      </c>
      <c r="CD350">
        <v>79.62</v>
      </c>
      <c r="CF350" s="86" t="str">
        <f t="shared" si="60"/>
        <v>187744Cross Merchan SC Johnson</v>
      </c>
      <c r="CG350">
        <v>187744</v>
      </c>
      <c r="CH350" t="s">
        <v>355</v>
      </c>
      <c r="CI350" t="s">
        <v>1306</v>
      </c>
      <c r="CJ350" t="s">
        <v>103</v>
      </c>
      <c r="CK350" t="s">
        <v>1418</v>
      </c>
      <c r="CL350" t="s">
        <v>1419</v>
      </c>
      <c r="CM350" t="s">
        <v>111</v>
      </c>
      <c r="CN350">
        <v>5</v>
      </c>
      <c r="CO350">
        <v>5</v>
      </c>
      <c r="CP350">
        <v>68.34</v>
      </c>
      <c r="CR350" s="86" t="str">
        <f t="shared" si="61"/>
        <v>187744Cross Merchan SC Johnson</v>
      </c>
      <c r="CS350">
        <v>187744</v>
      </c>
      <c r="CT350" t="s">
        <v>355</v>
      </c>
      <c r="CU350" t="s">
        <v>1306</v>
      </c>
      <c r="CV350" t="s">
        <v>103</v>
      </c>
      <c r="CW350" t="s">
        <v>1536</v>
      </c>
      <c r="CX350" t="s">
        <v>1537</v>
      </c>
      <c r="CY350" t="s">
        <v>111</v>
      </c>
      <c r="CZ350">
        <v>5</v>
      </c>
      <c r="DA350">
        <v>5</v>
      </c>
      <c r="DB350">
        <v>79</v>
      </c>
      <c r="DD350" s="86" t="str">
        <f t="shared" si="62"/>
        <v>187744Share Sub Category SC Johnson</v>
      </c>
      <c r="DE350">
        <v>187744</v>
      </c>
      <c r="DF350" t="s">
        <v>355</v>
      </c>
      <c r="DG350" t="s">
        <v>1306</v>
      </c>
      <c r="DH350" t="s">
        <v>103</v>
      </c>
      <c r="DI350" t="s">
        <v>1748</v>
      </c>
      <c r="DJ350" t="s">
        <v>1749</v>
      </c>
      <c r="DK350" t="s">
        <v>457</v>
      </c>
      <c r="DL350">
        <v>20</v>
      </c>
      <c r="DM350">
        <v>20</v>
      </c>
      <c r="DN350">
        <v>86.5</v>
      </c>
    </row>
    <row r="351" spans="72:130" x14ac:dyDescent="0.35">
      <c r="BT351" s="86" t="str">
        <f t="shared" si="59"/>
        <v>184335Lancamentos</v>
      </c>
      <c r="BU351">
        <v>184335</v>
      </c>
      <c r="BV351" t="s">
        <v>404</v>
      </c>
      <c r="BW351" t="s">
        <v>482</v>
      </c>
      <c r="BX351" t="s">
        <v>103</v>
      </c>
      <c r="BY351" t="s">
        <v>1287</v>
      </c>
      <c r="BZ351" t="s">
        <v>1288</v>
      </c>
      <c r="CA351" t="s">
        <v>953</v>
      </c>
      <c r="CB351">
        <v>0</v>
      </c>
      <c r="CC351">
        <v>18</v>
      </c>
      <c r="CD351">
        <v>70.2</v>
      </c>
      <c r="CF351" s="86" t="str">
        <f t="shared" si="60"/>
        <v>187744Execucao Bonus</v>
      </c>
      <c r="CG351">
        <v>187744</v>
      </c>
      <c r="CH351" t="s">
        <v>355</v>
      </c>
      <c r="CI351" t="s">
        <v>1306</v>
      </c>
      <c r="CJ351" t="s">
        <v>103</v>
      </c>
      <c r="CK351" t="s">
        <v>1418</v>
      </c>
      <c r="CL351" t="s">
        <v>1419</v>
      </c>
      <c r="CM351" t="s">
        <v>1291</v>
      </c>
      <c r="CN351">
        <v>0</v>
      </c>
      <c r="CO351">
        <v>5</v>
      </c>
      <c r="CP351">
        <v>68.34</v>
      </c>
      <c r="CR351" s="86" t="str">
        <f t="shared" si="61"/>
        <v>187744Execucao Bonus</v>
      </c>
      <c r="CS351">
        <v>187744</v>
      </c>
      <c r="CT351" t="s">
        <v>355</v>
      </c>
      <c r="CU351" t="s">
        <v>1306</v>
      </c>
      <c r="CV351" t="s">
        <v>103</v>
      </c>
      <c r="CW351" t="s">
        <v>1536</v>
      </c>
      <c r="CX351" t="s">
        <v>1537</v>
      </c>
      <c r="CY351" t="s">
        <v>1291</v>
      </c>
      <c r="CZ351">
        <v>0</v>
      </c>
      <c r="DA351">
        <v>5</v>
      </c>
      <c r="DB351">
        <v>79</v>
      </c>
      <c r="DD351" s="86" t="str">
        <f t="shared" si="62"/>
        <v>187744Share Sub Loc Pao Quente SC Johnson</v>
      </c>
      <c r="DE351">
        <v>187744</v>
      </c>
      <c r="DF351" t="s">
        <v>355</v>
      </c>
      <c r="DG351" t="s">
        <v>1306</v>
      </c>
      <c r="DH351" t="s">
        <v>103</v>
      </c>
      <c r="DI351" t="s">
        <v>1748</v>
      </c>
      <c r="DJ351" t="s">
        <v>1749</v>
      </c>
      <c r="DK351" t="s">
        <v>458</v>
      </c>
      <c r="DL351">
        <v>10</v>
      </c>
      <c r="DM351">
        <v>10</v>
      </c>
      <c r="DN351">
        <v>86.5</v>
      </c>
    </row>
    <row r="352" spans="72:130" x14ac:dyDescent="0.35">
      <c r="BT352" s="86" t="str">
        <f t="shared" si="59"/>
        <v>184335Mix + Intocáveis SC Johnson</v>
      </c>
      <c r="BU352">
        <v>184335</v>
      </c>
      <c r="BV352" t="s">
        <v>404</v>
      </c>
      <c r="BW352" t="s">
        <v>482</v>
      </c>
      <c r="BX352" t="s">
        <v>103</v>
      </c>
      <c r="BY352" t="s">
        <v>1287</v>
      </c>
      <c r="BZ352" t="s">
        <v>1288</v>
      </c>
      <c r="CA352" t="s">
        <v>459</v>
      </c>
      <c r="CB352">
        <v>23.2</v>
      </c>
      <c r="CC352">
        <v>40</v>
      </c>
      <c r="CD352">
        <v>70.2</v>
      </c>
    </row>
    <row r="353" spans="72:82" x14ac:dyDescent="0.35">
      <c r="BT353" s="86" t="str">
        <f t="shared" si="59"/>
        <v>184335Share Sub Category SC Johnson</v>
      </c>
      <c r="BU353">
        <v>184335</v>
      </c>
      <c r="BV353" t="s">
        <v>404</v>
      </c>
      <c r="BW353" t="s">
        <v>482</v>
      </c>
      <c r="BX353" t="s">
        <v>103</v>
      </c>
      <c r="BY353" t="s">
        <v>1287</v>
      </c>
      <c r="BZ353" t="s">
        <v>1288</v>
      </c>
      <c r="CA353" t="s">
        <v>457</v>
      </c>
      <c r="CB353">
        <v>25</v>
      </c>
      <c r="CC353">
        <v>25</v>
      </c>
      <c r="CD353">
        <v>70.2</v>
      </c>
    </row>
    <row r="354" spans="72:82" x14ac:dyDescent="0.35">
      <c r="BT354" s="86" t="str">
        <f t="shared" si="59"/>
        <v>184335Share Sub Loc Pao Quente SC Johnson</v>
      </c>
      <c r="BU354">
        <v>184335</v>
      </c>
      <c r="BV354" t="s">
        <v>404</v>
      </c>
      <c r="BW354" t="s">
        <v>482</v>
      </c>
      <c r="BX354" t="s">
        <v>103</v>
      </c>
      <c r="BY354" t="s">
        <v>1287</v>
      </c>
      <c r="BZ354" t="s">
        <v>1288</v>
      </c>
      <c r="CA354" t="s">
        <v>458</v>
      </c>
      <c r="CB354">
        <v>12</v>
      </c>
      <c r="CC354">
        <v>12</v>
      </c>
      <c r="CD354">
        <v>70.2</v>
      </c>
    </row>
    <row r="355" spans="72:82" x14ac:dyDescent="0.35">
      <c r="BT355" s="86" t="str">
        <f t="shared" si="59"/>
        <v>184335Cross Merchan SC Johnson</v>
      </c>
      <c r="BU355">
        <v>184335</v>
      </c>
      <c r="BV355" t="s">
        <v>404</v>
      </c>
      <c r="BW355" t="s">
        <v>482</v>
      </c>
      <c r="BX355" t="s">
        <v>103</v>
      </c>
      <c r="BY355" t="s">
        <v>1287</v>
      </c>
      <c r="BZ355" t="s">
        <v>1288</v>
      </c>
      <c r="CA355" t="s">
        <v>111</v>
      </c>
      <c r="CB355">
        <v>5</v>
      </c>
      <c r="CC355">
        <v>5</v>
      </c>
      <c r="CD355">
        <v>70.2</v>
      </c>
    </row>
    <row r="356" spans="72:82" x14ac:dyDescent="0.35">
      <c r="BT356" s="86" t="str">
        <f t="shared" si="59"/>
        <v>184335Execucao Bonus</v>
      </c>
      <c r="BU356">
        <v>184335</v>
      </c>
      <c r="BV356" t="s">
        <v>404</v>
      </c>
      <c r="BW356" t="s">
        <v>482</v>
      </c>
      <c r="BX356" t="s">
        <v>103</v>
      </c>
      <c r="BY356" t="s">
        <v>1287</v>
      </c>
      <c r="BZ356" t="s">
        <v>1288</v>
      </c>
      <c r="CA356" t="s">
        <v>1291</v>
      </c>
      <c r="CB356">
        <v>5</v>
      </c>
      <c r="CC356">
        <v>5</v>
      </c>
      <c r="CD356">
        <v>70.2</v>
      </c>
    </row>
    <row r="357" spans="72:82" x14ac:dyDescent="0.35">
      <c r="BT357" s="86" t="str">
        <f t="shared" si="59"/>
        <v>184604Lancamentos</v>
      </c>
      <c r="BU357">
        <v>184604</v>
      </c>
      <c r="BV357" t="s">
        <v>367</v>
      </c>
      <c r="BW357" t="s">
        <v>539</v>
      </c>
      <c r="BX357" t="s">
        <v>103</v>
      </c>
      <c r="BY357" t="s">
        <v>1400</v>
      </c>
      <c r="BZ357" t="s">
        <v>1401</v>
      </c>
      <c r="CA357" t="s">
        <v>953</v>
      </c>
      <c r="CB357">
        <v>9</v>
      </c>
      <c r="CC357">
        <v>18</v>
      </c>
      <c r="CD357">
        <v>74.62</v>
      </c>
    </row>
    <row r="358" spans="72:82" x14ac:dyDescent="0.35">
      <c r="BT358" s="86" t="str">
        <f t="shared" si="59"/>
        <v>184604Mix + Intocáveis SC Johnson</v>
      </c>
      <c r="BU358">
        <v>184604</v>
      </c>
      <c r="BV358" t="s">
        <v>367</v>
      </c>
      <c r="BW358" t="s">
        <v>539</v>
      </c>
      <c r="BX358" t="s">
        <v>103</v>
      </c>
      <c r="BY358" t="s">
        <v>1400</v>
      </c>
      <c r="BZ358" t="s">
        <v>1401</v>
      </c>
      <c r="CA358" t="s">
        <v>459</v>
      </c>
      <c r="CB358">
        <v>31.2</v>
      </c>
      <c r="CC358">
        <v>40</v>
      </c>
      <c r="CD358">
        <v>74.62</v>
      </c>
    </row>
    <row r="359" spans="72:82" x14ac:dyDescent="0.35">
      <c r="BT359" s="86" t="str">
        <f t="shared" si="59"/>
        <v>184604Share Sub Category SC Johnson</v>
      </c>
      <c r="BU359">
        <v>184604</v>
      </c>
      <c r="BV359" t="s">
        <v>367</v>
      </c>
      <c r="BW359" t="s">
        <v>539</v>
      </c>
      <c r="BX359" t="s">
        <v>103</v>
      </c>
      <c r="BY359" t="s">
        <v>1400</v>
      </c>
      <c r="BZ359" t="s">
        <v>1401</v>
      </c>
      <c r="CA359" t="s">
        <v>457</v>
      </c>
      <c r="CB359">
        <v>21.425000000000001</v>
      </c>
      <c r="CC359">
        <v>25</v>
      </c>
      <c r="CD359">
        <v>74.62</v>
      </c>
    </row>
    <row r="360" spans="72:82" x14ac:dyDescent="0.35">
      <c r="BT360" s="86" t="str">
        <f t="shared" si="59"/>
        <v>184604Share Sub Loc Pao Quente SC Johnson</v>
      </c>
      <c r="BU360">
        <v>184604</v>
      </c>
      <c r="BV360" t="s">
        <v>367</v>
      </c>
      <c r="BW360" t="s">
        <v>539</v>
      </c>
      <c r="BX360" t="s">
        <v>103</v>
      </c>
      <c r="BY360" t="s">
        <v>1400</v>
      </c>
      <c r="BZ360" t="s">
        <v>1401</v>
      </c>
      <c r="CA360" t="s">
        <v>458</v>
      </c>
      <c r="CB360">
        <v>3</v>
      </c>
      <c r="CC360">
        <v>12</v>
      </c>
      <c r="CD360">
        <v>74.62</v>
      </c>
    </row>
    <row r="361" spans="72:82" x14ac:dyDescent="0.35">
      <c r="BT361" s="86" t="str">
        <f t="shared" si="59"/>
        <v>184604Cross Merchan SC Johnson</v>
      </c>
      <c r="BU361">
        <v>184604</v>
      </c>
      <c r="BV361" t="s">
        <v>367</v>
      </c>
      <c r="BW361" t="s">
        <v>539</v>
      </c>
      <c r="BX361" t="s">
        <v>103</v>
      </c>
      <c r="BY361" t="s">
        <v>1400</v>
      </c>
      <c r="BZ361" t="s">
        <v>1401</v>
      </c>
      <c r="CA361" t="s">
        <v>111</v>
      </c>
      <c r="CB361">
        <v>5</v>
      </c>
      <c r="CC361">
        <v>5</v>
      </c>
      <c r="CD361">
        <v>74.62</v>
      </c>
    </row>
    <row r="362" spans="72:82" x14ac:dyDescent="0.35">
      <c r="BT362" s="86" t="str">
        <f t="shared" si="59"/>
        <v>184604Execucao Bonus</v>
      </c>
      <c r="BU362">
        <v>184604</v>
      </c>
      <c r="BV362" t="s">
        <v>367</v>
      </c>
      <c r="BW362" t="s">
        <v>539</v>
      </c>
      <c r="BX362" t="s">
        <v>103</v>
      </c>
      <c r="BY362" t="s">
        <v>1400</v>
      </c>
      <c r="BZ362" t="s">
        <v>1401</v>
      </c>
      <c r="CA362" t="s">
        <v>1291</v>
      </c>
      <c r="CB362">
        <v>5</v>
      </c>
      <c r="CC362">
        <v>5</v>
      </c>
      <c r="CD362">
        <v>74.62</v>
      </c>
    </row>
    <row r="363" spans="72:82" x14ac:dyDescent="0.35">
      <c r="BT363" s="86" t="str">
        <f t="shared" si="59"/>
        <v>184830Lancamentos</v>
      </c>
      <c r="BU363">
        <v>184830</v>
      </c>
      <c r="BV363" t="s">
        <v>405</v>
      </c>
      <c r="BW363" t="s">
        <v>1306</v>
      </c>
      <c r="BX363" t="s">
        <v>103</v>
      </c>
      <c r="BY363" t="s">
        <v>1366</v>
      </c>
      <c r="BZ363" t="s">
        <v>1367</v>
      </c>
      <c r="CA363" t="s">
        <v>953</v>
      </c>
      <c r="CB363">
        <v>9</v>
      </c>
      <c r="CC363">
        <v>18</v>
      </c>
      <c r="CD363">
        <v>72.36</v>
      </c>
    </row>
    <row r="364" spans="72:82" x14ac:dyDescent="0.35">
      <c r="BT364" s="86" t="str">
        <f t="shared" si="59"/>
        <v>184830Mix + Intocáveis SC Johnson</v>
      </c>
      <c r="BU364">
        <v>184830</v>
      </c>
      <c r="BV364" t="s">
        <v>405</v>
      </c>
      <c r="BW364" t="s">
        <v>1306</v>
      </c>
      <c r="BX364" t="s">
        <v>103</v>
      </c>
      <c r="BY364" t="s">
        <v>1366</v>
      </c>
      <c r="BZ364" t="s">
        <v>1367</v>
      </c>
      <c r="CA364" t="s">
        <v>459</v>
      </c>
      <c r="CB364">
        <v>29.6</v>
      </c>
      <c r="CC364">
        <v>40</v>
      </c>
      <c r="CD364">
        <v>72.36</v>
      </c>
    </row>
    <row r="365" spans="72:82" x14ac:dyDescent="0.35">
      <c r="BT365" s="86" t="str">
        <f t="shared" si="59"/>
        <v>184830Share Sub Category SC Johnson</v>
      </c>
      <c r="BU365">
        <v>184830</v>
      </c>
      <c r="BV365" t="s">
        <v>405</v>
      </c>
      <c r="BW365" t="s">
        <v>1306</v>
      </c>
      <c r="BX365" t="s">
        <v>103</v>
      </c>
      <c r="BY365" t="s">
        <v>1366</v>
      </c>
      <c r="BZ365" t="s">
        <v>1367</v>
      </c>
      <c r="CA365" t="s">
        <v>457</v>
      </c>
      <c r="CB365">
        <v>21.425000000000001</v>
      </c>
      <c r="CC365">
        <v>25</v>
      </c>
      <c r="CD365">
        <v>72.36</v>
      </c>
    </row>
    <row r="366" spans="72:82" x14ac:dyDescent="0.35">
      <c r="BT366" s="86" t="str">
        <f t="shared" si="59"/>
        <v>184830Share Sub Loc Pao Quente SC Johnson</v>
      </c>
      <c r="BU366">
        <v>184830</v>
      </c>
      <c r="BV366" t="s">
        <v>405</v>
      </c>
      <c r="BW366" t="s">
        <v>1306</v>
      </c>
      <c r="BX366" t="s">
        <v>103</v>
      </c>
      <c r="BY366" t="s">
        <v>1366</v>
      </c>
      <c r="BZ366" t="s">
        <v>1367</v>
      </c>
      <c r="CA366" t="s">
        <v>458</v>
      </c>
      <c r="CB366">
        <v>9</v>
      </c>
      <c r="CC366">
        <v>12</v>
      </c>
      <c r="CD366">
        <v>72.36</v>
      </c>
    </row>
    <row r="367" spans="72:82" x14ac:dyDescent="0.35">
      <c r="BT367" s="86" t="str">
        <f t="shared" si="59"/>
        <v>184830Cross Merchan SC Johnson</v>
      </c>
      <c r="BU367">
        <v>184830</v>
      </c>
      <c r="BV367" t="s">
        <v>405</v>
      </c>
      <c r="BW367" t="s">
        <v>1306</v>
      </c>
      <c r="BX367" t="s">
        <v>103</v>
      </c>
      <c r="BY367" t="s">
        <v>1366</v>
      </c>
      <c r="BZ367" t="s">
        <v>1367</v>
      </c>
      <c r="CA367" t="s">
        <v>111</v>
      </c>
      <c r="CB367">
        <v>3.335</v>
      </c>
      <c r="CC367">
        <v>5</v>
      </c>
      <c r="CD367">
        <v>72.36</v>
      </c>
    </row>
    <row r="368" spans="72:82" x14ac:dyDescent="0.35">
      <c r="BT368" s="86" t="str">
        <f t="shared" si="59"/>
        <v>184830Execucao Bonus</v>
      </c>
      <c r="BU368">
        <v>184830</v>
      </c>
      <c r="BV368" t="s">
        <v>405</v>
      </c>
      <c r="BW368" t="s">
        <v>1306</v>
      </c>
      <c r="BX368" t="s">
        <v>103</v>
      </c>
      <c r="BY368" t="s">
        <v>1366</v>
      </c>
      <c r="BZ368" t="s">
        <v>1367</v>
      </c>
      <c r="CA368" t="s">
        <v>1291</v>
      </c>
      <c r="CB368">
        <v>0</v>
      </c>
      <c r="CC368">
        <v>5</v>
      </c>
      <c r="CD368">
        <v>72.36</v>
      </c>
    </row>
    <row r="369" spans="72:82" x14ac:dyDescent="0.35">
      <c r="BT369" s="86" t="str">
        <f t="shared" si="59"/>
        <v>186321Lancamentos</v>
      </c>
      <c r="BU369">
        <v>186321</v>
      </c>
      <c r="BV369" t="s">
        <v>354</v>
      </c>
      <c r="BW369" t="s">
        <v>1306</v>
      </c>
      <c r="BX369" t="s">
        <v>103</v>
      </c>
      <c r="BY369" t="s">
        <v>1368</v>
      </c>
      <c r="BZ369" t="s">
        <v>1369</v>
      </c>
      <c r="CA369" t="s">
        <v>953</v>
      </c>
      <c r="CB369">
        <v>9</v>
      </c>
      <c r="CC369">
        <v>18</v>
      </c>
      <c r="CD369">
        <v>63.94</v>
      </c>
    </row>
    <row r="370" spans="72:82" x14ac:dyDescent="0.35">
      <c r="BT370" s="86" t="str">
        <f t="shared" si="59"/>
        <v>186321Mix + Intocáveis SC Johnson</v>
      </c>
      <c r="BU370">
        <v>186321</v>
      </c>
      <c r="BV370" t="s">
        <v>354</v>
      </c>
      <c r="BW370" t="s">
        <v>1306</v>
      </c>
      <c r="BX370" t="s">
        <v>103</v>
      </c>
      <c r="BY370" t="s">
        <v>1368</v>
      </c>
      <c r="BZ370" t="s">
        <v>1369</v>
      </c>
      <c r="CA370" t="s">
        <v>459</v>
      </c>
      <c r="CB370">
        <v>17.600000000000001</v>
      </c>
      <c r="CC370">
        <v>40</v>
      </c>
      <c r="CD370">
        <v>63.94</v>
      </c>
    </row>
    <row r="371" spans="72:82" x14ac:dyDescent="0.35">
      <c r="BT371" s="86" t="str">
        <f t="shared" si="59"/>
        <v>186321Share Sub Category SC Johnson</v>
      </c>
      <c r="BU371">
        <v>186321</v>
      </c>
      <c r="BV371" t="s">
        <v>354</v>
      </c>
      <c r="BW371" t="s">
        <v>1306</v>
      </c>
      <c r="BX371" t="s">
        <v>103</v>
      </c>
      <c r="BY371" t="s">
        <v>1368</v>
      </c>
      <c r="BZ371" t="s">
        <v>1369</v>
      </c>
      <c r="CA371" t="s">
        <v>457</v>
      </c>
      <c r="CB371">
        <v>25</v>
      </c>
      <c r="CC371">
        <v>25</v>
      </c>
      <c r="CD371">
        <v>63.94</v>
      </c>
    </row>
    <row r="372" spans="72:82" x14ac:dyDescent="0.35">
      <c r="BT372" s="86" t="str">
        <f t="shared" si="59"/>
        <v>186321Share Sub Loc Pao Quente SC Johnson</v>
      </c>
      <c r="BU372">
        <v>186321</v>
      </c>
      <c r="BV372" t="s">
        <v>354</v>
      </c>
      <c r="BW372" t="s">
        <v>1306</v>
      </c>
      <c r="BX372" t="s">
        <v>103</v>
      </c>
      <c r="BY372" t="s">
        <v>1368</v>
      </c>
      <c r="BZ372" t="s">
        <v>1369</v>
      </c>
      <c r="CA372" t="s">
        <v>458</v>
      </c>
      <c r="CB372">
        <v>9</v>
      </c>
      <c r="CC372">
        <v>12</v>
      </c>
      <c r="CD372">
        <v>63.94</v>
      </c>
    </row>
    <row r="373" spans="72:82" x14ac:dyDescent="0.35">
      <c r="BT373" s="86" t="str">
        <f t="shared" si="59"/>
        <v>186321Cross Merchan SC Johnson</v>
      </c>
      <c r="BU373">
        <v>186321</v>
      </c>
      <c r="BV373" t="s">
        <v>354</v>
      </c>
      <c r="BW373" t="s">
        <v>1306</v>
      </c>
      <c r="BX373" t="s">
        <v>103</v>
      </c>
      <c r="BY373" t="s">
        <v>1368</v>
      </c>
      <c r="BZ373" t="s">
        <v>1369</v>
      </c>
      <c r="CA373" t="s">
        <v>111</v>
      </c>
      <c r="CB373">
        <v>3.335</v>
      </c>
      <c r="CC373">
        <v>5</v>
      </c>
      <c r="CD373">
        <v>63.94</v>
      </c>
    </row>
    <row r="374" spans="72:82" x14ac:dyDescent="0.35">
      <c r="BT374" s="86" t="str">
        <f t="shared" si="59"/>
        <v>186321Execucao Bonus</v>
      </c>
      <c r="BU374">
        <v>186321</v>
      </c>
      <c r="BV374" t="s">
        <v>354</v>
      </c>
      <c r="BW374" t="s">
        <v>1306</v>
      </c>
      <c r="BX374" t="s">
        <v>103</v>
      </c>
      <c r="BY374" t="s">
        <v>1368</v>
      </c>
      <c r="BZ374" t="s">
        <v>1369</v>
      </c>
      <c r="CA374" t="s">
        <v>1291</v>
      </c>
      <c r="CB374">
        <v>0</v>
      </c>
      <c r="CC374">
        <v>5</v>
      </c>
      <c r="CD374">
        <v>63.94</v>
      </c>
    </row>
    <row r="375" spans="72:82" x14ac:dyDescent="0.35">
      <c r="BT375" s="86" t="str">
        <f t="shared" si="59"/>
        <v>187744Lancamentos</v>
      </c>
      <c r="BU375">
        <v>187744</v>
      </c>
      <c r="BV375" t="s">
        <v>355</v>
      </c>
      <c r="BW375" t="s">
        <v>1306</v>
      </c>
      <c r="BX375" t="s">
        <v>103</v>
      </c>
      <c r="BY375" t="s">
        <v>1370</v>
      </c>
      <c r="BZ375" t="s">
        <v>1371</v>
      </c>
      <c r="CA375" t="s">
        <v>953</v>
      </c>
      <c r="CB375">
        <v>7.5</v>
      </c>
      <c r="CC375">
        <v>15</v>
      </c>
      <c r="CD375">
        <v>65.23</v>
      </c>
    </row>
    <row r="376" spans="72:82" x14ac:dyDescent="0.35">
      <c r="BT376" s="86" t="str">
        <f t="shared" si="59"/>
        <v>187744Plano Foco SC Johnson</v>
      </c>
      <c r="BU376">
        <v>187744</v>
      </c>
      <c r="BV376" t="s">
        <v>355</v>
      </c>
      <c r="BW376" t="s">
        <v>1306</v>
      </c>
      <c r="BX376" t="s">
        <v>103</v>
      </c>
      <c r="BY376" t="s">
        <v>1370</v>
      </c>
      <c r="BZ376" t="s">
        <v>1371</v>
      </c>
      <c r="CA376" t="s">
        <v>1251</v>
      </c>
      <c r="CB376">
        <v>0</v>
      </c>
      <c r="CC376">
        <v>15</v>
      </c>
      <c r="CD376">
        <v>65.23</v>
      </c>
    </row>
    <row r="377" spans="72:82" x14ac:dyDescent="0.35">
      <c r="BT377" s="86" t="str">
        <f t="shared" si="59"/>
        <v>187744Mix + Intocáveis SC Johnson</v>
      </c>
      <c r="BU377">
        <v>187744</v>
      </c>
      <c r="BV377" t="s">
        <v>355</v>
      </c>
      <c r="BW377" t="s">
        <v>1306</v>
      </c>
      <c r="BX377" t="s">
        <v>103</v>
      </c>
      <c r="BY377" t="s">
        <v>1370</v>
      </c>
      <c r="BZ377" t="s">
        <v>1371</v>
      </c>
      <c r="CA377" t="s">
        <v>459</v>
      </c>
      <c r="CB377">
        <v>29.4</v>
      </c>
      <c r="CC377">
        <v>35</v>
      </c>
      <c r="CD377">
        <v>65.23</v>
      </c>
    </row>
    <row r="378" spans="72:82" x14ac:dyDescent="0.35">
      <c r="BT378" s="86" t="str">
        <f t="shared" si="59"/>
        <v>187744Share Sub Category SC Johnson</v>
      </c>
      <c r="BU378">
        <v>187744</v>
      </c>
      <c r="BV378" t="s">
        <v>355</v>
      </c>
      <c r="BW378" t="s">
        <v>1306</v>
      </c>
      <c r="BX378" t="s">
        <v>103</v>
      </c>
      <c r="BY378" t="s">
        <v>1370</v>
      </c>
      <c r="BZ378" t="s">
        <v>1371</v>
      </c>
      <c r="CA378" t="s">
        <v>457</v>
      </c>
      <c r="CB378">
        <v>20</v>
      </c>
      <c r="CC378">
        <v>20</v>
      </c>
      <c r="CD378">
        <v>65.23</v>
      </c>
    </row>
    <row r="379" spans="72:82" x14ac:dyDescent="0.35">
      <c r="BT379" s="86" t="str">
        <f t="shared" si="59"/>
        <v>187744Share Sub Loc Pao Quente SC Johnson</v>
      </c>
      <c r="BU379">
        <v>187744</v>
      </c>
      <c r="BV379" t="s">
        <v>355</v>
      </c>
      <c r="BW379" t="s">
        <v>1306</v>
      </c>
      <c r="BX379" t="s">
        <v>103</v>
      </c>
      <c r="BY379" t="s">
        <v>1370</v>
      </c>
      <c r="BZ379" t="s">
        <v>1371</v>
      </c>
      <c r="CA379" t="s">
        <v>458</v>
      </c>
      <c r="CB379">
        <v>5</v>
      </c>
      <c r="CC379">
        <v>10</v>
      </c>
      <c r="CD379">
        <v>65.23</v>
      </c>
    </row>
    <row r="380" spans="72:82" x14ac:dyDescent="0.35">
      <c r="BT380" s="86" t="str">
        <f t="shared" si="59"/>
        <v>187744Cross Merchan SC Johnson</v>
      </c>
      <c r="BU380">
        <v>187744</v>
      </c>
      <c r="BV380" t="s">
        <v>355</v>
      </c>
      <c r="BW380" t="s">
        <v>1306</v>
      </c>
      <c r="BX380" t="s">
        <v>103</v>
      </c>
      <c r="BY380" t="s">
        <v>1370</v>
      </c>
      <c r="BZ380" t="s">
        <v>1371</v>
      </c>
      <c r="CA380" t="s">
        <v>111</v>
      </c>
      <c r="CB380">
        <v>3.335</v>
      </c>
      <c r="CC380">
        <v>5</v>
      </c>
      <c r="CD380">
        <v>65.23</v>
      </c>
    </row>
    <row r="381" spans="72:82" x14ac:dyDescent="0.35">
      <c r="BT381" s="86" t="str">
        <f t="shared" si="59"/>
        <v>187744Execucao Bonus</v>
      </c>
      <c r="BU381">
        <v>187744</v>
      </c>
      <c r="BV381" t="s">
        <v>355</v>
      </c>
      <c r="BW381" t="s">
        <v>1306</v>
      </c>
      <c r="BX381" t="s">
        <v>103</v>
      </c>
      <c r="BY381" t="s">
        <v>1370</v>
      </c>
      <c r="BZ381" t="s">
        <v>1371</v>
      </c>
      <c r="CA381" t="s">
        <v>1291</v>
      </c>
      <c r="CB381">
        <v>0</v>
      </c>
      <c r="CC381">
        <v>5</v>
      </c>
      <c r="CD381">
        <v>65.23</v>
      </c>
    </row>
    <row r="382" spans="72:82" x14ac:dyDescent="0.35">
      <c r="BT382" s="86" t="str">
        <f t="shared" si="59"/>
        <v>132039Lancamentos</v>
      </c>
      <c r="BU382">
        <v>132039</v>
      </c>
      <c r="BV382" t="s">
        <v>337</v>
      </c>
      <c r="BW382" t="s">
        <v>1345</v>
      </c>
      <c r="BX382" t="s">
        <v>103</v>
      </c>
      <c r="BY382" t="s">
        <v>1402</v>
      </c>
      <c r="BZ382" t="s">
        <v>1403</v>
      </c>
      <c r="CA382" t="s">
        <v>953</v>
      </c>
      <c r="CB382">
        <v>18</v>
      </c>
      <c r="CC382">
        <v>18</v>
      </c>
      <c r="CD382">
        <v>95.2</v>
      </c>
    </row>
    <row r="383" spans="72:82" x14ac:dyDescent="0.35">
      <c r="BT383" s="86" t="str">
        <f t="shared" si="59"/>
        <v>132039Mix + Intocáveis SC Johnson</v>
      </c>
      <c r="BU383">
        <v>132039</v>
      </c>
      <c r="BV383" t="s">
        <v>337</v>
      </c>
      <c r="BW383" t="s">
        <v>1345</v>
      </c>
      <c r="BX383" t="s">
        <v>103</v>
      </c>
      <c r="BY383" t="s">
        <v>1402</v>
      </c>
      <c r="BZ383" t="s">
        <v>1403</v>
      </c>
      <c r="CA383" t="s">
        <v>459</v>
      </c>
      <c r="CB383">
        <v>35.200000000000003</v>
      </c>
      <c r="CC383">
        <v>40</v>
      </c>
      <c r="CD383">
        <v>95.2</v>
      </c>
    </row>
    <row r="384" spans="72:82" x14ac:dyDescent="0.35">
      <c r="BT384" s="86" t="str">
        <f t="shared" si="59"/>
        <v>132039Share Sub Category SC Johnson</v>
      </c>
      <c r="BU384">
        <v>132039</v>
      </c>
      <c r="BV384" t="s">
        <v>337</v>
      </c>
      <c r="BW384" t="s">
        <v>1345</v>
      </c>
      <c r="BX384" t="s">
        <v>103</v>
      </c>
      <c r="BY384" t="s">
        <v>1402</v>
      </c>
      <c r="BZ384" t="s">
        <v>1403</v>
      </c>
      <c r="CA384" t="s">
        <v>457</v>
      </c>
      <c r="CB384">
        <v>25</v>
      </c>
      <c r="CC384">
        <v>25</v>
      </c>
      <c r="CD384">
        <v>95.2</v>
      </c>
    </row>
    <row r="385" spans="72:82" x14ac:dyDescent="0.35">
      <c r="BT385" s="86" t="str">
        <f t="shared" si="59"/>
        <v>132039Share Sub Loc Pao Quente SC Johnson</v>
      </c>
      <c r="BU385">
        <v>132039</v>
      </c>
      <c r="BV385" t="s">
        <v>337</v>
      </c>
      <c r="BW385" t="s">
        <v>1345</v>
      </c>
      <c r="BX385" t="s">
        <v>103</v>
      </c>
      <c r="BY385" t="s">
        <v>1402</v>
      </c>
      <c r="BZ385" t="s">
        <v>1403</v>
      </c>
      <c r="CA385" t="s">
        <v>458</v>
      </c>
      <c r="CB385">
        <v>12</v>
      </c>
      <c r="CC385">
        <v>12</v>
      </c>
      <c r="CD385">
        <v>95.2</v>
      </c>
    </row>
    <row r="386" spans="72:82" x14ac:dyDescent="0.35">
      <c r="BT386" s="86" t="str">
        <f t="shared" si="59"/>
        <v>132039Cross Merchan SC Johnson</v>
      </c>
      <c r="BU386">
        <v>132039</v>
      </c>
      <c r="BV386" t="s">
        <v>337</v>
      </c>
      <c r="BW386" t="s">
        <v>1345</v>
      </c>
      <c r="BX386" t="s">
        <v>103</v>
      </c>
      <c r="BY386" t="s">
        <v>1402</v>
      </c>
      <c r="BZ386" t="s">
        <v>1403</v>
      </c>
      <c r="CA386" t="s">
        <v>111</v>
      </c>
      <c r="CB386">
        <v>5</v>
      </c>
      <c r="CC386">
        <v>5</v>
      </c>
      <c r="CD386">
        <v>95.2</v>
      </c>
    </row>
    <row r="387" spans="72:82" x14ac:dyDescent="0.35">
      <c r="BT387" s="86" t="str">
        <f t="shared" ref="BT387:BT393" si="64">BU387&amp;CA387</f>
        <v>132039Execucao Bonus</v>
      </c>
      <c r="BU387">
        <v>132039</v>
      </c>
      <c r="BV387" t="s">
        <v>337</v>
      </c>
      <c r="BW387" t="s">
        <v>1345</v>
      </c>
      <c r="BX387" t="s">
        <v>103</v>
      </c>
      <c r="BY387" t="s">
        <v>1402</v>
      </c>
      <c r="BZ387" t="s">
        <v>1403</v>
      </c>
      <c r="CA387" t="s">
        <v>1291</v>
      </c>
      <c r="CB387">
        <v>9.8000000000000007</v>
      </c>
      <c r="CC387">
        <v>5</v>
      </c>
      <c r="CD387">
        <v>95.2</v>
      </c>
    </row>
    <row r="388" spans="72:82" x14ac:dyDescent="0.35">
      <c r="BT388" s="86" t="str">
        <f t="shared" si="64"/>
        <v>168551Lancamentos</v>
      </c>
      <c r="BU388">
        <v>168551</v>
      </c>
      <c r="BV388" t="s">
        <v>380</v>
      </c>
      <c r="BW388" t="s">
        <v>1345</v>
      </c>
      <c r="BX388" t="s">
        <v>103</v>
      </c>
      <c r="BY388" t="s">
        <v>1404</v>
      </c>
      <c r="BZ388" t="s">
        <v>1405</v>
      </c>
      <c r="CA388" t="s">
        <v>953</v>
      </c>
      <c r="CB388">
        <v>9</v>
      </c>
      <c r="CC388">
        <v>18</v>
      </c>
      <c r="CD388">
        <v>89.4</v>
      </c>
    </row>
    <row r="389" spans="72:82" x14ac:dyDescent="0.35">
      <c r="BT389" s="86" t="str">
        <f t="shared" si="64"/>
        <v>168551Mix + Intocáveis SC Johnson</v>
      </c>
      <c r="BU389">
        <v>168551</v>
      </c>
      <c r="BV389" t="s">
        <v>380</v>
      </c>
      <c r="BW389" t="s">
        <v>1345</v>
      </c>
      <c r="BX389" t="s">
        <v>103</v>
      </c>
      <c r="BY389" t="s">
        <v>1404</v>
      </c>
      <c r="BZ389" t="s">
        <v>1405</v>
      </c>
      <c r="CA389" t="s">
        <v>459</v>
      </c>
      <c r="CB389">
        <v>38.4</v>
      </c>
      <c r="CC389">
        <v>40</v>
      </c>
      <c r="CD389">
        <v>89.4</v>
      </c>
    </row>
    <row r="390" spans="72:82" x14ac:dyDescent="0.35">
      <c r="BT390" s="86" t="str">
        <f t="shared" si="64"/>
        <v>168551Share Sub Category SC Johnson</v>
      </c>
      <c r="BU390">
        <v>168551</v>
      </c>
      <c r="BV390" t="s">
        <v>380</v>
      </c>
      <c r="BW390" t="s">
        <v>1345</v>
      </c>
      <c r="BX390" t="s">
        <v>103</v>
      </c>
      <c r="BY390" t="s">
        <v>1404</v>
      </c>
      <c r="BZ390" t="s">
        <v>1405</v>
      </c>
      <c r="CA390" t="s">
        <v>457</v>
      </c>
      <c r="CB390">
        <v>25</v>
      </c>
      <c r="CC390">
        <v>25</v>
      </c>
      <c r="CD390">
        <v>89.4</v>
      </c>
    </row>
    <row r="391" spans="72:82" x14ac:dyDescent="0.35">
      <c r="BT391" s="86" t="str">
        <f t="shared" si="64"/>
        <v>168551Share Sub Loc Pao Quente SC Johnson</v>
      </c>
      <c r="BU391">
        <v>168551</v>
      </c>
      <c r="BV391" t="s">
        <v>380</v>
      </c>
      <c r="BW391" t="s">
        <v>1345</v>
      </c>
      <c r="BX391" t="s">
        <v>103</v>
      </c>
      <c r="BY391" t="s">
        <v>1404</v>
      </c>
      <c r="BZ391" t="s">
        <v>1405</v>
      </c>
      <c r="CA391" t="s">
        <v>458</v>
      </c>
      <c r="CB391">
        <v>12</v>
      </c>
      <c r="CC391">
        <v>12</v>
      </c>
      <c r="CD391">
        <v>89.4</v>
      </c>
    </row>
    <row r="392" spans="72:82" x14ac:dyDescent="0.35">
      <c r="BT392" s="86" t="str">
        <f t="shared" si="64"/>
        <v>168551Cross Merchan SC Johnson</v>
      </c>
      <c r="BU392">
        <v>168551</v>
      </c>
      <c r="BV392" t="s">
        <v>380</v>
      </c>
      <c r="BW392" t="s">
        <v>1345</v>
      </c>
      <c r="BX392" t="s">
        <v>103</v>
      </c>
      <c r="BY392" t="s">
        <v>1404</v>
      </c>
      <c r="BZ392" t="s">
        <v>1405</v>
      </c>
      <c r="CA392" t="s">
        <v>111</v>
      </c>
      <c r="CB392">
        <v>5</v>
      </c>
      <c r="CC392">
        <v>5</v>
      </c>
      <c r="CD392">
        <v>89.4</v>
      </c>
    </row>
    <row r="393" spans="72:82" x14ac:dyDescent="0.35">
      <c r="BT393" s="86" t="str">
        <f t="shared" si="64"/>
        <v>168551Execucao Bonus</v>
      </c>
      <c r="BU393">
        <v>168551</v>
      </c>
      <c r="BV393" t="s">
        <v>380</v>
      </c>
      <c r="BW393" t="s">
        <v>1345</v>
      </c>
      <c r="BX393" t="s">
        <v>103</v>
      </c>
      <c r="BY393" t="s">
        <v>1404</v>
      </c>
      <c r="BZ393" t="s">
        <v>1405</v>
      </c>
      <c r="CA393" t="s">
        <v>1291</v>
      </c>
      <c r="CB393">
        <v>0</v>
      </c>
      <c r="CC393">
        <v>5</v>
      </c>
      <c r="CD393">
        <v>89.4</v>
      </c>
    </row>
  </sheetData>
  <hyperlinks>
    <hyperlink ref="EP1" r:id="rId1" xr:uid="{E34531F6-8765-4AA6-AC0C-942848796E4F}"/>
  </hyperlinks>
  <pageMargins left="0.511811024" right="0.511811024" top="0.78740157499999996" bottom="0.78740157499999996" header="0.31496062000000002" footer="0.31496062000000002"/>
  <pageSetup paperSize="9" orientation="portrait" horizontalDpi="4294967293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39995-E1CA-47D1-AF1A-8200C4BA7632}">
  <dimension ref="B1:K131"/>
  <sheetViews>
    <sheetView showGridLines="0" workbookViewId="0">
      <selection activeCell="J4" sqref="J4"/>
    </sheetView>
  </sheetViews>
  <sheetFormatPr defaultColWidth="8.7265625" defaultRowHeight="14.5" x14ac:dyDescent="0.35"/>
  <cols>
    <col min="1" max="1" width="1.26953125" style="130" customWidth="1"/>
    <col min="2" max="2" width="15.1796875" style="130" customWidth="1"/>
    <col min="3" max="3" width="8.81640625" style="130" bestFit="1" customWidth="1"/>
    <col min="4" max="4" width="9.7265625" style="130" bestFit="1" customWidth="1"/>
    <col min="5" max="5" width="9.26953125" style="130" bestFit="1" customWidth="1"/>
    <col min="6" max="6" width="17" style="130" bestFit="1" customWidth="1"/>
    <col min="7" max="7" width="39" style="130" bestFit="1" customWidth="1"/>
    <col min="8" max="8" width="23.26953125" style="130" bestFit="1" customWidth="1"/>
    <col min="9" max="9" width="17.26953125" style="130" bestFit="1" customWidth="1"/>
    <col min="10" max="10" width="13.81640625" style="130" bestFit="1" customWidth="1"/>
    <col min="11" max="11" width="17.26953125" style="127" bestFit="1" customWidth="1"/>
    <col min="12" max="16384" width="8.7265625" style="130"/>
  </cols>
  <sheetData>
    <row r="1" spans="2:11" s="127" customFormat="1" x14ac:dyDescent="0.35"/>
    <row r="2" spans="2:11" x14ac:dyDescent="0.35">
      <c r="B2" s="128" t="s">
        <v>0</v>
      </c>
      <c r="C2" s="128" t="s">
        <v>1</v>
      </c>
      <c r="D2" s="128" t="s">
        <v>2</v>
      </c>
      <c r="E2" s="128" t="s">
        <v>4</v>
      </c>
      <c r="F2" s="128" t="s">
        <v>37</v>
      </c>
      <c r="G2" s="128" t="s">
        <v>5</v>
      </c>
      <c r="H2" s="128" t="s">
        <v>93</v>
      </c>
      <c r="I2" s="129" t="s">
        <v>13</v>
      </c>
      <c r="J2" s="129" t="s">
        <v>131</v>
      </c>
      <c r="K2" s="129" t="s">
        <v>132</v>
      </c>
    </row>
    <row r="3" spans="2:11" x14ac:dyDescent="0.35">
      <c r="B3" s="131" t="s">
        <v>116</v>
      </c>
      <c r="C3" s="132">
        <v>3928</v>
      </c>
      <c r="D3" s="132" t="s">
        <v>35</v>
      </c>
      <c r="E3" s="132">
        <v>184604</v>
      </c>
      <c r="F3" s="133">
        <v>4031026000905</v>
      </c>
      <c r="G3" s="131" t="s">
        <v>84</v>
      </c>
      <c r="H3" s="131" t="s">
        <v>86</v>
      </c>
      <c r="I3" s="131" t="s">
        <v>83</v>
      </c>
      <c r="J3" s="132" t="s">
        <v>133</v>
      </c>
      <c r="K3" s="132" t="s">
        <v>134</v>
      </c>
    </row>
    <row r="4" spans="2:11" x14ac:dyDescent="0.35">
      <c r="B4" s="131" t="s">
        <v>116</v>
      </c>
      <c r="C4" s="132">
        <v>3928</v>
      </c>
      <c r="D4" s="132" t="s">
        <v>35</v>
      </c>
      <c r="E4" s="132">
        <v>55070</v>
      </c>
      <c r="F4" s="133">
        <v>3650831000105</v>
      </c>
      <c r="G4" s="131" t="s">
        <v>12</v>
      </c>
      <c r="H4" s="131" t="s">
        <v>88</v>
      </c>
      <c r="I4" s="131" t="s">
        <v>83</v>
      </c>
      <c r="J4" s="132" t="s">
        <v>133</v>
      </c>
      <c r="K4" s="132" t="s">
        <v>161</v>
      </c>
    </row>
    <row r="5" spans="2:11" x14ac:dyDescent="0.35">
      <c r="B5" s="131" t="s">
        <v>116</v>
      </c>
      <c r="C5" s="132">
        <v>3928</v>
      </c>
      <c r="D5" s="132" t="s">
        <v>35</v>
      </c>
      <c r="E5" s="132">
        <v>171117</v>
      </c>
      <c r="F5" s="133">
        <v>4031026000662</v>
      </c>
      <c r="G5" s="131" t="s">
        <v>118</v>
      </c>
      <c r="H5" s="131" t="s">
        <v>90</v>
      </c>
      <c r="I5" s="131" t="s">
        <v>83</v>
      </c>
      <c r="J5" s="132" t="s">
        <v>133</v>
      </c>
      <c r="K5" s="132" t="s">
        <v>134</v>
      </c>
    </row>
    <row r="6" spans="2:11" x14ac:dyDescent="0.35">
      <c r="B6" s="131" t="s">
        <v>116</v>
      </c>
      <c r="C6" s="132">
        <v>3928</v>
      </c>
      <c r="D6" s="132" t="s">
        <v>35</v>
      </c>
      <c r="E6" s="132">
        <v>69413</v>
      </c>
      <c r="F6" s="133">
        <v>4031026000158</v>
      </c>
      <c r="G6" s="131" t="s">
        <v>118</v>
      </c>
      <c r="H6" s="131" t="s">
        <v>89</v>
      </c>
      <c r="I6" s="131" t="s">
        <v>83</v>
      </c>
      <c r="J6" s="132" t="s">
        <v>133</v>
      </c>
      <c r="K6" s="132" t="s">
        <v>161</v>
      </c>
    </row>
    <row r="7" spans="2:11" x14ac:dyDescent="0.35">
      <c r="B7" s="131" t="s">
        <v>116</v>
      </c>
      <c r="C7" s="132">
        <v>3928</v>
      </c>
      <c r="D7" s="132" t="s">
        <v>35</v>
      </c>
      <c r="E7" s="132">
        <v>143128</v>
      </c>
      <c r="F7" s="133">
        <v>4031026000310</v>
      </c>
      <c r="G7" s="131" t="s">
        <v>84</v>
      </c>
      <c r="H7" s="131" t="s">
        <v>90</v>
      </c>
      <c r="I7" s="131" t="s">
        <v>83</v>
      </c>
      <c r="J7" s="132" t="s">
        <v>133</v>
      </c>
      <c r="K7" s="132" t="s">
        <v>134</v>
      </c>
    </row>
    <row r="8" spans="2:11" x14ac:dyDescent="0.35">
      <c r="B8" s="131" t="s">
        <v>116</v>
      </c>
      <c r="C8" s="132">
        <v>3928</v>
      </c>
      <c r="D8" s="132" t="s">
        <v>35</v>
      </c>
      <c r="E8" s="132">
        <v>116011</v>
      </c>
      <c r="F8" s="133">
        <v>4031026000239</v>
      </c>
      <c r="G8" s="131" t="s">
        <v>118</v>
      </c>
      <c r="H8" s="131" t="s">
        <v>89</v>
      </c>
      <c r="I8" s="131" t="s">
        <v>83</v>
      </c>
      <c r="J8" s="132" t="s">
        <v>133</v>
      </c>
      <c r="K8" s="132" t="s">
        <v>161</v>
      </c>
    </row>
    <row r="9" spans="2:11" x14ac:dyDescent="0.35">
      <c r="B9" s="131" t="s">
        <v>116</v>
      </c>
      <c r="C9" s="132">
        <v>3928</v>
      </c>
      <c r="D9" s="132" t="s">
        <v>35</v>
      </c>
      <c r="E9" s="132">
        <v>142393</v>
      </c>
      <c r="F9" s="133">
        <v>4031026000409</v>
      </c>
      <c r="G9" s="131" t="s">
        <v>84</v>
      </c>
      <c r="H9" s="131" t="s">
        <v>90</v>
      </c>
      <c r="I9" s="131" t="s">
        <v>83</v>
      </c>
      <c r="J9" s="132" t="s">
        <v>133</v>
      </c>
      <c r="K9" s="132" t="s">
        <v>161</v>
      </c>
    </row>
    <row r="10" spans="2:11" x14ac:dyDescent="0.35">
      <c r="B10" s="131" t="s">
        <v>116</v>
      </c>
      <c r="C10" s="132">
        <v>3928</v>
      </c>
      <c r="D10" s="132" t="s">
        <v>35</v>
      </c>
      <c r="E10" s="132">
        <v>185710</v>
      </c>
      <c r="F10" s="133">
        <v>4031026000824</v>
      </c>
      <c r="G10" s="131" t="s">
        <v>12</v>
      </c>
      <c r="H10" s="131" t="s">
        <v>90</v>
      </c>
      <c r="I10" s="131" t="s">
        <v>83</v>
      </c>
      <c r="J10" s="132" t="s">
        <v>133</v>
      </c>
      <c r="K10" s="132" t="s">
        <v>134</v>
      </c>
    </row>
    <row r="11" spans="2:11" x14ac:dyDescent="0.35">
      <c r="B11" s="131" t="s">
        <v>116</v>
      </c>
      <c r="C11" s="132">
        <v>3928</v>
      </c>
      <c r="D11" s="132" t="s">
        <v>35</v>
      </c>
      <c r="E11" s="132">
        <v>185712</v>
      </c>
      <c r="F11" s="133">
        <v>4031026001120</v>
      </c>
      <c r="G11" s="131" t="s">
        <v>12</v>
      </c>
      <c r="H11" s="131" t="s">
        <v>90</v>
      </c>
      <c r="I11" s="131" t="s">
        <v>83</v>
      </c>
      <c r="J11" s="132" t="s">
        <v>133</v>
      </c>
      <c r="K11" s="132" t="s">
        <v>161</v>
      </c>
    </row>
    <row r="12" spans="2:11" x14ac:dyDescent="0.35">
      <c r="B12" s="131" t="s">
        <v>116</v>
      </c>
      <c r="C12" s="132">
        <v>3928</v>
      </c>
      <c r="D12" s="132" t="s">
        <v>35</v>
      </c>
      <c r="E12" s="132">
        <v>185714</v>
      </c>
      <c r="F12" s="133">
        <v>4031026001391</v>
      </c>
      <c r="G12" s="131" t="s">
        <v>12</v>
      </c>
      <c r="H12" s="131" t="s">
        <v>90</v>
      </c>
      <c r="I12" s="131" t="s">
        <v>83</v>
      </c>
      <c r="J12" s="132" t="s">
        <v>133</v>
      </c>
      <c r="K12" s="132" t="s">
        <v>161</v>
      </c>
    </row>
    <row r="13" spans="2:11" x14ac:dyDescent="0.35">
      <c r="B13" s="131" t="s">
        <v>116</v>
      </c>
      <c r="C13" s="132">
        <v>3928</v>
      </c>
      <c r="D13" s="132" t="s">
        <v>35</v>
      </c>
      <c r="E13" s="132">
        <v>185711</v>
      </c>
      <c r="F13" s="133">
        <v>4031026001049</v>
      </c>
      <c r="G13" s="131" t="s">
        <v>12</v>
      </c>
      <c r="H13" s="131" t="s">
        <v>90</v>
      </c>
      <c r="I13" s="131" t="s">
        <v>83</v>
      </c>
      <c r="J13" s="132" t="s">
        <v>133</v>
      </c>
      <c r="K13" s="132" t="s">
        <v>161</v>
      </c>
    </row>
    <row r="14" spans="2:11" x14ac:dyDescent="0.35">
      <c r="B14" s="131" t="s">
        <v>116</v>
      </c>
      <c r="C14" s="132">
        <v>3928</v>
      </c>
      <c r="D14" s="132" t="s">
        <v>35</v>
      </c>
      <c r="E14" s="132">
        <v>185713</v>
      </c>
      <c r="F14" s="133">
        <v>4031026001200</v>
      </c>
      <c r="G14" s="131" t="s">
        <v>12</v>
      </c>
      <c r="H14" s="131" t="s">
        <v>90</v>
      </c>
      <c r="I14" s="131" t="s">
        <v>83</v>
      </c>
      <c r="J14" s="132" t="s">
        <v>133</v>
      </c>
      <c r="K14" s="132" t="s">
        <v>161</v>
      </c>
    </row>
    <row r="15" spans="2:11" x14ac:dyDescent="0.35">
      <c r="B15" s="131" t="s">
        <v>42</v>
      </c>
      <c r="C15" s="132">
        <v>179</v>
      </c>
      <c r="D15" s="132" t="s">
        <v>3</v>
      </c>
      <c r="E15" s="132">
        <v>51123</v>
      </c>
      <c r="F15" s="133">
        <v>79257291000409</v>
      </c>
      <c r="G15" s="131" t="s">
        <v>58</v>
      </c>
      <c r="H15" s="131" t="s">
        <v>90</v>
      </c>
      <c r="I15" s="131" t="s">
        <v>45</v>
      </c>
      <c r="J15" s="132" t="s">
        <v>133</v>
      </c>
      <c r="K15" s="132" t="s">
        <v>134</v>
      </c>
    </row>
    <row r="16" spans="2:11" x14ac:dyDescent="0.35">
      <c r="B16" s="131" t="s">
        <v>42</v>
      </c>
      <c r="C16" s="132">
        <v>179</v>
      </c>
      <c r="D16" s="132" t="s">
        <v>3</v>
      </c>
      <c r="E16" s="132">
        <v>57679</v>
      </c>
      <c r="F16" s="133">
        <v>79257291000824</v>
      </c>
      <c r="G16" s="131" t="s">
        <v>135</v>
      </c>
      <c r="H16" s="131" t="s">
        <v>88</v>
      </c>
      <c r="I16" s="131" t="s">
        <v>45</v>
      </c>
      <c r="J16" s="132" t="s">
        <v>133</v>
      </c>
      <c r="K16" s="132" t="s">
        <v>161</v>
      </c>
    </row>
    <row r="17" spans="2:11" x14ac:dyDescent="0.35">
      <c r="B17" s="131" t="s">
        <v>42</v>
      </c>
      <c r="C17" s="132">
        <v>179</v>
      </c>
      <c r="D17" s="132" t="s">
        <v>3</v>
      </c>
      <c r="E17" s="132">
        <v>48102</v>
      </c>
      <c r="F17" s="133">
        <v>79257291000158</v>
      </c>
      <c r="G17" s="131" t="s">
        <v>59</v>
      </c>
      <c r="H17" s="131" t="s">
        <v>88</v>
      </c>
      <c r="I17" s="131" t="s">
        <v>45</v>
      </c>
      <c r="J17" s="132" t="s">
        <v>133</v>
      </c>
      <c r="K17" s="132" t="s">
        <v>134</v>
      </c>
    </row>
    <row r="18" spans="2:11" x14ac:dyDescent="0.35">
      <c r="B18" s="131" t="s">
        <v>42</v>
      </c>
      <c r="C18" s="132">
        <v>179</v>
      </c>
      <c r="D18" s="132" t="s">
        <v>3</v>
      </c>
      <c r="E18" s="132">
        <v>65621</v>
      </c>
      <c r="F18" s="133">
        <v>79257291001200</v>
      </c>
      <c r="G18" s="131" t="s">
        <v>60</v>
      </c>
      <c r="H18" s="131" t="s">
        <v>90</v>
      </c>
      <c r="I18" s="131" t="s">
        <v>45</v>
      </c>
      <c r="J18" s="132" t="s">
        <v>133</v>
      </c>
      <c r="K18" s="132" t="s">
        <v>134</v>
      </c>
    </row>
    <row r="19" spans="2:11" x14ac:dyDescent="0.35">
      <c r="B19" s="131" t="s">
        <v>42</v>
      </c>
      <c r="C19" s="132">
        <v>179</v>
      </c>
      <c r="D19" s="132" t="s">
        <v>3</v>
      </c>
      <c r="E19" s="132">
        <v>66764</v>
      </c>
      <c r="F19" s="133">
        <v>79257291001391</v>
      </c>
      <c r="G19" s="131" t="s">
        <v>61</v>
      </c>
      <c r="H19" s="131" t="s">
        <v>90</v>
      </c>
      <c r="I19" s="131" t="s">
        <v>45</v>
      </c>
      <c r="J19" s="132" t="s">
        <v>133</v>
      </c>
      <c r="K19" s="132" t="s">
        <v>161</v>
      </c>
    </row>
    <row r="20" spans="2:11" x14ac:dyDescent="0.35">
      <c r="B20" s="131" t="s">
        <v>42</v>
      </c>
      <c r="C20" s="132">
        <v>179</v>
      </c>
      <c r="D20" s="132" t="s">
        <v>3</v>
      </c>
      <c r="E20" s="132">
        <v>51062</v>
      </c>
      <c r="F20" s="133">
        <v>79257291000581</v>
      </c>
      <c r="G20" s="131" t="s">
        <v>62</v>
      </c>
      <c r="H20" s="131" t="s">
        <v>90</v>
      </c>
      <c r="I20" s="131" t="s">
        <v>45</v>
      </c>
      <c r="J20" s="132" t="s">
        <v>133</v>
      </c>
      <c r="K20" s="132" t="s">
        <v>161</v>
      </c>
    </row>
    <row r="21" spans="2:11" x14ac:dyDescent="0.35">
      <c r="B21" s="131" t="s">
        <v>42</v>
      </c>
      <c r="C21" s="132">
        <v>179</v>
      </c>
      <c r="D21" s="132" t="s">
        <v>3</v>
      </c>
      <c r="E21" s="132">
        <v>51049</v>
      </c>
      <c r="F21" s="133">
        <v>79257291000310</v>
      </c>
      <c r="G21" s="131" t="s">
        <v>63</v>
      </c>
      <c r="H21" s="131" t="s">
        <v>88</v>
      </c>
      <c r="I21" s="131" t="s">
        <v>45</v>
      </c>
      <c r="J21" s="132" t="s">
        <v>133</v>
      </c>
      <c r="K21" s="132" t="s">
        <v>134</v>
      </c>
    </row>
    <row r="22" spans="2:11" x14ac:dyDescent="0.35">
      <c r="B22" s="131" t="s">
        <v>42</v>
      </c>
      <c r="C22" s="132">
        <v>179</v>
      </c>
      <c r="D22" s="132" t="s">
        <v>3</v>
      </c>
      <c r="E22" s="132">
        <v>51067</v>
      </c>
      <c r="F22" s="133">
        <v>79257291000662</v>
      </c>
      <c r="G22" s="131" t="s">
        <v>64</v>
      </c>
      <c r="H22" s="131" t="s">
        <v>90</v>
      </c>
      <c r="I22" s="131" t="s">
        <v>45</v>
      </c>
      <c r="J22" s="132" t="s">
        <v>133</v>
      </c>
      <c r="K22" s="132" t="s">
        <v>134</v>
      </c>
    </row>
    <row r="23" spans="2:11" x14ac:dyDescent="0.35">
      <c r="B23" s="131" t="s">
        <v>42</v>
      </c>
      <c r="C23" s="132">
        <v>179</v>
      </c>
      <c r="D23" s="132" t="s">
        <v>3</v>
      </c>
      <c r="E23" s="132">
        <v>181619</v>
      </c>
      <c r="F23" s="133">
        <v>79257291000239</v>
      </c>
      <c r="G23" s="131" t="s">
        <v>65</v>
      </c>
      <c r="H23" s="131" t="s">
        <v>88</v>
      </c>
      <c r="I23" s="131" t="s">
        <v>45</v>
      </c>
      <c r="J23" s="132" t="s">
        <v>133</v>
      </c>
      <c r="K23" s="132" t="s">
        <v>134</v>
      </c>
    </row>
    <row r="24" spans="2:11" x14ac:dyDescent="0.35">
      <c r="B24" s="131" t="s">
        <v>42</v>
      </c>
      <c r="C24" s="132">
        <v>179</v>
      </c>
      <c r="D24" s="132" t="s">
        <v>3</v>
      </c>
      <c r="E24" s="132">
        <v>57802</v>
      </c>
      <c r="F24" s="133">
        <v>79257291001120</v>
      </c>
      <c r="G24" s="131" t="s">
        <v>66</v>
      </c>
      <c r="H24" s="131" t="s">
        <v>88</v>
      </c>
      <c r="I24" s="131" t="s">
        <v>45</v>
      </c>
      <c r="J24" s="132" t="s">
        <v>133</v>
      </c>
      <c r="K24" s="132" t="s">
        <v>134</v>
      </c>
    </row>
    <row r="25" spans="2:11" x14ac:dyDescent="0.35">
      <c r="B25" s="131" t="s">
        <v>43</v>
      </c>
      <c r="C25" s="132">
        <v>683</v>
      </c>
      <c r="D25" s="132" t="s">
        <v>31</v>
      </c>
      <c r="E25" s="132">
        <v>64883</v>
      </c>
      <c r="F25" s="133">
        <v>83096123000367</v>
      </c>
      <c r="G25" s="131" t="s">
        <v>7</v>
      </c>
      <c r="H25" s="131" t="s">
        <v>88</v>
      </c>
      <c r="I25" s="131" t="s">
        <v>49</v>
      </c>
      <c r="J25" s="132" t="s">
        <v>133</v>
      </c>
      <c r="K25" s="132" t="s">
        <v>134</v>
      </c>
    </row>
    <row r="26" spans="2:11" x14ac:dyDescent="0.35">
      <c r="B26" s="131" t="s">
        <v>43</v>
      </c>
      <c r="C26" s="132">
        <v>683</v>
      </c>
      <c r="D26" s="132" t="s">
        <v>31</v>
      </c>
      <c r="E26" s="132">
        <v>48248</v>
      </c>
      <c r="F26" s="133">
        <v>83096123000103</v>
      </c>
      <c r="G26" s="131" t="s">
        <v>7</v>
      </c>
      <c r="H26" s="131" t="s">
        <v>90</v>
      </c>
      <c r="I26" s="131" t="s">
        <v>49</v>
      </c>
      <c r="J26" s="132" t="s">
        <v>133</v>
      </c>
      <c r="K26" s="132" t="s">
        <v>134</v>
      </c>
    </row>
    <row r="27" spans="2:11" x14ac:dyDescent="0.35">
      <c r="B27" s="131" t="s">
        <v>43</v>
      </c>
      <c r="C27" s="132">
        <v>683</v>
      </c>
      <c r="D27" s="132" t="s">
        <v>31</v>
      </c>
      <c r="E27" s="132">
        <v>73977</v>
      </c>
      <c r="F27" s="133">
        <v>83096123000286</v>
      </c>
      <c r="G27" s="131" t="s">
        <v>7</v>
      </c>
      <c r="H27" s="131" t="s">
        <v>90</v>
      </c>
      <c r="I27" s="131" t="s">
        <v>49</v>
      </c>
      <c r="J27" s="132" t="s">
        <v>133</v>
      </c>
      <c r="K27" s="132" t="s">
        <v>134</v>
      </c>
    </row>
    <row r="28" spans="2:11" x14ac:dyDescent="0.35">
      <c r="B28" s="131" t="s">
        <v>43</v>
      </c>
      <c r="C28" s="132">
        <v>683</v>
      </c>
      <c r="D28" s="132" t="s">
        <v>31</v>
      </c>
      <c r="E28" s="132">
        <v>184994</v>
      </c>
      <c r="F28" s="133">
        <v>83096123000448</v>
      </c>
      <c r="G28" s="131" t="s">
        <v>7</v>
      </c>
      <c r="H28" s="131" t="s">
        <v>87</v>
      </c>
      <c r="I28" s="131" t="s">
        <v>49</v>
      </c>
      <c r="J28" s="132" t="s">
        <v>133</v>
      </c>
      <c r="K28" s="132" t="s">
        <v>134</v>
      </c>
    </row>
    <row r="29" spans="2:11" x14ac:dyDescent="0.35">
      <c r="B29" s="131" t="s">
        <v>43</v>
      </c>
      <c r="C29" s="132">
        <v>683</v>
      </c>
      <c r="D29" s="132" t="s">
        <v>31</v>
      </c>
      <c r="E29" s="132">
        <v>178205</v>
      </c>
      <c r="F29" s="133">
        <v>38903479000149</v>
      </c>
      <c r="G29" s="131" t="s">
        <v>56</v>
      </c>
      <c r="H29" s="131" t="s">
        <v>90</v>
      </c>
      <c r="I29" s="131" t="s">
        <v>57</v>
      </c>
      <c r="J29" s="132" t="s">
        <v>133</v>
      </c>
      <c r="K29" s="132" t="s">
        <v>134</v>
      </c>
    </row>
    <row r="30" spans="2:11" x14ac:dyDescent="0.35">
      <c r="B30" s="131" t="s">
        <v>43</v>
      </c>
      <c r="C30" s="132">
        <v>683</v>
      </c>
      <c r="D30" s="132" t="s">
        <v>31</v>
      </c>
      <c r="E30" s="132">
        <v>53781</v>
      </c>
      <c r="F30" s="133">
        <v>95838504000191</v>
      </c>
      <c r="G30" s="131" t="s">
        <v>136</v>
      </c>
      <c r="H30" s="131">
        <v>0</v>
      </c>
      <c r="I30" s="131" t="s">
        <v>57</v>
      </c>
      <c r="J30" s="132" t="s">
        <v>119</v>
      </c>
      <c r="K30" s="132" t="s">
        <v>161</v>
      </c>
    </row>
    <row r="31" spans="2:11" x14ac:dyDescent="0.35">
      <c r="B31" s="131" t="s">
        <v>43</v>
      </c>
      <c r="C31" s="132">
        <v>683</v>
      </c>
      <c r="D31" s="132" t="s">
        <v>31</v>
      </c>
      <c r="E31" s="132">
        <v>168551</v>
      </c>
      <c r="F31" s="133">
        <v>9665046000285</v>
      </c>
      <c r="G31" s="131" t="s">
        <v>17</v>
      </c>
      <c r="H31" s="131" t="s">
        <v>90</v>
      </c>
      <c r="I31" s="131" t="s">
        <v>52</v>
      </c>
      <c r="J31" s="132" t="s">
        <v>133</v>
      </c>
      <c r="K31" s="132" t="s">
        <v>134</v>
      </c>
    </row>
    <row r="32" spans="2:11" x14ac:dyDescent="0.35">
      <c r="B32" s="131" t="s">
        <v>43</v>
      </c>
      <c r="C32" s="132">
        <v>683</v>
      </c>
      <c r="D32" s="132" t="s">
        <v>31</v>
      </c>
      <c r="E32" s="132">
        <v>132039</v>
      </c>
      <c r="F32" s="133">
        <v>9665046000102</v>
      </c>
      <c r="G32" s="131" t="s">
        <v>17</v>
      </c>
      <c r="H32" s="131" t="s">
        <v>90</v>
      </c>
      <c r="I32" s="131" t="s">
        <v>52</v>
      </c>
      <c r="J32" s="132" t="s">
        <v>133</v>
      </c>
      <c r="K32" s="132" t="s">
        <v>134</v>
      </c>
    </row>
    <row r="33" spans="2:11" x14ac:dyDescent="0.35">
      <c r="B33" s="131" t="s">
        <v>43</v>
      </c>
      <c r="C33" s="132">
        <v>3147</v>
      </c>
      <c r="D33" s="132" t="s">
        <v>44</v>
      </c>
      <c r="E33" s="132">
        <v>59280</v>
      </c>
      <c r="F33" s="133">
        <v>2443740000128</v>
      </c>
      <c r="G33" s="131" t="s">
        <v>38</v>
      </c>
      <c r="H33" s="131" t="s">
        <v>88</v>
      </c>
      <c r="I33" s="131" t="s">
        <v>55</v>
      </c>
      <c r="J33" s="132" t="s">
        <v>133</v>
      </c>
      <c r="K33" s="132" t="s">
        <v>134</v>
      </c>
    </row>
    <row r="34" spans="2:11" x14ac:dyDescent="0.35">
      <c r="B34" s="131" t="s">
        <v>43</v>
      </c>
      <c r="C34" s="132">
        <v>3221</v>
      </c>
      <c r="D34" s="132" t="s">
        <v>33</v>
      </c>
      <c r="E34" s="132">
        <v>49512</v>
      </c>
      <c r="F34" s="133">
        <v>79657540000100</v>
      </c>
      <c r="G34" s="131" t="s">
        <v>6</v>
      </c>
      <c r="H34" s="131" t="s">
        <v>90</v>
      </c>
      <c r="I34" s="131" t="s">
        <v>53</v>
      </c>
      <c r="J34" s="132" t="s">
        <v>133</v>
      </c>
      <c r="K34" s="132" t="s">
        <v>134</v>
      </c>
    </row>
    <row r="35" spans="2:11" x14ac:dyDescent="0.35">
      <c r="B35" s="131" t="s">
        <v>43</v>
      </c>
      <c r="C35" s="132">
        <v>3655</v>
      </c>
      <c r="D35" s="132" t="s">
        <v>32</v>
      </c>
      <c r="E35" s="132">
        <v>159096</v>
      </c>
      <c r="F35" s="133">
        <v>1662221000511</v>
      </c>
      <c r="G35" s="131" t="s">
        <v>137</v>
      </c>
      <c r="H35" s="131">
        <v>0</v>
      </c>
      <c r="I35" s="131" t="s">
        <v>81</v>
      </c>
      <c r="J35" s="132" t="s">
        <v>133</v>
      </c>
      <c r="K35" s="132" t="s">
        <v>161</v>
      </c>
    </row>
    <row r="36" spans="2:11" x14ac:dyDescent="0.35">
      <c r="B36" s="131" t="s">
        <v>43</v>
      </c>
      <c r="C36" s="132">
        <v>3655</v>
      </c>
      <c r="D36" s="132" t="s">
        <v>32</v>
      </c>
      <c r="E36" s="132">
        <v>184830</v>
      </c>
      <c r="F36" s="133">
        <v>1662221001674</v>
      </c>
      <c r="G36" s="131" t="s">
        <v>91</v>
      </c>
      <c r="H36" s="131" t="s">
        <v>90</v>
      </c>
      <c r="I36" s="131" t="s">
        <v>81</v>
      </c>
      <c r="J36" s="132" t="s">
        <v>133</v>
      </c>
      <c r="K36" s="132" t="s">
        <v>134</v>
      </c>
    </row>
    <row r="37" spans="2:11" x14ac:dyDescent="0.35">
      <c r="B37" s="131" t="s">
        <v>43</v>
      </c>
      <c r="C37" s="132">
        <v>3655</v>
      </c>
      <c r="D37" s="132" t="s">
        <v>32</v>
      </c>
      <c r="E37" s="132">
        <v>186321</v>
      </c>
      <c r="F37" s="133">
        <v>1662221001755</v>
      </c>
      <c r="G37" s="131" t="s">
        <v>117</v>
      </c>
      <c r="H37" s="131" t="s">
        <v>90</v>
      </c>
      <c r="I37" s="131" t="s">
        <v>81</v>
      </c>
      <c r="J37" s="132" t="s">
        <v>133</v>
      </c>
      <c r="K37" s="132" t="s">
        <v>134</v>
      </c>
    </row>
    <row r="38" spans="2:11" x14ac:dyDescent="0.35">
      <c r="B38" s="131" t="s">
        <v>43</v>
      </c>
      <c r="C38" s="132">
        <v>3655</v>
      </c>
      <c r="D38" s="132" t="s">
        <v>32</v>
      </c>
      <c r="E38" s="132">
        <v>182639</v>
      </c>
      <c r="F38" s="133">
        <v>1662221001089</v>
      </c>
      <c r="G38" s="131" t="s">
        <v>67</v>
      </c>
      <c r="H38" s="131" t="s">
        <v>90</v>
      </c>
      <c r="I38" s="131" t="s">
        <v>81</v>
      </c>
      <c r="J38" s="132" t="s">
        <v>133</v>
      </c>
      <c r="K38" s="132" t="s">
        <v>134</v>
      </c>
    </row>
    <row r="39" spans="2:11" x14ac:dyDescent="0.35">
      <c r="B39" s="131" t="s">
        <v>43</v>
      </c>
      <c r="C39" s="132">
        <v>3655</v>
      </c>
      <c r="D39" s="132" t="s">
        <v>32</v>
      </c>
      <c r="E39" s="132">
        <v>182636</v>
      </c>
      <c r="F39" s="133">
        <v>1662221001160</v>
      </c>
      <c r="G39" s="131" t="s">
        <v>67</v>
      </c>
      <c r="H39" s="131" t="s">
        <v>90</v>
      </c>
      <c r="I39" s="131" t="s">
        <v>81</v>
      </c>
      <c r="J39" s="132" t="s">
        <v>133</v>
      </c>
      <c r="K39" s="132" t="s">
        <v>134</v>
      </c>
    </row>
    <row r="40" spans="2:11" x14ac:dyDescent="0.35">
      <c r="B40" s="131" t="s">
        <v>43</v>
      </c>
      <c r="C40" s="132">
        <v>3655</v>
      </c>
      <c r="D40" s="132" t="s">
        <v>32</v>
      </c>
      <c r="E40" s="132">
        <v>182637</v>
      </c>
      <c r="F40" s="133">
        <v>1662221001240</v>
      </c>
      <c r="G40" s="131" t="s">
        <v>117</v>
      </c>
      <c r="H40" s="131" t="s">
        <v>90</v>
      </c>
      <c r="I40" s="131" t="s">
        <v>81</v>
      </c>
      <c r="J40" s="132" t="s">
        <v>133</v>
      </c>
      <c r="K40" s="132" t="s">
        <v>134</v>
      </c>
    </row>
    <row r="41" spans="2:11" x14ac:dyDescent="0.35">
      <c r="B41" s="131" t="s">
        <v>43</v>
      </c>
      <c r="C41" s="132">
        <v>3655</v>
      </c>
      <c r="D41" s="132" t="s">
        <v>32</v>
      </c>
      <c r="E41" s="132">
        <v>182638</v>
      </c>
      <c r="F41" s="133">
        <v>1662221001321</v>
      </c>
      <c r="G41" s="131" t="s">
        <v>67</v>
      </c>
      <c r="H41" s="131" t="s">
        <v>90</v>
      </c>
      <c r="I41" s="131" t="s">
        <v>81</v>
      </c>
      <c r="J41" s="132" t="s">
        <v>133</v>
      </c>
      <c r="K41" s="132" t="s">
        <v>134</v>
      </c>
    </row>
    <row r="42" spans="2:11" x14ac:dyDescent="0.35">
      <c r="B42" s="131" t="s">
        <v>43</v>
      </c>
      <c r="C42" s="132">
        <v>3655</v>
      </c>
      <c r="D42" s="132" t="s">
        <v>32</v>
      </c>
      <c r="E42" s="132">
        <v>182640</v>
      </c>
      <c r="F42" s="133">
        <v>1662221001402</v>
      </c>
      <c r="G42" s="131" t="s">
        <v>67</v>
      </c>
      <c r="H42" s="131" t="s">
        <v>90</v>
      </c>
      <c r="I42" s="131" t="s">
        <v>81</v>
      </c>
      <c r="J42" s="132" t="s">
        <v>133</v>
      </c>
      <c r="K42" s="132" t="s">
        <v>134</v>
      </c>
    </row>
    <row r="43" spans="2:11" x14ac:dyDescent="0.35">
      <c r="B43" s="131" t="s">
        <v>43</v>
      </c>
      <c r="C43" s="132">
        <v>3655</v>
      </c>
      <c r="D43" s="132" t="s">
        <v>32</v>
      </c>
      <c r="E43" s="132">
        <v>182641</v>
      </c>
      <c r="F43" s="133">
        <v>1662221001593</v>
      </c>
      <c r="G43" s="131" t="s">
        <v>67</v>
      </c>
      <c r="H43" s="131" t="s">
        <v>90</v>
      </c>
      <c r="I43" s="131" t="s">
        <v>81</v>
      </c>
      <c r="J43" s="132" t="s">
        <v>133</v>
      </c>
      <c r="K43" s="132" t="s">
        <v>134</v>
      </c>
    </row>
    <row r="44" spans="2:11" x14ac:dyDescent="0.35">
      <c r="B44" s="131" t="s">
        <v>43</v>
      </c>
      <c r="C44" s="132">
        <v>3655</v>
      </c>
      <c r="D44" s="132" t="s">
        <v>32</v>
      </c>
      <c r="E44" s="132">
        <v>183292</v>
      </c>
      <c r="F44" s="133">
        <v>18803654000380</v>
      </c>
      <c r="G44" s="131" t="s">
        <v>138</v>
      </c>
      <c r="H44" s="131" t="s">
        <v>168</v>
      </c>
      <c r="I44" s="131" t="s">
        <v>81</v>
      </c>
      <c r="J44" s="132" t="s">
        <v>133</v>
      </c>
      <c r="K44" s="132" t="s">
        <v>161</v>
      </c>
    </row>
    <row r="45" spans="2:11" x14ac:dyDescent="0.35">
      <c r="B45" s="131" t="s">
        <v>43</v>
      </c>
      <c r="C45" s="132">
        <v>3655</v>
      </c>
      <c r="D45" s="132" t="s">
        <v>32</v>
      </c>
      <c r="E45" s="132">
        <v>60552</v>
      </c>
      <c r="F45" s="133">
        <v>1272964000151</v>
      </c>
      <c r="G45" s="131" t="s">
        <v>139</v>
      </c>
      <c r="H45" s="131">
        <v>0</v>
      </c>
      <c r="I45" s="131" t="s">
        <v>81</v>
      </c>
      <c r="J45" s="132" t="s">
        <v>119</v>
      </c>
      <c r="K45" s="132" t="s">
        <v>161</v>
      </c>
    </row>
    <row r="46" spans="2:11" x14ac:dyDescent="0.35">
      <c r="B46" s="131" t="s">
        <v>43</v>
      </c>
      <c r="C46" s="132">
        <v>3655</v>
      </c>
      <c r="D46" s="132" t="s">
        <v>32</v>
      </c>
      <c r="E46" s="132">
        <v>136268</v>
      </c>
      <c r="F46" s="133">
        <v>1272964000313</v>
      </c>
      <c r="G46" s="131" t="s">
        <v>139</v>
      </c>
      <c r="H46" s="131">
        <v>0</v>
      </c>
      <c r="I46" s="131" t="s">
        <v>81</v>
      </c>
      <c r="J46" s="132" t="s">
        <v>119</v>
      </c>
      <c r="K46" s="132" t="s">
        <v>161</v>
      </c>
    </row>
    <row r="47" spans="2:11" x14ac:dyDescent="0.35">
      <c r="B47" s="131" t="s">
        <v>43</v>
      </c>
      <c r="C47" s="132">
        <v>3655</v>
      </c>
      <c r="D47" s="132" t="s">
        <v>32</v>
      </c>
      <c r="E47" s="132">
        <v>148705</v>
      </c>
      <c r="F47" s="133">
        <v>1272964000666</v>
      </c>
      <c r="G47" s="131" t="s">
        <v>139</v>
      </c>
      <c r="H47" s="131">
        <v>0</v>
      </c>
      <c r="I47" s="131" t="s">
        <v>81</v>
      </c>
      <c r="J47" s="132" t="s">
        <v>119</v>
      </c>
      <c r="K47" s="132" t="s">
        <v>161</v>
      </c>
    </row>
    <row r="48" spans="2:11" x14ac:dyDescent="0.35">
      <c r="B48" s="131" t="s">
        <v>43</v>
      </c>
      <c r="C48" s="132">
        <v>3655</v>
      </c>
      <c r="D48" s="132" t="s">
        <v>32</v>
      </c>
      <c r="E48" s="132">
        <v>162157</v>
      </c>
      <c r="F48" s="133">
        <v>1272964000909</v>
      </c>
      <c r="G48" s="131" t="s">
        <v>139</v>
      </c>
      <c r="H48" s="131">
        <v>0</v>
      </c>
      <c r="I48" s="131" t="s">
        <v>81</v>
      </c>
      <c r="J48" s="132" t="s">
        <v>119</v>
      </c>
      <c r="K48" s="132" t="s">
        <v>161</v>
      </c>
    </row>
    <row r="49" spans="2:11" x14ac:dyDescent="0.35">
      <c r="B49" s="131" t="s">
        <v>43</v>
      </c>
      <c r="C49" s="132">
        <v>3655</v>
      </c>
      <c r="D49" s="132" t="s">
        <v>32</v>
      </c>
      <c r="E49" s="132">
        <v>169868</v>
      </c>
      <c r="F49" s="133">
        <v>86378429001295</v>
      </c>
      <c r="G49" s="131" t="s">
        <v>68</v>
      </c>
      <c r="H49" s="131" t="s">
        <v>90</v>
      </c>
      <c r="I49" s="131" t="s">
        <v>81</v>
      </c>
      <c r="J49" s="132" t="s">
        <v>133</v>
      </c>
      <c r="K49" s="132" t="s">
        <v>134</v>
      </c>
    </row>
    <row r="50" spans="2:11" x14ac:dyDescent="0.35">
      <c r="B50" s="131" t="s">
        <v>43</v>
      </c>
      <c r="C50" s="132">
        <v>3655</v>
      </c>
      <c r="D50" s="132" t="s">
        <v>32</v>
      </c>
      <c r="E50" s="132">
        <v>152696</v>
      </c>
      <c r="F50" s="133">
        <v>86378429000809</v>
      </c>
      <c r="G50" s="131" t="s">
        <v>69</v>
      </c>
      <c r="H50" s="131" t="s">
        <v>90</v>
      </c>
      <c r="I50" s="131" t="s">
        <v>81</v>
      </c>
      <c r="J50" s="132" t="s">
        <v>133</v>
      </c>
      <c r="K50" s="132" t="s">
        <v>134</v>
      </c>
    </row>
    <row r="51" spans="2:11" x14ac:dyDescent="0.35">
      <c r="B51" s="131" t="s">
        <v>43</v>
      </c>
      <c r="C51" s="132">
        <v>3655</v>
      </c>
      <c r="D51" s="132" t="s">
        <v>32</v>
      </c>
      <c r="E51" s="132">
        <v>171378</v>
      </c>
      <c r="F51" s="133">
        <v>1272964001042</v>
      </c>
      <c r="G51" s="131" t="s">
        <v>139</v>
      </c>
      <c r="H51" s="131">
        <v>0</v>
      </c>
      <c r="I51" s="131" t="s">
        <v>81</v>
      </c>
      <c r="J51" s="132" t="s">
        <v>119</v>
      </c>
      <c r="K51" s="132" t="s">
        <v>161</v>
      </c>
    </row>
    <row r="52" spans="2:11" x14ac:dyDescent="0.35">
      <c r="B52" s="131" t="s">
        <v>43</v>
      </c>
      <c r="C52" s="132">
        <v>3655</v>
      </c>
      <c r="D52" s="132" t="s">
        <v>32</v>
      </c>
      <c r="E52" s="132">
        <v>165045</v>
      </c>
      <c r="F52" s="133">
        <v>18803654000119</v>
      </c>
      <c r="G52" s="131" t="s">
        <v>138</v>
      </c>
      <c r="H52" s="131" t="s">
        <v>167</v>
      </c>
      <c r="I52" s="131" t="s">
        <v>81</v>
      </c>
      <c r="J52" s="132" t="s">
        <v>133</v>
      </c>
      <c r="K52" s="132" t="s">
        <v>161</v>
      </c>
    </row>
    <row r="53" spans="2:11" x14ac:dyDescent="0.35">
      <c r="B53" s="131" t="s">
        <v>43</v>
      </c>
      <c r="C53" s="132">
        <v>3655</v>
      </c>
      <c r="D53" s="132" t="s">
        <v>32</v>
      </c>
      <c r="E53" s="132">
        <v>176328</v>
      </c>
      <c r="F53" s="133">
        <v>1272964001123</v>
      </c>
      <c r="G53" s="131" t="s">
        <v>139</v>
      </c>
      <c r="H53" s="131">
        <v>0</v>
      </c>
      <c r="I53" s="131" t="s">
        <v>81</v>
      </c>
      <c r="J53" s="132" t="s">
        <v>119</v>
      </c>
      <c r="K53" s="132" t="s">
        <v>161</v>
      </c>
    </row>
    <row r="54" spans="2:11" x14ac:dyDescent="0.35">
      <c r="B54" s="131" t="s">
        <v>43</v>
      </c>
      <c r="C54" s="132">
        <v>3655</v>
      </c>
      <c r="D54" s="132" t="s">
        <v>32</v>
      </c>
      <c r="E54" s="132">
        <v>118874</v>
      </c>
      <c r="F54" s="133">
        <v>10247817000112</v>
      </c>
      <c r="G54" s="131" t="s">
        <v>140</v>
      </c>
      <c r="H54" s="131">
        <v>0</v>
      </c>
      <c r="I54" s="131" t="s">
        <v>81</v>
      </c>
      <c r="J54" s="132" t="s">
        <v>119</v>
      </c>
      <c r="K54" s="132" t="s">
        <v>161</v>
      </c>
    </row>
    <row r="55" spans="2:11" x14ac:dyDescent="0.35">
      <c r="B55" s="131" t="s">
        <v>43</v>
      </c>
      <c r="C55" s="132">
        <v>3655</v>
      </c>
      <c r="D55" s="132" t="s">
        <v>32</v>
      </c>
      <c r="E55" s="132">
        <v>57814</v>
      </c>
      <c r="F55" s="133">
        <v>1662221000198</v>
      </c>
      <c r="G55" s="131" t="s">
        <v>141</v>
      </c>
      <c r="H55" s="131">
        <v>0</v>
      </c>
      <c r="I55" s="131" t="s">
        <v>81</v>
      </c>
      <c r="J55" s="132" t="s">
        <v>119</v>
      </c>
      <c r="K55" s="132" t="s">
        <v>161</v>
      </c>
    </row>
    <row r="56" spans="2:11" x14ac:dyDescent="0.35">
      <c r="B56" s="131" t="s">
        <v>43</v>
      </c>
      <c r="C56" s="132">
        <v>3655</v>
      </c>
      <c r="D56" s="132" t="s">
        <v>32</v>
      </c>
      <c r="E56" s="132">
        <v>143869</v>
      </c>
      <c r="F56" s="133">
        <v>1662221000279</v>
      </c>
      <c r="G56" s="131" t="s">
        <v>142</v>
      </c>
      <c r="H56" s="131">
        <v>0</v>
      </c>
      <c r="I56" s="131" t="s">
        <v>81</v>
      </c>
      <c r="J56" s="132" t="s">
        <v>119</v>
      </c>
      <c r="K56" s="132" t="s">
        <v>161</v>
      </c>
    </row>
    <row r="57" spans="2:11" x14ac:dyDescent="0.35">
      <c r="B57" s="131" t="s">
        <v>43</v>
      </c>
      <c r="C57" s="132">
        <v>3655</v>
      </c>
      <c r="D57" s="132" t="s">
        <v>32</v>
      </c>
      <c r="E57" s="132">
        <v>160950</v>
      </c>
      <c r="F57" s="133">
        <v>1662221000783</v>
      </c>
      <c r="G57" s="131" t="s">
        <v>70</v>
      </c>
      <c r="H57" s="131" t="s">
        <v>90</v>
      </c>
      <c r="I57" s="131" t="s">
        <v>81</v>
      </c>
      <c r="J57" s="132" t="s">
        <v>133</v>
      </c>
      <c r="K57" s="132" t="s">
        <v>134</v>
      </c>
    </row>
    <row r="58" spans="2:11" x14ac:dyDescent="0.35">
      <c r="B58" s="131" t="s">
        <v>43</v>
      </c>
      <c r="C58" s="132">
        <v>3655</v>
      </c>
      <c r="D58" s="132" t="s">
        <v>32</v>
      </c>
      <c r="E58" s="132">
        <v>164852</v>
      </c>
      <c r="F58" s="133">
        <v>1662221000864</v>
      </c>
      <c r="G58" s="131" t="s">
        <v>143</v>
      </c>
      <c r="H58" s="131">
        <v>0</v>
      </c>
      <c r="I58" s="131" t="s">
        <v>81</v>
      </c>
      <c r="J58" s="132" t="s">
        <v>119</v>
      </c>
      <c r="K58" s="132" t="s">
        <v>161</v>
      </c>
    </row>
    <row r="59" spans="2:11" x14ac:dyDescent="0.35">
      <c r="B59" s="131" t="s">
        <v>43</v>
      </c>
      <c r="C59" s="132">
        <v>3655</v>
      </c>
      <c r="D59" s="132" t="s">
        <v>32</v>
      </c>
      <c r="E59" s="132">
        <v>156263</v>
      </c>
      <c r="F59" s="133">
        <v>1662221000350</v>
      </c>
      <c r="G59" s="131" t="s">
        <v>71</v>
      </c>
      <c r="H59" s="131" t="s">
        <v>88</v>
      </c>
      <c r="I59" s="131" t="s">
        <v>81</v>
      </c>
      <c r="J59" s="132" t="s">
        <v>133</v>
      </c>
      <c r="K59" s="132" t="s">
        <v>134</v>
      </c>
    </row>
    <row r="60" spans="2:11" x14ac:dyDescent="0.35">
      <c r="B60" s="131" t="s">
        <v>43</v>
      </c>
      <c r="C60" s="132">
        <v>3655</v>
      </c>
      <c r="D60" s="132" t="s">
        <v>32</v>
      </c>
      <c r="E60" s="132">
        <v>152153</v>
      </c>
      <c r="F60" s="133">
        <v>1662221000430</v>
      </c>
      <c r="G60" s="131" t="s">
        <v>67</v>
      </c>
      <c r="H60" s="131" t="s">
        <v>88</v>
      </c>
      <c r="I60" s="131" t="s">
        <v>81</v>
      </c>
      <c r="J60" s="132" t="s">
        <v>133</v>
      </c>
      <c r="K60" s="132" t="s">
        <v>134</v>
      </c>
    </row>
    <row r="61" spans="2:11" x14ac:dyDescent="0.35">
      <c r="B61" s="131" t="s">
        <v>43</v>
      </c>
      <c r="C61" s="132">
        <v>3655</v>
      </c>
      <c r="D61" s="132" t="s">
        <v>32</v>
      </c>
      <c r="E61" s="132">
        <v>169160</v>
      </c>
      <c r="F61" s="133">
        <v>1662221000945</v>
      </c>
      <c r="G61" s="131" t="s">
        <v>72</v>
      </c>
      <c r="H61" s="131" t="s">
        <v>88</v>
      </c>
      <c r="I61" s="131" t="s">
        <v>81</v>
      </c>
      <c r="J61" s="132" t="s">
        <v>133</v>
      </c>
      <c r="K61" s="132" t="s">
        <v>134</v>
      </c>
    </row>
    <row r="62" spans="2:11" x14ac:dyDescent="0.35">
      <c r="B62" s="131" t="s">
        <v>43</v>
      </c>
      <c r="C62" s="132">
        <v>3655</v>
      </c>
      <c r="D62" s="132" t="s">
        <v>32</v>
      </c>
      <c r="E62" s="132">
        <v>157637</v>
      </c>
      <c r="F62" s="133">
        <v>86378429001104</v>
      </c>
      <c r="G62" s="131" t="s">
        <v>69</v>
      </c>
      <c r="H62" s="131" t="s">
        <v>90</v>
      </c>
      <c r="I62" s="131" t="s">
        <v>81</v>
      </c>
      <c r="J62" s="132" t="s">
        <v>133</v>
      </c>
      <c r="K62" s="132" t="s">
        <v>134</v>
      </c>
    </row>
    <row r="63" spans="2:11" x14ac:dyDescent="0.35">
      <c r="B63" s="131" t="s">
        <v>43</v>
      </c>
      <c r="C63" s="132">
        <v>3655</v>
      </c>
      <c r="D63" s="132" t="s">
        <v>32</v>
      </c>
      <c r="E63" s="132">
        <v>155744</v>
      </c>
      <c r="F63" s="133">
        <v>9437632000515</v>
      </c>
      <c r="G63" s="131" t="s">
        <v>144</v>
      </c>
      <c r="H63" s="131">
        <v>0</v>
      </c>
      <c r="I63" s="131" t="s">
        <v>81</v>
      </c>
      <c r="J63" s="132" t="s">
        <v>119</v>
      </c>
      <c r="K63" s="132" t="s">
        <v>161</v>
      </c>
    </row>
    <row r="64" spans="2:11" x14ac:dyDescent="0.35">
      <c r="B64" s="131" t="s">
        <v>43</v>
      </c>
      <c r="C64" s="132">
        <v>3655</v>
      </c>
      <c r="D64" s="132" t="s">
        <v>32</v>
      </c>
      <c r="E64" s="132">
        <v>157076</v>
      </c>
      <c r="F64" s="133">
        <v>78218765000785</v>
      </c>
      <c r="G64" s="131" t="s">
        <v>73</v>
      </c>
      <c r="H64" s="131">
        <v>0</v>
      </c>
      <c r="I64" s="131" t="s">
        <v>81</v>
      </c>
      <c r="J64" s="132" t="s">
        <v>119</v>
      </c>
      <c r="K64" s="132" t="s">
        <v>161</v>
      </c>
    </row>
    <row r="65" spans="2:11" x14ac:dyDescent="0.35">
      <c r="B65" s="131" t="s">
        <v>43</v>
      </c>
      <c r="C65" s="132">
        <v>3655</v>
      </c>
      <c r="D65" s="132" t="s">
        <v>32</v>
      </c>
      <c r="E65" s="132">
        <v>157153</v>
      </c>
      <c r="F65" s="133">
        <v>86378429001023</v>
      </c>
      <c r="G65" s="131" t="s">
        <v>74</v>
      </c>
      <c r="H65" s="131" t="s">
        <v>90</v>
      </c>
      <c r="I65" s="131" t="s">
        <v>81</v>
      </c>
      <c r="J65" s="132" t="s">
        <v>133</v>
      </c>
      <c r="K65" s="132" t="s">
        <v>134</v>
      </c>
    </row>
    <row r="66" spans="2:11" x14ac:dyDescent="0.35">
      <c r="B66" s="131" t="s">
        <v>43</v>
      </c>
      <c r="C66" s="132">
        <v>3655</v>
      </c>
      <c r="D66" s="132" t="s">
        <v>32</v>
      </c>
      <c r="E66" s="132">
        <v>84450</v>
      </c>
      <c r="F66" s="133">
        <v>3901284000185</v>
      </c>
      <c r="G66" s="131" t="s">
        <v>145</v>
      </c>
      <c r="H66" s="131">
        <v>0</v>
      </c>
      <c r="I66" s="131" t="s">
        <v>81</v>
      </c>
      <c r="J66" s="132" t="s">
        <v>119</v>
      </c>
      <c r="K66" s="132" t="s">
        <v>161</v>
      </c>
    </row>
    <row r="67" spans="2:11" x14ac:dyDescent="0.35">
      <c r="B67" s="131" t="s">
        <v>43</v>
      </c>
      <c r="C67" s="132">
        <v>3655</v>
      </c>
      <c r="D67" s="132" t="s">
        <v>32</v>
      </c>
      <c r="E67" s="132">
        <v>135870</v>
      </c>
      <c r="F67" s="133">
        <v>72377864000219</v>
      </c>
      <c r="G67" s="131" t="s">
        <v>75</v>
      </c>
      <c r="H67" s="131" t="s">
        <v>88</v>
      </c>
      <c r="I67" s="131" t="s">
        <v>81</v>
      </c>
      <c r="J67" s="132" t="s">
        <v>133</v>
      </c>
      <c r="K67" s="132" t="s">
        <v>134</v>
      </c>
    </row>
    <row r="68" spans="2:11" x14ac:dyDescent="0.35">
      <c r="B68" s="131" t="s">
        <v>43</v>
      </c>
      <c r="C68" s="132">
        <v>3655</v>
      </c>
      <c r="D68" s="132" t="s">
        <v>32</v>
      </c>
      <c r="E68" s="132">
        <v>52169</v>
      </c>
      <c r="F68" s="133">
        <v>72377864000138</v>
      </c>
      <c r="G68" s="131" t="s">
        <v>75</v>
      </c>
      <c r="H68" s="131" t="s">
        <v>88</v>
      </c>
      <c r="I68" s="131" t="s">
        <v>81</v>
      </c>
      <c r="J68" s="132" t="s">
        <v>133</v>
      </c>
      <c r="K68" s="132" t="s">
        <v>134</v>
      </c>
    </row>
    <row r="69" spans="2:11" x14ac:dyDescent="0.35">
      <c r="B69" s="131" t="s">
        <v>43</v>
      </c>
      <c r="C69" s="132">
        <v>3655</v>
      </c>
      <c r="D69" s="132" t="s">
        <v>32</v>
      </c>
      <c r="E69" s="132">
        <v>135633</v>
      </c>
      <c r="F69" s="133">
        <v>9437632000272</v>
      </c>
      <c r="G69" s="131" t="s">
        <v>144</v>
      </c>
      <c r="H69" s="131">
        <v>0</v>
      </c>
      <c r="I69" s="131" t="s">
        <v>81</v>
      </c>
      <c r="J69" s="132" t="s">
        <v>119</v>
      </c>
      <c r="K69" s="132" t="s">
        <v>161</v>
      </c>
    </row>
    <row r="70" spans="2:11" x14ac:dyDescent="0.35">
      <c r="B70" s="131" t="s">
        <v>43</v>
      </c>
      <c r="C70" s="132">
        <v>3655</v>
      </c>
      <c r="D70" s="132" t="s">
        <v>32</v>
      </c>
      <c r="E70" s="132">
        <v>124155</v>
      </c>
      <c r="F70" s="133">
        <v>86378429000566</v>
      </c>
      <c r="G70" s="131" t="s">
        <v>76</v>
      </c>
      <c r="H70" s="131" t="s">
        <v>88</v>
      </c>
      <c r="I70" s="131" t="s">
        <v>81</v>
      </c>
      <c r="J70" s="132" t="s">
        <v>133</v>
      </c>
      <c r="K70" s="132" t="s">
        <v>134</v>
      </c>
    </row>
    <row r="71" spans="2:11" x14ac:dyDescent="0.35">
      <c r="B71" s="131" t="s">
        <v>43</v>
      </c>
      <c r="C71" s="132">
        <v>3655</v>
      </c>
      <c r="D71" s="132" t="s">
        <v>32</v>
      </c>
      <c r="E71" s="132">
        <v>130791</v>
      </c>
      <c r="F71" s="133">
        <v>86378429000647</v>
      </c>
      <c r="G71" s="131" t="s">
        <v>69</v>
      </c>
      <c r="H71" s="131">
        <v>0</v>
      </c>
      <c r="I71" s="131" t="s">
        <v>81</v>
      </c>
      <c r="J71" s="132" t="s">
        <v>119</v>
      </c>
      <c r="K71" s="132" t="s">
        <v>161</v>
      </c>
    </row>
    <row r="72" spans="2:11" x14ac:dyDescent="0.35">
      <c r="B72" s="131" t="s">
        <v>43</v>
      </c>
      <c r="C72" s="132">
        <v>3655</v>
      </c>
      <c r="D72" s="132" t="s">
        <v>32</v>
      </c>
      <c r="E72" s="132">
        <v>144056</v>
      </c>
      <c r="F72" s="133">
        <v>86378429000728</v>
      </c>
      <c r="G72" s="131" t="s">
        <v>77</v>
      </c>
      <c r="H72" s="131" t="s">
        <v>87</v>
      </c>
      <c r="I72" s="131" t="s">
        <v>81</v>
      </c>
      <c r="J72" s="132" t="s">
        <v>133</v>
      </c>
      <c r="K72" s="132" t="s">
        <v>134</v>
      </c>
    </row>
    <row r="73" spans="2:11" x14ac:dyDescent="0.35">
      <c r="B73" s="131" t="s">
        <v>43</v>
      </c>
      <c r="C73" s="132">
        <v>3655</v>
      </c>
      <c r="D73" s="132" t="s">
        <v>32</v>
      </c>
      <c r="E73" s="132">
        <v>107838</v>
      </c>
      <c r="F73" s="133">
        <v>86378429000485</v>
      </c>
      <c r="G73" s="131" t="s">
        <v>78</v>
      </c>
      <c r="H73" s="131" t="s">
        <v>90</v>
      </c>
      <c r="I73" s="131" t="s">
        <v>81</v>
      </c>
      <c r="J73" s="132" t="s">
        <v>133</v>
      </c>
      <c r="K73" s="132" t="s">
        <v>134</v>
      </c>
    </row>
    <row r="74" spans="2:11" x14ac:dyDescent="0.35">
      <c r="B74" s="131" t="s">
        <v>43</v>
      </c>
      <c r="C74" s="132">
        <v>3655</v>
      </c>
      <c r="D74" s="132" t="s">
        <v>32</v>
      </c>
      <c r="E74" s="132">
        <v>48951</v>
      </c>
      <c r="F74" s="133">
        <v>86378429000132</v>
      </c>
      <c r="G74" s="131" t="s">
        <v>79</v>
      </c>
      <c r="H74" s="131" t="s">
        <v>90</v>
      </c>
      <c r="I74" s="131" t="s">
        <v>81</v>
      </c>
      <c r="J74" s="132" t="s">
        <v>133</v>
      </c>
      <c r="K74" s="132" t="s">
        <v>134</v>
      </c>
    </row>
    <row r="75" spans="2:11" x14ac:dyDescent="0.35">
      <c r="B75" s="131" t="s">
        <v>43</v>
      </c>
      <c r="C75" s="132">
        <v>3655</v>
      </c>
      <c r="D75" s="132" t="s">
        <v>32</v>
      </c>
      <c r="E75" s="132">
        <v>143032</v>
      </c>
      <c r="F75" s="133">
        <v>78218765000602</v>
      </c>
      <c r="G75" s="131" t="s">
        <v>73</v>
      </c>
      <c r="H75" s="131" t="s">
        <v>90</v>
      </c>
      <c r="I75" s="131" t="s">
        <v>81</v>
      </c>
      <c r="J75" s="132" t="s">
        <v>133</v>
      </c>
      <c r="K75" s="132" t="s">
        <v>134</v>
      </c>
    </row>
    <row r="76" spans="2:11" x14ac:dyDescent="0.35">
      <c r="B76" s="131" t="s">
        <v>43</v>
      </c>
      <c r="C76" s="132">
        <v>3655</v>
      </c>
      <c r="D76" s="132" t="s">
        <v>32</v>
      </c>
      <c r="E76" s="132">
        <v>133136</v>
      </c>
      <c r="F76" s="133">
        <v>78218765000513</v>
      </c>
      <c r="G76" s="131" t="s">
        <v>73</v>
      </c>
      <c r="H76" s="131" t="s">
        <v>89</v>
      </c>
      <c r="I76" s="131" t="s">
        <v>81</v>
      </c>
      <c r="J76" s="132" t="s">
        <v>133</v>
      </c>
      <c r="K76" s="132" t="s">
        <v>134</v>
      </c>
    </row>
    <row r="77" spans="2:11" x14ac:dyDescent="0.35">
      <c r="B77" s="131" t="s">
        <v>43</v>
      </c>
      <c r="C77" s="132">
        <v>3655</v>
      </c>
      <c r="D77" s="132" t="s">
        <v>32</v>
      </c>
      <c r="E77" s="132">
        <v>48796</v>
      </c>
      <c r="F77" s="133">
        <v>78218765000190</v>
      </c>
      <c r="G77" s="131" t="s">
        <v>73</v>
      </c>
      <c r="H77" s="131" t="s">
        <v>88</v>
      </c>
      <c r="I77" s="131" t="s">
        <v>81</v>
      </c>
      <c r="J77" s="132" t="s">
        <v>133</v>
      </c>
      <c r="K77" s="132" t="s">
        <v>134</v>
      </c>
    </row>
    <row r="78" spans="2:11" x14ac:dyDescent="0.35">
      <c r="B78" s="131" t="s">
        <v>43</v>
      </c>
      <c r="C78" s="132">
        <v>3655</v>
      </c>
      <c r="D78" s="132" t="s">
        <v>32</v>
      </c>
      <c r="E78" s="132">
        <v>166873</v>
      </c>
      <c r="F78" s="133">
        <v>78218765000866</v>
      </c>
      <c r="G78" s="131" t="s">
        <v>73</v>
      </c>
      <c r="H78" s="131" t="s">
        <v>90</v>
      </c>
      <c r="I78" s="131" t="s">
        <v>81</v>
      </c>
      <c r="J78" s="132" t="s">
        <v>133</v>
      </c>
      <c r="K78" s="132" t="s">
        <v>134</v>
      </c>
    </row>
    <row r="79" spans="2:11" x14ac:dyDescent="0.35">
      <c r="B79" s="131" t="s">
        <v>43</v>
      </c>
      <c r="C79" s="132">
        <v>3655</v>
      </c>
      <c r="D79" s="132" t="s">
        <v>32</v>
      </c>
      <c r="E79" s="132">
        <v>165655</v>
      </c>
      <c r="F79" s="133">
        <v>83163642000481</v>
      </c>
      <c r="G79" s="131" t="s">
        <v>146</v>
      </c>
      <c r="H79" s="131">
        <v>0</v>
      </c>
      <c r="I79" s="131" t="s">
        <v>81</v>
      </c>
      <c r="J79" s="132" t="s">
        <v>119</v>
      </c>
      <c r="K79" s="132" t="s">
        <v>161</v>
      </c>
    </row>
    <row r="80" spans="2:11" x14ac:dyDescent="0.35">
      <c r="B80" s="131" t="s">
        <v>43</v>
      </c>
      <c r="C80" s="132">
        <v>3655</v>
      </c>
      <c r="D80" s="132" t="s">
        <v>32</v>
      </c>
      <c r="E80" s="132">
        <v>155683</v>
      </c>
      <c r="F80" s="133">
        <v>83163642000210</v>
      </c>
      <c r="G80" s="131" t="s">
        <v>146</v>
      </c>
      <c r="H80" s="131">
        <v>0</v>
      </c>
      <c r="I80" s="131" t="s">
        <v>81</v>
      </c>
      <c r="J80" s="132" t="s">
        <v>119</v>
      </c>
      <c r="K80" s="132" t="s">
        <v>161</v>
      </c>
    </row>
    <row r="81" spans="2:11" x14ac:dyDescent="0.35">
      <c r="B81" s="131" t="s">
        <v>43</v>
      </c>
      <c r="C81" s="132">
        <v>3655</v>
      </c>
      <c r="D81" s="132" t="s">
        <v>32</v>
      </c>
      <c r="E81" s="132">
        <v>154411</v>
      </c>
      <c r="F81" s="133">
        <v>83163642000309</v>
      </c>
      <c r="G81" s="131" t="s">
        <v>146</v>
      </c>
      <c r="H81" s="131">
        <v>0</v>
      </c>
      <c r="I81" s="131" t="s">
        <v>81</v>
      </c>
      <c r="J81" s="132" t="s">
        <v>119</v>
      </c>
      <c r="K81" s="132" t="s">
        <v>161</v>
      </c>
    </row>
    <row r="82" spans="2:11" x14ac:dyDescent="0.35">
      <c r="B82" s="131" t="s">
        <v>43</v>
      </c>
      <c r="C82" s="132">
        <v>3655</v>
      </c>
      <c r="D82" s="132" t="s">
        <v>32</v>
      </c>
      <c r="E82" s="132">
        <v>50548</v>
      </c>
      <c r="F82" s="133">
        <v>83163642000139</v>
      </c>
      <c r="G82" s="131" t="s">
        <v>80</v>
      </c>
      <c r="H82" s="131" t="s">
        <v>88</v>
      </c>
      <c r="I82" s="131" t="s">
        <v>81</v>
      </c>
      <c r="J82" s="132" t="s">
        <v>133</v>
      </c>
      <c r="K82" s="132" t="s">
        <v>134</v>
      </c>
    </row>
    <row r="83" spans="2:11" x14ac:dyDescent="0.35">
      <c r="B83" s="131" t="s">
        <v>43</v>
      </c>
      <c r="C83" s="132">
        <v>3655</v>
      </c>
      <c r="D83" s="132" t="s">
        <v>32</v>
      </c>
      <c r="E83" s="132">
        <v>187744</v>
      </c>
      <c r="F83" s="133">
        <v>1662221001836</v>
      </c>
      <c r="G83" s="131" t="s">
        <v>117</v>
      </c>
      <c r="H83" s="131" t="s">
        <v>89</v>
      </c>
      <c r="I83" s="131" t="s">
        <v>81</v>
      </c>
      <c r="J83" s="132" t="s">
        <v>133</v>
      </c>
      <c r="K83" s="132" t="s">
        <v>134</v>
      </c>
    </row>
    <row r="84" spans="2:11" x14ac:dyDescent="0.35">
      <c r="B84" s="131" t="s">
        <v>39</v>
      </c>
      <c r="C84" s="132">
        <v>307</v>
      </c>
      <c r="D84" s="132" t="s">
        <v>41</v>
      </c>
      <c r="E84" s="132">
        <v>182419</v>
      </c>
      <c r="F84" s="133">
        <v>85667947000960</v>
      </c>
      <c r="G84" s="131" t="s">
        <v>40</v>
      </c>
      <c r="H84" s="131" t="s">
        <v>92</v>
      </c>
      <c r="I84" s="131" t="s">
        <v>82</v>
      </c>
      <c r="J84" s="132" t="s">
        <v>133</v>
      </c>
      <c r="K84" s="132" t="s">
        <v>134</v>
      </c>
    </row>
    <row r="85" spans="2:11" x14ac:dyDescent="0.35">
      <c r="B85" s="131" t="s">
        <v>39</v>
      </c>
      <c r="C85" s="132">
        <v>307</v>
      </c>
      <c r="D85" s="132" t="s">
        <v>41</v>
      </c>
      <c r="E85" s="132">
        <v>159597</v>
      </c>
      <c r="F85" s="133">
        <v>85667947001509</v>
      </c>
      <c r="G85" s="131" t="s">
        <v>147</v>
      </c>
      <c r="H85" s="131">
        <v>0</v>
      </c>
      <c r="I85" s="131" t="s">
        <v>82</v>
      </c>
      <c r="J85" s="132" t="s">
        <v>119</v>
      </c>
      <c r="K85" s="132" t="s">
        <v>161</v>
      </c>
    </row>
    <row r="86" spans="2:11" x14ac:dyDescent="0.35">
      <c r="B86" s="131" t="s">
        <v>39</v>
      </c>
      <c r="C86" s="132">
        <v>307</v>
      </c>
      <c r="D86" s="132" t="s">
        <v>41</v>
      </c>
      <c r="E86" s="132">
        <v>48701</v>
      </c>
      <c r="F86" s="133">
        <v>78830700000109</v>
      </c>
      <c r="G86" s="131" t="s">
        <v>148</v>
      </c>
      <c r="H86" s="131">
        <v>0</v>
      </c>
      <c r="I86" s="131" t="s">
        <v>82</v>
      </c>
      <c r="J86" s="132" t="s">
        <v>119</v>
      </c>
      <c r="K86" s="132" t="s">
        <v>161</v>
      </c>
    </row>
    <row r="87" spans="2:11" x14ac:dyDescent="0.35">
      <c r="B87" s="131" t="s">
        <v>39</v>
      </c>
      <c r="C87" s="132">
        <v>307</v>
      </c>
      <c r="D87" s="132" t="s">
        <v>41</v>
      </c>
      <c r="E87" s="132">
        <v>74744</v>
      </c>
      <c r="F87" s="133">
        <v>85667947000537</v>
      </c>
      <c r="G87" s="131" t="s">
        <v>40</v>
      </c>
      <c r="H87" s="131" t="s">
        <v>89</v>
      </c>
      <c r="I87" s="131" t="s">
        <v>82</v>
      </c>
      <c r="J87" s="132" t="s">
        <v>133</v>
      </c>
      <c r="K87" s="132" t="s">
        <v>134</v>
      </c>
    </row>
    <row r="88" spans="2:11" x14ac:dyDescent="0.35">
      <c r="B88" s="131" t="s">
        <v>39</v>
      </c>
      <c r="C88" s="132">
        <v>307</v>
      </c>
      <c r="D88" s="132" t="s">
        <v>41</v>
      </c>
      <c r="E88" s="132">
        <v>51551</v>
      </c>
      <c r="F88" s="133">
        <v>85667947000375</v>
      </c>
      <c r="G88" s="131" t="s">
        <v>40</v>
      </c>
      <c r="H88" s="131" t="s">
        <v>89</v>
      </c>
      <c r="I88" s="131" t="s">
        <v>82</v>
      </c>
      <c r="J88" s="132" t="s">
        <v>133</v>
      </c>
      <c r="K88" s="132" t="s">
        <v>134</v>
      </c>
    </row>
    <row r="89" spans="2:11" x14ac:dyDescent="0.35">
      <c r="B89" s="131" t="s">
        <v>39</v>
      </c>
      <c r="C89" s="132">
        <v>307</v>
      </c>
      <c r="D89" s="132" t="s">
        <v>41</v>
      </c>
      <c r="E89" s="132">
        <v>131656</v>
      </c>
      <c r="F89" s="133">
        <v>83220723003491</v>
      </c>
      <c r="G89" s="131" t="s">
        <v>149</v>
      </c>
      <c r="H89" s="131">
        <v>0</v>
      </c>
      <c r="I89" s="131" t="s">
        <v>82</v>
      </c>
      <c r="J89" s="132" t="s">
        <v>119</v>
      </c>
      <c r="K89" s="132" t="s">
        <v>161</v>
      </c>
    </row>
    <row r="90" spans="2:11" x14ac:dyDescent="0.35">
      <c r="B90" s="131" t="s">
        <v>39</v>
      </c>
      <c r="C90" s="132">
        <v>307</v>
      </c>
      <c r="D90" s="132" t="s">
        <v>41</v>
      </c>
      <c r="E90" s="132">
        <v>56335</v>
      </c>
      <c r="F90" s="133">
        <v>86551660000933</v>
      </c>
      <c r="G90" s="131" t="s">
        <v>150</v>
      </c>
      <c r="H90" s="131">
        <v>0</v>
      </c>
      <c r="I90" s="131" t="s">
        <v>82</v>
      </c>
      <c r="J90" s="132" t="s">
        <v>119</v>
      </c>
      <c r="K90" s="132" t="s">
        <v>161</v>
      </c>
    </row>
    <row r="91" spans="2:11" x14ac:dyDescent="0.35">
      <c r="B91" s="131" t="s">
        <v>39</v>
      </c>
      <c r="C91" s="132">
        <v>307</v>
      </c>
      <c r="D91" s="132" t="s">
        <v>41</v>
      </c>
      <c r="E91" s="132">
        <v>91258</v>
      </c>
      <c r="F91" s="133">
        <v>3470626001474</v>
      </c>
      <c r="G91" s="131" t="s">
        <v>151</v>
      </c>
      <c r="H91" s="131">
        <v>0</v>
      </c>
      <c r="I91" s="131" t="s">
        <v>82</v>
      </c>
      <c r="J91" s="132" t="s">
        <v>119</v>
      </c>
      <c r="K91" s="132" t="s">
        <v>161</v>
      </c>
    </row>
    <row r="92" spans="2:11" x14ac:dyDescent="0.35">
      <c r="B92" s="131" t="s">
        <v>39</v>
      </c>
      <c r="C92" s="132">
        <v>307</v>
      </c>
      <c r="D92" s="132" t="s">
        <v>41</v>
      </c>
      <c r="E92" s="132">
        <v>48835</v>
      </c>
      <c r="F92" s="133">
        <v>83573212001167</v>
      </c>
      <c r="G92" s="131" t="s">
        <v>152</v>
      </c>
      <c r="H92" s="131">
        <v>0</v>
      </c>
      <c r="I92" s="131" t="s">
        <v>82</v>
      </c>
      <c r="J92" s="132" t="s">
        <v>119</v>
      </c>
      <c r="K92" s="132" t="s">
        <v>161</v>
      </c>
    </row>
    <row r="93" spans="2:11" x14ac:dyDescent="0.35">
      <c r="B93" s="131" t="s">
        <v>39</v>
      </c>
      <c r="C93" s="132">
        <v>307</v>
      </c>
      <c r="D93" s="132" t="s">
        <v>41</v>
      </c>
      <c r="E93" s="132">
        <v>134214</v>
      </c>
      <c r="F93" s="133">
        <v>85667947001428</v>
      </c>
      <c r="G93" s="131" t="s">
        <v>40</v>
      </c>
      <c r="H93" s="131" t="s">
        <v>89</v>
      </c>
      <c r="I93" s="131" t="s">
        <v>82</v>
      </c>
      <c r="J93" s="132" t="s">
        <v>133</v>
      </c>
      <c r="K93" s="132" t="s">
        <v>134</v>
      </c>
    </row>
    <row r="94" spans="2:11" x14ac:dyDescent="0.35">
      <c r="B94" s="131" t="s">
        <v>39</v>
      </c>
      <c r="C94" s="132">
        <v>307</v>
      </c>
      <c r="D94" s="132" t="s">
        <v>41</v>
      </c>
      <c r="E94" s="132">
        <v>167594</v>
      </c>
      <c r="F94" s="133">
        <v>85667947002661</v>
      </c>
      <c r="G94" s="131" t="s">
        <v>40</v>
      </c>
      <c r="H94" s="131" t="s">
        <v>90</v>
      </c>
      <c r="I94" s="131" t="s">
        <v>82</v>
      </c>
      <c r="J94" s="132" t="s">
        <v>133</v>
      </c>
      <c r="K94" s="132" t="s">
        <v>161</v>
      </c>
    </row>
    <row r="95" spans="2:11" x14ac:dyDescent="0.35">
      <c r="B95" s="131" t="s">
        <v>39</v>
      </c>
      <c r="C95" s="132">
        <v>383</v>
      </c>
      <c r="D95" s="132" t="s">
        <v>34</v>
      </c>
      <c r="E95" s="132">
        <v>54675</v>
      </c>
      <c r="F95" s="133">
        <v>508070000155</v>
      </c>
      <c r="G95" s="131" t="s">
        <v>10</v>
      </c>
      <c r="H95" s="131" t="s">
        <v>90</v>
      </c>
      <c r="I95" s="131" t="s">
        <v>48</v>
      </c>
      <c r="J95" s="132" t="s">
        <v>133</v>
      </c>
      <c r="K95" s="132" t="s">
        <v>134</v>
      </c>
    </row>
    <row r="96" spans="2:11" x14ac:dyDescent="0.35">
      <c r="B96" s="131" t="s">
        <v>39</v>
      </c>
      <c r="C96" s="132">
        <v>383</v>
      </c>
      <c r="D96" s="132" t="s">
        <v>34</v>
      </c>
      <c r="E96" s="132">
        <v>69667</v>
      </c>
      <c r="F96" s="133">
        <v>508070000236</v>
      </c>
      <c r="G96" s="131" t="s">
        <v>16</v>
      </c>
      <c r="H96" s="131" t="s">
        <v>90</v>
      </c>
      <c r="I96" s="131" t="s">
        <v>48</v>
      </c>
      <c r="J96" s="132" t="s">
        <v>133</v>
      </c>
      <c r="K96" s="132" t="s">
        <v>134</v>
      </c>
    </row>
    <row r="97" spans="2:11" x14ac:dyDescent="0.35">
      <c r="B97" s="131" t="s">
        <v>39</v>
      </c>
      <c r="C97" s="132">
        <v>383</v>
      </c>
      <c r="D97" s="132" t="s">
        <v>34</v>
      </c>
      <c r="E97" s="132">
        <v>158062</v>
      </c>
      <c r="F97" s="133">
        <v>508070000317</v>
      </c>
      <c r="G97" s="131" t="s">
        <v>11</v>
      </c>
      <c r="H97" s="131" t="s">
        <v>167</v>
      </c>
      <c r="I97" s="131" t="s">
        <v>48</v>
      </c>
      <c r="J97" s="132" t="s">
        <v>133</v>
      </c>
      <c r="K97" s="132" t="s">
        <v>161</v>
      </c>
    </row>
    <row r="98" spans="2:11" x14ac:dyDescent="0.35">
      <c r="B98" s="131" t="s">
        <v>39</v>
      </c>
      <c r="C98" s="132">
        <v>383</v>
      </c>
      <c r="D98" s="132" t="s">
        <v>34</v>
      </c>
      <c r="E98" s="132">
        <v>159620</v>
      </c>
      <c r="F98" s="133">
        <v>508070000406</v>
      </c>
      <c r="G98" s="131" t="s">
        <v>11</v>
      </c>
      <c r="H98" s="131" t="s">
        <v>88</v>
      </c>
      <c r="I98" s="131" t="s">
        <v>48</v>
      </c>
      <c r="J98" s="132" t="s">
        <v>133</v>
      </c>
      <c r="K98" s="132" t="s">
        <v>134</v>
      </c>
    </row>
    <row r="99" spans="2:11" x14ac:dyDescent="0.35">
      <c r="B99" s="131" t="s">
        <v>39</v>
      </c>
      <c r="C99" s="132">
        <v>383</v>
      </c>
      <c r="D99" s="132" t="s">
        <v>34</v>
      </c>
      <c r="E99" s="132">
        <v>73922</v>
      </c>
      <c r="F99" s="133">
        <v>79837688000380</v>
      </c>
      <c r="G99" s="131" t="s">
        <v>24</v>
      </c>
      <c r="H99" s="131" t="s">
        <v>88</v>
      </c>
      <c r="I99" s="131" t="s">
        <v>51</v>
      </c>
      <c r="J99" s="132" t="s">
        <v>133</v>
      </c>
      <c r="K99" s="132" t="s">
        <v>134</v>
      </c>
    </row>
    <row r="100" spans="2:11" x14ac:dyDescent="0.35">
      <c r="B100" s="131" t="s">
        <v>39</v>
      </c>
      <c r="C100" s="132">
        <v>383</v>
      </c>
      <c r="D100" s="132" t="s">
        <v>34</v>
      </c>
      <c r="E100" s="132">
        <v>53461</v>
      </c>
      <c r="F100" s="133">
        <v>79837688000119</v>
      </c>
      <c r="G100" s="131" t="s">
        <v>22</v>
      </c>
      <c r="H100" s="131" t="s">
        <v>88</v>
      </c>
      <c r="I100" s="131" t="s">
        <v>51</v>
      </c>
      <c r="J100" s="132" t="s">
        <v>133</v>
      </c>
      <c r="K100" s="132" t="s">
        <v>134</v>
      </c>
    </row>
    <row r="101" spans="2:11" x14ac:dyDescent="0.35">
      <c r="B101" s="131" t="s">
        <v>39</v>
      </c>
      <c r="C101" s="132">
        <v>383</v>
      </c>
      <c r="D101" s="132" t="s">
        <v>34</v>
      </c>
      <c r="E101" s="132">
        <v>56110</v>
      </c>
      <c r="F101" s="133">
        <v>79837688000208</v>
      </c>
      <c r="G101" s="131" t="s">
        <v>23</v>
      </c>
      <c r="H101" s="131" t="s">
        <v>88</v>
      </c>
      <c r="I101" s="131" t="s">
        <v>51</v>
      </c>
      <c r="J101" s="132" t="s">
        <v>133</v>
      </c>
      <c r="K101" s="132" t="s">
        <v>134</v>
      </c>
    </row>
    <row r="102" spans="2:11" x14ac:dyDescent="0.35">
      <c r="B102" s="131" t="s">
        <v>39</v>
      </c>
      <c r="C102" s="132">
        <v>383</v>
      </c>
      <c r="D102" s="132" t="s">
        <v>34</v>
      </c>
      <c r="E102" s="132">
        <v>102953</v>
      </c>
      <c r="F102" s="133">
        <v>79837688000542</v>
      </c>
      <c r="G102" s="131" t="s">
        <v>25</v>
      </c>
      <c r="H102" s="131" t="s">
        <v>88</v>
      </c>
      <c r="I102" s="131" t="s">
        <v>51</v>
      </c>
      <c r="J102" s="132" t="s">
        <v>133</v>
      </c>
      <c r="K102" s="132" t="s">
        <v>134</v>
      </c>
    </row>
    <row r="103" spans="2:11" x14ac:dyDescent="0.35">
      <c r="B103" s="131" t="s">
        <v>39</v>
      </c>
      <c r="C103" s="132">
        <v>383</v>
      </c>
      <c r="D103" s="132" t="s">
        <v>34</v>
      </c>
      <c r="E103" s="132">
        <v>94520</v>
      </c>
      <c r="F103" s="133">
        <v>79837688000461</v>
      </c>
      <c r="G103" s="131" t="s">
        <v>153</v>
      </c>
      <c r="H103" s="131" t="s">
        <v>167</v>
      </c>
      <c r="I103" s="131" t="s">
        <v>51</v>
      </c>
      <c r="J103" s="132" t="s">
        <v>133</v>
      </c>
      <c r="K103" s="132" t="s">
        <v>161</v>
      </c>
    </row>
    <row r="104" spans="2:11" x14ac:dyDescent="0.35">
      <c r="B104" s="131" t="s">
        <v>39</v>
      </c>
      <c r="C104" s="132">
        <v>383</v>
      </c>
      <c r="D104" s="132" t="s">
        <v>34</v>
      </c>
      <c r="E104" s="132">
        <v>184335</v>
      </c>
      <c r="F104" s="133">
        <v>79837688001352</v>
      </c>
      <c r="G104" s="131" t="s">
        <v>50</v>
      </c>
      <c r="H104" s="131" t="s">
        <v>90</v>
      </c>
      <c r="I104" s="131" t="s">
        <v>51</v>
      </c>
      <c r="J104" s="132" t="s">
        <v>133</v>
      </c>
      <c r="K104" s="132" t="s">
        <v>134</v>
      </c>
    </row>
    <row r="105" spans="2:11" x14ac:dyDescent="0.35">
      <c r="B105" s="131" t="s">
        <v>39</v>
      </c>
      <c r="C105" s="132">
        <v>383</v>
      </c>
      <c r="D105" s="132" t="s">
        <v>34</v>
      </c>
      <c r="E105" s="132">
        <v>184217</v>
      </c>
      <c r="F105" s="133">
        <v>79837688001271</v>
      </c>
      <c r="G105" s="131" t="s">
        <v>50</v>
      </c>
      <c r="H105" s="131" t="s">
        <v>90</v>
      </c>
      <c r="I105" s="131" t="s">
        <v>51</v>
      </c>
      <c r="J105" s="132" t="s">
        <v>133</v>
      </c>
      <c r="K105" s="132" t="s">
        <v>134</v>
      </c>
    </row>
    <row r="106" spans="2:11" x14ac:dyDescent="0.35">
      <c r="B106" s="131" t="s">
        <v>39</v>
      </c>
      <c r="C106" s="132">
        <v>383</v>
      </c>
      <c r="D106" s="132" t="s">
        <v>34</v>
      </c>
      <c r="E106" s="132">
        <v>170263</v>
      </c>
      <c r="F106" s="133">
        <v>79837688001190</v>
      </c>
      <c r="G106" s="131" t="s">
        <v>30</v>
      </c>
      <c r="H106" s="131" t="s">
        <v>89</v>
      </c>
      <c r="I106" s="131" t="s">
        <v>51</v>
      </c>
      <c r="J106" s="132" t="s">
        <v>133</v>
      </c>
      <c r="K106" s="132" t="s">
        <v>161</v>
      </c>
    </row>
    <row r="107" spans="2:11" x14ac:dyDescent="0.35">
      <c r="B107" s="131" t="s">
        <v>39</v>
      </c>
      <c r="C107" s="132">
        <v>383</v>
      </c>
      <c r="D107" s="132" t="s">
        <v>34</v>
      </c>
      <c r="E107" s="132">
        <v>119456</v>
      </c>
      <c r="F107" s="133">
        <v>79837688000623</v>
      </c>
      <c r="G107" s="131" t="s">
        <v>26</v>
      </c>
      <c r="H107" s="131" t="s">
        <v>88</v>
      </c>
      <c r="I107" s="131" t="s">
        <v>51</v>
      </c>
      <c r="J107" s="132" t="s">
        <v>133</v>
      </c>
      <c r="K107" s="132" t="s">
        <v>134</v>
      </c>
    </row>
    <row r="108" spans="2:11" x14ac:dyDescent="0.35">
      <c r="B108" s="131" t="s">
        <v>39</v>
      </c>
      <c r="C108" s="132">
        <v>383</v>
      </c>
      <c r="D108" s="132" t="s">
        <v>34</v>
      </c>
      <c r="E108" s="132">
        <v>150368</v>
      </c>
      <c r="F108" s="133">
        <v>79837688000895</v>
      </c>
      <c r="G108" s="131" t="s">
        <v>27</v>
      </c>
      <c r="H108" s="131" t="s">
        <v>90</v>
      </c>
      <c r="I108" s="131" t="s">
        <v>51</v>
      </c>
      <c r="J108" s="132" t="s">
        <v>133</v>
      </c>
      <c r="K108" s="132" t="s">
        <v>134</v>
      </c>
    </row>
    <row r="109" spans="2:11" x14ac:dyDescent="0.35">
      <c r="B109" s="131" t="s">
        <v>39</v>
      </c>
      <c r="C109" s="132">
        <v>383</v>
      </c>
      <c r="D109" s="132" t="s">
        <v>34</v>
      </c>
      <c r="E109" s="132">
        <v>164006</v>
      </c>
      <c r="F109" s="133">
        <v>79837688000976</v>
      </c>
      <c r="G109" s="131" t="s">
        <v>28</v>
      </c>
      <c r="H109" s="131" t="s">
        <v>88</v>
      </c>
      <c r="I109" s="131" t="s">
        <v>51</v>
      </c>
      <c r="J109" s="132" t="s">
        <v>133</v>
      </c>
      <c r="K109" s="132" t="s">
        <v>134</v>
      </c>
    </row>
    <row r="110" spans="2:11" x14ac:dyDescent="0.35">
      <c r="B110" s="131" t="s">
        <v>39</v>
      </c>
      <c r="C110" s="132">
        <v>383</v>
      </c>
      <c r="D110" s="132" t="s">
        <v>34</v>
      </c>
      <c r="E110" s="132">
        <v>167265</v>
      </c>
      <c r="F110" s="133">
        <v>79837688001000</v>
      </c>
      <c r="G110" s="131" t="s">
        <v>29</v>
      </c>
      <c r="H110" s="131" t="s">
        <v>90</v>
      </c>
      <c r="I110" s="131" t="s">
        <v>51</v>
      </c>
      <c r="J110" s="132" t="s">
        <v>133</v>
      </c>
      <c r="K110" s="132" t="s">
        <v>134</v>
      </c>
    </row>
    <row r="111" spans="2:11" x14ac:dyDescent="0.35">
      <c r="B111" s="131" t="s">
        <v>39</v>
      </c>
      <c r="C111" s="132">
        <v>383</v>
      </c>
      <c r="D111" s="132" t="s">
        <v>34</v>
      </c>
      <c r="E111" s="132">
        <v>171866</v>
      </c>
      <c r="F111" s="133">
        <v>76857747000203</v>
      </c>
      <c r="G111" s="131" t="s">
        <v>154</v>
      </c>
      <c r="H111" s="131" t="s">
        <v>90</v>
      </c>
      <c r="I111" s="131" t="s">
        <v>54</v>
      </c>
      <c r="J111" s="132" t="s">
        <v>133</v>
      </c>
      <c r="K111" s="132" t="s">
        <v>161</v>
      </c>
    </row>
    <row r="112" spans="2:11" x14ac:dyDescent="0.35">
      <c r="B112" s="131" t="s">
        <v>39</v>
      </c>
      <c r="C112" s="132">
        <v>383</v>
      </c>
      <c r="D112" s="132" t="s">
        <v>34</v>
      </c>
      <c r="E112" s="132">
        <v>48374</v>
      </c>
      <c r="F112" s="133">
        <v>76857747000122</v>
      </c>
      <c r="G112" s="131" t="s">
        <v>21</v>
      </c>
      <c r="H112" s="131" t="s">
        <v>90</v>
      </c>
      <c r="I112" s="131" t="s">
        <v>54</v>
      </c>
      <c r="J112" s="132" t="s">
        <v>133</v>
      </c>
      <c r="K112" s="132" t="s">
        <v>134</v>
      </c>
    </row>
    <row r="113" spans="2:11" x14ac:dyDescent="0.35">
      <c r="B113" s="131" t="s">
        <v>39</v>
      </c>
      <c r="C113" s="132">
        <v>3942</v>
      </c>
      <c r="D113" s="132" t="s">
        <v>85</v>
      </c>
      <c r="E113" s="132">
        <v>53581</v>
      </c>
      <c r="F113" s="133">
        <v>83259945000150</v>
      </c>
      <c r="G113" s="131" t="s">
        <v>46</v>
      </c>
      <c r="H113" s="131" t="s">
        <v>88</v>
      </c>
      <c r="I113" s="131" t="s">
        <v>47</v>
      </c>
      <c r="J113" s="132" t="s">
        <v>133</v>
      </c>
      <c r="K113" s="132" t="s">
        <v>134</v>
      </c>
    </row>
    <row r="114" spans="2:11" x14ac:dyDescent="0.35">
      <c r="B114" s="131" t="s">
        <v>39</v>
      </c>
      <c r="C114" s="132">
        <v>3942</v>
      </c>
      <c r="D114" s="132" t="s">
        <v>85</v>
      </c>
      <c r="E114" s="132">
        <v>74369</v>
      </c>
      <c r="F114" s="133">
        <v>83259945000230</v>
      </c>
      <c r="G114" s="131" t="s">
        <v>8</v>
      </c>
      <c r="H114" s="131" t="s">
        <v>88</v>
      </c>
      <c r="I114" s="131" t="s">
        <v>47</v>
      </c>
      <c r="J114" s="132" t="s">
        <v>133</v>
      </c>
      <c r="K114" s="132" t="s">
        <v>134</v>
      </c>
    </row>
    <row r="115" spans="2:11" x14ac:dyDescent="0.35">
      <c r="B115" s="131" t="s">
        <v>39</v>
      </c>
      <c r="C115" s="132">
        <v>3942</v>
      </c>
      <c r="D115" s="132" t="s">
        <v>85</v>
      </c>
      <c r="E115" s="132">
        <v>136856</v>
      </c>
      <c r="F115" s="133">
        <v>83259945000311</v>
      </c>
      <c r="G115" s="131" t="s">
        <v>9</v>
      </c>
      <c r="H115" s="131" t="s">
        <v>88</v>
      </c>
      <c r="I115" s="131" t="s">
        <v>47</v>
      </c>
      <c r="J115" s="132" t="s">
        <v>133</v>
      </c>
      <c r="K115" s="132" t="s">
        <v>134</v>
      </c>
    </row>
    <row r="116" spans="2:11" x14ac:dyDescent="0.35">
      <c r="B116" s="131" t="s">
        <v>39</v>
      </c>
      <c r="C116" s="132">
        <v>383</v>
      </c>
      <c r="D116" s="132" t="s">
        <v>34</v>
      </c>
      <c r="E116" s="132">
        <v>131538</v>
      </c>
      <c r="F116" s="133">
        <v>73396442000334</v>
      </c>
      <c r="G116" s="131" t="s">
        <v>155</v>
      </c>
      <c r="H116" s="131" t="s">
        <v>90</v>
      </c>
      <c r="I116" s="131" t="s">
        <v>156</v>
      </c>
      <c r="J116" s="132" t="s">
        <v>133</v>
      </c>
      <c r="K116" s="132" t="s">
        <v>134</v>
      </c>
    </row>
    <row r="117" spans="2:11" x14ac:dyDescent="0.35">
      <c r="B117" s="131" t="s">
        <v>39</v>
      </c>
      <c r="C117" s="132">
        <v>383</v>
      </c>
      <c r="D117" s="132" t="s">
        <v>34</v>
      </c>
      <c r="E117" s="132">
        <v>131539</v>
      </c>
      <c r="F117" s="133">
        <v>73396442000415</v>
      </c>
      <c r="G117" s="131" t="s">
        <v>157</v>
      </c>
      <c r="H117" s="131" t="s">
        <v>90</v>
      </c>
      <c r="I117" s="131" t="s">
        <v>156</v>
      </c>
      <c r="J117" s="132" t="s">
        <v>133</v>
      </c>
      <c r="K117" s="132" t="s">
        <v>161</v>
      </c>
    </row>
    <row r="118" spans="2:11" x14ac:dyDescent="0.35">
      <c r="B118" s="131" t="s">
        <v>39</v>
      </c>
      <c r="C118" s="132">
        <v>383</v>
      </c>
      <c r="D118" s="132" t="s">
        <v>34</v>
      </c>
      <c r="E118" s="132">
        <v>184221</v>
      </c>
      <c r="F118" s="133">
        <v>73396442001144</v>
      </c>
      <c r="G118" s="131" t="s">
        <v>158</v>
      </c>
      <c r="H118" s="131" t="s">
        <v>90</v>
      </c>
      <c r="I118" s="131" t="s">
        <v>156</v>
      </c>
      <c r="J118" s="132" t="s">
        <v>133</v>
      </c>
      <c r="K118" s="132" t="s">
        <v>134</v>
      </c>
    </row>
    <row r="119" spans="2:11" x14ac:dyDescent="0.35">
      <c r="B119" s="131" t="s">
        <v>39</v>
      </c>
      <c r="C119" s="132">
        <v>383</v>
      </c>
      <c r="D119" s="132" t="s">
        <v>34</v>
      </c>
      <c r="E119" s="132">
        <v>184215</v>
      </c>
      <c r="F119" s="133">
        <v>73396442001063</v>
      </c>
      <c r="G119" s="131" t="s">
        <v>158</v>
      </c>
      <c r="H119" s="131" t="s">
        <v>90</v>
      </c>
      <c r="I119" s="131" t="s">
        <v>156</v>
      </c>
      <c r="J119" s="132" t="s">
        <v>133</v>
      </c>
      <c r="K119" s="132" t="s">
        <v>134</v>
      </c>
    </row>
    <row r="120" spans="2:11" x14ac:dyDescent="0.35">
      <c r="B120" s="131" t="s">
        <v>39</v>
      </c>
      <c r="C120" s="132">
        <v>383</v>
      </c>
      <c r="D120" s="132" t="s">
        <v>34</v>
      </c>
      <c r="E120" s="132">
        <v>184214</v>
      </c>
      <c r="F120" s="133">
        <v>73396442000920</v>
      </c>
      <c r="G120" s="131" t="s">
        <v>158</v>
      </c>
      <c r="H120" s="131" t="s">
        <v>90</v>
      </c>
      <c r="I120" s="131" t="s">
        <v>156</v>
      </c>
      <c r="J120" s="132" t="s">
        <v>133</v>
      </c>
      <c r="K120" s="132" t="s">
        <v>134</v>
      </c>
    </row>
    <row r="121" spans="2:11" x14ac:dyDescent="0.35">
      <c r="B121" s="131" t="s">
        <v>39</v>
      </c>
      <c r="C121" s="132">
        <v>383</v>
      </c>
      <c r="D121" s="132" t="s">
        <v>34</v>
      </c>
      <c r="E121" s="132">
        <v>182592</v>
      </c>
      <c r="F121" s="133">
        <v>73396442000849</v>
      </c>
      <c r="G121" s="131" t="s">
        <v>159</v>
      </c>
      <c r="H121" s="131" t="s">
        <v>90</v>
      </c>
      <c r="I121" s="131" t="s">
        <v>156</v>
      </c>
      <c r="J121" s="132" t="s">
        <v>133</v>
      </c>
      <c r="K121" s="132" t="s">
        <v>134</v>
      </c>
    </row>
    <row r="122" spans="2:11" x14ac:dyDescent="0.35">
      <c r="B122" s="131" t="s">
        <v>39</v>
      </c>
      <c r="C122" s="132">
        <v>383</v>
      </c>
      <c r="D122" s="132" t="s">
        <v>34</v>
      </c>
      <c r="E122" s="132">
        <v>134677</v>
      </c>
      <c r="F122" s="133">
        <v>73396442000504</v>
      </c>
      <c r="G122" s="131" t="s">
        <v>160</v>
      </c>
      <c r="H122" s="131" t="s">
        <v>90</v>
      </c>
      <c r="I122" s="131" t="s">
        <v>156</v>
      </c>
      <c r="J122" s="132" t="s">
        <v>133</v>
      </c>
      <c r="K122" s="132" t="s">
        <v>161</v>
      </c>
    </row>
    <row r="123" spans="2:11" x14ac:dyDescent="0.35">
      <c r="B123" s="131" t="s">
        <v>39</v>
      </c>
      <c r="C123" s="132">
        <v>383</v>
      </c>
      <c r="D123" s="132" t="s">
        <v>34</v>
      </c>
      <c r="E123" s="132">
        <v>53405</v>
      </c>
      <c r="F123" s="133">
        <v>73396442000172</v>
      </c>
      <c r="G123" s="131" t="s">
        <v>158</v>
      </c>
      <c r="H123" s="131" t="s">
        <v>90</v>
      </c>
      <c r="I123" s="131" t="s">
        <v>156</v>
      </c>
      <c r="J123" s="132" t="s">
        <v>133</v>
      </c>
      <c r="K123" s="132" t="s">
        <v>134</v>
      </c>
    </row>
    <row r="124" spans="2:11" x14ac:dyDescent="0.35">
      <c r="B124" s="131" t="s">
        <v>39</v>
      </c>
      <c r="C124" s="132">
        <v>383</v>
      </c>
      <c r="D124" s="132" t="s">
        <v>34</v>
      </c>
      <c r="E124" s="132">
        <v>106986</v>
      </c>
      <c r="F124" s="133">
        <v>6250414000236</v>
      </c>
      <c r="G124" s="131" t="s">
        <v>162</v>
      </c>
      <c r="H124" s="131">
        <v>0</v>
      </c>
      <c r="I124" s="131" t="s">
        <v>156</v>
      </c>
      <c r="J124" s="132" t="s">
        <v>119</v>
      </c>
      <c r="K124" s="132" t="s">
        <v>161</v>
      </c>
    </row>
    <row r="125" spans="2:11" x14ac:dyDescent="0.35">
      <c r="B125" s="131" t="s">
        <v>39</v>
      </c>
      <c r="C125" s="132">
        <v>383</v>
      </c>
      <c r="D125" s="132" t="s">
        <v>34</v>
      </c>
      <c r="E125" s="132">
        <v>82280</v>
      </c>
      <c r="F125" s="133">
        <v>6250414000155</v>
      </c>
      <c r="G125" s="131" t="s">
        <v>162</v>
      </c>
      <c r="H125" s="131">
        <v>0</v>
      </c>
      <c r="I125" s="131" t="s">
        <v>156</v>
      </c>
      <c r="J125" s="132" t="s">
        <v>119</v>
      </c>
      <c r="K125" s="132" t="s">
        <v>161</v>
      </c>
    </row>
    <row r="126" spans="2:11" x14ac:dyDescent="0.35">
      <c r="B126" s="131" t="s">
        <v>39</v>
      </c>
      <c r="C126" s="132">
        <v>383</v>
      </c>
      <c r="D126" s="132" t="s">
        <v>34</v>
      </c>
      <c r="E126" s="132">
        <v>65205</v>
      </c>
      <c r="F126" s="133">
        <v>73396442000253</v>
      </c>
      <c r="G126" s="131" t="s">
        <v>163</v>
      </c>
      <c r="H126" s="131" t="s">
        <v>89</v>
      </c>
      <c r="I126" s="131" t="s">
        <v>156</v>
      </c>
      <c r="J126" s="132" t="s">
        <v>119</v>
      </c>
      <c r="K126" s="132" t="s">
        <v>161</v>
      </c>
    </row>
    <row r="127" spans="2:11" x14ac:dyDescent="0.35">
      <c r="B127" s="131" t="s">
        <v>39</v>
      </c>
      <c r="C127" s="132">
        <v>383</v>
      </c>
      <c r="D127" s="132" t="s">
        <v>34</v>
      </c>
      <c r="E127" s="132">
        <v>152753</v>
      </c>
      <c r="F127" s="133">
        <v>73396442000687</v>
      </c>
      <c r="G127" s="131" t="s">
        <v>164</v>
      </c>
      <c r="H127" s="131" t="s">
        <v>90</v>
      </c>
      <c r="I127" s="131" t="s">
        <v>156</v>
      </c>
      <c r="J127" s="132" t="s">
        <v>133</v>
      </c>
      <c r="K127" s="132" t="s">
        <v>134</v>
      </c>
    </row>
    <row r="128" spans="2:11" x14ac:dyDescent="0.35">
      <c r="B128" s="131" t="s">
        <v>39</v>
      </c>
      <c r="C128" s="132">
        <v>383</v>
      </c>
      <c r="D128" s="132" t="s">
        <v>34</v>
      </c>
      <c r="E128" s="132">
        <v>166720</v>
      </c>
      <c r="F128" s="133">
        <v>73396442000768</v>
      </c>
      <c r="G128" s="131" t="s">
        <v>158</v>
      </c>
      <c r="H128" s="131" t="s">
        <v>90</v>
      </c>
      <c r="I128" s="131" t="s">
        <v>156</v>
      </c>
      <c r="J128" s="132" t="s">
        <v>133</v>
      </c>
      <c r="K128" s="132" t="s">
        <v>161</v>
      </c>
    </row>
    <row r="129" spans="2:11" x14ac:dyDescent="0.35">
      <c r="B129" s="131" t="s">
        <v>39</v>
      </c>
      <c r="C129" s="132">
        <v>307</v>
      </c>
      <c r="D129" s="132" t="s">
        <v>41</v>
      </c>
      <c r="E129" s="132">
        <v>181800</v>
      </c>
      <c r="F129" s="133">
        <v>86512647003648</v>
      </c>
      <c r="G129" s="131" t="s">
        <v>165</v>
      </c>
      <c r="H129" s="131" t="s">
        <v>90</v>
      </c>
      <c r="I129" s="131" t="s">
        <v>166</v>
      </c>
      <c r="J129" s="132" t="s">
        <v>133</v>
      </c>
      <c r="K129" s="132" t="s">
        <v>134</v>
      </c>
    </row>
    <row r="130" spans="2:11" x14ac:dyDescent="0.35">
      <c r="B130" s="131" t="s">
        <v>39</v>
      </c>
      <c r="C130" s="132">
        <v>307</v>
      </c>
      <c r="D130" s="132" t="s">
        <v>41</v>
      </c>
      <c r="E130" s="132">
        <v>54734</v>
      </c>
      <c r="F130" s="133">
        <v>86512647001513</v>
      </c>
      <c r="G130" s="131" t="s">
        <v>165</v>
      </c>
      <c r="H130" s="131" t="s">
        <v>90</v>
      </c>
      <c r="I130" s="131" t="s">
        <v>166</v>
      </c>
      <c r="J130" s="132" t="s">
        <v>133</v>
      </c>
      <c r="K130" s="132" t="s">
        <v>134</v>
      </c>
    </row>
    <row r="131" spans="2:11" x14ac:dyDescent="0.35">
      <c r="B131" s="131" t="s">
        <v>39</v>
      </c>
      <c r="C131" s="132">
        <v>307</v>
      </c>
      <c r="D131" s="132" t="s">
        <v>41</v>
      </c>
      <c r="E131" s="132">
        <v>53486</v>
      </c>
      <c r="F131" s="133">
        <v>86512647001432</v>
      </c>
      <c r="G131" s="131" t="s">
        <v>165</v>
      </c>
      <c r="H131" s="131" t="s">
        <v>90</v>
      </c>
      <c r="I131" s="131" t="s">
        <v>166</v>
      </c>
      <c r="J131" s="132" t="s">
        <v>133</v>
      </c>
      <c r="K131" s="132" t="s">
        <v>134</v>
      </c>
    </row>
  </sheetData>
  <autoFilter ref="B2:K131" xr:uid="{F5F39995-E1CA-47D1-AF1A-8200C4BA7632}"/>
  <conditionalFormatting sqref="E2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Geral</vt:lpstr>
      <vt:lpstr>Rede</vt:lpstr>
      <vt:lpstr>Cliente</vt:lpstr>
      <vt:lpstr>Base Kpi</vt:lpstr>
      <vt:lpstr>Revisão 03.01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Viviane Cristina Cavichioni</dc:creator>
  <cp:lastModifiedBy>Victor Almeida Nunes</cp:lastModifiedBy>
  <cp:lastPrinted>2024-07-16T18:50:13Z</cp:lastPrinted>
  <dcterms:created xsi:type="dcterms:W3CDTF">2019-01-09T11:50:56Z</dcterms:created>
  <dcterms:modified xsi:type="dcterms:W3CDTF">2026-06-18T19:51:09Z</dcterms:modified>
</cp:coreProperties>
</file>