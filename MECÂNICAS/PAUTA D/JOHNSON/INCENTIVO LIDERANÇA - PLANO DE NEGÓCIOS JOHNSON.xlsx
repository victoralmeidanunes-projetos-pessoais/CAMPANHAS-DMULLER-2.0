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A62DEAB3-8F37-4BC8-80BF-0EDAE5C33A67}" xr6:coauthVersionLast="47" xr6:coauthVersionMax="47" xr10:uidLastSave="{00000000-0000-0000-0000-000000000000}"/>
  <bookViews>
    <workbookView showHorizontalScroll="0" showVerticalScroll="0" showSheetTabs="0" xWindow="28680" yWindow="-120" windowWidth="29040" windowHeight="15720" tabRatio="0" activeTab="2" xr2:uid="{BA2213AB-4BC5-4EF0-9F48-E1ADAF702E9E}"/>
  </bookViews>
  <sheets>
    <sheet name="MECÂNICA" sheetId="9" r:id="rId1"/>
    <sheet name="PONTOS" sheetId="4" r:id="rId2"/>
    <sheet name="GERAL" sheetId="13" r:id="rId3"/>
    <sheet name="LOJA PERFEITA" sheetId="14" r:id="rId4"/>
    <sheet name="VOLUME POSITIVACAO" sheetId="15" r:id="rId5"/>
    <sheet name="EXPANDINDO" sheetId="16" r:id="rId6"/>
    <sheet name="PRIORIDADES" sheetId="17" r:id="rId7"/>
    <sheet name="LANÇAMENTOS" sheetId="2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e-8b366c06-3b06-4c43-9d03-87f3666e6b2a" name="Base" connection="Consulta - Base"/>
          <x15:modelTable id="Calendário-dde1eb21-d1e7-46cd-9fdb-82bcc1d8ad1c" name="Calendário" connection="Conexão"/>
        </x15:modelTables>
        <x15:modelRelationships>
          <x15:modelRelationship fromTable="Base" fromColumn="DATA" toTable="Calendário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3" l="1" a="1"/>
  <c r="O21" i="13" s="1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C17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C18" i="20"/>
  <c r="D18" i="20"/>
  <c r="E18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C19" i="20"/>
  <c r="D19" i="20"/>
  <c r="E19" i="20"/>
  <c r="F19" i="20"/>
  <c r="G19" i="20"/>
  <c r="H19" i="20"/>
  <c r="I19" i="20"/>
  <c r="J19" i="20"/>
  <c r="K19" i="20"/>
  <c r="L19" i="20"/>
  <c r="M19" i="20"/>
  <c r="N19" i="20"/>
  <c r="O19" i="20"/>
  <c r="P19" i="20"/>
  <c r="Q19" i="20"/>
  <c r="E10" i="4" s="1"/>
  <c r="R19" i="20"/>
  <c r="F10" i="4" s="1"/>
  <c r="S19" i="20"/>
  <c r="T19" i="20" l="1"/>
  <c r="E2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B21" i="16"/>
  <c r="C21" i="16"/>
  <c r="C21" i="13" s="1"/>
  <c r="E14" i="4" s="1"/>
  <c r="D21" i="16"/>
  <c r="D21" i="13" s="1"/>
  <c r="F14" i="4" s="1"/>
  <c r="E21" i="16"/>
  <c r="F21" i="16"/>
  <c r="C22" i="13" s="1"/>
  <c r="E15" i="4" s="1"/>
  <c r="G21" i="16"/>
  <c r="D22" i="13" s="1"/>
  <c r="F15" i="4" s="1"/>
  <c r="H21" i="16"/>
  <c r="I21" i="16"/>
  <c r="C23" i="13" s="1"/>
  <c r="E16" i="4" s="1"/>
  <c r="J21" i="16"/>
  <c r="D23" i="13" s="1"/>
  <c r="F16" i="4" s="1"/>
  <c r="K21" i="16"/>
  <c r="L21" i="16"/>
  <c r="C24" i="13" s="1"/>
  <c r="E17" i="4" s="1"/>
  <c r="M21" i="16"/>
  <c r="D24" i="13" s="1"/>
  <c r="F17" i="4" s="1"/>
  <c r="N21" i="16"/>
  <c r="I8" i="15" l="1"/>
  <c r="J8" i="15"/>
  <c r="K8" i="15"/>
  <c r="L8" i="15"/>
  <c r="M8" i="15"/>
  <c r="I9" i="15"/>
  <c r="J9" i="15"/>
  <c r="K9" i="15"/>
  <c r="L9" i="15"/>
  <c r="M9" i="15"/>
  <c r="I10" i="15"/>
  <c r="J10" i="15"/>
  <c r="K10" i="15"/>
  <c r="L10" i="15"/>
  <c r="M10" i="15"/>
  <c r="I11" i="15"/>
  <c r="J11" i="15"/>
  <c r="K11" i="15"/>
  <c r="L11" i="15"/>
  <c r="M11" i="15"/>
  <c r="I12" i="15"/>
  <c r="J12" i="15"/>
  <c r="K12" i="15"/>
  <c r="L12" i="15"/>
  <c r="M12" i="15"/>
  <c r="I13" i="15"/>
  <c r="J13" i="15"/>
  <c r="K13" i="15"/>
  <c r="L13" i="15"/>
  <c r="M13" i="15"/>
  <c r="I14" i="15"/>
  <c r="J14" i="15"/>
  <c r="K14" i="15"/>
  <c r="L14" i="15"/>
  <c r="M14" i="15"/>
  <c r="I15" i="15"/>
  <c r="J15" i="15"/>
  <c r="K15" i="15"/>
  <c r="L15" i="15"/>
  <c r="M15" i="15"/>
  <c r="I16" i="15"/>
  <c r="J16" i="15"/>
  <c r="K16" i="15"/>
  <c r="L16" i="15"/>
  <c r="M16" i="15"/>
  <c r="I17" i="15"/>
  <c r="J17" i="15"/>
  <c r="K17" i="15"/>
  <c r="L17" i="15"/>
  <c r="M17" i="15"/>
  <c r="I18" i="15"/>
  <c r="J18" i="15"/>
  <c r="K18" i="15"/>
  <c r="L18" i="15"/>
  <c r="M18" i="15"/>
  <c r="I19" i="15"/>
  <c r="J19" i="15"/>
  <c r="K19" i="15"/>
  <c r="L19" i="15"/>
  <c r="M19" i="15"/>
  <c r="I20" i="15"/>
  <c r="J20" i="15"/>
  <c r="K20" i="15"/>
  <c r="L20" i="15"/>
  <c r="M20" i="15"/>
  <c r="I21" i="15"/>
  <c r="J21" i="15"/>
  <c r="K21" i="15"/>
  <c r="L21" i="15"/>
  <c r="M21" i="15"/>
  <c r="I22" i="15"/>
  <c r="J22" i="15"/>
  <c r="E11" i="4" s="1"/>
  <c r="K22" i="15"/>
  <c r="F11" i="4" s="1"/>
  <c r="L22" i="15"/>
  <c r="M22" i="15"/>
  <c r="D27" i="15" l="1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D31" i="15"/>
  <c r="E31" i="15"/>
  <c r="E13" i="4" s="1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B27" i="15"/>
  <c r="C27" i="15"/>
  <c r="B28" i="15"/>
  <c r="C28" i="15"/>
  <c r="B29" i="15"/>
  <c r="C29" i="15"/>
  <c r="B30" i="15"/>
  <c r="C30" i="15"/>
  <c r="B31" i="15"/>
  <c r="C31" i="15"/>
  <c r="D8" i="14" l="1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D12" i="14"/>
  <c r="E12" i="14"/>
  <c r="F12" i="14"/>
  <c r="G12" i="14"/>
  <c r="H12" i="14"/>
  <c r="I12" i="14"/>
  <c r="J12" i="14"/>
  <c r="F4" i="4" s="1"/>
  <c r="K12" i="14"/>
  <c r="L12" i="14"/>
  <c r="M12" i="14"/>
  <c r="N12" i="14"/>
  <c r="O12" i="14"/>
  <c r="F6" i="4" s="1"/>
  <c r="P12" i="14"/>
  <c r="Q12" i="14"/>
  <c r="R12" i="14"/>
  <c r="F7" i="4" s="1"/>
  <c r="S12" i="14"/>
  <c r="T12" i="14"/>
  <c r="F8" i="4" s="1"/>
  <c r="U12" i="14"/>
  <c r="V12" i="14"/>
  <c r="W12" i="14"/>
  <c r="F9" i="4" s="1"/>
  <c r="B8" i="14"/>
  <c r="C8" i="14"/>
  <c r="B9" i="14"/>
  <c r="C9" i="14"/>
  <c r="B10" i="14"/>
  <c r="C10" i="14"/>
  <c r="B11" i="14"/>
  <c r="C11" i="14"/>
  <c r="B12" i="14"/>
  <c r="C12" i="14"/>
  <c r="K2" i="13" l="1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F24" i="15"/>
  <c r="E24" i="15"/>
  <c r="D24" i="15"/>
  <c r="F12" i="4" s="1"/>
  <c r="C24" i="15"/>
  <c r="E12" i="4" s="1"/>
  <c r="B24" i="15"/>
  <c r="F23" i="15"/>
  <c r="E23" i="15"/>
  <c r="D23" i="15"/>
  <c r="C23" i="15"/>
  <c r="B23" i="15"/>
  <c r="F22" i="15"/>
  <c r="E22" i="15"/>
  <c r="D22" i="15"/>
  <c r="C22" i="15"/>
  <c r="B22" i="15"/>
  <c r="F21" i="15"/>
  <c r="E21" i="15"/>
  <c r="D21" i="15"/>
  <c r="C21" i="15"/>
  <c r="B21" i="15"/>
  <c r="F20" i="15"/>
  <c r="E20" i="15"/>
  <c r="D20" i="15"/>
  <c r="C20" i="15"/>
  <c r="B20" i="15"/>
  <c r="F19" i="15"/>
  <c r="E19" i="15"/>
  <c r="D19" i="15"/>
  <c r="C19" i="15"/>
  <c r="B19" i="15"/>
  <c r="F18" i="15"/>
  <c r="E18" i="15"/>
  <c r="D18" i="15"/>
  <c r="C18" i="15"/>
  <c r="B18" i="15"/>
  <c r="F17" i="15"/>
  <c r="E17" i="15"/>
  <c r="D17" i="15"/>
  <c r="C17" i="15"/>
  <c r="B17" i="15"/>
  <c r="F16" i="15"/>
  <c r="E16" i="15"/>
  <c r="D16" i="15"/>
  <c r="C16" i="15"/>
  <c r="B16" i="15"/>
  <c r="F15" i="15"/>
  <c r="E15" i="15"/>
  <c r="D15" i="15"/>
  <c r="C15" i="15"/>
  <c r="B15" i="15"/>
  <c r="F14" i="15"/>
  <c r="E14" i="15"/>
  <c r="D14" i="15"/>
  <c r="C14" i="15"/>
  <c r="B14" i="15"/>
  <c r="F13" i="15"/>
  <c r="E13" i="15"/>
  <c r="D13" i="15"/>
  <c r="C13" i="15"/>
  <c r="B13" i="15"/>
  <c r="F12" i="15"/>
  <c r="E12" i="15"/>
  <c r="D12" i="15"/>
  <c r="C12" i="15"/>
  <c r="B12" i="15"/>
  <c r="F11" i="15"/>
  <c r="E11" i="15"/>
  <c r="D11" i="15"/>
  <c r="C11" i="15"/>
  <c r="B11" i="15"/>
  <c r="F10" i="15"/>
  <c r="E10" i="15"/>
  <c r="D10" i="15"/>
  <c r="C10" i="15"/>
  <c r="B10" i="15"/>
  <c r="J2" i="20" l="1"/>
  <c r="K2" i="17"/>
  <c r="J2" i="14"/>
  <c r="J2" i="16" s="1"/>
  <c r="J2" i="15"/>
  <c r="F2" i="20"/>
  <c r="G10" i="4" l="1"/>
  <c r="I10" i="4" s="1"/>
  <c r="H22" i="4"/>
  <c r="G14" i="4"/>
  <c r="I14" i="4" s="1"/>
  <c r="G9" i="4"/>
  <c r="I9" i="4" s="1"/>
  <c r="G8" i="4"/>
  <c r="G7" i="4"/>
  <c r="I7" i="4" s="1"/>
  <c r="G6" i="4"/>
  <c r="J21" i="13"/>
  <c r="E18" i="4" s="1"/>
  <c r="K21" i="13"/>
  <c r="J22" i="13"/>
  <c r="E19" i="4" s="1"/>
  <c r="K22" i="13"/>
  <c r="J23" i="13"/>
  <c r="E20" i="4" s="1"/>
  <c r="K23" i="13"/>
  <c r="J24" i="13"/>
  <c r="E21" i="4" s="1"/>
  <c r="K24" i="13"/>
  <c r="F19" i="4" l="1"/>
  <c r="G19" i="4" s="1"/>
  <c r="I19" i="4" s="1"/>
  <c r="F20" i="4"/>
  <c r="G20" i="4" s="1"/>
  <c r="I20" i="4" s="1"/>
  <c r="F18" i="4"/>
  <c r="G18" i="4" s="1"/>
  <c r="I18" i="4" s="1"/>
  <c r="F21" i="4"/>
  <c r="G21" i="4" s="1"/>
  <c r="I21" i="4" s="1"/>
  <c r="L24" i="13"/>
  <c r="M24" i="13"/>
  <c r="M23" i="13"/>
  <c r="M22" i="13"/>
  <c r="L21" i="13"/>
  <c r="M21" i="13"/>
  <c r="G16" i="4"/>
  <c r="I16" i="4" s="1"/>
  <c r="E21" i="13" l="1"/>
  <c r="G17" i="4"/>
  <c r="I17" i="4" s="1"/>
  <c r="F24" i="13"/>
  <c r="F22" i="13"/>
  <c r="G15" i="4"/>
  <c r="I15" i="4" s="1"/>
  <c r="F21" i="13"/>
  <c r="E22" i="13"/>
  <c r="E23" i="13"/>
  <c r="F23" i="13"/>
  <c r="E24" i="13"/>
  <c r="L22" i="13"/>
  <c r="L23" i="13"/>
  <c r="A31" i="15" l="1"/>
  <c r="F13" i="4" s="1"/>
  <c r="G13" i="4" s="1"/>
  <c r="I13" i="4" s="1"/>
  <c r="G11" i="4"/>
  <c r="I11" i="4" s="1"/>
  <c r="G12" i="4" l="1"/>
  <c r="I12" i="4" s="1"/>
  <c r="G4" i="4"/>
  <c r="F5" i="4"/>
  <c r="G5" i="4" s="1"/>
  <c r="I5" i="4" s="1"/>
  <c r="I22" i="4" l="1"/>
  <c r="G2" i="17"/>
  <c r="G2" i="15"/>
  <c r="G2" i="14"/>
  <c r="I2" i="13"/>
  <c r="H2" i="20" l="1"/>
  <c r="I2" i="17"/>
  <c r="H2" i="16"/>
  <c r="I2" i="14"/>
  <c r="I2" i="15"/>
  <c r="D54" i="9"/>
  <c r="C54" i="9"/>
  <c r="E53" i="9"/>
  <c r="E52" i="9"/>
  <c r="E51" i="9"/>
  <c r="E50" i="9"/>
  <c r="E49" i="9"/>
  <c r="E48" i="9"/>
  <c r="E54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BB8F00-73F2-41A9-8F30-BFA0AD676C6F}" name="Conexão" type="104" refreshedVersion="8" minRefreshableVersion="5">
    <extLst>
      <ext xmlns:x15="http://schemas.microsoft.com/office/spreadsheetml/2010/11/main" uri="{DE250136-89BD-433C-8126-D09CA5730AF9}">
        <x15:connection id="Calendário-dde1eb21-d1e7-46cd-9fdb-82bcc1d8ad1c"/>
      </ext>
    </extLst>
  </connection>
  <connection id="2" xr16:uid="{491B2C94-78A5-4E75-927D-58CEF9A50837}" name="Consulta - Base" description="Conexão com a consulta 'Base' na pasta de trabalho." type="100" refreshedVersion="8" minRefreshableVersion="5">
    <extLst>
      <ext xmlns:x15="http://schemas.microsoft.com/office/spreadsheetml/2010/11/main" uri="{DE250136-89BD-433C-8126-D09CA5730AF9}">
        <x15:connection id="031d97ae-9b04-44c1-b2ea-e7ca013a286e">
          <x15:oledbPr connection="Provider=Microsoft.Mashup.OleDb.1;Data Source=$Workbook$;Location=Base;Extended Properties=&quot;&quot;">
            <x15:dbTables>
              <x15:dbTable name="Base"/>
            </x15:dbTables>
          </x15:oledbPr>
        </x15:connection>
      </ext>
    </extLst>
  </connection>
  <connection id="3" xr16:uid="{DC4FD082-D823-416B-A6B7-ECCC6465B040}" keepAlive="1" name="Consulta - Geral" description="Conexão com a consulta 'Geral' na pasta de trabalho." type="5" refreshedVersion="8" background="1" refreshOnLoad="1" saveData="1">
    <dbPr connection="Provider=Microsoft.Mashup.OleDb.1;Data Source=$Workbook$;Location=Geral;Extended Properties=&quot;&quot;" command="SELECT * FROM [Geral]"/>
  </connection>
  <connection id="4" xr16:uid="{DF951D56-48F4-49B9-8D02-87A3B8FFDE3D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<sst xmlns="http://schemas.openxmlformats.org/spreadsheetml/2006/main" count="80" uniqueCount="50">
  <si>
    <t>META</t>
  </si>
  <si>
    <t>REAL</t>
  </si>
  <si>
    <t>%</t>
  </si>
  <si>
    <t>GAP</t>
  </si>
  <si>
    <t>PONTOS</t>
  </si>
  <si>
    <t>DISTRIBUIÇÃO - ANO FISCAL</t>
  </si>
  <si>
    <t>VOLUME TOTAL - TRIMESTRE</t>
  </si>
  <si>
    <t>VOLUME TOP CONTAS - TRIMESTRE</t>
  </si>
  <si>
    <t>RAID LIQUIDO ELETRICO</t>
  </si>
  <si>
    <t>GLADE AEROSSOL</t>
  </si>
  <si>
    <t>LYSOFORM</t>
  </si>
  <si>
    <t>PATO PASTILHA</t>
  </si>
  <si>
    <t>PRIORIDADES</t>
  </si>
  <si>
    <t>ATUALIZADO:</t>
  </si>
  <si>
    <t>PROJETADO FY:</t>
  </si>
  <si>
    <t>NOTA</t>
  </si>
  <si>
    <t>Disponível</t>
  </si>
  <si>
    <t>Pago</t>
  </si>
  <si>
    <t>GERENTE COMERCIAL</t>
  </si>
  <si>
    <t>GERENTE DE VENDAS</t>
  </si>
  <si>
    <t>SUPERVISORES/CONSULTORES</t>
  </si>
  <si>
    <t>VENDEDORES</t>
  </si>
  <si>
    <t>MERCHANDISING EXTERNO</t>
  </si>
  <si>
    <t>MERCHANDISING INTERNO</t>
  </si>
  <si>
    <t>TOTAL</t>
  </si>
  <si>
    <t>volume</t>
  </si>
  <si>
    <t>positivação</t>
  </si>
  <si>
    <t>MIX 2</t>
  </si>
  <si>
    <t>MIX 7</t>
  </si>
  <si>
    <t>MIX 17</t>
  </si>
  <si>
    <t>MIX 28</t>
  </si>
  <si>
    <t>EXPANDINDO</t>
  </si>
  <si>
    <t xml:space="preserve">MIX </t>
  </si>
  <si>
    <t>RAID LIQUID</t>
  </si>
  <si>
    <t>INDICADOR</t>
  </si>
  <si>
    <t>TOTAL DE PONTOS</t>
  </si>
  <si>
    <t>MIX 2 - Q4</t>
  </si>
  <si>
    <t>MIX 7 - Q4</t>
  </si>
  <si>
    <t>MIX 17 - Q4</t>
  </si>
  <si>
    <t>MIX 28 - Q4</t>
  </si>
  <si>
    <t>PROJETADO Q4:</t>
  </si>
  <si>
    <t>GLADE GOTAS</t>
  </si>
  <si>
    <t>GLADE GOTAS - Gotas Perfumadas</t>
  </si>
  <si>
    <t>REP%</t>
  </si>
  <si>
    <t>LOJA 360 - Q4 (Lojas) ABR</t>
  </si>
  <si>
    <t>LOJA 360 - Q4 (Média) ABR</t>
  </si>
  <si>
    <t>LOJA 360 - Q4 (Lojas) MAI</t>
  </si>
  <si>
    <t>LOJA 360 - Q4 (Média) MAI</t>
  </si>
  <si>
    <t>LOJA 360 - Q4 (Lojas) JUN</t>
  </si>
  <si>
    <t>LOJA 360 - Q4 (Média)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</si>
</sst>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#,##0.000"/>
    <numFmt numFmtId="165" formatCode="0.0%"/>
    <numFmt numFmtId="166" formatCode="0.000"/>
    <numFmt numFmtId="167" formatCode="0%;\-0%;0%"/>
    <numFmt numFmtId="168" formatCode="0.0%;\-0.0%;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8"/>
      <color theme="1"/>
      <name val="Arial Black"/>
      <family val="2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Montserrat Thin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3B3B"/>
        <bgColor theme="0" tint="-0.499984740745262"/>
      </patternFill>
    </fill>
    <fill>
      <patternFill patternType="solid">
        <fgColor rgb="FFFF3B3B"/>
        <bgColor theme="0" tint="-0.24994659260841701"/>
      </patternFill>
    </fill>
    <fill>
      <patternFill patternType="solid">
        <fgColor theme="2" tint="-0.499984740745262"/>
        <bgColor theme="0" tint="-0.499984740745262"/>
      </patternFill>
    </fill>
    <fill>
      <patternFill patternType="lightGray">
        <fgColor theme="0" tint="-0.24994659260841701"/>
        <bgColor indexed="65"/>
      </patternFill>
    </fill>
    <fill>
      <patternFill patternType="solid">
        <fgColor rgb="FF00B0F0"/>
        <bgColor theme="0"/>
      </patternFill>
    </fill>
    <fill>
      <patternFill patternType="solid">
        <fgColor theme="0" tint="-0.499984740745262"/>
        <bgColor theme="0"/>
      </patternFill>
    </fill>
    <fill>
      <patternFill patternType="lightGray">
        <fgColor theme="0"/>
        <bgColor theme="0" tint="-4.9989318521683403E-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theme="4" tint="0.59999389629810485"/>
      </patternFill>
    </fill>
    <fill>
      <patternFill patternType="solid">
        <fgColor theme="1"/>
        <bgColor theme="4" tint="0.79995117038483843"/>
      </patternFill>
    </fill>
    <fill>
      <patternFill patternType="solid">
        <fgColor theme="0" tint="-4.9989318521683403E-2"/>
        <bgColor theme="4" tint="0.79995117038483843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theme="5" tint="-0.249977111117893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FF3B3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theme="5" tint="0.59999389629810485"/>
      </bottom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-0.249977111117893"/>
      </top>
      <bottom style="thin">
        <color theme="5" tint="-0.249977111117893"/>
      </bottom>
      <diagonal/>
    </border>
    <border>
      <left/>
      <right/>
      <top style="double">
        <color theme="5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09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/>
    </xf>
    <xf numFmtId="44" fontId="8" fillId="0" borderId="4" xfId="3" applyFont="1" applyBorder="1"/>
    <xf numFmtId="9" fontId="8" fillId="0" borderId="5" xfId="1" applyFont="1" applyBorder="1" applyAlignment="1">
      <alignment horizontal="center"/>
    </xf>
    <xf numFmtId="0" fontId="7" fillId="3" borderId="6" xfId="0" applyFont="1" applyFill="1" applyBorder="1" applyAlignment="1">
      <alignment horizontal="left"/>
    </xf>
    <xf numFmtId="44" fontId="9" fillId="4" borderId="3" xfId="0" applyNumberFormat="1" applyFont="1" applyFill="1" applyBorder="1" applyAlignment="1">
      <alignment horizontal="center"/>
    </xf>
    <xf numFmtId="44" fontId="9" fillId="4" borderId="7" xfId="0" applyNumberFormat="1" applyFont="1" applyFill="1" applyBorder="1" applyAlignment="1">
      <alignment horizontal="center"/>
    </xf>
    <xf numFmtId="9" fontId="9" fillId="4" borderId="8" xfId="1" applyFont="1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65" fontId="5" fillId="0" borderId="0" xfId="1" applyNumberFormat="1" applyFont="1" applyFill="1" applyAlignment="1">
      <alignment horizontal="center"/>
    </xf>
    <xf numFmtId="0" fontId="4" fillId="2" borderId="0" xfId="2" applyFont="1" applyFill="1" applyBorder="1" applyAlignment="1">
      <alignment vertical="center" textRotation="90" wrapText="1"/>
    </xf>
    <xf numFmtId="0" fontId="0" fillId="0" borderId="13" xfId="0" applyBorder="1"/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11" fillId="0" borderId="1" xfId="0" applyFont="1" applyBorder="1"/>
    <xf numFmtId="3" fontId="11" fillId="0" borderId="20" xfId="1" applyNumberFormat="1" applyFont="1" applyFill="1" applyBorder="1" applyAlignment="1">
      <alignment horizontal="center"/>
    </xf>
    <xf numFmtId="3" fontId="8" fillId="6" borderId="19" xfId="1" applyNumberFormat="1" applyFont="1" applyFill="1" applyBorder="1" applyAlignment="1">
      <alignment horizontal="center"/>
    </xf>
    <xf numFmtId="9" fontId="8" fillId="6" borderId="2" xfId="1" applyFont="1" applyFill="1" applyBorder="1" applyAlignment="1">
      <alignment horizontal="center"/>
    </xf>
    <xf numFmtId="3" fontId="8" fillId="6" borderId="1" xfId="1" applyNumberFormat="1" applyFont="1" applyFill="1" applyBorder="1" applyAlignment="1">
      <alignment horizontal="center"/>
    </xf>
    <xf numFmtId="3" fontId="8" fillId="0" borderId="9" xfId="1" applyNumberFormat="1" applyFont="1" applyFill="1" applyBorder="1" applyAlignment="1">
      <alignment horizontal="center"/>
    </xf>
    <xf numFmtId="3" fontId="11" fillId="0" borderId="9" xfId="1" applyNumberFormat="1" applyFont="1" applyBorder="1" applyAlignment="1">
      <alignment horizontal="center"/>
    </xf>
    <xf numFmtId="166" fontId="8" fillId="7" borderId="1" xfId="0" applyNumberFormat="1" applyFont="1" applyFill="1" applyBorder="1" applyAlignment="1">
      <alignment horizontal="center"/>
    </xf>
    <xf numFmtId="166" fontId="8" fillId="7" borderId="1" xfId="1" applyNumberFormat="1" applyFont="1" applyFill="1" applyBorder="1" applyAlignment="1">
      <alignment horizontal="center"/>
    </xf>
    <xf numFmtId="164" fontId="8" fillId="7" borderId="11" xfId="0" applyNumberFormat="1" applyFont="1" applyFill="1" applyBorder="1" applyAlignment="1">
      <alignment horizontal="center"/>
    </xf>
    <xf numFmtId="0" fontId="8" fillId="6" borderId="1" xfId="1" applyNumberFormat="1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/>
    </xf>
    <xf numFmtId="9" fontId="12" fillId="3" borderId="23" xfId="1" applyFont="1" applyFill="1" applyBorder="1" applyAlignment="1">
      <alignment horizontal="center"/>
    </xf>
    <xf numFmtId="3" fontId="9" fillId="0" borderId="10" xfId="1" applyNumberFormat="1" applyFont="1" applyFill="1" applyBorder="1" applyAlignment="1">
      <alignment horizontal="center"/>
    </xf>
    <xf numFmtId="3" fontId="9" fillId="6" borderId="23" xfId="1" applyNumberFormat="1" applyFont="1" applyFill="1" applyBorder="1" applyAlignment="1">
      <alignment horizontal="center"/>
    </xf>
    <xf numFmtId="9" fontId="9" fillId="6" borderId="23" xfId="1" applyFont="1" applyFill="1" applyBorder="1" applyAlignment="1">
      <alignment horizontal="center"/>
    </xf>
    <xf numFmtId="0" fontId="9" fillId="6" borderId="23" xfId="1" applyNumberFormat="1" applyFont="1" applyFill="1" applyBorder="1" applyAlignment="1">
      <alignment horizontal="center"/>
    </xf>
    <xf numFmtId="3" fontId="7" fillId="3" borderId="10" xfId="0" applyNumberFormat="1" applyFont="1" applyFill="1" applyBorder="1" applyAlignment="1">
      <alignment horizontal="center"/>
    </xf>
    <xf numFmtId="166" fontId="7" fillId="3" borderId="23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/>
    </xf>
    <xf numFmtId="166" fontId="9" fillId="7" borderId="12" xfId="0" applyNumberFormat="1" applyFont="1" applyFill="1" applyBorder="1" applyAlignment="1">
      <alignment horizontal="center"/>
    </xf>
    <xf numFmtId="3" fontId="0" fillId="0" borderId="0" xfId="0" applyNumberFormat="1"/>
    <xf numFmtId="0" fontId="7" fillId="3" borderId="14" xfId="0" applyFont="1" applyFill="1" applyBorder="1" applyAlignment="1">
      <alignment vertical="center"/>
    </xf>
    <xf numFmtId="0" fontId="7" fillId="3" borderId="18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3" borderId="25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7" fillId="8" borderId="28" xfId="0" applyFont="1" applyFill="1" applyBorder="1"/>
    <xf numFmtId="0" fontId="7" fillId="9" borderId="28" xfId="0" applyFont="1" applyFill="1" applyBorder="1" applyAlignment="1">
      <alignment horizontal="center"/>
    </xf>
    <xf numFmtId="0" fontId="7" fillId="10" borderId="29" xfId="0" applyFont="1" applyFill="1" applyBorder="1" applyAlignment="1">
      <alignment horizontal="left"/>
    </xf>
    <xf numFmtId="4" fontId="11" fillId="11" borderId="29" xfId="0" applyNumberFormat="1" applyFont="1" applyFill="1" applyBorder="1"/>
    <xf numFmtId="3" fontId="11" fillId="11" borderId="29" xfId="0" applyNumberFormat="1" applyFont="1" applyFill="1" applyBorder="1" applyAlignment="1">
      <alignment horizontal="center"/>
    </xf>
    <xf numFmtId="167" fontId="11" fillId="11" borderId="29" xfId="0" applyNumberFormat="1" applyFont="1" applyFill="1" applyBorder="1"/>
    <xf numFmtId="0" fontId="7" fillId="12" borderId="0" xfId="0" applyFont="1" applyFill="1" applyAlignment="1">
      <alignment horizontal="center"/>
    </xf>
    <xf numFmtId="0" fontId="7" fillId="12" borderId="0" xfId="0" applyFont="1" applyFill="1"/>
    <xf numFmtId="0" fontId="7" fillId="13" borderId="29" xfId="0" applyFont="1" applyFill="1" applyBorder="1" applyAlignment="1">
      <alignment horizontal="left"/>
    </xf>
    <xf numFmtId="0" fontId="11" fillId="14" borderId="29" xfId="0" applyFont="1" applyFill="1" applyBorder="1" applyAlignment="1">
      <alignment horizontal="center"/>
    </xf>
    <xf numFmtId="3" fontId="7" fillId="12" borderId="0" xfId="0" applyNumberFormat="1" applyFont="1" applyFill="1" applyAlignment="1">
      <alignment horizontal="center"/>
    </xf>
    <xf numFmtId="0" fontId="0" fillId="0" borderId="1" xfId="0" applyBorder="1"/>
    <xf numFmtId="3" fontId="11" fillId="0" borderId="24" xfId="1" applyNumberFormat="1" applyFont="1" applyBorder="1" applyAlignment="1">
      <alignment horizontal="center"/>
    </xf>
    <xf numFmtId="3" fontId="7" fillId="15" borderId="21" xfId="0" applyNumberFormat="1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/>
    </xf>
    <xf numFmtId="3" fontId="11" fillId="0" borderId="1" xfId="1" applyNumberFormat="1" applyFont="1" applyBorder="1" applyAlignment="1">
      <alignment horizontal="center"/>
    </xf>
    <xf numFmtId="3" fontId="13" fillId="0" borderId="1" xfId="1" applyNumberFormat="1" applyFont="1" applyFill="1" applyBorder="1" applyAlignment="1">
      <alignment horizontal="center"/>
    </xf>
    <xf numFmtId="9" fontId="11" fillId="0" borderId="1" xfId="1" applyFont="1" applyBorder="1" applyAlignment="1">
      <alignment horizontal="center"/>
    </xf>
    <xf numFmtId="9" fontId="8" fillId="0" borderId="1" xfId="1" applyFont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3" fontId="8" fillId="6" borderId="9" xfId="1" applyNumberFormat="1" applyFont="1" applyFill="1" applyBorder="1" applyAlignment="1">
      <alignment horizontal="center"/>
    </xf>
    <xf numFmtId="1" fontId="8" fillId="6" borderId="1" xfId="0" applyNumberFormat="1" applyFont="1" applyFill="1" applyBorder="1" applyAlignment="1">
      <alignment horizontal="center"/>
    </xf>
    <xf numFmtId="3" fontId="7" fillId="15" borderId="10" xfId="0" applyNumberFormat="1" applyFont="1" applyFill="1" applyBorder="1" applyAlignment="1">
      <alignment horizontal="center" vertical="center"/>
    </xf>
    <xf numFmtId="3" fontId="7" fillId="3" borderId="23" xfId="0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/>
    </xf>
    <xf numFmtId="3" fontId="9" fillId="6" borderId="10" xfId="1" applyNumberFormat="1" applyFont="1" applyFill="1" applyBorder="1" applyAlignment="1">
      <alignment horizontal="center"/>
    </xf>
    <xf numFmtId="3" fontId="9" fillId="6" borderId="10" xfId="1" applyNumberFormat="1" applyFont="1" applyFill="1" applyBorder="1" applyAlignment="1">
      <alignment horizontal="center" vertical="center"/>
    </xf>
    <xf numFmtId="165" fontId="7" fillId="3" borderId="23" xfId="1" applyNumberFormat="1" applyFont="1" applyFill="1" applyBorder="1" applyAlignment="1">
      <alignment horizontal="center" vertical="center"/>
    </xf>
    <xf numFmtId="0" fontId="2" fillId="16" borderId="30" xfId="0" applyFont="1" applyFill="1" applyBorder="1"/>
    <xf numFmtId="0" fontId="2" fillId="17" borderId="31" xfId="0" applyFont="1" applyFill="1" applyBorder="1"/>
    <xf numFmtId="0" fontId="2" fillId="17" borderId="31" xfId="0" applyFont="1" applyFill="1" applyBorder="1" applyAlignment="1">
      <alignment horizontal="center"/>
    </xf>
    <xf numFmtId="0" fontId="2" fillId="17" borderId="32" xfId="0" applyFont="1" applyFill="1" applyBorder="1"/>
    <xf numFmtId="0" fontId="2" fillId="15" borderId="33" xfId="0" applyFont="1" applyFill="1" applyBorder="1"/>
    <xf numFmtId="0" fontId="0" fillId="18" borderId="34" xfId="0" applyFill="1" applyBorder="1"/>
    <xf numFmtId="168" fontId="0" fillId="18" borderId="34" xfId="0" applyNumberFormat="1" applyFill="1" applyBorder="1"/>
    <xf numFmtId="168" fontId="0" fillId="18" borderId="35" xfId="0" applyNumberFormat="1" applyFill="1" applyBorder="1"/>
    <xf numFmtId="0" fontId="2" fillId="16" borderId="33" xfId="0" applyFont="1" applyFill="1" applyBorder="1"/>
    <xf numFmtId="3" fontId="2" fillId="17" borderId="34" xfId="0" applyNumberFormat="1" applyFont="1" applyFill="1" applyBorder="1"/>
    <xf numFmtId="168" fontId="2" fillId="17" borderId="34" xfId="0" applyNumberFormat="1" applyFont="1" applyFill="1" applyBorder="1"/>
    <xf numFmtId="168" fontId="2" fillId="17" borderId="35" xfId="0" applyNumberFormat="1" applyFont="1" applyFill="1" applyBorder="1"/>
    <xf numFmtId="0" fontId="0" fillId="0" borderId="39" xfId="0" applyBorder="1"/>
    <xf numFmtId="165" fontId="0" fillId="0" borderId="0" xfId="1" applyNumberFormat="1" applyFont="1" applyBorder="1" applyAlignment="1">
      <alignment horizontal="center"/>
    </xf>
    <xf numFmtId="4" fontId="0" fillId="0" borderId="40" xfId="0" applyNumberFormat="1" applyBorder="1"/>
    <xf numFmtId="0" fontId="0" fillId="0" borderId="41" xfId="0" applyBorder="1"/>
    <xf numFmtId="3" fontId="0" fillId="0" borderId="42" xfId="0" applyNumberFormat="1" applyBorder="1"/>
    <xf numFmtId="165" fontId="0" fillId="0" borderId="42" xfId="1" applyNumberFormat="1" applyFont="1" applyBorder="1" applyAlignment="1">
      <alignment horizontal="center"/>
    </xf>
    <xf numFmtId="4" fontId="0" fillId="0" borderId="43" xfId="0" applyNumberFormat="1" applyBorder="1"/>
    <xf numFmtId="0" fontId="2" fillId="19" borderId="39" xfId="0" applyFont="1" applyFill="1" applyBorder="1" applyAlignment="1">
      <alignment horizontal="center"/>
    </xf>
    <xf numFmtId="0" fontId="2" fillId="19" borderId="0" xfId="0" applyFont="1" applyFill="1" applyAlignment="1">
      <alignment horizontal="center"/>
    </xf>
    <xf numFmtId="0" fontId="2" fillId="19" borderId="40" xfId="0" applyFont="1" applyFill="1" applyBorder="1" applyAlignment="1">
      <alignment horizontal="center"/>
    </xf>
    <xf numFmtId="0" fontId="7" fillId="12" borderId="44" xfId="0" applyFont="1" applyFill="1" applyBorder="1" applyAlignment="1">
      <alignment horizontal="center" vertical="center"/>
    </xf>
    <xf numFmtId="0" fontId="7" fillId="12" borderId="44" xfId="0" applyFont="1" applyFill="1" applyBorder="1" applyAlignment="1">
      <alignment horizontal="center" vertical="center" wrapText="1"/>
    </xf>
    <xf numFmtId="0" fontId="0" fillId="20" borderId="29" xfId="0" applyFill="1" applyBorder="1" applyAlignment="1">
      <alignment horizontal="left"/>
    </xf>
    <xf numFmtId="3" fontId="0" fillId="14" borderId="29" xfId="0" applyNumberFormat="1" applyFill="1" applyBorder="1" applyAlignment="1">
      <alignment horizontal="center"/>
    </xf>
    <xf numFmtId="9" fontId="0" fillId="14" borderId="29" xfId="0" applyNumberFormat="1" applyFill="1" applyBorder="1" applyAlignment="1">
      <alignment horizontal="center"/>
    </xf>
    <xf numFmtId="0" fontId="2" fillId="12" borderId="44" xfId="0" applyFont="1" applyFill="1" applyBorder="1" applyAlignment="1">
      <alignment horizontal="left"/>
    </xf>
    <xf numFmtId="3" fontId="2" fillId="12" borderId="44" xfId="0" applyNumberFormat="1" applyFont="1" applyFill="1" applyBorder="1" applyAlignment="1">
      <alignment horizontal="center"/>
    </xf>
    <xf numFmtId="9" fontId="2" fillId="12" borderId="44" xfId="0" applyNumberFormat="1" applyFont="1" applyFill="1" applyBorder="1" applyAlignment="1">
      <alignment horizontal="center"/>
    </xf>
    <xf numFmtId="165" fontId="2" fillId="12" borderId="44" xfId="0" applyNumberFormat="1" applyFont="1" applyFill="1" applyBorder="1" applyAlignment="1">
      <alignment horizontal="center"/>
    </xf>
    <xf numFmtId="3" fontId="0" fillId="0" borderId="39" xfId="0" applyNumberFormat="1" applyBorder="1"/>
    <xf numFmtId="3" fontId="0" fillId="0" borderId="41" xfId="0" applyNumberFormat="1" applyBorder="1"/>
    <xf numFmtId="0" fontId="14" fillId="19" borderId="0" xfId="0" applyFont="1" applyFill="1" applyAlignment="1">
      <alignment horizontal="center"/>
    </xf>
    <xf numFmtId="0" fontId="14" fillId="19" borderId="39" xfId="0" applyFont="1" applyFill="1" applyBorder="1" applyAlignment="1">
      <alignment horizontal="center"/>
    </xf>
    <xf numFmtId="0" fontId="14" fillId="19" borderId="40" xfId="0" applyFont="1" applyFill="1" applyBorder="1" applyAlignment="1">
      <alignment horizontal="center"/>
    </xf>
    <xf numFmtId="0" fontId="15" fillId="0" borderId="39" xfId="0" applyFont="1" applyBorder="1"/>
    <xf numFmtId="0" fontId="15" fillId="0" borderId="0" xfId="0" applyFont="1"/>
    <xf numFmtId="3" fontId="15" fillId="0" borderId="0" xfId="0" applyNumberFormat="1" applyFont="1"/>
    <xf numFmtId="165" fontId="15" fillId="0" borderId="0" xfId="1" applyNumberFormat="1" applyFont="1" applyBorder="1"/>
    <xf numFmtId="0" fontId="15" fillId="21" borderId="39" xfId="0" applyFont="1" applyFill="1" applyBorder="1"/>
    <xf numFmtId="0" fontId="15" fillId="21" borderId="0" xfId="0" applyFont="1" applyFill="1"/>
    <xf numFmtId="2" fontId="15" fillId="21" borderId="0" xfId="0" applyNumberFormat="1" applyFont="1" applyFill="1"/>
    <xf numFmtId="165" fontId="15" fillId="21" borderId="0" xfId="1" applyNumberFormat="1" applyFont="1" applyFill="1" applyBorder="1"/>
    <xf numFmtId="3" fontId="15" fillId="21" borderId="0" xfId="0" applyNumberFormat="1" applyFont="1" applyFill="1"/>
    <xf numFmtId="0" fontId="14" fillId="19" borderId="4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21" borderId="0" xfId="0" applyFont="1" applyFill="1" applyAlignment="1">
      <alignment horizontal="center"/>
    </xf>
    <xf numFmtId="0" fontId="15" fillId="21" borderId="40" xfId="0" applyFont="1" applyFill="1" applyBorder="1" applyAlignment="1">
      <alignment horizontal="center"/>
    </xf>
    <xf numFmtId="0" fontId="14" fillId="19" borderId="42" xfId="0" applyFont="1" applyFill="1" applyBorder="1"/>
    <xf numFmtId="4" fontId="15" fillId="0" borderId="0" xfId="0" applyNumberFormat="1" applyFont="1"/>
    <xf numFmtId="0" fontId="15" fillId="0" borderId="36" xfId="0" applyFont="1" applyBorder="1"/>
    <xf numFmtId="0" fontId="15" fillId="0" borderId="37" xfId="0" applyFont="1" applyBorder="1"/>
    <xf numFmtId="3" fontId="15" fillId="0" borderId="37" xfId="0" applyNumberFormat="1" applyFont="1" applyBorder="1"/>
    <xf numFmtId="165" fontId="15" fillId="0" borderId="37" xfId="1" applyNumberFormat="1" applyFont="1" applyBorder="1"/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21" borderId="41" xfId="0" applyFont="1" applyFill="1" applyBorder="1"/>
    <xf numFmtId="0" fontId="15" fillId="21" borderId="42" xfId="0" applyFont="1" applyFill="1" applyBorder="1"/>
    <xf numFmtId="165" fontId="15" fillId="21" borderId="42" xfId="1" applyNumberFormat="1" applyFont="1" applyFill="1" applyBorder="1"/>
    <xf numFmtId="0" fontId="15" fillId="21" borderId="42" xfId="0" applyFont="1" applyFill="1" applyBorder="1" applyAlignment="1">
      <alignment horizontal="center"/>
    </xf>
    <xf numFmtId="0" fontId="15" fillId="21" borderId="43" xfId="0" applyFont="1" applyFill="1" applyBorder="1" applyAlignment="1">
      <alignment horizontal="center"/>
    </xf>
    <xf numFmtId="0" fontId="15" fillId="21" borderId="45" xfId="0" applyFont="1" applyFill="1" applyBorder="1"/>
    <xf numFmtId="4" fontId="15" fillId="21" borderId="46" xfId="0" applyNumberFormat="1" applyFont="1" applyFill="1" applyBorder="1"/>
    <xf numFmtId="165" fontId="15" fillId="21" borderId="46" xfId="1" applyNumberFormat="1" applyFont="1" applyFill="1" applyBorder="1"/>
    <xf numFmtId="0" fontId="15" fillId="21" borderId="46" xfId="0" applyFont="1" applyFill="1" applyBorder="1" applyAlignment="1">
      <alignment horizontal="center"/>
    </xf>
    <xf numFmtId="0" fontId="15" fillId="21" borderId="47" xfId="0" applyFont="1" applyFill="1" applyBorder="1" applyAlignment="1">
      <alignment horizontal="center"/>
    </xf>
    <xf numFmtId="0" fontId="15" fillId="0" borderId="45" xfId="0" applyFont="1" applyBorder="1"/>
    <xf numFmtId="165" fontId="15" fillId="0" borderId="46" xfId="1" applyNumberFormat="1" applyFont="1" applyBorder="1"/>
    <xf numFmtId="0" fontId="15" fillId="0" borderId="46" xfId="0" applyFont="1" applyBorder="1" applyAlignment="1">
      <alignment horizontal="center"/>
    </xf>
    <xf numFmtId="0" fontId="15" fillId="0" borderId="47" xfId="0" applyFont="1" applyBorder="1" applyAlignment="1">
      <alignment horizontal="center"/>
    </xf>
    <xf numFmtId="0" fontId="7" fillId="3" borderId="14" xfId="0" applyFont="1" applyFill="1" applyBorder="1" applyAlignment="1">
      <alignment vertical="center" wrapText="1"/>
    </xf>
    <xf numFmtId="0" fontId="7" fillId="3" borderId="18" xfId="0" applyFont="1" applyFill="1" applyBorder="1" applyAlignment="1">
      <alignment vertical="center" wrapText="1"/>
    </xf>
    <xf numFmtId="0" fontId="7" fillId="15" borderId="14" xfId="0" applyFont="1" applyFill="1" applyBorder="1" applyAlignment="1">
      <alignment vertical="center" wrapText="1"/>
    </xf>
    <xf numFmtId="0" fontId="7" fillId="15" borderId="18" xfId="0" applyFont="1" applyFill="1" applyBorder="1" applyAlignment="1">
      <alignment vertical="center" wrapText="1"/>
    </xf>
    <xf numFmtId="0" fontId="6" fillId="6" borderId="16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3" fontId="15" fillId="21" borderId="46" xfId="0" applyNumberFormat="1" applyFont="1" applyFill="1" applyBorder="1"/>
    <xf numFmtId="3" fontId="15" fillId="0" borderId="46" xfId="0" applyNumberFormat="1" applyFont="1" applyBorder="1"/>
    <xf numFmtId="3" fontId="15" fillId="21" borderId="42" xfId="0" applyNumberFormat="1" applyFont="1" applyFill="1" applyBorder="1"/>
    <xf numFmtId="0" fontId="17" fillId="22" borderId="50" xfId="0" applyFont="1" applyFill="1" applyBorder="1" applyAlignment="1">
      <alignment horizontal="center"/>
    </xf>
    <xf numFmtId="0" fontId="17" fillId="22" borderId="50" xfId="0" applyFont="1" applyFill="1" applyBorder="1"/>
    <xf numFmtId="168" fontId="0" fillId="0" borderId="51" xfId="0" applyNumberFormat="1" applyBorder="1"/>
    <xf numFmtId="14" fontId="5" fillId="0" borderId="0" xfId="0" applyNumberFormat="1" applyFont="1" applyAlignment="1">
      <alignment horizontal="centerContinuous" vertical="center"/>
    </xf>
    <xf numFmtId="165" fontId="7" fillId="9" borderId="28" xfId="1" applyNumberFormat="1" applyFont="1" applyFill="1" applyBorder="1" applyAlignment="1">
      <alignment horizontal="center"/>
    </xf>
    <xf numFmtId="165" fontId="11" fillId="14" borderId="29" xfId="1" applyNumberFormat="1" applyFont="1" applyFill="1" applyBorder="1" applyAlignment="1">
      <alignment horizontal="center"/>
    </xf>
    <xf numFmtId="165" fontId="7" fillId="12" borderId="0" xfId="1" applyNumberFormat="1" applyFont="1" applyFill="1" applyAlignment="1">
      <alignment horizontal="center"/>
    </xf>
    <xf numFmtId="2" fontId="7" fillId="9" borderId="28" xfId="0" applyNumberFormat="1" applyFont="1" applyFill="1" applyBorder="1" applyAlignment="1">
      <alignment horizontal="center"/>
    </xf>
    <xf numFmtId="0" fontId="2" fillId="22" borderId="48" xfId="0" applyFont="1" applyFill="1" applyBorder="1"/>
    <xf numFmtId="0" fontId="17" fillId="22" borderId="48" xfId="0" applyFont="1" applyFill="1" applyBorder="1" applyAlignment="1">
      <alignment horizontal="centerContinuous" vertical="center"/>
    </xf>
    <xf numFmtId="0" fontId="17" fillId="22" borderId="48" xfId="0" applyFont="1" applyFill="1" applyBorder="1"/>
    <xf numFmtId="0" fontId="2" fillId="22" borderId="52" xfId="0" applyFont="1" applyFill="1" applyBorder="1"/>
    <xf numFmtId="0" fontId="17" fillId="22" borderId="49" xfId="0" applyFont="1" applyFill="1" applyBorder="1" applyAlignment="1">
      <alignment horizontal="centerContinuous" vertical="center"/>
    </xf>
    <xf numFmtId="0" fontId="17" fillId="22" borderId="52" xfId="0" applyFont="1" applyFill="1" applyBorder="1" applyAlignment="1">
      <alignment horizontal="centerContinuous" vertical="center"/>
    </xf>
    <xf numFmtId="0" fontId="17" fillId="22" borderId="52" xfId="0" applyFont="1" applyFill="1" applyBorder="1"/>
    <xf numFmtId="0" fontId="0" fillId="0" borderId="51" xfId="0" applyBorder="1" applyAlignment="1">
      <alignment horizontal="left"/>
    </xf>
    <xf numFmtId="3" fontId="0" fillId="0" borderId="51" xfId="0" applyNumberFormat="1" applyBorder="1"/>
    <xf numFmtId="0" fontId="0" fillId="0" borderId="51" xfId="0" applyBorder="1"/>
    <xf numFmtId="4" fontId="0" fillId="0" borderId="51" xfId="0" applyNumberFormat="1" applyBorder="1"/>
    <xf numFmtId="0" fontId="16" fillId="0" borderId="53" xfId="0" applyFont="1" applyBorder="1" applyAlignment="1">
      <alignment horizontal="left"/>
    </xf>
    <xf numFmtId="3" fontId="16" fillId="0" borderId="53" xfId="0" applyNumberFormat="1" applyFont="1" applyBorder="1"/>
    <xf numFmtId="0" fontId="16" fillId="0" borderId="51" xfId="0" applyFont="1" applyBorder="1"/>
    <xf numFmtId="4" fontId="16" fillId="0" borderId="53" xfId="0" applyNumberFormat="1" applyFont="1" applyBorder="1"/>
    <xf numFmtId="168" fontId="16" fillId="0" borderId="53" xfId="0" applyNumberFormat="1" applyFont="1" applyBorder="1"/>
    <xf numFmtId="0" fontId="16" fillId="0" borderId="53" xfId="0" applyFont="1" applyBorder="1"/>
    <xf numFmtId="3" fontId="16" fillId="0" borderId="51" xfId="0" applyNumberFormat="1" applyFont="1" applyBorder="1"/>
    <xf numFmtId="4" fontId="16" fillId="0" borderId="0" xfId="0" applyNumberFormat="1" applyFont="1"/>
    <xf numFmtId="0" fontId="2" fillId="5" borderId="36" xfId="0" applyFont="1" applyFill="1" applyBorder="1"/>
    <xf numFmtId="0" fontId="2" fillId="5" borderId="37" xfId="0" applyFont="1" applyFill="1" applyBorder="1"/>
    <xf numFmtId="0" fontId="2" fillId="5" borderId="38" xfId="0" applyFont="1" applyFill="1" applyBorder="1"/>
    <xf numFmtId="9" fontId="0" fillId="0" borderId="40" xfId="1" applyFont="1" applyBorder="1"/>
    <xf numFmtId="9" fontId="0" fillId="0" borderId="43" xfId="1" applyFont="1" applyBorder="1"/>
    <xf numFmtId="0" fontId="2" fillId="5" borderId="36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9" borderId="42" xfId="0" applyFont="1" applyFill="1" applyBorder="1" applyAlignment="1">
      <alignment horizontal="center"/>
    </xf>
    <xf numFmtId="0" fontId="14" fillId="5" borderId="36" xfId="0" applyFont="1" applyFill="1" applyBorder="1" applyAlignment="1">
      <alignment horizontal="center"/>
    </xf>
    <xf numFmtId="0" fontId="14" fillId="5" borderId="37" xfId="0" applyFont="1" applyFill="1" applyBorder="1" applyAlignment="1">
      <alignment horizontal="center"/>
    </xf>
    <xf numFmtId="0" fontId="14" fillId="5" borderId="38" xfId="0" applyFont="1" applyFill="1" applyBorder="1" applyAlignment="1">
      <alignment horizontal="center"/>
    </xf>
  </cellXfs>
  <cellStyles count="4">
    <cellStyle name="Hiperlink" xfId="2" builtinId="8"/>
    <cellStyle name="Moeda" xfId="3" builtinId="4"/>
    <cellStyle name="Normal" xfId="0" builtinId="0"/>
    <cellStyle name="Porcentagem" xfId="1" builtinId="5"/>
  </cellStyles>
  <dxfs count="33">
    <dxf>
      <fill>
        <patternFill patternType="gray0625">
          <fgColor theme="6"/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gradientFill degree="225">
          <stop position="0">
            <color rgb="FFFF3B3B"/>
          </stop>
          <stop position="1">
            <color rgb="FF203764"/>
          </stop>
        </gradientFill>
      </fill>
    </dxf>
    <dxf>
      <fill>
        <gradientFill degree="225">
          <stop position="0">
            <color rgb="FFFF3B3B"/>
          </stop>
          <stop position="1">
            <color rgb="FF203764"/>
          </stop>
        </gradientFill>
      </fill>
    </dxf>
  </dxfs>
  <tableStyles count="1" defaultTableStyle="TableStyleMedium2" defaultPivotStyle="PivotStyleLight16">
    <tableStyle name="Estilo de Tabela 1" pivot="0" count="2" xr9:uid="{0F0AD8DD-E420-475B-BFE9-ED63E5298588}">
      <tableStyleElement type="headerRow" dxfId="32"/>
      <tableStyleElement type="totalRow" dxfId="31"/>
    </tableStyle>
  </tableStyles>
  <colors>
    <mruColors>
      <color rgb="FFFF3B3B"/>
      <color rgb="FFFDD933"/>
      <color rgb="FF9B51D3"/>
      <color rgb="FF203764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GERAL!A1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GERAL!A1"/><Relationship Id="rId1" Type="http://schemas.openxmlformats.org/officeDocument/2006/relationships/image" Target="../media/image4.png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1.svg"/><Relationship Id="rId18" Type="http://schemas.openxmlformats.org/officeDocument/2006/relationships/image" Target="../media/image14.png"/><Relationship Id="rId3" Type="http://schemas.openxmlformats.org/officeDocument/2006/relationships/hyperlink" Target="#EXPANDINDO!A1"/><Relationship Id="rId7" Type="http://schemas.openxmlformats.org/officeDocument/2006/relationships/image" Target="../media/image6.svg"/><Relationship Id="rId12" Type="http://schemas.openxmlformats.org/officeDocument/2006/relationships/image" Target="../media/image10.png"/><Relationship Id="rId17" Type="http://schemas.openxmlformats.org/officeDocument/2006/relationships/hyperlink" Target="#LAN&#199;AMENTOS!A1"/><Relationship Id="rId2" Type="http://schemas.openxmlformats.org/officeDocument/2006/relationships/hyperlink" Target="#'VOLUME POSITIVACAO'!A1"/><Relationship Id="rId16" Type="http://schemas.openxmlformats.org/officeDocument/2006/relationships/hyperlink" Target="#PONTOS!A1"/><Relationship Id="rId1" Type="http://schemas.openxmlformats.org/officeDocument/2006/relationships/hyperlink" Target="#'LOJA PERFEITA'!A1"/><Relationship Id="rId6" Type="http://schemas.openxmlformats.org/officeDocument/2006/relationships/image" Target="../media/image5.png"/><Relationship Id="rId11" Type="http://schemas.openxmlformats.org/officeDocument/2006/relationships/image" Target="../media/image9.svg"/><Relationship Id="rId5" Type="http://schemas.openxmlformats.org/officeDocument/2006/relationships/hyperlink" Target="#MEC&#194;NICA!A1"/><Relationship Id="rId15" Type="http://schemas.openxmlformats.org/officeDocument/2006/relationships/image" Target="../media/image13.svg"/><Relationship Id="rId10" Type="http://schemas.openxmlformats.org/officeDocument/2006/relationships/image" Target="../media/image8.png"/><Relationship Id="rId4" Type="http://schemas.openxmlformats.org/officeDocument/2006/relationships/hyperlink" Target="#PRIORIDADES!A1"/><Relationship Id="rId9" Type="http://schemas.openxmlformats.org/officeDocument/2006/relationships/image" Target="../media/image4.png"/><Relationship Id="rId1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PRIORIDADES!A1"/><Relationship Id="rId7" Type="http://schemas.openxmlformats.org/officeDocument/2006/relationships/image" Target="../media/image7.emf"/><Relationship Id="rId2" Type="http://schemas.openxmlformats.org/officeDocument/2006/relationships/hyperlink" Target="#EXPANDINDO!A1"/><Relationship Id="rId1" Type="http://schemas.openxmlformats.org/officeDocument/2006/relationships/hyperlink" Target="#'VOLUME POSITIVACAO'!A1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hyperlink" Target="#LAN&#199;AMENTOS!A1"/><Relationship Id="rId4" Type="http://schemas.openxmlformats.org/officeDocument/2006/relationships/hyperlink" Target="#MEC&#194;NICA!A1"/><Relationship Id="rId9" Type="http://schemas.openxmlformats.org/officeDocument/2006/relationships/hyperlink" Target="#GERAL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PRIORIDADES!A1"/><Relationship Id="rId7" Type="http://schemas.openxmlformats.org/officeDocument/2006/relationships/image" Target="../media/image7.emf"/><Relationship Id="rId2" Type="http://schemas.openxmlformats.org/officeDocument/2006/relationships/hyperlink" Target="#EXPANDINDO!A1"/><Relationship Id="rId1" Type="http://schemas.openxmlformats.org/officeDocument/2006/relationships/hyperlink" Target="#'LOJA PERFEITA'!A1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hyperlink" Target="#LAN&#199;AMENTOS!A1"/><Relationship Id="rId4" Type="http://schemas.openxmlformats.org/officeDocument/2006/relationships/hyperlink" Target="#MEC&#194;NICA!A1"/><Relationship Id="rId9" Type="http://schemas.openxmlformats.org/officeDocument/2006/relationships/hyperlink" Target="#GERAL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PRIORIDADES!A1"/><Relationship Id="rId7" Type="http://schemas.openxmlformats.org/officeDocument/2006/relationships/image" Target="../media/image7.emf"/><Relationship Id="rId2" Type="http://schemas.openxmlformats.org/officeDocument/2006/relationships/hyperlink" Target="#'VOLUME POSITIVACAO'!A1"/><Relationship Id="rId1" Type="http://schemas.openxmlformats.org/officeDocument/2006/relationships/hyperlink" Target="#'LOJA PERFEITA'!A1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hyperlink" Target="#LAN&#199;AMENTOS!A1"/><Relationship Id="rId4" Type="http://schemas.openxmlformats.org/officeDocument/2006/relationships/hyperlink" Target="#MEC&#194;NICA!A1"/><Relationship Id="rId9" Type="http://schemas.openxmlformats.org/officeDocument/2006/relationships/hyperlink" Target="#GERAL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EXPANDINDO!A1"/><Relationship Id="rId7" Type="http://schemas.openxmlformats.org/officeDocument/2006/relationships/image" Target="../media/image7.emf"/><Relationship Id="rId2" Type="http://schemas.openxmlformats.org/officeDocument/2006/relationships/hyperlink" Target="#'VOLUME POSITIVACAO'!A1"/><Relationship Id="rId1" Type="http://schemas.openxmlformats.org/officeDocument/2006/relationships/hyperlink" Target="#'LOJA PERFEITA'!A1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hyperlink" Target="#LAN&#199;AMENTOS!A1"/><Relationship Id="rId4" Type="http://schemas.openxmlformats.org/officeDocument/2006/relationships/hyperlink" Target="#MEC&#194;NICA!A1"/><Relationship Id="rId9" Type="http://schemas.openxmlformats.org/officeDocument/2006/relationships/hyperlink" Target="#GERAL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hyperlink" Target="#EXPANDINDO!A1"/><Relationship Id="rId7" Type="http://schemas.openxmlformats.org/officeDocument/2006/relationships/image" Target="../media/image6.svg"/><Relationship Id="rId2" Type="http://schemas.openxmlformats.org/officeDocument/2006/relationships/hyperlink" Target="#'VOLUME POSITIVACAO'!A1"/><Relationship Id="rId1" Type="http://schemas.openxmlformats.org/officeDocument/2006/relationships/hyperlink" Target="#'LOJA PERFEITA'!A1"/><Relationship Id="rId6" Type="http://schemas.openxmlformats.org/officeDocument/2006/relationships/image" Target="../media/image5.png"/><Relationship Id="rId5" Type="http://schemas.openxmlformats.org/officeDocument/2006/relationships/hyperlink" Target="#MEC&#194;NICA!A1"/><Relationship Id="rId10" Type="http://schemas.openxmlformats.org/officeDocument/2006/relationships/hyperlink" Target="#GERAL!A1"/><Relationship Id="rId4" Type="http://schemas.openxmlformats.org/officeDocument/2006/relationships/hyperlink" Target="#PRIORIDADES!A1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9788</xdr:colOff>
      <xdr:row>6</xdr:row>
      <xdr:rowOff>142252</xdr:rowOff>
    </xdr:from>
    <xdr:to>
      <xdr:col>12</xdr:col>
      <xdr:colOff>596900</xdr:colOff>
      <xdr:row>42</xdr:row>
      <xdr:rowOff>67235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7A581E3-1A00-4650-9F1B-ADB2231E5D1A}"/>
            </a:ext>
          </a:extLst>
        </xdr:cNvPr>
        <xdr:cNvSpPr/>
      </xdr:nvSpPr>
      <xdr:spPr>
        <a:xfrm>
          <a:off x="44713" y="507377"/>
          <a:ext cx="9451712" cy="643373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JOHNSON - LIDERANÇA</a:t>
          </a:r>
        </a:p>
        <a:p>
          <a:pPr marL="0" indent="0" eaLnBrk="1" fontAlgn="auto" latinLnBrk="0" hangingPunct="1"/>
          <a:endParaRPr lang="pt-BR" sz="1600" b="1" baseline="0">
            <a:solidFill>
              <a:schemeClr val="dk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PERÍODO: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ANO FISCAL Y26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 Premiação paga a cada Q (trimestre)</a:t>
          </a: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Campanha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Plano de Negocios Johnson's Y26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Muller atingindo a pontuação Gold (&gt;75 pontos) :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Gerente : 1500 pontos 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Supervisor: 1000 pontos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Muller atingindo a pontuação Platinum (&gt;=90 pontos) :</a:t>
          </a:r>
        </a:p>
        <a:p>
          <a:pPr marL="0" indent="0"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Gerente : 3600 pontos </a:t>
          </a:r>
        </a:p>
        <a:p>
          <a:pPr marL="0" indent="0"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Supervisor: 3000 pontos.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377827</xdr:colOff>
      <xdr:row>4</xdr:row>
      <xdr:rowOff>28575</xdr:rowOff>
    </xdr:from>
    <xdr:to>
      <xdr:col>12</xdr:col>
      <xdr:colOff>646766</xdr:colOff>
      <xdr:row>6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6A8839F-4BE1-4C4B-91A3-DCE327F3D028}"/>
            </a:ext>
          </a:extLst>
        </xdr:cNvPr>
        <xdr:cNvSpPr/>
      </xdr:nvSpPr>
      <xdr:spPr>
        <a:xfrm>
          <a:off x="377827" y="745751"/>
          <a:ext cx="9524998" cy="453839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1</xdr:col>
      <xdr:colOff>81806</xdr:colOff>
      <xdr:row>4</xdr:row>
      <xdr:rowOff>67998</xdr:rowOff>
    </xdr:from>
    <xdr:to>
      <xdr:col>4</xdr:col>
      <xdr:colOff>549589</xdr:colOff>
      <xdr:row>6</xdr:row>
      <xdr:rowOff>84667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A9AE625-ABDF-4230-98FD-B86C2978D037}"/>
            </a:ext>
          </a:extLst>
        </xdr:cNvPr>
        <xdr:cNvSpPr/>
      </xdr:nvSpPr>
      <xdr:spPr>
        <a:xfrm>
          <a:off x="462806" y="785174"/>
          <a:ext cx="4042459" cy="3752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JOHNSON</a:t>
          </a:r>
        </a:p>
      </xdr:txBody>
    </xdr:sp>
    <xdr:clientData/>
  </xdr:twoCellAnchor>
  <xdr:oneCellAnchor>
    <xdr:from>
      <xdr:col>20</xdr:col>
      <xdr:colOff>0</xdr:colOff>
      <xdr:row>20</xdr:row>
      <xdr:rowOff>0</xdr:rowOff>
    </xdr:from>
    <xdr:ext cx="304800" cy="304800"/>
    <xdr:sp macro="" textlink="">
      <xdr:nvSpPr>
        <xdr:cNvPr id="5" name="AutoShape 1" descr="Visualização da imagem">
          <a:extLst>
            <a:ext uri="{FF2B5EF4-FFF2-40B4-BE49-F238E27FC236}">
              <a16:creationId xmlns:a16="http://schemas.microsoft.com/office/drawing/2014/main" id="{BAAF6332-69FC-433A-8812-C4C48C3011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605118</xdr:colOff>
      <xdr:row>22</xdr:row>
      <xdr:rowOff>136718</xdr:rowOff>
    </xdr:from>
    <xdr:to>
      <xdr:col>12</xdr:col>
      <xdr:colOff>390414</xdr:colOff>
      <xdr:row>41</xdr:row>
      <xdr:rowOff>107203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AB58474-6D06-49A3-A6E3-FB1AEF630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4668" y="3397443"/>
          <a:ext cx="5935271" cy="3402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543202</xdr:colOff>
      <xdr:row>3</xdr:row>
      <xdr:rowOff>65856</xdr:rowOff>
    </xdr:to>
    <xdr:pic>
      <xdr:nvPicPr>
        <xdr:cNvPr id="8" name="Gráfico 7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7BE974-3B5F-4A89-B169-5260C4801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924202" cy="603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16648</xdr:rowOff>
    </xdr:from>
    <xdr:to>
      <xdr:col>2</xdr:col>
      <xdr:colOff>821844</xdr:colOff>
      <xdr:row>17</xdr:row>
      <xdr:rowOff>180096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742C5A7-3AF6-4993-9130-0616DB63E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0" y="811778"/>
          <a:ext cx="1724648" cy="27973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112506</xdr:colOff>
      <xdr:row>4</xdr:row>
      <xdr:rowOff>7390</xdr:rowOff>
    </xdr:to>
    <xdr:pic>
      <xdr:nvPicPr>
        <xdr:cNvPr id="2" name="Gráfico 1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EE5A6E-083A-49F3-AD5A-52BAA4CA4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2522" y="190500"/>
          <a:ext cx="882788" cy="612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180810</xdr:colOff>
      <xdr:row>4</xdr:row>
      <xdr:rowOff>495300</xdr:rowOff>
    </xdr:from>
    <xdr:to>
      <xdr:col>7</xdr:col>
      <xdr:colOff>221781</xdr:colOff>
      <xdr:row>4</xdr:row>
      <xdr:rowOff>1037590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1E788-25AA-5811-CA0C-58E6FC705D9A}"/>
            </a:ext>
          </a:extLst>
        </xdr:cNvPr>
        <xdr:cNvSpPr/>
      </xdr:nvSpPr>
      <xdr:spPr>
        <a:xfrm>
          <a:off x="2112563" y="1257300"/>
          <a:ext cx="1813477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7</xdr:col>
      <xdr:colOff>362862</xdr:colOff>
      <xdr:row>4</xdr:row>
      <xdr:rowOff>495300</xdr:rowOff>
    </xdr:from>
    <xdr:to>
      <xdr:col>9</xdr:col>
      <xdr:colOff>12562</xdr:colOff>
      <xdr:row>4</xdr:row>
      <xdr:rowOff>1037590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D440CB-8C3C-458E-A324-963C39C1DBA5}"/>
            </a:ext>
          </a:extLst>
        </xdr:cNvPr>
        <xdr:cNvSpPr/>
      </xdr:nvSpPr>
      <xdr:spPr>
        <a:xfrm>
          <a:off x="4077281" y="1257300"/>
          <a:ext cx="1807679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9</xdr:col>
      <xdr:colOff>155548</xdr:colOff>
      <xdr:row>4</xdr:row>
      <xdr:rowOff>495300</xdr:rowOff>
    </xdr:from>
    <xdr:to>
      <xdr:col>12</xdr:col>
      <xdr:colOff>694995</xdr:colOff>
      <xdr:row>4</xdr:row>
      <xdr:rowOff>1037590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661832-9031-40B8-9D8E-CCFD4B3AF435}"/>
            </a:ext>
          </a:extLst>
        </xdr:cNvPr>
        <xdr:cNvSpPr/>
      </xdr:nvSpPr>
      <xdr:spPr>
        <a:xfrm>
          <a:off x="6036201" y="1257300"/>
          <a:ext cx="1802296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13</xdr:col>
      <xdr:colOff>84236</xdr:colOff>
      <xdr:row>4</xdr:row>
      <xdr:rowOff>495300</xdr:rowOff>
    </xdr:from>
    <xdr:to>
      <xdr:col>14</xdr:col>
      <xdr:colOff>797286</xdr:colOff>
      <xdr:row>4</xdr:row>
      <xdr:rowOff>1037590</xdr:rowOff>
    </xdr:to>
    <xdr:sp macro="" textlink="">
      <xdr:nvSpPr>
        <xdr:cNvPr id="6" name="Retângulo: Cantos Superiore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09EC93-E350-4026-A01C-2A29BD385774}"/>
            </a:ext>
          </a:extLst>
        </xdr:cNvPr>
        <xdr:cNvSpPr/>
      </xdr:nvSpPr>
      <xdr:spPr>
        <a:xfrm>
          <a:off x="7989738" y="1257300"/>
          <a:ext cx="1812235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PRIORIDADES</a:t>
          </a:r>
        </a:p>
      </xdr:txBody>
    </xdr:sp>
    <xdr:clientData/>
  </xdr:twoCellAnchor>
  <xdr:twoCellAnchor editAs="absolute">
    <xdr:from>
      <xdr:col>13</xdr:col>
      <xdr:colOff>787925</xdr:colOff>
      <xdr:row>0</xdr:row>
      <xdr:rowOff>46990</xdr:rowOff>
    </xdr:from>
    <xdr:to>
      <xdr:col>14</xdr:col>
      <xdr:colOff>944168</xdr:colOff>
      <xdr:row>2</xdr:row>
      <xdr:rowOff>8890</xdr:rowOff>
    </xdr:to>
    <xdr:grpSp>
      <xdr:nvGrpSpPr>
        <xdr:cNvPr id="7" name="Agrupar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26DB61-9788-4985-ADC4-E98A75D5F0D6}"/>
            </a:ext>
          </a:extLst>
        </xdr:cNvPr>
        <xdr:cNvGrpSpPr/>
      </xdr:nvGrpSpPr>
      <xdr:grpSpPr>
        <a:xfrm>
          <a:off x="9057143" y="50165"/>
          <a:ext cx="1301176" cy="342900"/>
          <a:chOff x="5068956" y="115237"/>
          <a:chExt cx="2003264" cy="503583"/>
        </a:xfrm>
      </xdr:grpSpPr>
      <xdr:pic>
        <xdr:nvPicPr>
          <xdr:cNvPr id="8" name="Gráfico 7" descr="Documento estrutura de tópicos">
            <a:extLst>
              <a:ext uri="{FF2B5EF4-FFF2-40B4-BE49-F238E27FC236}">
                <a16:creationId xmlns:a16="http://schemas.microsoft.com/office/drawing/2014/main" id="{51F8F340-A99B-0540-9DE1-DB36AA9A59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9" name="Imagem 8">
            <a:extLst>
              <a:ext uri="{FF2B5EF4-FFF2-40B4-BE49-F238E27FC236}">
                <a16:creationId xmlns:a16="http://schemas.microsoft.com/office/drawing/2014/main" id="{01350582-43E0-AEFF-3A21-F7BA41CBA9C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18</xdr:col>
      <xdr:colOff>76527</xdr:colOff>
      <xdr:row>0</xdr:row>
      <xdr:rowOff>0</xdr:rowOff>
    </xdr:from>
    <xdr:to>
      <xdr:col>20</xdr:col>
      <xdr:colOff>15941</xdr:colOff>
      <xdr:row>5</xdr:row>
      <xdr:rowOff>64634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02821E2-F591-4A33-9644-A79F986A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773766" y="0"/>
          <a:ext cx="1272914" cy="1886808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313690</xdr:rowOff>
    </xdr:from>
    <xdr:to>
      <xdr:col>4</xdr:col>
      <xdr:colOff>29569</xdr:colOff>
      <xdr:row>4</xdr:row>
      <xdr:rowOff>1037590</xdr:rowOff>
    </xdr:to>
    <xdr:sp macro="" textlink="">
      <xdr:nvSpPr>
        <xdr:cNvPr id="12" name="Retângulo: Cantos Superiores Arredondados 11">
          <a:extLst>
            <a:ext uri="{FF2B5EF4-FFF2-40B4-BE49-F238E27FC236}">
              <a16:creationId xmlns:a16="http://schemas.microsoft.com/office/drawing/2014/main" id="{B7B5B1F9-CE68-4CC9-B298-8B3BFEA3DA1C}"/>
            </a:ext>
          </a:extLst>
        </xdr:cNvPr>
        <xdr:cNvSpPr/>
      </xdr:nvSpPr>
      <xdr:spPr>
        <a:xfrm>
          <a:off x="152400" y="1085850"/>
          <a:ext cx="1808922" cy="7239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5</xdr:col>
      <xdr:colOff>25538</xdr:colOff>
      <xdr:row>2</xdr:row>
      <xdr:rowOff>102870</xdr:rowOff>
    </xdr:from>
    <xdr:to>
      <xdr:col>14</xdr:col>
      <xdr:colOff>189922</xdr:colOff>
      <xdr:row>4</xdr:row>
      <xdr:rowOff>275590</xdr:rowOff>
    </xdr:to>
    <xdr:sp macro="" textlink="">
      <xdr:nvSpPr>
        <xdr:cNvPr id="2" name="Título 1">
          <a:extLst>
            <a:ext uri="{FF2B5EF4-FFF2-40B4-BE49-F238E27FC236}">
              <a16:creationId xmlns:a16="http://schemas.microsoft.com/office/drawing/2014/main" id="{76737AE3-64E8-44C7-A1DD-58466CDE8705}"/>
            </a:ext>
          </a:extLst>
        </xdr:cNvPr>
        <xdr:cNvSpPr>
          <a:spLocks noGrp="1"/>
        </xdr:cNvSpPr>
      </xdr:nvSpPr>
      <xdr:spPr>
        <a:xfrm>
          <a:off x="2695575" y="485775"/>
          <a:ext cx="6305551" cy="561975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  <xdr:twoCellAnchor editAs="oneCell">
    <xdr:from>
      <xdr:col>3</xdr:col>
      <xdr:colOff>266700</xdr:colOff>
      <xdr:row>7</xdr:row>
      <xdr:rowOff>142875</xdr:rowOff>
    </xdr:from>
    <xdr:to>
      <xdr:col>4</xdr:col>
      <xdr:colOff>597121</xdr:colOff>
      <xdr:row>11</xdr:row>
      <xdr:rowOff>114300</xdr:rowOff>
    </xdr:to>
    <xdr:pic>
      <xdr:nvPicPr>
        <xdr:cNvPr id="17" name="Gráfico 16" descr="Gráfico de barras com tendência ascendente com preenchimento sólido">
          <a:extLst>
            <a:ext uri="{FF2B5EF4-FFF2-40B4-BE49-F238E27FC236}">
              <a16:creationId xmlns:a16="http://schemas.microsoft.com/office/drawing/2014/main" id="{493A00D3-6A49-F9EB-CBB2-3980C4B3A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771775" y="2343150"/>
          <a:ext cx="733425" cy="733425"/>
        </a:xfrm>
        <a:prstGeom prst="rect">
          <a:avLst/>
        </a:prstGeom>
      </xdr:spPr>
    </xdr:pic>
    <xdr:clientData/>
  </xdr:twoCellAnchor>
  <xdr:twoCellAnchor editAs="absolute">
    <xdr:from>
      <xdr:col>8</xdr:col>
      <xdr:colOff>502784</xdr:colOff>
      <xdr:row>5</xdr:row>
      <xdr:rowOff>95250</xdr:rowOff>
    </xdr:from>
    <xdr:to>
      <xdr:col>12</xdr:col>
      <xdr:colOff>29820</xdr:colOff>
      <xdr:row>17</xdr:row>
      <xdr:rowOff>45720</xdr:rowOff>
    </xdr:to>
    <xdr:grpSp>
      <xdr:nvGrpSpPr>
        <xdr:cNvPr id="74" name="Agrupar 73">
          <a:extLst>
            <a:ext uri="{FF2B5EF4-FFF2-40B4-BE49-F238E27FC236}">
              <a16:creationId xmlns:a16="http://schemas.microsoft.com/office/drawing/2014/main" id="{BF174EE2-2B31-8F6E-ED1F-A4C0C50A73E1}"/>
            </a:ext>
          </a:extLst>
        </xdr:cNvPr>
        <xdr:cNvGrpSpPr/>
      </xdr:nvGrpSpPr>
      <xdr:grpSpPr>
        <a:xfrm>
          <a:off x="5500372" y="1900859"/>
          <a:ext cx="1988903" cy="2148536"/>
          <a:chOff x="5187950" y="1933575"/>
          <a:chExt cx="1876425" cy="2238375"/>
        </a:xfrm>
      </xdr:grpSpPr>
      <xdr:sp macro="" textlink="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946051FE-A2BC-4D21-BD90-4FB6DA63CB5D}"/>
              </a:ext>
            </a:extLst>
          </xdr:cNvPr>
          <xdr:cNvSpPr/>
        </xdr:nvSpPr>
        <xdr:spPr>
          <a:xfrm>
            <a:off x="5187950" y="1933575"/>
            <a:ext cx="1876425" cy="2238375"/>
          </a:xfrm>
          <a:prstGeom prst="roundRect">
            <a:avLst>
              <a:gd name="adj" fmla="val 4992"/>
            </a:avLst>
          </a:prstGeom>
          <a:solidFill>
            <a:schemeClr val="accent5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72" name="Agrupar 71">
            <a:extLst>
              <a:ext uri="{FF2B5EF4-FFF2-40B4-BE49-F238E27FC236}">
                <a16:creationId xmlns:a16="http://schemas.microsoft.com/office/drawing/2014/main" id="{6A04C1F2-82FC-A6D5-81B6-7672A0D20545}"/>
              </a:ext>
            </a:extLst>
          </xdr:cNvPr>
          <xdr:cNvGrpSpPr/>
        </xdr:nvGrpSpPr>
        <xdr:grpSpPr>
          <a:xfrm>
            <a:off x="5200650" y="2066926"/>
            <a:ext cx="1666875" cy="2095499"/>
            <a:chOff x="5200650" y="2066926"/>
            <a:chExt cx="1666875" cy="2095499"/>
          </a:xfrm>
        </xdr:grpSpPr>
        <xdr:sp macro="" textlink="">
          <xdr:nvSpPr>
            <xdr:cNvPr id="29" name="Estrela: 5 Pontas 28">
              <a:extLst>
                <a:ext uri="{FF2B5EF4-FFF2-40B4-BE49-F238E27FC236}">
                  <a16:creationId xmlns:a16="http://schemas.microsoft.com/office/drawing/2014/main" id="{EA109C9D-65E8-0B7C-A1C2-86294505A835}"/>
                </a:ext>
              </a:extLst>
            </xdr:cNvPr>
            <xdr:cNvSpPr/>
          </xdr:nvSpPr>
          <xdr:spPr>
            <a:xfrm>
              <a:off x="5749925" y="2066926"/>
              <a:ext cx="704850" cy="571500"/>
            </a:xfrm>
            <a:prstGeom prst="star5">
              <a:avLst>
                <a:gd name="adj" fmla="val 24347"/>
                <a:gd name="hf" fmla="val 105146"/>
                <a:gd name="vf" fmla="val 110557"/>
              </a:avLst>
            </a:prstGeom>
            <a:solidFill>
              <a:srgbClr val="0070C0"/>
            </a:solidFill>
            <a:ln>
              <a:solidFill>
                <a:schemeClr val="accent1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F6087612-67A9-47E5-8711-DB8BDA84B39C}"/>
                </a:ext>
              </a:extLst>
            </xdr:cNvPr>
            <xdr:cNvSpPr txBox="1"/>
          </xdr:nvSpPr>
          <xdr:spPr>
            <a:xfrm>
              <a:off x="5437505" y="2733675"/>
              <a:ext cx="138874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50" b="1">
                  <a:solidFill>
                    <a:schemeClr val="tx1"/>
                  </a:solidFill>
                  <a:latin typeface="Montserrat SemiBold" pitchFamily="2" charset="0"/>
                </a:rPr>
                <a:t>LOJA PERFEITA</a:t>
              </a:r>
            </a:p>
          </xdr:txBody>
        </xdr:sp>
        <xdr:sp macro="" textlink="">
          <xdr:nvSpPr>
            <xdr:cNvPr id="39" name="CaixaDeTexto 38">
              <a:extLst>
                <a:ext uri="{FF2B5EF4-FFF2-40B4-BE49-F238E27FC236}">
                  <a16:creationId xmlns:a16="http://schemas.microsoft.com/office/drawing/2014/main" id="{302705FA-9D0B-49FD-A63E-51D4922CC9EE}"/>
                </a:ext>
              </a:extLst>
            </xdr:cNvPr>
            <xdr:cNvSpPr txBox="1"/>
          </xdr:nvSpPr>
          <xdr:spPr>
            <a:xfrm>
              <a:off x="5276850" y="3638550"/>
              <a:ext cx="56197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tx1"/>
                  </a:solidFill>
                  <a:latin typeface="Montserrat SemiBold" pitchFamily="2" charset="0"/>
                </a:rPr>
                <a:t>lojas</a:t>
              </a:r>
              <a:r>
                <a:rPr lang="pt-BR" sz="1050" b="1">
                  <a:solidFill>
                    <a:schemeClr val="tx1"/>
                  </a:solidFill>
                  <a:latin typeface="Montserrat SemiBold" pitchFamily="2" charset="0"/>
                </a:rPr>
                <a:t>:</a:t>
              </a:r>
            </a:p>
          </xdr:txBody>
        </xdr:sp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F98BD11B-039B-4DC6-8B26-894E411D98F6}"/>
                </a:ext>
              </a:extLst>
            </xdr:cNvPr>
            <xdr:cNvSpPr txBox="1"/>
          </xdr:nvSpPr>
          <xdr:spPr>
            <a:xfrm>
              <a:off x="6181725" y="3638550"/>
              <a:ext cx="6858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tx1"/>
                  </a:solidFill>
                  <a:latin typeface="Montserrat SemiBold" pitchFamily="2" charset="0"/>
                </a:rPr>
                <a:t>Média:</a:t>
              </a:r>
            </a:p>
          </xdr:txBody>
        </xdr:sp>
        <xdr:sp macro="" textlink="">
          <xdr:nvSpPr>
            <xdr:cNvPr id="42" name="CaixaDeTexto 41">
              <a:extLst>
                <a:ext uri="{FF2B5EF4-FFF2-40B4-BE49-F238E27FC236}">
                  <a16:creationId xmlns:a16="http://schemas.microsoft.com/office/drawing/2014/main" id="{7E04AE64-FFA9-4EC4-ABC8-F564B4FE873B}"/>
                </a:ext>
              </a:extLst>
            </xdr:cNvPr>
            <xdr:cNvSpPr txBox="1"/>
          </xdr:nvSpPr>
          <xdr:spPr>
            <a:xfrm>
              <a:off x="5200650" y="3867150"/>
              <a:ext cx="51879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b="1"/>
                <a:t> 71</a:t>
              </a:r>
            </a:p>
          </xdr:txBody>
        </xdr:sp>
        <xdr:sp macro="" textlink="'LOJA PERFEITA'!O12">
          <xdr:nvSpPr>
            <xdr:cNvPr id="43" name="CaixaDeTexto 42">
              <a:extLst>
                <a:ext uri="{FF2B5EF4-FFF2-40B4-BE49-F238E27FC236}">
                  <a16:creationId xmlns:a16="http://schemas.microsoft.com/office/drawing/2014/main" id="{EB3809A6-6DC9-42EB-AF5C-76ABFE82A23E}"/>
                </a:ext>
              </a:extLst>
            </xdr:cNvPr>
            <xdr:cNvSpPr txBox="1"/>
          </xdr:nvSpPr>
          <xdr:spPr>
            <a:xfrm>
              <a:off x="5438775" y="3305175"/>
              <a:ext cx="504825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5F690A9F-2026-45B5-B08D-1D2C8E6F706A}" type="TxLink">
                <a:rPr lang="en-US" sz="18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57</a:t>
              </a:fld>
              <a:endParaRPr lang="pt-BR" sz="7200" b="1">
                <a:solidFill>
                  <a:schemeClr val="tx1"/>
                </a:solidFill>
                <a:latin typeface="Montserrat SemiBold" pitchFamily="2" charset="0"/>
              </a:endParaRPr>
            </a:p>
          </xdr:txBody>
        </xdr:sp>
        <xdr:sp macro="" textlink="">
          <xdr:nvSpPr>
            <xdr:cNvPr id="44" name="CaixaDeTexto 43">
              <a:extLst>
                <a:ext uri="{FF2B5EF4-FFF2-40B4-BE49-F238E27FC236}">
                  <a16:creationId xmlns:a16="http://schemas.microsoft.com/office/drawing/2014/main" id="{231BE358-85CC-4FE3-8AE8-D679AE1AEB9D}"/>
                </a:ext>
              </a:extLst>
            </xdr:cNvPr>
            <xdr:cNvSpPr txBox="1"/>
          </xdr:nvSpPr>
          <xdr:spPr>
            <a:xfrm>
              <a:off x="6286500" y="3829050"/>
              <a:ext cx="51879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2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80</a:t>
              </a:r>
            </a:p>
          </xdr:txBody>
        </xdr:sp>
        <xdr:sp macro="" textlink="'LOJA PERFEITA'!$R$12">
          <xdr:nvSpPr>
            <xdr:cNvPr id="45" name="CaixaDeTexto 44">
              <a:extLst>
                <a:ext uri="{FF2B5EF4-FFF2-40B4-BE49-F238E27FC236}">
                  <a16:creationId xmlns:a16="http://schemas.microsoft.com/office/drawing/2014/main" id="{BFA9E731-BD52-45B9-A9E9-109ED052E44F}"/>
                </a:ext>
              </a:extLst>
            </xdr:cNvPr>
            <xdr:cNvSpPr txBox="1"/>
          </xdr:nvSpPr>
          <xdr:spPr>
            <a:xfrm>
              <a:off x="5600700" y="2933700"/>
              <a:ext cx="1066800" cy="5238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152E9E1B-6932-4FE7-8C9E-865AEFD79A40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90,117</a:t>
              </a:fld>
              <a:endParaRPr lang="pt-BR" sz="6000" b="1">
                <a:solidFill>
                  <a:schemeClr val="tx1"/>
                </a:solidFill>
                <a:latin typeface="Montserrat SemiBold" pitchFamily="2" charset="0"/>
              </a:endParaRPr>
            </a:p>
          </xdr:txBody>
        </xdr:sp>
      </xdr:grpSp>
    </xdr:grpSp>
    <xdr:clientData/>
  </xdr:twoCellAnchor>
  <xdr:twoCellAnchor editAs="absolute">
    <xdr:from>
      <xdr:col>0</xdr:col>
      <xdr:colOff>419099</xdr:colOff>
      <xdr:row>5</xdr:row>
      <xdr:rowOff>95250</xdr:rowOff>
    </xdr:from>
    <xdr:to>
      <xdr:col>4</xdr:col>
      <xdr:colOff>464325</xdr:colOff>
      <xdr:row>17</xdr:row>
      <xdr:rowOff>45720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A053A3B5-2C7C-322D-C628-57334BE461A4}"/>
            </a:ext>
          </a:extLst>
        </xdr:cNvPr>
        <xdr:cNvGrpSpPr/>
      </xdr:nvGrpSpPr>
      <xdr:grpSpPr>
        <a:xfrm>
          <a:off x="419099" y="1900859"/>
          <a:ext cx="2036227" cy="2148536"/>
          <a:chOff x="419099" y="1933575"/>
          <a:chExt cx="1967861" cy="223837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7C8FE4D2-FFFC-3023-1C62-97AAC5708291}"/>
              </a:ext>
            </a:extLst>
          </xdr:cNvPr>
          <xdr:cNvSpPr/>
        </xdr:nvSpPr>
        <xdr:spPr>
          <a:xfrm>
            <a:off x="438150" y="1933575"/>
            <a:ext cx="1876425" cy="2238375"/>
          </a:xfrm>
          <a:prstGeom prst="roundRect">
            <a:avLst>
              <a:gd name="adj" fmla="val 4992"/>
            </a:avLst>
          </a:prstGeom>
          <a:solidFill>
            <a:srgbClr val="FF3B3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9" name="Gráfico 18" descr="Gráfico de barras com tendência ascendente com preenchimento sólido">
            <a:extLst>
              <a:ext uri="{FF2B5EF4-FFF2-40B4-BE49-F238E27FC236}">
                <a16:creationId xmlns:a16="http://schemas.microsoft.com/office/drawing/2014/main" id="{7367E46D-B847-E623-7885-03858165CE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952500" y="1933575"/>
            <a:ext cx="733425" cy="733425"/>
          </a:xfrm>
          <a:prstGeom prst="rect">
            <a:avLst/>
          </a:prstGeom>
        </xdr:spPr>
      </xdr:pic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E3798153-3E4B-05C9-34C6-AD0D447E1BD1}"/>
              </a:ext>
            </a:extLst>
          </xdr:cNvPr>
          <xdr:cNvSpPr txBox="1"/>
        </xdr:nvSpPr>
        <xdr:spPr>
          <a:xfrm>
            <a:off x="640080" y="2676525"/>
            <a:ext cx="1388745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050" b="1">
                <a:solidFill>
                  <a:schemeClr val="bg1"/>
                </a:solidFill>
                <a:latin typeface="Montserrat SemiBold" pitchFamily="2" charset="0"/>
              </a:rPr>
              <a:t>VOLUME TOTAL</a:t>
            </a:r>
          </a:p>
          <a:p>
            <a:pPr algn="ctr"/>
            <a:r>
              <a:rPr lang="pt-BR" sz="1050" b="1">
                <a:solidFill>
                  <a:schemeClr val="bg1"/>
                </a:solidFill>
                <a:latin typeface="Montserrat SemiBold" pitchFamily="2" charset="0"/>
              </a:rPr>
              <a:t>TRIMESTRAL</a:t>
            </a:r>
          </a:p>
        </xdr:txBody>
      </xdr:sp>
      <xdr:sp macro="" textlink="'VOLUME POSITIVACAO'!F24">
        <xdr:nvSpPr>
          <xdr:cNvPr id="46" name="CaixaDeTexto 45">
            <a:extLst>
              <a:ext uri="{FF2B5EF4-FFF2-40B4-BE49-F238E27FC236}">
                <a16:creationId xmlns:a16="http://schemas.microsoft.com/office/drawing/2014/main" id="{69C5D655-C5FD-45F3-9A22-126EE78174F4}"/>
              </a:ext>
            </a:extLst>
          </xdr:cNvPr>
          <xdr:cNvSpPr txBox="1"/>
        </xdr:nvSpPr>
        <xdr:spPr>
          <a:xfrm>
            <a:off x="687705" y="3067050"/>
            <a:ext cx="1388745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86FEADB-460A-49F6-84D1-81BD6B479DA8}" type="TxLink">
              <a:rPr lang="en-US" sz="28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pPr algn="ctr"/>
              <a:t>73,6%</a:t>
            </a:fld>
            <a:endParaRPr lang="pt-BR" sz="8000" b="1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47" name="CaixaDeTexto 46">
            <a:extLst>
              <a:ext uri="{FF2B5EF4-FFF2-40B4-BE49-F238E27FC236}">
                <a16:creationId xmlns:a16="http://schemas.microsoft.com/office/drawing/2014/main" id="{7941156B-8B2F-4029-B38B-D4A8CAA98077}"/>
              </a:ext>
            </a:extLst>
          </xdr:cNvPr>
          <xdr:cNvSpPr txBox="1"/>
        </xdr:nvSpPr>
        <xdr:spPr>
          <a:xfrm>
            <a:off x="419099" y="3648076"/>
            <a:ext cx="55245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t>META:</a:t>
            </a:r>
          </a:p>
        </xdr:txBody>
      </xdr:sp>
      <xdr:sp macro="" textlink="">
        <xdr:nvSpPr>
          <xdr:cNvPr id="48" name="CaixaDeTexto 47">
            <a:extLst>
              <a:ext uri="{FF2B5EF4-FFF2-40B4-BE49-F238E27FC236}">
                <a16:creationId xmlns:a16="http://schemas.microsoft.com/office/drawing/2014/main" id="{1B8D314B-CCD8-4AD3-B246-54B241ED55BC}"/>
              </a:ext>
            </a:extLst>
          </xdr:cNvPr>
          <xdr:cNvSpPr txBox="1"/>
        </xdr:nvSpPr>
        <xdr:spPr>
          <a:xfrm>
            <a:off x="962024" y="3600451"/>
            <a:ext cx="838201" cy="1714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t>REALIZADO:</a:t>
            </a:r>
          </a:p>
        </xdr:txBody>
      </xdr:sp>
      <xdr:sp macro="" textlink="">
        <xdr:nvSpPr>
          <xdr:cNvPr id="49" name="CaixaDeTexto 48">
            <a:extLst>
              <a:ext uri="{FF2B5EF4-FFF2-40B4-BE49-F238E27FC236}">
                <a16:creationId xmlns:a16="http://schemas.microsoft.com/office/drawing/2014/main" id="{E4E9F774-784F-430C-B00A-E3EBEADA2C0D}"/>
              </a:ext>
            </a:extLst>
          </xdr:cNvPr>
          <xdr:cNvSpPr txBox="1"/>
        </xdr:nvSpPr>
        <xdr:spPr>
          <a:xfrm>
            <a:off x="1790699" y="3648076"/>
            <a:ext cx="55245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t>GAP:</a:t>
            </a:r>
          </a:p>
        </xdr:txBody>
      </xdr:sp>
      <xdr:sp macro="" textlink="'VOLUME POSITIVACAO'!C24">
        <xdr:nvSpPr>
          <xdr:cNvPr id="50" name="CaixaDeTexto 49">
            <a:extLst>
              <a:ext uri="{FF2B5EF4-FFF2-40B4-BE49-F238E27FC236}">
                <a16:creationId xmlns:a16="http://schemas.microsoft.com/office/drawing/2014/main" id="{6792D4A5-4D68-4CC0-81E0-F5D82FCBCB86}"/>
              </a:ext>
            </a:extLst>
          </xdr:cNvPr>
          <xdr:cNvSpPr txBox="1"/>
        </xdr:nvSpPr>
        <xdr:spPr>
          <a:xfrm>
            <a:off x="438149" y="3876676"/>
            <a:ext cx="55245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91C82969-877C-43B8-AA60-892AB56A7A22}" type="TxLink">
              <a: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pPr algn="ctr"/>
              <a:t>31766,00</a:t>
            </a:fld>
            <a:endParaRPr lang="en-US" sz="10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endParaRPr>
          </a:p>
        </xdr:txBody>
      </xdr:sp>
      <xdr:sp macro="" textlink="'VOLUME POSITIVACAO'!D24">
        <xdr:nvSpPr>
          <xdr:cNvPr id="51" name="CaixaDeTexto 50">
            <a:extLst>
              <a:ext uri="{FF2B5EF4-FFF2-40B4-BE49-F238E27FC236}">
                <a16:creationId xmlns:a16="http://schemas.microsoft.com/office/drawing/2014/main" id="{97B09E71-149B-4142-90DD-CEDCBF9AD814}"/>
              </a:ext>
            </a:extLst>
          </xdr:cNvPr>
          <xdr:cNvSpPr txBox="1"/>
        </xdr:nvSpPr>
        <xdr:spPr>
          <a:xfrm>
            <a:off x="981074" y="3829051"/>
            <a:ext cx="838201" cy="2857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625466F-F922-43B5-8053-1D61BCD4CCE8}" type="TxLink">
              <a: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pPr algn="ctr"/>
              <a:t>23377,04</a:t>
            </a:fld>
            <a:endParaRPr lang="en-US" sz="11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endParaRPr>
          </a:p>
        </xdr:txBody>
      </xdr:sp>
      <xdr:sp macro="" textlink="'VOLUME POSITIVACAO'!E24">
        <xdr:nvSpPr>
          <xdr:cNvPr id="52" name="CaixaDeTexto 51">
            <a:extLst>
              <a:ext uri="{FF2B5EF4-FFF2-40B4-BE49-F238E27FC236}">
                <a16:creationId xmlns:a16="http://schemas.microsoft.com/office/drawing/2014/main" id="{A43060FA-6CD0-473F-AAC4-0862D24B463A}"/>
              </a:ext>
            </a:extLst>
          </xdr:cNvPr>
          <xdr:cNvSpPr txBox="1"/>
        </xdr:nvSpPr>
        <xdr:spPr>
          <a:xfrm>
            <a:off x="1610742" y="3909836"/>
            <a:ext cx="776218" cy="219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E0EC2A7-035A-475D-98D7-B01901CD8F35}" type="TxLink">
              <a:rPr lang="en-US" sz="8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pPr algn="ctr"/>
              <a:t>-8388,96</a:t>
            </a:fld>
            <a:endParaRPr lang="en-US" sz="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 editAs="absolute">
    <xdr:from>
      <xdr:col>12</xdr:col>
      <xdr:colOff>502203</xdr:colOff>
      <xdr:row>5</xdr:row>
      <xdr:rowOff>95250</xdr:rowOff>
    </xdr:from>
    <xdr:to>
      <xdr:col>14</xdr:col>
      <xdr:colOff>581441</xdr:colOff>
      <xdr:row>17</xdr:row>
      <xdr:rowOff>87630</xdr:rowOff>
    </xdr:to>
    <xdr:grpSp>
      <xdr:nvGrpSpPr>
        <xdr:cNvPr id="81" name="Agrupar 80">
          <a:extLst>
            <a:ext uri="{FF2B5EF4-FFF2-40B4-BE49-F238E27FC236}">
              <a16:creationId xmlns:a16="http://schemas.microsoft.com/office/drawing/2014/main" id="{A42CE4C2-1A4D-1CF2-F53F-9E98A6BB07F1}"/>
            </a:ext>
          </a:extLst>
        </xdr:cNvPr>
        <xdr:cNvGrpSpPr/>
      </xdr:nvGrpSpPr>
      <xdr:grpSpPr>
        <a:xfrm>
          <a:off x="7968008" y="1900859"/>
          <a:ext cx="2027584" cy="2184096"/>
          <a:chOff x="7552166" y="1917424"/>
          <a:chExt cx="1928193" cy="2278380"/>
        </a:xfrm>
      </xdr:grpSpPr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3B8090E1-CD5D-469F-AD16-B1D88FEBACCF}"/>
              </a:ext>
            </a:extLst>
          </xdr:cNvPr>
          <xdr:cNvSpPr/>
        </xdr:nvSpPr>
        <xdr:spPr>
          <a:xfrm>
            <a:off x="7552166" y="1951714"/>
            <a:ext cx="1867231" cy="2244090"/>
          </a:xfrm>
          <a:prstGeom prst="roundRect">
            <a:avLst>
              <a:gd name="adj" fmla="val 4992"/>
            </a:avLst>
          </a:prstGeom>
          <a:solidFill>
            <a:schemeClr val="accent6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73" name="Agrupar 72">
            <a:extLst>
              <a:ext uri="{FF2B5EF4-FFF2-40B4-BE49-F238E27FC236}">
                <a16:creationId xmlns:a16="http://schemas.microsoft.com/office/drawing/2014/main" id="{7C094723-B38B-13E7-A1DD-E22956201E2B}"/>
              </a:ext>
            </a:extLst>
          </xdr:cNvPr>
          <xdr:cNvGrpSpPr/>
        </xdr:nvGrpSpPr>
        <xdr:grpSpPr>
          <a:xfrm>
            <a:off x="7552166" y="1917424"/>
            <a:ext cx="1928193" cy="2173605"/>
            <a:chOff x="7562850" y="1905000"/>
            <a:chExt cx="1943102" cy="2190750"/>
          </a:xfrm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33" name="CaixaDeTexto 32">
              <a:extLst>
                <a:ext uri="{FF2B5EF4-FFF2-40B4-BE49-F238E27FC236}">
                  <a16:creationId xmlns:a16="http://schemas.microsoft.com/office/drawing/2014/main" id="{E7F5C686-0C51-4DB9-97BA-2D2A2B85114A}"/>
                </a:ext>
              </a:extLst>
            </xdr:cNvPr>
            <xdr:cNvSpPr txBox="1"/>
          </xdr:nvSpPr>
          <xdr:spPr>
            <a:xfrm>
              <a:off x="7764780" y="2628900"/>
              <a:ext cx="1388745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50" b="1">
                  <a:solidFill>
                    <a:schemeClr val="bg1"/>
                  </a:solidFill>
                  <a:latin typeface="Montserrat SemiBold" pitchFamily="2" charset="0"/>
                </a:rPr>
                <a:t>DISTRIBUIÇÃO </a:t>
              </a:r>
            </a:p>
            <a:p>
              <a:pPr algn="ctr"/>
              <a:r>
                <a:rPr lang="pt-BR" sz="1050" b="1">
                  <a:solidFill>
                    <a:schemeClr val="bg1"/>
                  </a:solidFill>
                  <a:latin typeface="Montserrat SemiBold" pitchFamily="2" charset="0"/>
                </a:rPr>
                <a:t>ANO FISCAL</a:t>
              </a:r>
            </a:p>
          </xdr:txBody>
        </xdr:sp>
        <xdr:pic>
          <xdr:nvPicPr>
            <xdr:cNvPr id="35" name="Gráfico 34" descr="Usuários com preenchimento sólido">
              <a:extLst>
                <a:ext uri="{FF2B5EF4-FFF2-40B4-BE49-F238E27FC236}">
                  <a16:creationId xmlns:a16="http://schemas.microsoft.com/office/drawing/2014/main" id="{FEC6F474-33BE-66E4-E4DD-CACEFDA4FE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>
              <a:extLs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8029575" y="1905000"/>
              <a:ext cx="914400" cy="914400"/>
            </a:xfrm>
            <a:prstGeom prst="rect">
              <a:avLst/>
            </a:prstGeom>
          </xdr:spPr>
        </xdr:pic>
        <xdr:sp macro="" textlink="'VOLUME POSITIVACAO'!M22">
          <xdr:nvSpPr>
            <xdr:cNvPr id="53" name="CaixaDeTexto 52">
              <a:extLst>
                <a:ext uri="{FF2B5EF4-FFF2-40B4-BE49-F238E27FC236}">
                  <a16:creationId xmlns:a16="http://schemas.microsoft.com/office/drawing/2014/main" id="{525EB30A-6B32-4B2D-BAED-26124824907A}"/>
                </a:ext>
              </a:extLst>
            </xdr:cNvPr>
            <xdr:cNvSpPr txBox="1"/>
          </xdr:nvSpPr>
          <xdr:spPr>
            <a:xfrm>
              <a:off x="7831456" y="3019425"/>
              <a:ext cx="1388745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44047C4F-5E34-4E7E-86CE-5AA072584BED}" type="TxLink">
                <a:rPr lang="en-US" sz="28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pPr algn="ctr"/>
                <a:t>94,4%</a:t>
              </a:fld>
              <a:endParaRPr lang="pt-BR" sz="34400" b="1">
                <a:solidFill>
                  <a:schemeClr val="bg1"/>
                </a:solidFill>
                <a:latin typeface="Montserrat SemiBold" pitchFamily="2" charset="0"/>
              </a:endParaRPr>
            </a:p>
          </xdr:txBody>
        </xdr:sp>
        <xdr:sp macro="" textlink="">
          <xdr:nvSpPr>
            <xdr:cNvPr id="54" name="CaixaDeTexto 53">
              <a:extLst>
                <a:ext uri="{FF2B5EF4-FFF2-40B4-BE49-F238E27FC236}">
                  <a16:creationId xmlns:a16="http://schemas.microsoft.com/office/drawing/2014/main" id="{4F05A4AA-7E16-4767-ABA7-1029BA378486}"/>
                </a:ext>
              </a:extLst>
            </xdr:cNvPr>
            <xdr:cNvSpPr txBox="1"/>
          </xdr:nvSpPr>
          <xdr:spPr>
            <a:xfrm>
              <a:off x="7562850" y="3629026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META:</a:t>
              </a:r>
            </a:p>
          </xdr:txBody>
        </xdr:sp>
        <xdr:sp macro="" textlink="">
          <xdr:nvSpPr>
            <xdr:cNvPr id="55" name="CaixaDeTexto 54">
              <a:extLst>
                <a:ext uri="{FF2B5EF4-FFF2-40B4-BE49-F238E27FC236}">
                  <a16:creationId xmlns:a16="http://schemas.microsoft.com/office/drawing/2014/main" id="{325C0FF6-581D-4817-9530-4DBC4D4EEC8C}"/>
                </a:ext>
              </a:extLst>
            </xdr:cNvPr>
            <xdr:cNvSpPr txBox="1"/>
          </xdr:nvSpPr>
          <xdr:spPr>
            <a:xfrm>
              <a:off x="8105775" y="3581401"/>
              <a:ext cx="838201" cy="263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REALIZADO:</a:t>
              </a:r>
            </a:p>
          </xdr:txBody>
        </xdr:sp>
        <xdr:sp macro="" textlink="">
          <xdr:nvSpPr>
            <xdr:cNvPr id="56" name="CaixaDeTexto 55">
              <a:extLst>
                <a:ext uri="{FF2B5EF4-FFF2-40B4-BE49-F238E27FC236}">
                  <a16:creationId xmlns:a16="http://schemas.microsoft.com/office/drawing/2014/main" id="{DCA27B85-C6BA-4F1A-AD2D-C5D13904CD48}"/>
                </a:ext>
              </a:extLst>
            </xdr:cNvPr>
            <xdr:cNvSpPr txBox="1"/>
          </xdr:nvSpPr>
          <xdr:spPr>
            <a:xfrm>
              <a:off x="8934450" y="3629026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GAP:</a:t>
              </a:r>
            </a:p>
          </xdr:txBody>
        </xdr:sp>
        <xdr:sp macro="" textlink="'VOLUME POSITIVACAO'!J22">
          <xdr:nvSpPr>
            <xdr:cNvPr id="57" name="CaixaDeTexto 56">
              <a:extLst>
                <a:ext uri="{FF2B5EF4-FFF2-40B4-BE49-F238E27FC236}">
                  <a16:creationId xmlns:a16="http://schemas.microsoft.com/office/drawing/2014/main" id="{60DECFAA-CDB3-4332-852B-404E4933896C}"/>
                </a:ext>
              </a:extLst>
            </xdr:cNvPr>
            <xdr:cNvSpPr txBox="1"/>
          </xdr:nvSpPr>
          <xdr:spPr>
            <a:xfrm>
              <a:off x="7581900" y="3857626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AB25EC03-DBE5-4ABA-9EEB-0549227AAE5A}" type="TxLink">
                <a:rPr lang="en-US" sz="105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pPr algn="ctr"/>
                <a:t>6.593</a:t>
              </a:fld>
              <a:endParaRPr lang="en-US" sz="105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'VOLUME POSITIVACAO'!K22">
          <xdr:nvSpPr>
            <xdr:cNvPr id="58" name="CaixaDeTexto 57">
              <a:extLst>
                <a:ext uri="{FF2B5EF4-FFF2-40B4-BE49-F238E27FC236}">
                  <a16:creationId xmlns:a16="http://schemas.microsoft.com/office/drawing/2014/main" id="{3C27C3A2-5509-4808-99F4-D1F62E4510E0}"/>
                </a:ext>
              </a:extLst>
            </xdr:cNvPr>
            <xdr:cNvSpPr txBox="1"/>
          </xdr:nvSpPr>
          <xdr:spPr>
            <a:xfrm>
              <a:off x="8124825" y="3810001"/>
              <a:ext cx="838201" cy="2857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CF9A0AEA-664E-4E8D-9E5E-E465591D7CBA}" type="TxLink"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pPr algn="ctr"/>
                <a:t>6225</a:t>
              </a:fld>
              <a:endParaRPr lang="en-US" sz="18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'VOLUME POSITIVACAO'!L22">
          <xdr:nvSpPr>
            <xdr:cNvPr id="59" name="CaixaDeTexto 58">
              <a:extLst>
                <a:ext uri="{FF2B5EF4-FFF2-40B4-BE49-F238E27FC236}">
                  <a16:creationId xmlns:a16="http://schemas.microsoft.com/office/drawing/2014/main" id="{E85FECEF-B68A-4682-B4D1-DC7DD02175B3}"/>
                </a:ext>
              </a:extLst>
            </xdr:cNvPr>
            <xdr:cNvSpPr txBox="1"/>
          </xdr:nvSpPr>
          <xdr:spPr>
            <a:xfrm>
              <a:off x="8896352" y="3857626"/>
              <a:ext cx="609600" cy="2190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02D3D5E5-AA1E-439B-A384-CC8CA52A3AAB}" type="TxLink"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pPr algn="ctr"/>
                <a:t>-368</a:t>
              </a:fld>
              <a:endPara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 editAs="absolute">
    <xdr:from>
      <xdr:col>5</xdr:col>
      <xdr:colOff>199557</xdr:colOff>
      <xdr:row>5</xdr:row>
      <xdr:rowOff>95250</xdr:rowOff>
    </xdr:from>
    <xdr:to>
      <xdr:col>8</xdr:col>
      <xdr:colOff>30400</xdr:colOff>
      <xdr:row>17</xdr:row>
      <xdr:rowOff>68579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7483663D-EA81-84FD-281B-324D9D0D985E}"/>
            </a:ext>
          </a:extLst>
        </xdr:cNvPr>
        <xdr:cNvGrpSpPr/>
      </xdr:nvGrpSpPr>
      <xdr:grpSpPr>
        <a:xfrm>
          <a:off x="2960841" y="1900859"/>
          <a:ext cx="2060797" cy="2165045"/>
          <a:chOff x="2813050" y="1933575"/>
          <a:chExt cx="1943102" cy="2257424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FEA14AE7-2538-392B-FD03-C0641C29FCE5}"/>
              </a:ext>
            </a:extLst>
          </xdr:cNvPr>
          <xdr:cNvSpPr/>
        </xdr:nvSpPr>
        <xdr:spPr>
          <a:xfrm>
            <a:off x="2813050" y="1952624"/>
            <a:ext cx="1876425" cy="2238375"/>
          </a:xfrm>
          <a:prstGeom prst="roundRect">
            <a:avLst>
              <a:gd name="adj" fmla="val 4992"/>
            </a:avLst>
          </a:prstGeom>
          <a:solidFill>
            <a:srgbClr val="FDD933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71" name="Agrupar 70">
            <a:extLst>
              <a:ext uri="{FF2B5EF4-FFF2-40B4-BE49-F238E27FC236}">
                <a16:creationId xmlns:a16="http://schemas.microsoft.com/office/drawing/2014/main" id="{0E640693-B6A9-9107-2BBB-D9657BCA771C}"/>
              </a:ext>
            </a:extLst>
          </xdr:cNvPr>
          <xdr:cNvGrpSpPr/>
        </xdr:nvGrpSpPr>
        <xdr:grpSpPr>
          <a:xfrm>
            <a:off x="2813050" y="1933575"/>
            <a:ext cx="1943102" cy="2181224"/>
            <a:chOff x="2813050" y="1933575"/>
            <a:chExt cx="1943102" cy="2181224"/>
          </a:xfrm>
        </xdr:grpSpPr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C0ECAA9C-8B80-4A66-433B-2C2715EC1CF8}"/>
                </a:ext>
              </a:extLst>
            </xdr:cNvPr>
            <xdr:cNvSpPr txBox="1"/>
          </xdr:nvSpPr>
          <xdr:spPr>
            <a:xfrm>
              <a:off x="3114992" y="2724149"/>
              <a:ext cx="1388745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50" b="1">
                  <a:solidFill>
                    <a:schemeClr val="tx1"/>
                  </a:solidFill>
                  <a:latin typeface="Montserrat SemiBold" pitchFamily="2" charset="0"/>
                </a:rPr>
                <a:t>TOP</a:t>
              </a:r>
              <a:r>
                <a:rPr lang="pt-BR" sz="1050" b="1" baseline="0">
                  <a:solidFill>
                    <a:schemeClr val="tx1"/>
                  </a:solidFill>
                  <a:latin typeface="Montserrat SemiBold" pitchFamily="2" charset="0"/>
                </a:rPr>
                <a:t> CONTAS</a:t>
              </a:r>
              <a:endParaRPr lang="pt-BR" sz="1050" b="1">
                <a:solidFill>
                  <a:schemeClr val="tx1"/>
                </a:solidFill>
                <a:latin typeface="Montserrat SemiBold" pitchFamily="2" charset="0"/>
              </a:endParaRPr>
            </a:p>
          </xdr:txBody>
        </xdr:sp>
        <xdr:pic>
          <xdr:nvPicPr>
            <xdr:cNvPr id="27" name="Gráfico 26" descr="Selo de Área de Transferência estrutura de tópicos">
              <a:extLst>
                <a:ext uri="{FF2B5EF4-FFF2-40B4-BE49-F238E27FC236}">
                  <a16:creationId xmlns:a16="http://schemas.microsoft.com/office/drawing/2014/main" id="{C9251D43-DF3E-654F-6BD5-8381B92330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extLst>
                <a:ext uri="{96DAC541-7B7A-43D3-8B79-37D633B846F1}">
                  <asvg:svgBlip xmlns:asvg="http://schemas.microsoft.com/office/drawing/2016/SVG/main" r:embed="rId15"/>
                </a:ext>
              </a:extLst>
            </a:blip>
            <a:stretch>
              <a:fillRect/>
            </a:stretch>
          </xdr:blipFill>
          <xdr:spPr>
            <a:xfrm>
              <a:off x="3351213" y="1933575"/>
              <a:ext cx="800100" cy="800100"/>
            </a:xfrm>
            <a:prstGeom prst="rect">
              <a:avLst/>
            </a:prstGeom>
          </xdr:spPr>
        </xdr:pic>
        <xdr:sp macro="" textlink="'VOLUME POSITIVACAO'!I31">
          <xdr:nvSpPr>
            <xdr:cNvPr id="60" name="CaixaDeTexto 59">
              <a:extLst>
                <a:ext uri="{FF2B5EF4-FFF2-40B4-BE49-F238E27FC236}">
                  <a16:creationId xmlns:a16="http://schemas.microsoft.com/office/drawing/2014/main" id="{0E804B34-60F3-45C6-BE68-8DFF7FD4E8E6}"/>
                </a:ext>
              </a:extLst>
            </xdr:cNvPr>
            <xdr:cNvSpPr txBox="1"/>
          </xdr:nvSpPr>
          <xdr:spPr>
            <a:xfrm>
              <a:off x="3081656" y="3067049"/>
              <a:ext cx="1388745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993676A7-20DD-43D9-8538-78E6CAD2B83A}" type="TxLink">
                <a:rPr lang="en-US" sz="28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pPr algn="ctr"/>
                <a:t>53,1%</a:t>
              </a:fld>
              <a:endParaRPr lang="pt-BR" sz="8000" b="1">
                <a:solidFill>
                  <a:schemeClr val="tx1"/>
                </a:solidFill>
                <a:latin typeface="Montserrat SemiBold" pitchFamily="2" charset="0"/>
              </a:endParaRPr>
            </a:p>
          </xdr:txBody>
        </xdr:sp>
        <xdr:sp macro="" textlink="">
          <xdr:nvSpPr>
            <xdr:cNvPr id="61" name="CaixaDeTexto 60">
              <a:extLst>
                <a:ext uri="{FF2B5EF4-FFF2-40B4-BE49-F238E27FC236}">
                  <a16:creationId xmlns:a16="http://schemas.microsoft.com/office/drawing/2014/main" id="{8963EC4B-114F-4147-B442-BD32D32180E5}"/>
                </a:ext>
              </a:extLst>
            </xdr:cNvPr>
            <xdr:cNvSpPr txBox="1"/>
          </xdr:nvSpPr>
          <xdr:spPr>
            <a:xfrm>
              <a:off x="2813050" y="3648075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t>META:</a:t>
              </a:r>
            </a:p>
          </xdr:txBody>
        </xdr:sp>
        <xdr:sp macro="" textlink="">
          <xdr:nvSpPr>
            <xdr:cNvPr id="62" name="CaixaDeTexto 61">
              <a:extLst>
                <a:ext uri="{FF2B5EF4-FFF2-40B4-BE49-F238E27FC236}">
                  <a16:creationId xmlns:a16="http://schemas.microsoft.com/office/drawing/2014/main" id="{5BD74869-40C3-4D10-B0F7-965720F73B27}"/>
                </a:ext>
              </a:extLst>
            </xdr:cNvPr>
            <xdr:cNvSpPr txBox="1"/>
          </xdr:nvSpPr>
          <xdr:spPr>
            <a:xfrm>
              <a:off x="3355975" y="3600449"/>
              <a:ext cx="838201" cy="2578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t>REALIZADO:</a:t>
              </a:r>
            </a:p>
          </xdr:txBody>
        </xdr:sp>
        <xdr:sp macro="" textlink="">
          <xdr:nvSpPr>
            <xdr:cNvPr id="63" name="CaixaDeTexto 62">
              <a:extLst>
                <a:ext uri="{FF2B5EF4-FFF2-40B4-BE49-F238E27FC236}">
                  <a16:creationId xmlns:a16="http://schemas.microsoft.com/office/drawing/2014/main" id="{BC1F408B-FC8C-4265-8E2F-4395D8CD004E}"/>
                </a:ext>
              </a:extLst>
            </xdr:cNvPr>
            <xdr:cNvSpPr txBox="1"/>
          </xdr:nvSpPr>
          <xdr:spPr>
            <a:xfrm>
              <a:off x="4184650" y="3648075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t>GAP:</a:t>
              </a:r>
            </a:p>
          </xdr:txBody>
        </xdr:sp>
        <xdr:sp macro="" textlink="'VOLUME POSITIVACAO'!E31">
          <xdr:nvSpPr>
            <xdr:cNvPr id="64" name="CaixaDeTexto 63">
              <a:extLst>
                <a:ext uri="{FF2B5EF4-FFF2-40B4-BE49-F238E27FC236}">
                  <a16:creationId xmlns:a16="http://schemas.microsoft.com/office/drawing/2014/main" id="{D208E0A5-BEAE-496F-A1E9-4337F836444D}"/>
                </a:ext>
              </a:extLst>
            </xdr:cNvPr>
            <xdr:cNvSpPr txBox="1"/>
          </xdr:nvSpPr>
          <xdr:spPr>
            <a:xfrm>
              <a:off x="2832100" y="3876675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07684A6D-B93E-48B2-AB68-1C90B7E53F94}" type="TxLink">
                <a:rPr lang="en-US" sz="10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pPr algn="ctr"/>
                <a:t>10.857</a:t>
              </a:fld>
              <a:endParaRPr lang="en-US" sz="1000" b="1" i="0" u="none" strike="noStrike">
                <a:solidFill>
                  <a:schemeClr val="tx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'VOLUME POSITIVACAO'!A31">
          <xdr:nvSpPr>
            <xdr:cNvPr id="65" name="CaixaDeTexto 64">
              <a:extLst>
                <a:ext uri="{FF2B5EF4-FFF2-40B4-BE49-F238E27FC236}">
                  <a16:creationId xmlns:a16="http://schemas.microsoft.com/office/drawing/2014/main" id="{2283177D-CA4A-46B3-93CC-B06123036766}"/>
                </a:ext>
              </a:extLst>
            </xdr:cNvPr>
            <xdr:cNvSpPr txBox="1"/>
          </xdr:nvSpPr>
          <xdr:spPr>
            <a:xfrm>
              <a:off x="3375025" y="3829050"/>
              <a:ext cx="838201" cy="2857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02FCFDDD-2CF3-482C-AF0D-19C145783352}" type="TxLink">
                <a:rPr lang="en-US" sz="12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5.763</a:t>
              </a:fld>
              <a:endParaRPr lang="en-US" sz="1200" b="1" i="0" u="none" strike="noStrike">
                <a:solidFill>
                  <a:schemeClr val="tx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'VOLUME POSITIVACAO'!K31">
          <xdr:nvSpPr>
            <xdr:cNvPr id="66" name="CaixaDeTexto 65">
              <a:extLst>
                <a:ext uri="{FF2B5EF4-FFF2-40B4-BE49-F238E27FC236}">
                  <a16:creationId xmlns:a16="http://schemas.microsoft.com/office/drawing/2014/main" id="{54BB0D3F-DBC9-4C45-9071-328A86267716}"/>
                </a:ext>
              </a:extLst>
            </xdr:cNvPr>
            <xdr:cNvSpPr txBox="1"/>
          </xdr:nvSpPr>
          <xdr:spPr>
            <a:xfrm>
              <a:off x="4146552" y="3876675"/>
              <a:ext cx="609600" cy="2190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1B8550D7-6E48-44F6-BB9B-E978C41EE30A}" type="TxLink">
                <a:rPr lang="en-US" sz="10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pPr algn="ctr"/>
                <a:t>5.094</a:t>
              </a:fld>
              <a:endParaRPr lang="en-US" sz="1000" b="1" i="0" u="none" strike="noStrike">
                <a:solidFill>
                  <a:schemeClr val="tx1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 editAs="absolute">
    <xdr:from>
      <xdr:col>16</xdr:col>
      <xdr:colOff>121422</xdr:colOff>
      <xdr:row>4</xdr:row>
      <xdr:rowOff>511865</xdr:rowOff>
    </xdr:from>
    <xdr:to>
      <xdr:col>17</xdr:col>
      <xdr:colOff>457696</xdr:colOff>
      <xdr:row>5</xdr:row>
      <xdr:rowOff>331</xdr:rowOff>
    </xdr:to>
    <xdr:sp macro="" textlink="">
      <xdr:nvSpPr>
        <xdr:cNvPr id="79" name="Retângulo: Cantos Superiores Arredondados 7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5B09A5C-2E6D-46BE-BDA4-8EB95C22A6D0}"/>
            </a:ext>
          </a:extLst>
        </xdr:cNvPr>
        <xdr:cNvSpPr/>
      </xdr:nvSpPr>
      <xdr:spPr>
        <a:xfrm>
          <a:off x="11891009" y="1273865"/>
          <a:ext cx="800100" cy="548640"/>
        </a:xfrm>
        <a:prstGeom prst="round2SameRect">
          <a:avLst/>
        </a:prstGeom>
        <a:solidFill>
          <a:schemeClr val="accent6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PONTOS</a:t>
          </a:r>
        </a:p>
      </xdr:txBody>
    </xdr:sp>
    <xdr:clientData/>
  </xdr:twoCellAnchor>
  <xdr:twoCellAnchor editAs="absolute">
    <xdr:from>
      <xdr:col>14</xdr:col>
      <xdr:colOff>949517</xdr:colOff>
      <xdr:row>4</xdr:row>
      <xdr:rowOff>495300</xdr:rowOff>
    </xdr:from>
    <xdr:to>
      <xdr:col>15</xdr:col>
      <xdr:colOff>330999</xdr:colOff>
      <xdr:row>4</xdr:row>
      <xdr:rowOff>1037590</xdr:rowOff>
    </xdr:to>
    <xdr:sp macro="" textlink="">
      <xdr:nvSpPr>
        <xdr:cNvPr id="10" name="Retângulo: Cantos Superiores Arredondados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1EC6ED2-E56B-4375-978E-14B78C55857F}"/>
            </a:ext>
          </a:extLst>
        </xdr:cNvPr>
        <xdr:cNvSpPr/>
      </xdr:nvSpPr>
      <xdr:spPr>
        <a:xfrm>
          <a:off x="9936147" y="1257300"/>
          <a:ext cx="1806354" cy="54864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GLADE GOTAS</a:t>
          </a:r>
        </a:p>
      </xdr:txBody>
    </xdr:sp>
    <xdr:clientData/>
  </xdr:twoCellAnchor>
  <xdr:twoCellAnchor editAs="absolute">
    <xdr:from>
      <xdr:col>14</xdr:col>
      <xdr:colOff>1037253</xdr:colOff>
      <xdr:row>5</xdr:row>
      <xdr:rowOff>103533</xdr:rowOff>
    </xdr:from>
    <xdr:to>
      <xdr:col>16</xdr:col>
      <xdr:colOff>140804</xdr:colOff>
      <xdr:row>17</xdr:row>
      <xdr:rowOff>78188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1E19497D-90A7-45C5-A465-C86391327EA2}"/>
            </a:ext>
          </a:extLst>
        </xdr:cNvPr>
        <xdr:cNvGrpSpPr/>
      </xdr:nvGrpSpPr>
      <xdr:grpSpPr>
        <a:xfrm>
          <a:off x="10457754" y="1912317"/>
          <a:ext cx="2019029" cy="2166371"/>
          <a:chOff x="9766934" y="1951714"/>
          <a:chExt cx="1928194" cy="224409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F785E9F-981F-9710-51F2-DD450DD0405E}"/>
              </a:ext>
            </a:extLst>
          </xdr:cNvPr>
          <xdr:cNvSpPr/>
        </xdr:nvSpPr>
        <xdr:spPr>
          <a:xfrm>
            <a:off x="9774305" y="1951714"/>
            <a:ext cx="1867232" cy="2244090"/>
          </a:xfrm>
          <a:prstGeom prst="roundRect">
            <a:avLst>
              <a:gd name="adj" fmla="val 4992"/>
            </a:avLst>
          </a:prstGeom>
          <a:solidFill>
            <a:schemeClr val="accent2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F47861E3-7CC2-95CB-AC36-5577FA1606BD}"/>
              </a:ext>
            </a:extLst>
          </xdr:cNvPr>
          <xdr:cNvGrpSpPr/>
        </xdr:nvGrpSpPr>
        <xdr:grpSpPr>
          <a:xfrm>
            <a:off x="9766934" y="2062369"/>
            <a:ext cx="1928194" cy="2080757"/>
            <a:chOff x="9800066" y="2054085"/>
            <a:chExt cx="1928193" cy="2089041"/>
          </a:xfrm>
        </xdr:grpSpPr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5348A42B-1092-20AB-CD77-CFA30A14C584}"/>
                </a:ext>
              </a:extLst>
            </xdr:cNvPr>
            <xdr:cNvSpPr txBox="1"/>
          </xdr:nvSpPr>
          <xdr:spPr>
            <a:xfrm>
              <a:off x="10000447" y="2778865"/>
              <a:ext cx="1450041" cy="5764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50" b="1">
                  <a:solidFill>
                    <a:schemeClr val="bg1"/>
                  </a:solidFill>
                  <a:latin typeface="Montserrat SemiBold" pitchFamily="2" charset="0"/>
                </a:rPr>
                <a:t>GLADE GOTAS</a:t>
              </a:r>
            </a:p>
            <a:p>
              <a:pPr algn="ctr"/>
              <a:endParaRPr lang="pt-BR" sz="1050" b="1">
                <a:solidFill>
                  <a:schemeClr val="bg1"/>
                </a:solidFill>
                <a:latin typeface="Montserrat SemiBold" pitchFamily="2" charset="0"/>
              </a:endParaRPr>
            </a:p>
          </xdr:txBody>
        </xdr:sp>
        <xdr:sp macro="" textlink="LANÇAMENTOS!S19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D87D2381-3213-0C16-06B8-AE08133DEA8E}"/>
                </a:ext>
              </a:extLst>
            </xdr:cNvPr>
            <xdr:cNvSpPr txBox="1"/>
          </xdr:nvSpPr>
          <xdr:spPr>
            <a:xfrm>
              <a:off x="10066611" y="3075224"/>
              <a:ext cx="1378089" cy="5764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B2631543-BAE5-41D2-9B84-9108436330C5}" type="TxLink">
                <a:rPr lang="en-US" sz="28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218,3%</a:t>
              </a:fld>
              <a:endParaRPr lang="pt-BR" sz="6000" b="1">
                <a:solidFill>
                  <a:schemeClr val="bg1"/>
                </a:solidFill>
                <a:latin typeface="Montserrat SemiBold" pitchFamily="2" charset="0"/>
              </a:endParaRPr>
            </a:p>
          </xdr:txBody>
        </xdr:sp>
        <xdr:sp macro="" textlink="">
          <xdr:nvSpPr>
            <xdr:cNvPr id="22" name="CaixaDeTexto 21">
              <a:extLst>
                <a:ext uri="{FF2B5EF4-FFF2-40B4-BE49-F238E27FC236}">
                  <a16:creationId xmlns:a16="http://schemas.microsoft.com/office/drawing/2014/main" id="{A26909F4-D33A-C51C-5CEF-6BBE7F94C92C}"/>
                </a:ext>
              </a:extLst>
            </xdr:cNvPr>
            <xdr:cNvSpPr txBox="1"/>
          </xdr:nvSpPr>
          <xdr:spPr>
            <a:xfrm>
              <a:off x="9800066" y="3680055"/>
              <a:ext cx="548212" cy="1984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META:</a:t>
              </a:r>
            </a:p>
          </xdr:txBody>
        </xdr:sp>
        <xdr:sp macro="" textlink="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AE7D5807-5BBD-2CB6-5441-550938CFF058}"/>
                </a:ext>
              </a:extLst>
            </xdr:cNvPr>
            <xdr:cNvSpPr txBox="1"/>
          </xdr:nvSpPr>
          <xdr:spPr>
            <a:xfrm>
              <a:off x="10338825" y="3632802"/>
              <a:ext cx="831770" cy="2612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REALIZADO:</a:t>
              </a:r>
            </a:p>
          </xdr:txBody>
        </xdr:sp>
        <xdr:sp macro="" textlink="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0A4DA7D2-3869-762C-C1F4-36F1EEB8356C}"/>
                </a:ext>
              </a:extLst>
            </xdr:cNvPr>
            <xdr:cNvSpPr txBox="1"/>
          </xdr:nvSpPr>
          <xdr:spPr>
            <a:xfrm>
              <a:off x="11161142" y="3680055"/>
              <a:ext cx="548212" cy="1984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GAP:</a:t>
              </a:r>
            </a:p>
          </xdr:txBody>
        </xdr:sp>
        <xdr:sp macro="" textlink="LANÇAMENTOS!Q19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03BBAA3D-91B7-8163-62CD-C131F69258DB}"/>
                </a:ext>
              </a:extLst>
            </xdr:cNvPr>
            <xdr:cNvSpPr txBox="1"/>
          </xdr:nvSpPr>
          <xdr:spPr>
            <a:xfrm>
              <a:off x="9818970" y="3906866"/>
              <a:ext cx="548212" cy="1984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 algn="ctr"/>
              <a:fld id="{463C90C9-E0B8-4F1A-B506-2721EA268177}" type="TxLink">
                <a:rPr lang="en-US" sz="11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1030</a:t>
              </a:fld>
              <a:endParaRPr lang="en-US" sz="105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LANÇAMENTOS!R19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612AB98B-84C3-9568-85BD-EE6DBB86F709}"/>
                </a:ext>
              </a:extLst>
            </xdr:cNvPr>
            <xdr:cNvSpPr txBox="1"/>
          </xdr:nvSpPr>
          <xdr:spPr>
            <a:xfrm>
              <a:off x="10357729" y="3859613"/>
              <a:ext cx="831770" cy="2835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 algn="ctr"/>
              <a:fld id="{76935712-ABF6-47FE-A430-D4B327884458}" type="TxLink">
                <a:rPr lang="en-US" sz="11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2.248,42</a:t>
              </a:fld>
              <a:endParaRPr lang="en-US" sz="105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LANÇAMENTOS!T19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63CDBD25-914A-38DA-9B0F-F2927724DB75}"/>
                </a:ext>
              </a:extLst>
            </xdr:cNvPr>
            <xdr:cNvSpPr txBox="1"/>
          </xdr:nvSpPr>
          <xdr:spPr>
            <a:xfrm>
              <a:off x="11017591" y="3906866"/>
              <a:ext cx="710668" cy="2173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F6E4A5D3-285B-4699-9B86-578146A380C8}" type="TxLink">
                <a:rPr lang="en-US" sz="11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1.218,42</a:t>
              </a:fld>
              <a:endParaRPr lang="en-US" sz="9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pic>
          <xdr:nvPicPr>
            <xdr:cNvPr id="37" name="Imagem 36">
              <a:extLst>
                <a:ext uri="{FF2B5EF4-FFF2-40B4-BE49-F238E27FC236}">
                  <a16:creationId xmlns:a16="http://schemas.microsoft.com/office/drawing/2014/main" id="{E0FFF87C-B5E6-F077-D91B-98272BDD47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345980" y="2054085"/>
              <a:ext cx="785846" cy="724333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254794</xdr:colOff>
      <xdr:row>4</xdr:row>
      <xdr:rowOff>323850</xdr:rowOff>
    </xdr:from>
    <xdr:to>
      <xdr:col>4</xdr:col>
      <xdr:colOff>292894</xdr:colOff>
      <xdr:row>4</xdr:row>
      <xdr:rowOff>1047450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F5056A48-CE56-47D2-BA1B-B2408F526F32}"/>
            </a:ext>
          </a:extLst>
        </xdr:cNvPr>
        <xdr:cNvSpPr/>
      </xdr:nvSpPr>
      <xdr:spPr>
        <a:xfrm>
          <a:off x="2140744" y="1085850"/>
          <a:ext cx="1809750" cy="7236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4</xdr:col>
      <xdr:colOff>471488</xdr:colOff>
      <xdr:row>4</xdr:row>
      <xdr:rowOff>495300</xdr:rowOff>
    </xdr:from>
    <xdr:to>
      <xdr:col>8</xdr:col>
      <xdr:colOff>63570</xdr:colOff>
      <xdr:row>4</xdr:row>
      <xdr:rowOff>1047750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814EA2-B5CF-4DD1-89EF-184700413941}"/>
            </a:ext>
          </a:extLst>
        </xdr:cNvPr>
        <xdr:cNvSpPr/>
      </xdr:nvSpPr>
      <xdr:spPr>
        <a:xfrm>
          <a:off x="4129088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8</xdr:col>
      <xdr:colOff>242164</xdr:colOff>
      <xdr:row>4</xdr:row>
      <xdr:rowOff>495300</xdr:rowOff>
    </xdr:from>
    <xdr:to>
      <xdr:col>11</xdr:col>
      <xdr:colOff>23089</xdr:colOff>
      <xdr:row>4</xdr:row>
      <xdr:rowOff>1047750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3E7B8A-CFAF-43A3-ADAE-F3489E9A3194}"/>
            </a:ext>
          </a:extLst>
        </xdr:cNvPr>
        <xdr:cNvSpPr/>
      </xdr:nvSpPr>
      <xdr:spPr>
        <a:xfrm>
          <a:off x="6117432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11</xdr:col>
      <xdr:colOff>201682</xdr:colOff>
      <xdr:row>4</xdr:row>
      <xdr:rowOff>495300</xdr:rowOff>
    </xdr:from>
    <xdr:to>
      <xdr:col>14</xdr:col>
      <xdr:colOff>595520</xdr:colOff>
      <xdr:row>4</xdr:row>
      <xdr:rowOff>1047750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F16E6C4-EAC1-424E-8697-26CBA72171C4}"/>
            </a:ext>
          </a:extLst>
        </xdr:cNvPr>
        <xdr:cNvSpPr/>
      </xdr:nvSpPr>
      <xdr:spPr>
        <a:xfrm>
          <a:off x="8105775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PRIORIDADES</a:t>
          </a:r>
        </a:p>
      </xdr:txBody>
    </xdr:sp>
    <xdr:clientData/>
  </xdr:twoCellAnchor>
  <xdr:twoCellAnchor editAs="absolute">
    <xdr:from>
      <xdr:col>13</xdr:col>
      <xdr:colOff>87382</xdr:colOff>
      <xdr:row>0</xdr:row>
      <xdr:rowOff>57150</xdr:rowOff>
    </xdr:from>
    <xdr:to>
      <xdr:col>15</xdr:col>
      <xdr:colOff>12126</xdr:colOff>
      <xdr:row>2</xdr:row>
      <xdr:rowOff>19050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521E22-DAA8-4C2E-8B68-97BCB8EFEAD1}"/>
            </a:ext>
          </a:extLst>
        </xdr:cNvPr>
        <xdr:cNvGrpSpPr/>
      </xdr:nvGrpSpPr>
      <xdr:grpSpPr>
        <a:xfrm>
          <a:off x="9070837" y="57150"/>
          <a:ext cx="1299657" cy="342900"/>
          <a:chOff x="5068956" y="115237"/>
          <a:chExt cx="2003264" cy="503583"/>
        </a:xfrm>
      </xdr:grpSpPr>
      <xdr:pic>
        <xdr:nvPicPr>
          <xdr:cNvPr id="7" name="Gráfico 6" descr="Documento estrutura de tópicos">
            <a:extLst>
              <a:ext uri="{FF2B5EF4-FFF2-40B4-BE49-F238E27FC236}">
                <a16:creationId xmlns:a16="http://schemas.microsoft.com/office/drawing/2014/main" id="{273A8004-25C5-962C-18E2-802D537D60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1A3FC78D-4097-7DCF-739C-B412EE646E1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19</xdr:col>
      <xdr:colOff>525946</xdr:colOff>
      <xdr:row>0</xdr:row>
      <xdr:rowOff>0</xdr:rowOff>
    </xdr:from>
    <xdr:to>
      <xdr:col>23</xdr:col>
      <xdr:colOff>134386</xdr:colOff>
      <xdr:row>5</xdr:row>
      <xdr:rowOff>66539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3481EDF-D378-4DD0-B866-9E158CA66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038772" y="0"/>
          <a:ext cx="1264962" cy="1888713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485774</xdr:rowOff>
    </xdr:from>
    <xdr:to>
      <xdr:col>3</xdr:col>
      <xdr:colOff>76200</xdr:colOff>
      <xdr:row>4</xdr:row>
      <xdr:rowOff>1047749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1CF7292-E4C5-4B41-9C5E-C33D358447CE}"/>
            </a:ext>
          </a:extLst>
        </xdr:cNvPr>
        <xdr:cNvSpPr/>
      </xdr:nvSpPr>
      <xdr:spPr>
        <a:xfrm>
          <a:off x="152400" y="1247774"/>
          <a:ext cx="1809750" cy="561975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15</xdr:col>
      <xdr:colOff>173935</xdr:colOff>
      <xdr:row>4</xdr:row>
      <xdr:rowOff>513522</xdr:rowOff>
    </xdr:from>
    <xdr:to>
      <xdr:col>19</xdr:col>
      <xdr:colOff>414876</xdr:colOff>
      <xdr:row>5</xdr:row>
      <xdr:rowOff>1988</xdr:rowOff>
    </xdr:to>
    <xdr:sp macro="" textlink="">
      <xdr:nvSpPr>
        <xdr:cNvPr id="9" name="Retângulo: Cantos Superiores Arredondados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7EEB04D-3886-4F70-ACBD-78245674769C}"/>
            </a:ext>
          </a:extLst>
        </xdr:cNvPr>
        <xdr:cNvSpPr/>
      </xdr:nvSpPr>
      <xdr:spPr>
        <a:xfrm>
          <a:off x="10121348" y="1275522"/>
          <a:ext cx="1806354" cy="54864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GLADE GOTAS</a:t>
          </a:r>
        </a:p>
      </xdr:txBody>
    </xdr:sp>
    <xdr:clientData/>
  </xdr:twoCellAnchor>
  <xdr:twoCellAnchor editAs="absolute">
    <xdr:from>
      <xdr:col>3</xdr:col>
      <xdr:colOff>819977</xdr:colOff>
      <xdr:row>2</xdr:row>
      <xdr:rowOff>49696</xdr:rowOff>
    </xdr:from>
    <xdr:to>
      <xdr:col>13</xdr:col>
      <xdr:colOff>555598</xdr:colOff>
      <xdr:row>4</xdr:row>
      <xdr:rowOff>228766</xdr:rowOff>
    </xdr:to>
    <xdr:sp macro="" textlink="">
      <xdr:nvSpPr>
        <xdr:cNvPr id="15" name="Título 1">
          <a:extLst>
            <a:ext uri="{FF2B5EF4-FFF2-40B4-BE49-F238E27FC236}">
              <a16:creationId xmlns:a16="http://schemas.microsoft.com/office/drawing/2014/main" id="{3A9E0E93-96D9-45CC-8AE5-BB145E591020}"/>
            </a:ext>
          </a:extLst>
        </xdr:cNvPr>
        <xdr:cNvSpPr>
          <a:spLocks noGrp="1"/>
        </xdr:cNvSpPr>
      </xdr:nvSpPr>
      <xdr:spPr>
        <a:xfrm>
          <a:off x="2708412" y="430696"/>
          <a:ext cx="6477664" cy="560070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445294</xdr:colOff>
      <xdr:row>4</xdr:row>
      <xdr:rowOff>495300</xdr:rowOff>
    </xdr:from>
    <xdr:to>
      <xdr:col>6</xdr:col>
      <xdr:colOff>143807</xdr:colOff>
      <xdr:row>4</xdr:row>
      <xdr:rowOff>1049700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4AE12D-98E1-47AA-B1C6-77143C0F6F22}"/>
            </a:ext>
          </a:extLst>
        </xdr:cNvPr>
        <xdr:cNvSpPr/>
      </xdr:nvSpPr>
      <xdr:spPr>
        <a:xfrm>
          <a:off x="2140744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6</xdr:col>
      <xdr:colOff>322401</xdr:colOff>
      <xdr:row>4</xdr:row>
      <xdr:rowOff>333375</xdr:rowOff>
    </xdr:from>
    <xdr:to>
      <xdr:col>8</xdr:col>
      <xdr:colOff>983767</xdr:colOff>
      <xdr:row>4</xdr:row>
      <xdr:rowOff>1056975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3A583385-21C2-4CA0-9E7B-F935B38B6647}"/>
            </a:ext>
          </a:extLst>
        </xdr:cNvPr>
        <xdr:cNvSpPr/>
      </xdr:nvSpPr>
      <xdr:spPr>
        <a:xfrm>
          <a:off x="4129088" y="1095375"/>
          <a:ext cx="1809750" cy="7236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9</xdr:col>
      <xdr:colOff>110470</xdr:colOff>
      <xdr:row>4</xdr:row>
      <xdr:rowOff>495300</xdr:rowOff>
    </xdr:from>
    <xdr:to>
      <xdr:col>11</xdr:col>
      <xdr:colOff>158095</xdr:colOff>
      <xdr:row>4</xdr:row>
      <xdr:rowOff>1047750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06341A-7BC6-427D-8CC1-E24AF71AADEE}"/>
            </a:ext>
          </a:extLst>
        </xdr:cNvPr>
        <xdr:cNvSpPr/>
      </xdr:nvSpPr>
      <xdr:spPr>
        <a:xfrm>
          <a:off x="6117432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11</xdr:col>
      <xdr:colOff>336688</xdr:colOff>
      <xdr:row>4</xdr:row>
      <xdr:rowOff>495300</xdr:rowOff>
    </xdr:from>
    <xdr:to>
      <xdr:col>15</xdr:col>
      <xdr:colOff>262973</xdr:colOff>
      <xdr:row>4</xdr:row>
      <xdr:rowOff>1047750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B0F207-A0A8-411E-BFC4-02FB850E8CB6}"/>
            </a:ext>
          </a:extLst>
        </xdr:cNvPr>
        <xdr:cNvSpPr/>
      </xdr:nvSpPr>
      <xdr:spPr>
        <a:xfrm>
          <a:off x="8105775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PRIORIDADES</a:t>
          </a:r>
        </a:p>
      </xdr:txBody>
    </xdr:sp>
    <xdr:clientData/>
  </xdr:twoCellAnchor>
  <xdr:twoCellAnchor editAs="absolute">
    <xdr:from>
      <xdr:col>12</xdr:col>
      <xdr:colOff>298588</xdr:colOff>
      <xdr:row>0</xdr:row>
      <xdr:rowOff>57150</xdr:rowOff>
    </xdr:from>
    <xdr:to>
      <xdr:col>15</xdr:col>
      <xdr:colOff>292492</xdr:colOff>
      <xdr:row>2</xdr:row>
      <xdr:rowOff>19050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886CB04-39AA-40E9-A5B5-6422FACDDAAE}"/>
            </a:ext>
          </a:extLst>
        </xdr:cNvPr>
        <xdr:cNvGrpSpPr/>
      </xdr:nvGrpSpPr>
      <xdr:grpSpPr>
        <a:xfrm>
          <a:off x="9074978" y="57150"/>
          <a:ext cx="1308906" cy="342900"/>
          <a:chOff x="5068956" y="115237"/>
          <a:chExt cx="2003264" cy="503583"/>
        </a:xfrm>
      </xdr:grpSpPr>
      <xdr:pic>
        <xdr:nvPicPr>
          <xdr:cNvPr id="7" name="Gráfico 6" descr="Documento estrutura de tópicos">
            <a:extLst>
              <a:ext uri="{FF2B5EF4-FFF2-40B4-BE49-F238E27FC236}">
                <a16:creationId xmlns:a16="http://schemas.microsoft.com/office/drawing/2014/main" id="{21B49802-5491-F781-43A3-2A2E948A3B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BB19F506-0C5E-52E1-BC8E-D43C227CA70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20</xdr:col>
      <xdr:colOff>19467</xdr:colOff>
      <xdr:row>0</xdr:row>
      <xdr:rowOff>8282</xdr:rowOff>
    </xdr:from>
    <xdr:to>
      <xdr:col>23</xdr:col>
      <xdr:colOff>200650</xdr:colOff>
      <xdr:row>5</xdr:row>
      <xdr:rowOff>74821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3EC691C-14BB-4A37-9564-C419EA8C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037532" y="8282"/>
          <a:ext cx="1266205" cy="1888713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485774</xdr:rowOff>
    </xdr:from>
    <xdr:to>
      <xdr:col>2</xdr:col>
      <xdr:colOff>266700</xdr:colOff>
      <xdr:row>4</xdr:row>
      <xdr:rowOff>1040174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6CFB24-A194-405C-9BA9-2546486B79B8}"/>
            </a:ext>
          </a:extLst>
        </xdr:cNvPr>
        <xdr:cNvSpPr/>
      </xdr:nvSpPr>
      <xdr:spPr>
        <a:xfrm>
          <a:off x="152400" y="1247774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15</xdr:col>
      <xdr:colOff>463828</xdr:colOff>
      <xdr:row>4</xdr:row>
      <xdr:rowOff>505240</xdr:rowOff>
    </xdr:from>
    <xdr:to>
      <xdr:col>19</xdr:col>
      <xdr:colOff>448008</xdr:colOff>
      <xdr:row>4</xdr:row>
      <xdr:rowOff>1053880</xdr:rowOff>
    </xdr:to>
    <xdr:sp macro="" textlink="">
      <xdr:nvSpPr>
        <xdr:cNvPr id="9" name="Retângulo: Cantos Superiores Arredondados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15D9505-4D54-4FD0-85FA-0B373D7DA9BF}"/>
            </a:ext>
          </a:extLst>
        </xdr:cNvPr>
        <xdr:cNvSpPr/>
      </xdr:nvSpPr>
      <xdr:spPr>
        <a:xfrm>
          <a:off x="10113067" y="1267240"/>
          <a:ext cx="1806354" cy="54864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GLADE GOTAS</a:t>
          </a:r>
        </a:p>
      </xdr:txBody>
    </xdr:sp>
    <xdr:clientData/>
  </xdr:twoCellAnchor>
  <xdr:twoCellAnchor editAs="absolute">
    <xdr:from>
      <xdr:col>3</xdr:col>
      <xdr:colOff>380997</xdr:colOff>
      <xdr:row>2</xdr:row>
      <xdr:rowOff>74543</xdr:rowOff>
    </xdr:from>
    <xdr:to>
      <xdr:col>13</xdr:col>
      <xdr:colOff>282270</xdr:colOff>
      <xdr:row>4</xdr:row>
      <xdr:rowOff>253613</xdr:rowOff>
    </xdr:to>
    <xdr:sp macro="" textlink="">
      <xdr:nvSpPr>
        <xdr:cNvPr id="13" name="Título 1">
          <a:extLst>
            <a:ext uri="{FF2B5EF4-FFF2-40B4-BE49-F238E27FC236}">
              <a16:creationId xmlns:a16="http://schemas.microsoft.com/office/drawing/2014/main" id="{10DFA6A9-089A-46FA-B6AD-945DE699C240}"/>
            </a:ext>
          </a:extLst>
        </xdr:cNvPr>
        <xdr:cNvSpPr>
          <a:spLocks noGrp="1"/>
        </xdr:cNvSpPr>
      </xdr:nvSpPr>
      <xdr:spPr>
        <a:xfrm>
          <a:off x="2675280" y="455543"/>
          <a:ext cx="6477664" cy="560070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340519</xdr:colOff>
      <xdr:row>4</xdr:row>
      <xdr:rowOff>495300</xdr:rowOff>
    </xdr:from>
    <xdr:to>
      <xdr:col>5</xdr:col>
      <xdr:colOff>138423</xdr:colOff>
      <xdr:row>4</xdr:row>
      <xdr:rowOff>1049700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039315-DECD-4E95-931A-FC0922C0553B}"/>
            </a:ext>
          </a:extLst>
        </xdr:cNvPr>
        <xdr:cNvSpPr/>
      </xdr:nvSpPr>
      <xdr:spPr>
        <a:xfrm>
          <a:off x="2140744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5</xdr:col>
      <xdr:colOff>317017</xdr:colOff>
      <xdr:row>4</xdr:row>
      <xdr:rowOff>495300</xdr:rowOff>
    </xdr:from>
    <xdr:to>
      <xdr:col>8</xdr:col>
      <xdr:colOff>73508</xdr:colOff>
      <xdr:row>4</xdr:row>
      <xdr:rowOff>1049700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27419F-B77F-421C-9E84-35ED45981774}"/>
            </a:ext>
          </a:extLst>
        </xdr:cNvPr>
        <xdr:cNvSpPr/>
      </xdr:nvSpPr>
      <xdr:spPr>
        <a:xfrm>
          <a:off x="4129088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8</xdr:col>
      <xdr:colOff>252102</xdr:colOff>
      <xdr:row>4</xdr:row>
      <xdr:rowOff>333375</xdr:rowOff>
    </xdr:from>
    <xdr:to>
      <xdr:col>10</xdr:col>
      <xdr:colOff>554418</xdr:colOff>
      <xdr:row>4</xdr:row>
      <xdr:rowOff>1056975</xdr:rowOff>
    </xdr:to>
    <xdr:sp macro="" textlink="">
      <xdr:nvSpPr>
        <xdr:cNvPr id="4" name="Retângulo: Cantos Superiores Arredondados 3">
          <a:extLst>
            <a:ext uri="{FF2B5EF4-FFF2-40B4-BE49-F238E27FC236}">
              <a16:creationId xmlns:a16="http://schemas.microsoft.com/office/drawing/2014/main" id="{ABC39A36-3695-465C-8434-4ED2DD3BE6AC}"/>
            </a:ext>
          </a:extLst>
        </xdr:cNvPr>
        <xdr:cNvSpPr/>
      </xdr:nvSpPr>
      <xdr:spPr>
        <a:xfrm>
          <a:off x="6117432" y="1095375"/>
          <a:ext cx="1809750" cy="7236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10</xdr:col>
      <xdr:colOff>733011</xdr:colOff>
      <xdr:row>4</xdr:row>
      <xdr:rowOff>495300</xdr:rowOff>
    </xdr:from>
    <xdr:to>
      <xdr:col>13</xdr:col>
      <xdr:colOff>381000</xdr:colOff>
      <xdr:row>4</xdr:row>
      <xdr:rowOff>1047750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7F9859-1AAB-46F2-A515-D7EDF4C796CD}"/>
            </a:ext>
          </a:extLst>
        </xdr:cNvPr>
        <xdr:cNvSpPr/>
      </xdr:nvSpPr>
      <xdr:spPr>
        <a:xfrm>
          <a:off x="8105775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PRIORIDADES</a:t>
          </a:r>
        </a:p>
      </xdr:txBody>
    </xdr:sp>
    <xdr:clientData/>
  </xdr:twoCellAnchor>
  <xdr:twoCellAnchor editAs="absolute">
    <xdr:from>
      <xdr:col>11</xdr:col>
      <xdr:colOff>441049</xdr:colOff>
      <xdr:row>0</xdr:row>
      <xdr:rowOff>57150</xdr:rowOff>
    </xdr:from>
    <xdr:to>
      <xdr:col>13</xdr:col>
      <xdr:colOff>410519</xdr:colOff>
      <xdr:row>2</xdr:row>
      <xdr:rowOff>19050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BBCD3E-608B-4497-9A69-8570DAFDA354}"/>
            </a:ext>
          </a:extLst>
        </xdr:cNvPr>
        <xdr:cNvGrpSpPr/>
      </xdr:nvGrpSpPr>
      <xdr:grpSpPr>
        <a:xfrm>
          <a:off x="9104658" y="57150"/>
          <a:ext cx="1299795" cy="342900"/>
          <a:chOff x="5068956" y="115237"/>
          <a:chExt cx="2003264" cy="503583"/>
        </a:xfrm>
      </xdr:grpSpPr>
      <xdr:pic>
        <xdr:nvPicPr>
          <xdr:cNvPr id="7" name="Gráfico 6" descr="Documento estrutura de tópicos">
            <a:extLst>
              <a:ext uri="{FF2B5EF4-FFF2-40B4-BE49-F238E27FC236}">
                <a16:creationId xmlns:a16="http://schemas.microsoft.com/office/drawing/2014/main" id="{32A0A4A2-7562-BE5E-C71B-6E2E83E112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5EA01D08-8A7F-55F5-9D8A-9355C640A94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19</xdr:col>
      <xdr:colOff>170621</xdr:colOff>
      <xdr:row>0</xdr:row>
      <xdr:rowOff>0</xdr:rowOff>
    </xdr:from>
    <xdr:to>
      <xdr:col>21</xdr:col>
      <xdr:colOff>218868</xdr:colOff>
      <xdr:row>5</xdr:row>
      <xdr:rowOff>66539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8A74DD3-5B14-43D9-9356-3E882485A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031317" y="0"/>
          <a:ext cx="1274073" cy="1888713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485774</xdr:rowOff>
    </xdr:from>
    <xdr:to>
      <xdr:col>2</xdr:col>
      <xdr:colOff>161925</xdr:colOff>
      <xdr:row>4</xdr:row>
      <xdr:rowOff>1040174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793FCE2-19A5-459F-98A6-A111B9A49712}"/>
            </a:ext>
          </a:extLst>
        </xdr:cNvPr>
        <xdr:cNvSpPr/>
      </xdr:nvSpPr>
      <xdr:spPr>
        <a:xfrm>
          <a:off x="152400" y="1247774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13</xdr:col>
      <xdr:colOff>579781</xdr:colOff>
      <xdr:row>4</xdr:row>
      <xdr:rowOff>505239</xdr:rowOff>
    </xdr:from>
    <xdr:to>
      <xdr:col>19</xdr:col>
      <xdr:colOff>67004</xdr:colOff>
      <xdr:row>4</xdr:row>
      <xdr:rowOff>1053879</xdr:rowOff>
    </xdr:to>
    <xdr:sp macro="" textlink="">
      <xdr:nvSpPr>
        <xdr:cNvPr id="9" name="Retângulo: Cantos Superiores Arredondados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5BE8BB1-1A55-4B1C-9CA2-617833C8EA26}"/>
            </a:ext>
          </a:extLst>
        </xdr:cNvPr>
        <xdr:cNvSpPr/>
      </xdr:nvSpPr>
      <xdr:spPr>
        <a:xfrm>
          <a:off x="10121346" y="1267239"/>
          <a:ext cx="1806354" cy="54864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GLADE GOTAS</a:t>
          </a:r>
        </a:p>
      </xdr:txBody>
    </xdr:sp>
    <xdr:clientData/>
  </xdr:twoCellAnchor>
  <xdr:twoCellAnchor editAs="absolute">
    <xdr:from>
      <xdr:col>3</xdr:col>
      <xdr:colOff>182216</xdr:colOff>
      <xdr:row>2</xdr:row>
      <xdr:rowOff>107674</xdr:rowOff>
    </xdr:from>
    <xdr:to>
      <xdr:col>12</xdr:col>
      <xdr:colOff>116619</xdr:colOff>
      <xdr:row>4</xdr:row>
      <xdr:rowOff>286744</xdr:rowOff>
    </xdr:to>
    <xdr:sp macro="" textlink="">
      <xdr:nvSpPr>
        <xdr:cNvPr id="13" name="Título 1">
          <a:extLst>
            <a:ext uri="{FF2B5EF4-FFF2-40B4-BE49-F238E27FC236}">
              <a16:creationId xmlns:a16="http://schemas.microsoft.com/office/drawing/2014/main" id="{5AA244A8-9502-4C39-959D-195414BD82DE}"/>
            </a:ext>
          </a:extLst>
        </xdr:cNvPr>
        <xdr:cNvSpPr>
          <a:spLocks noGrp="1"/>
        </xdr:cNvSpPr>
      </xdr:nvSpPr>
      <xdr:spPr>
        <a:xfrm>
          <a:off x="2683564" y="488674"/>
          <a:ext cx="6477664" cy="560070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340519</xdr:colOff>
      <xdr:row>4</xdr:row>
      <xdr:rowOff>495300</xdr:rowOff>
    </xdr:from>
    <xdr:to>
      <xdr:col>5</xdr:col>
      <xdr:colOff>31164</xdr:colOff>
      <xdr:row>4</xdr:row>
      <xdr:rowOff>1049700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B0D17F-D787-419F-8B06-D45514FB655F}"/>
            </a:ext>
          </a:extLst>
        </xdr:cNvPr>
        <xdr:cNvSpPr/>
      </xdr:nvSpPr>
      <xdr:spPr>
        <a:xfrm>
          <a:off x="2140744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5</xdr:col>
      <xdr:colOff>209758</xdr:colOff>
      <xdr:row>4</xdr:row>
      <xdr:rowOff>495300</xdr:rowOff>
    </xdr:from>
    <xdr:to>
      <xdr:col>7</xdr:col>
      <xdr:colOff>571707</xdr:colOff>
      <xdr:row>4</xdr:row>
      <xdr:rowOff>1049700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4F6D22-C1B3-42CF-8400-0261291C4118}"/>
            </a:ext>
          </a:extLst>
        </xdr:cNvPr>
        <xdr:cNvSpPr/>
      </xdr:nvSpPr>
      <xdr:spPr>
        <a:xfrm>
          <a:off x="4129088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8</xdr:col>
      <xdr:colOff>140701</xdr:colOff>
      <xdr:row>4</xdr:row>
      <xdr:rowOff>495300</xdr:rowOff>
    </xdr:from>
    <xdr:to>
      <xdr:col>11</xdr:col>
      <xdr:colOff>362262</xdr:colOff>
      <xdr:row>4</xdr:row>
      <xdr:rowOff>1049700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9E0D11-9960-4663-924E-63D9A08F8F44}"/>
            </a:ext>
          </a:extLst>
        </xdr:cNvPr>
        <xdr:cNvSpPr/>
      </xdr:nvSpPr>
      <xdr:spPr>
        <a:xfrm>
          <a:off x="6117432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11</xdr:col>
      <xdr:colOff>540855</xdr:colOff>
      <xdr:row>4</xdr:row>
      <xdr:rowOff>323850</xdr:rowOff>
    </xdr:from>
    <xdr:to>
      <xdr:col>14</xdr:col>
      <xdr:colOff>837785</xdr:colOff>
      <xdr:row>4</xdr:row>
      <xdr:rowOff>1047450</xdr:rowOff>
    </xdr:to>
    <xdr:sp macro="" textlink="">
      <xdr:nvSpPr>
        <xdr:cNvPr id="5" name="Retângulo: Cantos Superiores Arredondados 4">
          <a:extLst>
            <a:ext uri="{FF2B5EF4-FFF2-40B4-BE49-F238E27FC236}">
              <a16:creationId xmlns:a16="http://schemas.microsoft.com/office/drawing/2014/main" id="{2E7C9CA7-254D-4980-9E1E-8616EEC9CA66}"/>
            </a:ext>
          </a:extLst>
        </xdr:cNvPr>
        <xdr:cNvSpPr/>
      </xdr:nvSpPr>
      <xdr:spPr>
        <a:xfrm>
          <a:off x="8105775" y="1085850"/>
          <a:ext cx="1809750" cy="7236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PRIORIDADES</a:t>
          </a:r>
        </a:p>
      </xdr:txBody>
    </xdr:sp>
    <xdr:clientData/>
  </xdr:twoCellAnchor>
  <xdr:twoCellAnchor editAs="absolute">
    <xdr:from>
      <xdr:col>13</xdr:col>
      <xdr:colOff>79099</xdr:colOff>
      <xdr:row>0</xdr:row>
      <xdr:rowOff>57150</xdr:rowOff>
    </xdr:from>
    <xdr:to>
      <xdr:col>14</xdr:col>
      <xdr:colOff>867304</xdr:colOff>
      <xdr:row>2</xdr:row>
      <xdr:rowOff>19050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A24A18-9B4B-4FAA-90D3-74C7E56A5E87}"/>
            </a:ext>
          </a:extLst>
        </xdr:cNvPr>
        <xdr:cNvGrpSpPr/>
      </xdr:nvGrpSpPr>
      <xdr:grpSpPr>
        <a:xfrm>
          <a:off x="9090577" y="57150"/>
          <a:ext cx="1248856" cy="342900"/>
          <a:chOff x="5068956" y="115237"/>
          <a:chExt cx="2003264" cy="503583"/>
        </a:xfrm>
      </xdr:grpSpPr>
      <xdr:pic>
        <xdr:nvPicPr>
          <xdr:cNvPr id="7" name="Gráfico 6" descr="Documento estrutura de tópicos">
            <a:extLst>
              <a:ext uri="{FF2B5EF4-FFF2-40B4-BE49-F238E27FC236}">
                <a16:creationId xmlns:a16="http://schemas.microsoft.com/office/drawing/2014/main" id="{01477963-F96C-BE56-8291-EB2FC13D55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BA701E6D-A2CF-A929-25F7-25C81F083A6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18</xdr:col>
      <xdr:colOff>420338</xdr:colOff>
      <xdr:row>0</xdr:row>
      <xdr:rowOff>8282</xdr:rowOff>
    </xdr:from>
    <xdr:to>
      <xdr:col>20</xdr:col>
      <xdr:colOff>469414</xdr:colOff>
      <xdr:row>5</xdr:row>
      <xdr:rowOff>74821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6A607D5-3B7A-41E2-8208-83DBF438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032555" y="8282"/>
          <a:ext cx="1274902" cy="1888713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485774</xdr:rowOff>
    </xdr:from>
    <xdr:to>
      <xdr:col>2</xdr:col>
      <xdr:colOff>161925</xdr:colOff>
      <xdr:row>4</xdr:row>
      <xdr:rowOff>1040174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C60C0B-73E4-4CC6-8609-63EE3815945F}"/>
            </a:ext>
          </a:extLst>
        </xdr:cNvPr>
        <xdr:cNvSpPr/>
      </xdr:nvSpPr>
      <xdr:spPr>
        <a:xfrm>
          <a:off x="152400" y="1247774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15</xdr:col>
      <xdr:colOff>107674</xdr:colOff>
      <xdr:row>4</xdr:row>
      <xdr:rowOff>496957</xdr:rowOff>
    </xdr:from>
    <xdr:to>
      <xdr:col>18</xdr:col>
      <xdr:colOff>323768</xdr:colOff>
      <xdr:row>4</xdr:row>
      <xdr:rowOff>1045597</xdr:rowOff>
    </xdr:to>
    <xdr:sp macro="" textlink="">
      <xdr:nvSpPr>
        <xdr:cNvPr id="9" name="Retângulo: Cantos Superiores Arredondados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9136CCC-3C69-43EE-A1BF-B8A4C5B8F6DB}"/>
            </a:ext>
          </a:extLst>
        </xdr:cNvPr>
        <xdr:cNvSpPr/>
      </xdr:nvSpPr>
      <xdr:spPr>
        <a:xfrm>
          <a:off x="10129631" y="1258957"/>
          <a:ext cx="1806354" cy="54864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GLADE GOTAS</a:t>
          </a:r>
        </a:p>
      </xdr:txBody>
    </xdr:sp>
    <xdr:clientData/>
  </xdr:twoCellAnchor>
  <xdr:twoCellAnchor editAs="absolute">
    <xdr:from>
      <xdr:col>2</xdr:col>
      <xdr:colOff>786848</xdr:colOff>
      <xdr:row>2</xdr:row>
      <xdr:rowOff>57978</xdr:rowOff>
    </xdr:from>
    <xdr:to>
      <xdr:col>13</xdr:col>
      <xdr:colOff>406512</xdr:colOff>
      <xdr:row>4</xdr:row>
      <xdr:rowOff>237048</xdr:rowOff>
    </xdr:to>
    <xdr:sp macro="" textlink="">
      <xdr:nvSpPr>
        <xdr:cNvPr id="13" name="Título 1">
          <a:extLst>
            <a:ext uri="{FF2B5EF4-FFF2-40B4-BE49-F238E27FC236}">
              <a16:creationId xmlns:a16="http://schemas.microsoft.com/office/drawing/2014/main" id="{1C4281B5-731A-4344-8CDE-04AE8F9D40D1}"/>
            </a:ext>
          </a:extLst>
        </xdr:cNvPr>
        <xdr:cNvSpPr>
          <a:spLocks noGrp="1"/>
        </xdr:cNvSpPr>
      </xdr:nvSpPr>
      <xdr:spPr>
        <a:xfrm>
          <a:off x="2592457" y="438978"/>
          <a:ext cx="6477664" cy="560070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986563</xdr:colOff>
      <xdr:row>4</xdr:row>
      <xdr:rowOff>495300</xdr:rowOff>
    </xdr:from>
    <xdr:to>
      <xdr:col>5</xdr:col>
      <xdr:colOff>279642</xdr:colOff>
      <xdr:row>4</xdr:row>
      <xdr:rowOff>1049700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94EAB-07C0-473D-844E-0BA3D9D30CBE}"/>
            </a:ext>
          </a:extLst>
        </xdr:cNvPr>
        <xdr:cNvSpPr/>
      </xdr:nvSpPr>
      <xdr:spPr>
        <a:xfrm>
          <a:off x="2140744" y="1257300"/>
          <a:ext cx="181472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5</xdr:col>
      <xdr:colOff>458236</xdr:colOff>
      <xdr:row>4</xdr:row>
      <xdr:rowOff>495300</xdr:rowOff>
    </xdr:from>
    <xdr:to>
      <xdr:col>7</xdr:col>
      <xdr:colOff>960990</xdr:colOff>
      <xdr:row>4</xdr:row>
      <xdr:rowOff>1049700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D93797-F84C-49AF-B67A-2DA1718E7924}"/>
            </a:ext>
          </a:extLst>
        </xdr:cNvPr>
        <xdr:cNvSpPr/>
      </xdr:nvSpPr>
      <xdr:spPr>
        <a:xfrm>
          <a:off x="4143997" y="1257300"/>
          <a:ext cx="1811406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8</xdr:col>
      <xdr:colOff>115853</xdr:colOff>
      <xdr:row>4</xdr:row>
      <xdr:rowOff>495300</xdr:rowOff>
    </xdr:from>
    <xdr:to>
      <xdr:col>10</xdr:col>
      <xdr:colOff>403675</xdr:colOff>
      <xdr:row>4</xdr:row>
      <xdr:rowOff>1049700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498AB3-F0E2-41A0-AF56-1A1FE722727F}"/>
            </a:ext>
          </a:extLst>
        </xdr:cNvPr>
        <xdr:cNvSpPr/>
      </xdr:nvSpPr>
      <xdr:spPr>
        <a:xfrm>
          <a:off x="6137310" y="1257300"/>
          <a:ext cx="1820104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10</xdr:col>
      <xdr:colOff>549138</xdr:colOff>
      <xdr:row>4</xdr:row>
      <xdr:rowOff>495300</xdr:rowOff>
    </xdr:from>
    <xdr:to>
      <xdr:col>13</xdr:col>
      <xdr:colOff>829503</xdr:colOff>
      <xdr:row>4</xdr:row>
      <xdr:rowOff>1049700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E2A12A-D214-4BA6-AB96-7788F2B22AB8}"/>
            </a:ext>
          </a:extLst>
        </xdr:cNvPr>
        <xdr:cNvSpPr/>
      </xdr:nvSpPr>
      <xdr:spPr>
        <a:xfrm>
          <a:off x="8102877" y="1257300"/>
          <a:ext cx="1812648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1">
              <a:solidFill>
                <a:schemeClr val="lt1"/>
              </a:solidFill>
              <a:latin typeface="+mn-lt"/>
              <a:ea typeface="+mn-ea"/>
              <a:cs typeface="+mn-cs"/>
            </a:rPr>
            <a:t>PRIORIDADES</a:t>
          </a:r>
        </a:p>
      </xdr:txBody>
    </xdr:sp>
    <xdr:clientData/>
  </xdr:twoCellAnchor>
  <xdr:twoCellAnchor editAs="absolute">
    <xdr:from>
      <xdr:col>12</xdr:col>
      <xdr:colOff>103947</xdr:colOff>
      <xdr:row>0</xdr:row>
      <xdr:rowOff>57150</xdr:rowOff>
    </xdr:from>
    <xdr:to>
      <xdr:col>13</xdr:col>
      <xdr:colOff>892152</xdr:colOff>
      <xdr:row>2</xdr:row>
      <xdr:rowOff>19050</xdr:rowOff>
    </xdr:to>
    <xdr:grpSp>
      <xdr:nvGrpSpPr>
        <xdr:cNvPr id="6" name="Agrupar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1E197F-1708-4ED5-9767-BA162F44F1B8}"/>
            </a:ext>
          </a:extLst>
        </xdr:cNvPr>
        <xdr:cNvGrpSpPr/>
      </xdr:nvGrpSpPr>
      <xdr:grpSpPr>
        <a:xfrm>
          <a:off x="9151731" y="57150"/>
          <a:ext cx="1245681" cy="342900"/>
          <a:chOff x="5068956" y="115237"/>
          <a:chExt cx="2003264" cy="503583"/>
        </a:xfrm>
      </xdr:grpSpPr>
      <xdr:pic>
        <xdr:nvPicPr>
          <xdr:cNvPr id="7" name="Gráfico 6" descr="Documento estrutura de tópicos">
            <a:extLst>
              <a:ext uri="{FF2B5EF4-FFF2-40B4-BE49-F238E27FC236}">
                <a16:creationId xmlns:a16="http://schemas.microsoft.com/office/drawing/2014/main" id="{876B9ED7-78BC-7463-EEE6-7C1CDB1909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96C467AC-B7CE-841C-FC77-9A0CEAE4E84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17</xdr:col>
      <xdr:colOff>345794</xdr:colOff>
      <xdr:row>0</xdr:row>
      <xdr:rowOff>8282</xdr:rowOff>
    </xdr:from>
    <xdr:to>
      <xdr:col>19</xdr:col>
      <xdr:colOff>394870</xdr:colOff>
      <xdr:row>5</xdr:row>
      <xdr:rowOff>74821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7191F49-84B7-4B6C-87F8-997DA773A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021788" y="8282"/>
          <a:ext cx="1268276" cy="1885814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485774</xdr:rowOff>
    </xdr:from>
    <xdr:to>
      <xdr:col>2</xdr:col>
      <xdr:colOff>807969</xdr:colOff>
      <xdr:row>4</xdr:row>
      <xdr:rowOff>1040174</xdr:rowOff>
    </xdr:to>
    <xdr:sp macro="" textlink="">
      <xdr:nvSpPr>
        <xdr:cNvPr id="10" name="Retângulo: Cantos Superiores Arredondados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C1F9409-80C5-42AF-ABAE-D6D0C89EBBF7}"/>
            </a:ext>
          </a:extLst>
        </xdr:cNvPr>
        <xdr:cNvSpPr/>
      </xdr:nvSpPr>
      <xdr:spPr>
        <a:xfrm>
          <a:off x="152400" y="1247774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14</xdr:col>
      <xdr:colOff>124239</xdr:colOff>
      <xdr:row>4</xdr:row>
      <xdr:rowOff>326100</xdr:rowOff>
    </xdr:from>
    <xdr:to>
      <xdr:col>17</xdr:col>
      <xdr:colOff>240941</xdr:colOff>
      <xdr:row>4</xdr:row>
      <xdr:rowOff>1049700</xdr:rowOff>
    </xdr:to>
    <xdr:sp macro="" textlink="">
      <xdr:nvSpPr>
        <xdr:cNvPr id="12" name="Retângulo: Cantos Superiores Arredondados 11">
          <a:extLst>
            <a:ext uri="{FF2B5EF4-FFF2-40B4-BE49-F238E27FC236}">
              <a16:creationId xmlns:a16="http://schemas.microsoft.com/office/drawing/2014/main" id="{136C8DF5-5F61-46FB-B476-5D29375E7ECF}"/>
            </a:ext>
          </a:extLst>
        </xdr:cNvPr>
        <xdr:cNvSpPr/>
      </xdr:nvSpPr>
      <xdr:spPr>
        <a:xfrm>
          <a:off x="10121348" y="1088100"/>
          <a:ext cx="1806354" cy="7236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GLADE GOTAS</a:t>
          </a:r>
        </a:p>
      </xdr:txBody>
    </xdr:sp>
    <xdr:clientData/>
  </xdr:twoCellAnchor>
  <xdr:twoCellAnchor editAs="absolute">
    <xdr:from>
      <xdr:col>3</xdr:col>
      <xdr:colOff>16572</xdr:colOff>
      <xdr:row>2</xdr:row>
      <xdr:rowOff>66260</xdr:rowOff>
    </xdr:from>
    <xdr:to>
      <xdr:col>13</xdr:col>
      <xdr:colOff>17236</xdr:colOff>
      <xdr:row>4</xdr:row>
      <xdr:rowOff>245330</xdr:rowOff>
    </xdr:to>
    <xdr:sp macro="" textlink="">
      <xdr:nvSpPr>
        <xdr:cNvPr id="13" name="Título 1">
          <a:extLst>
            <a:ext uri="{FF2B5EF4-FFF2-40B4-BE49-F238E27FC236}">
              <a16:creationId xmlns:a16="http://schemas.microsoft.com/office/drawing/2014/main" id="{A7C4C14B-4E83-452F-A787-28FB0717547D}"/>
            </a:ext>
          </a:extLst>
        </xdr:cNvPr>
        <xdr:cNvSpPr>
          <a:spLocks noGrp="1"/>
        </xdr:cNvSpPr>
      </xdr:nvSpPr>
      <xdr:spPr>
        <a:xfrm>
          <a:off x="2625594" y="447260"/>
          <a:ext cx="6477664" cy="560070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Nicolas\Acompanhamentos\JOHNSON\2025.26\Q4\Acompanhamento%20Johnson%20Gotas%20Perfumadas%20-%20Q4%20FY26.xlsx" TargetMode="External"/><Relationship Id="rId1" Type="http://schemas.openxmlformats.org/officeDocument/2006/relationships/externalLinkPath" Target="Acompanhamento%20Johnson%20Gotas%20Perfumadas%20-%20Q4%20FY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Nicolas\Acompanhamentos\JOHNSON\2025.26\Q4\Campanha%20Johnson%20-%20Loja%20Perfeita%20360%20Q4%20FY26.xlsx" TargetMode="External"/><Relationship Id="rId1" Type="http://schemas.openxmlformats.org/officeDocument/2006/relationships/externalLinkPath" Target="Campanha%20Johnson%20-%20Loja%20Perfeita%20360%20Q4%20FY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Nicolas\Acompanhamentos\JOHNSON\2025.26\Q4\Acompanhamento%20Johnson%20-%20Positiva&#231;&#227;o%20Ano%20Fiscal%20-%20Q4%20FY26.xlsx" TargetMode="External"/><Relationship Id="rId1" Type="http://schemas.openxmlformats.org/officeDocument/2006/relationships/externalLinkPath" Target="Acompanhamento%20Johnson%20-%20Positiva&#231;&#227;o%20Ano%20Fiscal%20-%20Q4%20FY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companhamento%20Johnson%20-%20Volume%20Q4%20FY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Nicolas\Acompanhamentos\JOHNSON\2025.26\Q4\Campanha%20Johnson%20-%20Top%20Contas%20Q4%20FY26.xlsx" TargetMode="External"/><Relationship Id="rId1" Type="http://schemas.openxmlformats.org/officeDocument/2006/relationships/externalLinkPath" Target="Campanha%20Johnson%20-%20Top%20Contas%20Q4%20FY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Nicolas\Acompanhamentos\JOHNSON\2025.26\Q4\Acompanhamento%20Johnson%20-%20Expandindo%20Q4%20FY26.xlsx" TargetMode="External"/><Relationship Id="rId1" Type="http://schemas.openxmlformats.org/officeDocument/2006/relationships/externalLinkPath" Target="Acompanhamento%20Johnson%20-%20Expandindo%20Q4%20FY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companhamento%20Johnson%20-%20Prioridades%20Q4%20F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"/>
      <sheetName val="GERAL"/>
    </sheetNames>
    <sheetDataSet>
      <sheetData sheetId="0">
        <row r="3">
          <cell r="P3" t="str">
            <v>GLADE GOTAS 120 ML CITRONELA</v>
          </cell>
          <cell r="Q3">
            <v>170.33333333333334</v>
          </cell>
          <cell r="R3">
            <v>7.5757014195174388E-2</v>
          </cell>
        </row>
        <row r="4">
          <cell r="P4" t="str">
            <v>GLADE GOTAS 120 ML EUCALIPTO</v>
          </cell>
          <cell r="Q4">
            <v>137.16666666666669</v>
          </cell>
          <cell r="R4">
            <v>6.1005893035840045E-2</v>
          </cell>
        </row>
        <row r="5">
          <cell r="P5" t="str">
            <v>GLADE GOTAS 120 ML LAVANDA</v>
          </cell>
          <cell r="Q5">
            <v>662.33333333333326</v>
          </cell>
          <cell r="R5">
            <v>0.29457766576479744</v>
          </cell>
        </row>
        <row r="6">
          <cell r="P6" t="str">
            <v>GLADE GOTAS 120 ML LEMBR INFANCIA</v>
          </cell>
          <cell r="Q6">
            <v>384.16666666666663</v>
          </cell>
          <cell r="R6">
            <v>0.17086097624254104</v>
          </cell>
        </row>
        <row r="7">
          <cell r="P7" t="str">
            <v>GLADE GOTAS 120 ML SPRAY LAVANDA</v>
          </cell>
          <cell r="Q7">
            <v>38.25</v>
          </cell>
          <cell r="R7">
            <v>1.7011971387272527E-2</v>
          </cell>
        </row>
        <row r="8">
          <cell r="P8" t="str">
            <v>GLADE GOTAS 120 ML T MACIEZ</v>
          </cell>
          <cell r="Q8">
            <v>484.16666666666663</v>
          </cell>
          <cell r="R8">
            <v>0.21533671843148883</v>
          </cell>
        </row>
        <row r="9">
          <cell r="P9" t="str">
            <v>GLADE GOTAS 120 ML CHA BRANCO</v>
          </cell>
          <cell r="Q9">
            <v>372</v>
          </cell>
          <cell r="R9">
            <v>0.16544976094288574</v>
          </cell>
        </row>
      </sheetData>
      <sheetData sheetId="1">
        <row r="3">
          <cell r="D3" t="str">
            <v>'</v>
          </cell>
        </row>
        <row r="4">
          <cell r="D4" t="str">
            <v xml:space="preserve">ABRIL </v>
          </cell>
          <cell r="E4"/>
          <cell r="F4"/>
          <cell r="G4"/>
          <cell r="H4" t="str">
            <v xml:space="preserve">MAIO </v>
          </cell>
          <cell r="I4"/>
          <cell r="J4"/>
          <cell r="K4"/>
          <cell r="L4" t="str">
            <v xml:space="preserve">JUNHO </v>
          </cell>
          <cell r="M4"/>
          <cell r="N4"/>
          <cell r="O4"/>
          <cell r="P4" t="str">
            <v>Total Metas</v>
          </cell>
          <cell r="Q4" t="str">
            <v>Total META</v>
          </cell>
          <cell r="R4" t="str">
            <v>Total CX</v>
          </cell>
          <cell r="S4" t="str">
            <v>Total %</v>
          </cell>
        </row>
        <row r="5">
          <cell r="C5" t="str">
            <v>EQUIPE</v>
          </cell>
          <cell r="D5" t="str">
            <v>Metas</v>
          </cell>
          <cell r="E5" t="str">
            <v>META</v>
          </cell>
          <cell r="F5" t="str">
            <v>CX</v>
          </cell>
          <cell r="G5" t="str">
            <v>%</v>
          </cell>
          <cell r="H5" t="str">
            <v>Metas</v>
          </cell>
          <cell r="I5" t="str">
            <v>META</v>
          </cell>
          <cell r="J5" t="str">
            <v>CX</v>
          </cell>
          <cell r="K5" t="str">
            <v>%</v>
          </cell>
          <cell r="L5" t="str">
            <v>Metas</v>
          </cell>
          <cell r="M5" t="str">
            <v>META</v>
          </cell>
          <cell r="N5" t="str">
            <v>CX</v>
          </cell>
          <cell r="O5" t="str">
            <v>%</v>
          </cell>
        </row>
        <row r="6">
          <cell r="C6" t="str">
            <v>FLORIPA D</v>
          </cell>
          <cell r="D6">
            <v>15.333333333333334</v>
          </cell>
          <cell r="E6">
            <v>46</v>
          </cell>
          <cell r="F6">
            <v>21.25</v>
          </cell>
          <cell r="G6">
            <v>0.46195652173913043</v>
          </cell>
          <cell r="H6">
            <v>15.333333333333334</v>
          </cell>
          <cell r="I6">
            <v>46</v>
          </cell>
          <cell r="J6">
            <v>141.5</v>
          </cell>
          <cell r="K6">
            <v>3.0760869565217392</v>
          </cell>
          <cell r="L6">
            <v>15.333333333333334</v>
          </cell>
          <cell r="M6">
            <v>46</v>
          </cell>
          <cell r="N6">
            <v>15.25</v>
          </cell>
          <cell r="O6">
            <v>0.33152173913043476</v>
          </cell>
          <cell r="P6">
            <v>15.333333333333334</v>
          </cell>
          <cell r="Q6">
            <v>46</v>
          </cell>
          <cell r="R6">
            <v>178</v>
          </cell>
          <cell r="S6">
            <v>3.8695652173913042</v>
          </cell>
        </row>
        <row r="7">
          <cell r="C7" t="str">
            <v>FLP-SUL MC/KA D</v>
          </cell>
          <cell r="D7">
            <v>94.333333333333329</v>
          </cell>
          <cell r="E7">
            <v>283</v>
          </cell>
          <cell r="F7">
            <v>57.166666666666657</v>
          </cell>
          <cell r="G7">
            <v>0.20200235571260303</v>
          </cell>
          <cell r="H7">
            <v>94.333333333333329</v>
          </cell>
          <cell r="I7">
            <v>283</v>
          </cell>
          <cell r="J7">
            <v>82.166666666666671</v>
          </cell>
          <cell r="K7">
            <v>0.29034157832744406</v>
          </cell>
          <cell r="L7">
            <v>94.333333333333329</v>
          </cell>
          <cell r="M7">
            <v>283</v>
          </cell>
          <cell r="N7">
            <v>180.25</v>
          </cell>
          <cell r="O7">
            <v>0.63692579505300351</v>
          </cell>
          <cell r="P7">
            <v>94.333333333333329</v>
          </cell>
          <cell r="Q7">
            <v>283</v>
          </cell>
          <cell r="R7">
            <v>319.58333333333337</v>
          </cell>
          <cell r="S7">
            <v>1.1292697290930507</v>
          </cell>
        </row>
        <row r="8">
          <cell r="C8" t="str">
            <v>LITORAL D</v>
          </cell>
          <cell r="D8">
            <v>39.666666666666664</v>
          </cell>
          <cell r="E8">
            <v>119</v>
          </cell>
          <cell r="F8">
            <v>45.75</v>
          </cell>
          <cell r="G8">
            <v>0.38445378151260506</v>
          </cell>
          <cell r="H8">
            <v>39.666666666666664</v>
          </cell>
          <cell r="I8">
            <v>119</v>
          </cell>
          <cell r="J8">
            <v>213</v>
          </cell>
          <cell r="K8">
            <v>1.7899159663865547</v>
          </cell>
          <cell r="L8">
            <v>39.666666666666664</v>
          </cell>
          <cell r="M8">
            <v>119</v>
          </cell>
          <cell r="N8">
            <v>73.75</v>
          </cell>
          <cell r="O8">
            <v>0.61974789915966388</v>
          </cell>
          <cell r="P8">
            <v>39.666666666666664</v>
          </cell>
          <cell r="Q8">
            <v>119</v>
          </cell>
          <cell r="R8">
            <v>332.5</v>
          </cell>
          <cell r="S8">
            <v>2.7941176470588234</v>
          </cell>
        </row>
        <row r="9">
          <cell r="C9" t="str">
            <v>NORTE D</v>
          </cell>
          <cell r="D9">
            <v>34.666666666666664</v>
          </cell>
          <cell r="E9">
            <v>104</v>
          </cell>
          <cell r="F9">
            <v>38</v>
          </cell>
          <cell r="G9">
            <v>0.36538461538461536</v>
          </cell>
          <cell r="H9">
            <v>34.666666666666664</v>
          </cell>
          <cell r="I9">
            <v>104</v>
          </cell>
          <cell r="J9">
            <v>271</v>
          </cell>
          <cell r="K9">
            <v>2.6057692307692308</v>
          </cell>
          <cell r="L9">
            <v>34.666666666666664</v>
          </cell>
          <cell r="M9">
            <v>104</v>
          </cell>
          <cell r="N9">
            <v>34.25</v>
          </cell>
          <cell r="O9">
            <v>0.32932692307692307</v>
          </cell>
          <cell r="P9">
            <v>34.666666666666664</v>
          </cell>
          <cell r="Q9">
            <v>104</v>
          </cell>
          <cell r="R9">
            <v>343.25</v>
          </cell>
          <cell r="S9">
            <v>3.3004807692307692</v>
          </cell>
        </row>
        <row r="10">
          <cell r="C10" t="str">
            <v>NORTE MC/KA D</v>
          </cell>
          <cell r="D10">
            <v>120.66666666666667</v>
          </cell>
          <cell r="E10">
            <v>362</v>
          </cell>
          <cell r="F10">
            <v>97.5</v>
          </cell>
          <cell r="G10">
            <v>0.26933701657458564</v>
          </cell>
          <cell r="H10">
            <v>120.66666666666667</v>
          </cell>
          <cell r="I10">
            <v>362</v>
          </cell>
          <cell r="J10">
            <v>158</v>
          </cell>
          <cell r="K10">
            <v>0.43646408839779005</v>
          </cell>
          <cell r="L10">
            <v>120.66666666666667</v>
          </cell>
          <cell r="M10">
            <v>362</v>
          </cell>
          <cell r="N10">
            <v>104.5</v>
          </cell>
          <cell r="O10">
            <v>0.28867403314917128</v>
          </cell>
          <cell r="P10">
            <v>120.66666666666667</v>
          </cell>
          <cell r="Q10">
            <v>362</v>
          </cell>
          <cell r="R10">
            <v>360</v>
          </cell>
          <cell r="S10">
            <v>0.99447513812154698</v>
          </cell>
        </row>
        <row r="11">
          <cell r="C11" t="str">
            <v>SUL D</v>
          </cell>
          <cell r="D11">
            <v>29.333333333333332</v>
          </cell>
          <cell r="E11">
            <v>88</v>
          </cell>
          <cell r="F11">
            <v>27.25</v>
          </cell>
          <cell r="G11">
            <v>0.30965909090909088</v>
          </cell>
          <cell r="H11">
            <v>29.333333333333332</v>
          </cell>
          <cell r="I11">
            <v>88</v>
          </cell>
          <cell r="J11">
            <v>358.75</v>
          </cell>
          <cell r="K11">
            <v>4.0767045454545459</v>
          </cell>
          <cell r="L11">
            <v>29.333333333333332</v>
          </cell>
          <cell r="M11">
            <v>88</v>
          </cell>
          <cell r="N11">
            <v>47.5</v>
          </cell>
          <cell r="O11">
            <v>0.53977272727272729</v>
          </cell>
          <cell r="P11">
            <v>29.333333333333332</v>
          </cell>
          <cell r="Q11">
            <v>88</v>
          </cell>
          <cell r="R11">
            <v>433.5</v>
          </cell>
          <cell r="S11">
            <v>4.9261363636363633</v>
          </cell>
        </row>
        <row r="12">
          <cell r="C12" t="str">
            <v>VALE D</v>
          </cell>
          <cell r="D12">
            <v>9.3333333333333339</v>
          </cell>
          <cell r="E12">
            <v>28</v>
          </cell>
          <cell r="F12">
            <v>9.5</v>
          </cell>
          <cell r="G12">
            <v>0.3392857142857143</v>
          </cell>
          <cell r="H12">
            <v>9.3333333333333339</v>
          </cell>
          <cell r="I12">
            <v>28</v>
          </cell>
          <cell r="J12">
            <v>44.75</v>
          </cell>
          <cell r="K12">
            <v>1.5982142857142858</v>
          </cell>
          <cell r="L12">
            <v>9.3333333333333339</v>
          </cell>
          <cell r="M12">
            <v>28</v>
          </cell>
          <cell r="N12">
            <v>8.75</v>
          </cell>
          <cell r="O12">
            <v>0.3125</v>
          </cell>
          <cell r="P12">
            <v>9.3333333333333339</v>
          </cell>
          <cell r="Q12">
            <v>28</v>
          </cell>
          <cell r="R12">
            <v>63</v>
          </cell>
          <cell r="S12">
            <v>2.25</v>
          </cell>
        </row>
        <row r="13">
          <cell r="C13" t="str">
            <v>DMULLER</v>
          </cell>
          <cell r="D13"/>
          <cell r="E13"/>
          <cell r="F13">
            <v>4</v>
          </cell>
          <cell r="G13">
            <v>0</v>
          </cell>
          <cell r="H13"/>
          <cell r="I13"/>
          <cell r="J13">
            <v>4.833333333333333</v>
          </cell>
          <cell r="K13">
            <v>0</v>
          </cell>
          <cell r="L13"/>
          <cell r="M13"/>
          <cell r="N13">
            <v>209.75000000000003</v>
          </cell>
          <cell r="O13">
            <v>0</v>
          </cell>
          <cell r="P13"/>
          <cell r="Q13"/>
          <cell r="R13">
            <v>218.58333333333337</v>
          </cell>
          <cell r="S13">
            <v>0</v>
          </cell>
        </row>
        <row r="14">
          <cell r="C14" t="str">
            <v>Total Geral</v>
          </cell>
          <cell r="D14">
            <v>343.33333333333331</v>
          </cell>
          <cell r="E14">
            <v>1030</v>
          </cell>
          <cell r="F14">
            <v>300.41666666666663</v>
          </cell>
          <cell r="G14">
            <v>0.29166666666666663</v>
          </cell>
          <cell r="H14">
            <v>343.33333333333331</v>
          </cell>
          <cell r="I14">
            <v>1030</v>
          </cell>
          <cell r="J14">
            <v>1273.9999999999998</v>
          </cell>
          <cell r="K14">
            <v>1.236893203883495</v>
          </cell>
          <cell r="L14">
            <v>343.33333333333331</v>
          </cell>
          <cell r="M14">
            <v>1030</v>
          </cell>
          <cell r="N14">
            <v>674.00000000000011</v>
          </cell>
          <cell r="O14">
            <v>0.65436893203883506</v>
          </cell>
          <cell r="P14">
            <v>343.33333333333331</v>
          </cell>
          <cell r="Q14">
            <v>1030</v>
          </cell>
          <cell r="R14">
            <v>2248.4166666666665</v>
          </cell>
          <cell r="S14">
            <v>2.1829288025889966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"/>
      <sheetName val="Rede"/>
      <sheetName val="Cliente"/>
      <sheetName val="Base Kpi"/>
      <sheetName val="Revisão 03.01"/>
    </sheetNames>
    <sheetDataSet>
      <sheetData sheetId="0">
        <row r="4">
          <cell r="E4" t="str">
            <v>EQUIPE</v>
          </cell>
          <cell r="F4" t="str">
            <v>REDE</v>
          </cell>
          <cell r="BO4" t="str">
            <v>Q4 - ABRIL A JUNHO 2026</v>
          </cell>
          <cell r="BP4"/>
          <cell r="BQ4"/>
          <cell r="BR4"/>
          <cell r="BS4"/>
          <cell r="BT4" t="str">
            <v>ABRIL</v>
          </cell>
          <cell r="BU4"/>
          <cell r="BV4"/>
          <cell r="BW4"/>
          <cell r="BX4"/>
          <cell r="BY4" t="str">
            <v>MAIO</v>
          </cell>
          <cell r="BZ4"/>
          <cell r="CA4"/>
          <cell r="CB4"/>
          <cell r="CC4"/>
          <cell r="CD4" t="str">
            <v>JUNHO</v>
          </cell>
          <cell r="CE4"/>
          <cell r="CF4"/>
          <cell r="CG4"/>
          <cell r="CH4"/>
        </row>
        <row r="5">
          <cell r="E5"/>
          <cell r="F5"/>
          <cell r="BO5" t="str">
            <v>LOJAS</v>
          </cell>
          <cell r="BP5" t="str">
            <v>AUDITADA</v>
          </cell>
          <cell r="BQ5" t="str">
            <v>%</v>
          </cell>
          <cell r="BR5" t="str">
            <v>GAP</v>
          </cell>
          <cell r="BS5" t="str">
            <v>MÉDIA</v>
          </cell>
          <cell r="BT5" t="str">
            <v>LOJAS</v>
          </cell>
          <cell r="BU5" t="str">
            <v>AUDITADA</v>
          </cell>
          <cell r="BV5" t="str">
            <v>%</v>
          </cell>
          <cell r="BW5" t="str">
            <v>GAP</v>
          </cell>
          <cell r="BX5" t="str">
            <v>MÉDIA</v>
          </cell>
          <cell r="BY5" t="str">
            <v>LOJAS</v>
          </cell>
          <cell r="BZ5" t="str">
            <v>AUDITADA</v>
          </cell>
          <cell r="CA5" t="str">
            <v>%</v>
          </cell>
          <cell r="CB5" t="str">
            <v>GAP</v>
          </cell>
          <cell r="CC5" t="str">
            <v>MÉDIA</v>
          </cell>
          <cell r="CD5" t="str">
            <v>LOJAS</v>
          </cell>
          <cell r="CE5" t="str">
            <v>AUDITADA</v>
          </cell>
          <cell r="CF5" t="str">
            <v>%</v>
          </cell>
          <cell r="CG5" t="str">
            <v>GAP</v>
          </cell>
          <cell r="CH5" t="str">
            <v>MÉDIA</v>
          </cell>
        </row>
        <row r="6">
          <cell r="E6" t="str">
            <v>FLP-SUL MC/KA D</v>
          </cell>
          <cell r="F6">
            <v>8</v>
          </cell>
          <cell r="BO6">
            <v>33</v>
          </cell>
          <cell r="BP6">
            <v>19</v>
          </cell>
          <cell r="BQ6">
            <v>0.5757575757575758</v>
          </cell>
          <cell r="BR6">
            <v>-14</v>
          </cell>
          <cell r="BS6">
            <v>79.387499999999989</v>
          </cell>
          <cell r="BT6">
            <v>33</v>
          </cell>
          <cell r="BU6">
            <v>25</v>
          </cell>
          <cell r="BV6">
            <v>0.75757575757575757</v>
          </cell>
          <cell r="BW6">
            <v>-8</v>
          </cell>
          <cell r="BX6">
            <v>86.99799999999999</v>
          </cell>
          <cell r="BY6">
            <v>33</v>
          </cell>
          <cell r="BZ6">
            <v>25</v>
          </cell>
          <cell r="CA6">
            <v>0.75757575757575757</v>
          </cell>
          <cell r="CB6">
            <v>-8</v>
          </cell>
          <cell r="CC6">
            <v>90.86399999999999</v>
          </cell>
          <cell r="CD6">
            <v>33</v>
          </cell>
          <cell r="CE6">
            <v>20</v>
          </cell>
          <cell r="CF6">
            <v>0.60606060606060608</v>
          </cell>
          <cell r="CG6">
            <v>-13</v>
          </cell>
          <cell r="CH6">
            <v>87.283749999999998</v>
          </cell>
        </row>
        <row r="7">
          <cell r="E7" t="str">
            <v>NORTE MC/KA D</v>
          </cell>
          <cell r="F7">
            <v>6</v>
          </cell>
          <cell r="BO7">
            <v>38</v>
          </cell>
          <cell r="BP7">
            <v>11</v>
          </cell>
          <cell r="BQ7">
            <v>0.28947368421052633</v>
          </cell>
          <cell r="BR7">
            <v>-27</v>
          </cell>
          <cell r="BS7">
            <v>66.031481481481492</v>
          </cell>
          <cell r="BT7">
            <v>38</v>
          </cell>
          <cell r="BU7">
            <v>33</v>
          </cell>
          <cell r="BV7">
            <v>0.86842105263157898</v>
          </cell>
          <cell r="BW7">
            <v>-5</v>
          </cell>
          <cell r="BX7">
            <v>89.071515151515143</v>
          </cell>
          <cell r="BY7">
            <v>38</v>
          </cell>
          <cell r="BZ7">
            <v>32</v>
          </cell>
          <cell r="CA7">
            <v>0.84210526315789469</v>
          </cell>
          <cell r="CB7">
            <v>-6</v>
          </cell>
          <cell r="CC7">
            <v>89.534062500000005</v>
          </cell>
          <cell r="CD7">
            <v>38</v>
          </cell>
          <cell r="CE7">
            <v>14</v>
          </cell>
          <cell r="CF7">
            <v>0.36842105263157893</v>
          </cell>
          <cell r="CG7">
            <v>-24</v>
          </cell>
          <cell r="CH7">
            <v>94.782142857142858</v>
          </cell>
        </row>
        <row r="8">
          <cell r="E8" t="str">
            <v xml:space="preserve">TT </v>
          </cell>
          <cell r="F8">
            <v>14</v>
          </cell>
          <cell r="BO8">
            <v>71</v>
          </cell>
          <cell r="BP8">
            <v>30</v>
          </cell>
          <cell r="BQ8">
            <v>0.42253521126760563</v>
          </cell>
          <cell r="BR8">
            <v>-41</v>
          </cell>
          <cell r="BS8">
            <v>89.55548352371801</v>
          </cell>
          <cell r="BT8">
            <v>71</v>
          </cell>
          <cell r="BU8">
            <v>58</v>
          </cell>
          <cell r="BV8">
            <v>0.81690140845070425</v>
          </cell>
          <cell r="BW8">
            <v>-13</v>
          </cell>
          <cell r="BX8">
            <v>88.177758620689644</v>
          </cell>
          <cell r="BY8">
            <v>71</v>
          </cell>
          <cell r="BZ8">
            <v>57</v>
          </cell>
          <cell r="CA8">
            <v>0.80281690140845074</v>
          </cell>
          <cell r="CB8">
            <v>-14</v>
          </cell>
          <cell r="CC8">
            <v>90.117368421052603</v>
          </cell>
          <cell r="CD8">
            <v>71</v>
          </cell>
          <cell r="CE8">
            <v>34</v>
          </cell>
          <cell r="CF8">
            <v>0.47887323943661969</v>
          </cell>
          <cell r="CG8">
            <v>-37</v>
          </cell>
          <cell r="CH8">
            <v>90.371323529411768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"/>
      <sheetName val="aux"/>
      <sheetName val="Clientes"/>
      <sheetName val="BASE"/>
      <sheetName val="Carteira"/>
      <sheetName val="Historico"/>
      <sheetName val="Meta"/>
    </sheetNames>
    <sheetDataSet>
      <sheetData sheetId="0">
        <row r="2">
          <cell r="D2" t="str">
            <v>EQUIPE</v>
          </cell>
          <cell r="E2" t="str">
            <v>FY26</v>
          </cell>
          <cell r="F2" t="str">
            <v>MAQ + FAT</v>
          </cell>
          <cell r="G2" t="str">
            <v>GAP Q4</v>
          </cell>
          <cell r="H2" t="str">
            <v>%</v>
          </cell>
        </row>
        <row r="3">
          <cell r="D3" t="str">
            <v>FLORIPA D</v>
          </cell>
          <cell r="E3">
            <v>925</v>
          </cell>
          <cell r="F3">
            <v>1022</v>
          </cell>
          <cell r="G3">
            <v>97</v>
          </cell>
          <cell r="H3">
            <v>1.1048648648648649</v>
          </cell>
        </row>
        <row r="4">
          <cell r="D4" t="str">
            <v>FLORIPA M</v>
          </cell>
          <cell r="E4">
            <v>245</v>
          </cell>
          <cell r="F4">
            <v>132</v>
          </cell>
          <cell r="G4">
            <v>-113</v>
          </cell>
          <cell r="H4">
            <v>0.53877551020408165</v>
          </cell>
        </row>
        <row r="5">
          <cell r="D5" t="str">
            <v>FLP-SUL MC/KA D</v>
          </cell>
          <cell r="E5">
            <v>177</v>
          </cell>
          <cell r="F5">
            <v>177</v>
          </cell>
          <cell r="G5">
            <v>0</v>
          </cell>
          <cell r="H5">
            <v>1</v>
          </cell>
        </row>
        <row r="6">
          <cell r="D6" t="str">
            <v>LITORAL D</v>
          </cell>
          <cell r="E6">
            <v>1131</v>
          </cell>
          <cell r="F6">
            <v>1254</v>
          </cell>
          <cell r="G6">
            <v>123</v>
          </cell>
          <cell r="H6">
            <v>1.1087533156498675</v>
          </cell>
        </row>
        <row r="7">
          <cell r="D7" t="str">
            <v>LITORAL M</v>
          </cell>
          <cell r="E7">
            <v>208</v>
          </cell>
          <cell r="F7">
            <v>107</v>
          </cell>
          <cell r="G7">
            <v>-101</v>
          </cell>
          <cell r="H7">
            <v>0.51442307692307687</v>
          </cell>
        </row>
        <row r="8">
          <cell r="D8" t="str">
            <v>NORTE D</v>
          </cell>
          <cell r="E8">
            <v>951</v>
          </cell>
          <cell r="F8">
            <v>1040</v>
          </cell>
          <cell r="G8">
            <v>89</v>
          </cell>
          <cell r="H8">
            <v>1.0935856992639328</v>
          </cell>
        </row>
        <row r="9">
          <cell r="D9" t="str">
            <v>NORTE M</v>
          </cell>
          <cell r="E9">
            <v>87</v>
          </cell>
          <cell r="F9">
            <v>42</v>
          </cell>
          <cell r="G9">
            <v>-45</v>
          </cell>
          <cell r="H9">
            <v>0.48275862068965519</v>
          </cell>
        </row>
        <row r="10">
          <cell r="D10" t="str">
            <v>NORTE MC/KA D</v>
          </cell>
          <cell r="E10">
            <v>162</v>
          </cell>
          <cell r="F10">
            <v>165</v>
          </cell>
          <cell r="G10">
            <v>3</v>
          </cell>
          <cell r="H10">
            <v>1.0185185185185186</v>
          </cell>
        </row>
        <row r="11">
          <cell r="D11" t="str">
            <v>SUL D</v>
          </cell>
          <cell r="E11">
            <v>1137</v>
          </cell>
          <cell r="F11">
            <v>1216</v>
          </cell>
          <cell r="G11">
            <v>79</v>
          </cell>
          <cell r="H11">
            <v>1.06948109058927</v>
          </cell>
        </row>
        <row r="12">
          <cell r="D12" t="str">
            <v>SUL M</v>
          </cell>
          <cell r="E12">
            <v>247</v>
          </cell>
          <cell r="F12">
            <v>124</v>
          </cell>
          <cell r="G12">
            <v>-123</v>
          </cell>
          <cell r="H12">
            <v>0.50202429149797567</v>
          </cell>
        </row>
        <row r="13">
          <cell r="D13" t="str">
            <v>VALE D</v>
          </cell>
          <cell r="E13">
            <v>469</v>
          </cell>
          <cell r="F13">
            <v>467</v>
          </cell>
          <cell r="G13">
            <v>-2</v>
          </cell>
          <cell r="H13">
            <v>0.99573560767590619</v>
          </cell>
        </row>
        <row r="14">
          <cell r="D14" t="str">
            <v>VALE M</v>
          </cell>
          <cell r="E14">
            <v>258</v>
          </cell>
          <cell r="F14">
            <v>154</v>
          </cell>
          <cell r="G14">
            <v>-104</v>
          </cell>
          <cell r="H14">
            <v>0.5968992248062015</v>
          </cell>
        </row>
        <row r="15">
          <cell r="D15" t="str">
            <v>VENDAS INTERNAS</v>
          </cell>
          <cell r="E15">
            <v>596</v>
          </cell>
          <cell r="F15">
            <v>325</v>
          </cell>
          <cell r="G15">
            <v>-271</v>
          </cell>
          <cell r="H15">
            <v>0.54530201342281881</v>
          </cell>
        </row>
        <row r="16">
          <cell r="D16" t="str">
            <v>Total Geral</v>
          </cell>
          <cell r="E16">
            <v>6593</v>
          </cell>
          <cell r="F16">
            <v>6225</v>
          </cell>
          <cell r="G16">
            <v>-368</v>
          </cell>
          <cell r="H16">
            <v>0.94418322463218562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Meta"/>
      <sheetName val="aux"/>
      <sheetName val="Clientes"/>
      <sheetName val="Base"/>
      <sheetName val="Carteira"/>
      <sheetName val="Historico"/>
    </sheetNames>
    <sheetDataSet>
      <sheetData sheetId="0">
        <row r="2">
          <cell r="D2" t="str">
            <v>EQUIPE</v>
          </cell>
          <cell r="E2" t="str">
            <v>Q4</v>
          </cell>
          <cell r="F2" t="str">
            <v xml:space="preserve"> Q4</v>
          </cell>
          <cell r="G2" t="str">
            <v>GAP</v>
          </cell>
          <cell r="H2" t="str">
            <v>%</v>
          </cell>
        </row>
        <row r="3">
          <cell r="D3" t="str">
            <v>FLORIPA D</v>
          </cell>
          <cell r="E3">
            <v>3621</v>
          </cell>
          <cell r="F3">
            <v>2427.1624999999999</v>
          </cell>
          <cell r="G3">
            <v>-1193.8375000000001</v>
          </cell>
          <cell r="H3">
            <v>0.67030171223418944</v>
          </cell>
        </row>
        <row r="4">
          <cell r="D4" t="str">
            <v>FLORIPA M</v>
          </cell>
          <cell r="E4">
            <v>32</v>
          </cell>
          <cell r="F4">
            <v>15.375</v>
          </cell>
          <cell r="G4">
            <v>-16.625</v>
          </cell>
          <cell r="H4">
            <v>0.48046875</v>
          </cell>
        </row>
        <row r="5">
          <cell r="D5" t="str">
            <v>FLP-SUL MC/KA D</v>
          </cell>
          <cell r="E5">
            <v>8135</v>
          </cell>
          <cell r="F5">
            <v>5455.4847222222224</v>
          </cell>
          <cell r="G5">
            <v>-2679.5152777777776</v>
          </cell>
          <cell r="H5">
            <v>0.6706188964010108</v>
          </cell>
        </row>
        <row r="6">
          <cell r="D6" t="str">
            <v>LITORAL D</v>
          </cell>
          <cell r="E6">
            <v>3287</v>
          </cell>
          <cell r="F6">
            <v>2680.8708333333338</v>
          </cell>
          <cell r="G6">
            <v>-606.12916666666615</v>
          </cell>
          <cell r="H6">
            <v>0.81559806307676719</v>
          </cell>
        </row>
        <row r="7">
          <cell r="D7" t="str">
            <v>LITORAL M</v>
          </cell>
          <cell r="E7">
            <v>91</v>
          </cell>
          <cell r="F7">
            <v>57.104166666666664</v>
          </cell>
          <cell r="G7">
            <v>-33.895833333333336</v>
          </cell>
          <cell r="H7">
            <v>0.62751831501831501</v>
          </cell>
        </row>
        <row r="8">
          <cell r="D8" t="str">
            <v>NORTE D</v>
          </cell>
          <cell r="E8">
            <v>2630</v>
          </cell>
          <cell r="F8">
            <v>1985.3194444444443</v>
          </cell>
          <cell r="G8">
            <v>-644.68055555555566</v>
          </cell>
          <cell r="H8">
            <v>0.75487431347697509</v>
          </cell>
        </row>
        <row r="9">
          <cell r="D9" t="str">
            <v>NORTE M</v>
          </cell>
          <cell r="E9">
            <v>26</v>
          </cell>
          <cell r="F9">
            <v>24.958333333333336</v>
          </cell>
          <cell r="G9">
            <v>-1.0416666666666643</v>
          </cell>
          <cell r="H9">
            <v>0.95993589743589758</v>
          </cell>
        </row>
        <row r="10">
          <cell r="D10" t="str">
            <v>NORTE MC/KA D</v>
          </cell>
          <cell r="E10">
            <v>8783</v>
          </cell>
          <cell r="F10">
            <v>6615.5555555555566</v>
          </cell>
          <cell r="G10">
            <v>-2167.4444444444434</v>
          </cell>
          <cell r="H10">
            <v>0.75322276620238604</v>
          </cell>
        </row>
        <row r="11">
          <cell r="D11" t="str">
            <v>SUL D</v>
          </cell>
          <cell r="E11">
            <v>3003</v>
          </cell>
          <cell r="F11">
            <v>2495.1277777777777</v>
          </cell>
          <cell r="G11">
            <v>-507.87222222222226</v>
          </cell>
          <cell r="H11">
            <v>0.83087838087838084</v>
          </cell>
        </row>
        <row r="12">
          <cell r="D12" t="str">
            <v>SUL M</v>
          </cell>
          <cell r="E12">
            <v>64</v>
          </cell>
          <cell r="F12">
            <v>39.520833333333336</v>
          </cell>
          <cell r="G12">
            <v>-24.479166666666664</v>
          </cell>
          <cell r="H12">
            <v>0.61751302083333337</v>
          </cell>
        </row>
        <row r="13">
          <cell r="D13" t="str">
            <v>VALE D</v>
          </cell>
          <cell r="E13">
            <v>800</v>
          </cell>
          <cell r="F13">
            <v>571.19583333333344</v>
          </cell>
          <cell r="G13">
            <v>-228.80416666666656</v>
          </cell>
          <cell r="H13">
            <v>0.71399479166666679</v>
          </cell>
        </row>
        <row r="14">
          <cell r="D14" t="str">
            <v>VALE M</v>
          </cell>
          <cell r="E14">
            <v>100</v>
          </cell>
          <cell r="F14">
            <v>70.787499999999994</v>
          </cell>
          <cell r="G14">
            <v>-29.212500000000006</v>
          </cell>
          <cell r="H14">
            <v>0.70787499999999992</v>
          </cell>
        </row>
        <row r="15">
          <cell r="D15" t="str">
            <v>VENDAS INTERNAS</v>
          </cell>
          <cell r="E15">
            <v>1194</v>
          </cell>
          <cell r="F15">
            <v>938.57916666666665</v>
          </cell>
          <cell r="G15">
            <v>-255.42083333333335</v>
          </cell>
          <cell r="H15">
            <v>0.78607970407593519</v>
          </cell>
        </row>
        <row r="16">
          <cell r="D16" t="str">
            <v>Total Geral</v>
          </cell>
          <cell r="E16">
            <v>31766</v>
          </cell>
          <cell r="F16">
            <v>23377.041666666668</v>
          </cell>
          <cell r="G16">
            <v>-8388.9583333333321</v>
          </cell>
          <cell r="H16">
            <v>0.73591392264265776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cânica"/>
      <sheetName val="Top Contas"/>
      <sheetName val="VENCEDORES"/>
      <sheetName val="Geral"/>
      <sheetName val="Rede"/>
      <sheetName val="aux"/>
      <sheetName val="Cliente"/>
      <sheetName val="Metas"/>
      <sheetName val="Top Contas 04.07"/>
      <sheetName val="Base"/>
    </sheetNames>
    <sheetDataSet>
      <sheetData sheetId="0"/>
      <sheetData sheetId="1"/>
      <sheetData sheetId="2"/>
      <sheetData sheetId="3">
        <row r="3">
          <cell r="E3" t="str">
            <v>EQUIPE</v>
          </cell>
          <cell r="F3" t="str">
            <v>REDE</v>
          </cell>
          <cell r="BR3" t="str">
            <v>Q4 - ABRIL A JUNHO</v>
          </cell>
          <cell r="BS3"/>
          <cell r="BT3"/>
          <cell r="BU3"/>
          <cell r="BV3"/>
          <cell r="BW3"/>
          <cell r="BX3"/>
          <cell r="BY3"/>
          <cell r="BZ3" t="str">
            <v>ABRIL</v>
          </cell>
          <cell r="CA3"/>
          <cell r="CB3"/>
          <cell r="CC3"/>
          <cell r="CD3" t="str">
            <v>MAIO</v>
          </cell>
          <cell r="CE3"/>
          <cell r="CF3"/>
          <cell r="CG3"/>
          <cell r="CH3" t="str">
            <v>JUNHO</v>
          </cell>
          <cell r="CI3"/>
          <cell r="CJ3"/>
          <cell r="CK3"/>
        </row>
        <row r="4">
          <cell r="E4"/>
          <cell r="F4"/>
          <cell r="BR4" t="str">
            <v>HIST</v>
          </cell>
          <cell r="BS4" t="str">
            <v>META</v>
          </cell>
          <cell r="BT4" t="str">
            <v>FAT</v>
          </cell>
          <cell r="BU4" t="str">
            <v>BONIF</v>
          </cell>
          <cell r="BV4" t="str">
            <v>MÁQ</v>
          </cell>
          <cell r="BW4" t="str">
            <v>% META</v>
          </cell>
          <cell r="BX4" t="str">
            <v>% HIST</v>
          </cell>
          <cell r="BY4" t="str">
            <v>GAP META</v>
          </cell>
          <cell r="BZ4" t="str">
            <v>HIST</v>
          </cell>
          <cell r="CA4" t="str">
            <v>FAT</v>
          </cell>
          <cell r="CB4" t="str">
            <v>BONIF</v>
          </cell>
          <cell r="CC4" t="str">
            <v>MÁQ</v>
          </cell>
          <cell r="CD4" t="str">
            <v>HIST</v>
          </cell>
          <cell r="CE4" t="str">
            <v>FAT</v>
          </cell>
          <cell r="CF4" t="str">
            <v>BONIF</v>
          </cell>
          <cell r="CG4" t="str">
            <v>MÁQ</v>
          </cell>
          <cell r="CH4" t="str">
            <v>HIST</v>
          </cell>
          <cell r="CI4" t="str">
            <v>FAT</v>
          </cell>
          <cell r="CJ4" t="str">
            <v>BONIF</v>
          </cell>
          <cell r="CK4" t="str">
            <v>MÁQ</v>
          </cell>
        </row>
        <row r="5">
          <cell r="E5" t="str">
            <v>FLP-SUL MC/KA D</v>
          </cell>
          <cell r="F5">
            <v>8</v>
          </cell>
          <cell r="BR5">
            <v>1380.2730000000001</v>
          </cell>
          <cell r="BS5">
            <v>4311</v>
          </cell>
          <cell r="BT5">
            <v>1604.0810000000001</v>
          </cell>
          <cell r="BU5">
            <v>584</v>
          </cell>
          <cell r="BV5">
            <v>61.332999999999998</v>
          </cell>
          <cell r="BW5">
            <v>0.52178473672001857</v>
          </cell>
          <cell r="BX5">
            <v>0.62968775017695777</v>
          </cell>
          <cell r="BY5">
            <v>2061.5859999999998</v>
          </cell>
          <cell r="BZ5">
            <v>181.166</v>
          </cell>
          <cell r="CA5">
            <v>425.41699999999997</v>
          </cell>
          <cell r="CB5">
            <v>24.75</v>
          </cell>
          <cell r="CC5">
            <v>0</v>
          </cell>
          <cell r="CD5">
            <v>731.41799999999989</v>
          </cell>
          <cell r="CE5">
            <v>1002.013</v>
          </cell>
          <cell r="CF5">
            <v>21.082999999999998</v>
          </cell>
          <cell r="CG5">
            <v>0</v>
          </cell>
          <cell r="CH5">
            <v>467.68899999999996</v>
          </cell>
          <cell r="CI5">
            <v>176.65099999999998</v>
          </cell>
          <cell r="CJ5">
            <v>15.5</v>
          </cell>
          <cell r="CK5">
            <v>584</v>
          </cell>
        </row>
        <row r="6">
          <cell r="E6" t="str">
            <v>NORTE MC/KA D</v>
          </cell>
          <cell r="F6">
            <v>6</v>
          </cell>
          <cell r="BR6">
            <v>3588.4290000000001</v>
          </cell>
          <cell r="BS6">
            <v>6546</v>
          </cell>
          <cell r="BT6">
            <v>3163.8760000000002</v>
          </cell>
          <cell r="BU6">
            <v>257</v>
          </cell>
          <cell r="BV6">
            <v>92.417000000000002</v>
          </cell>
          <cell r="BW6">
            <v>0.53670837152459516</v>
          </cell>
          <cell r="BX6">
            <v>-2.0938410652683981E-2</v>
          </cell>
          <cell r="BY6">
            <v>3032.7069999999999</v>
          </cell>
          <cell r="BZ6">
            <v>899.88699999999994</v>
          </cell>
          <cell r="CA6">
            <v>802.60400000000004</v>
          </cell>
          <cell r="CB6">
            <v>34.125</v>
          </cell>
          <cell r="CC6">
            <v>0</v>
          </cell>
          <cell r="CD6">
            <v>1268.625</v>
          </cell>
          <cell r="CE6">
            <v>1878.9180000000001</v>
          </cell>
          <cell r="CF6">
            <v>26.584000000000003</v>
          </cell>
          <cell r="CG6">
            <v>0</v>
          </cell>
          <cell r="CH6">
            <v>1419.9169999999999</v>
          </cell>
          <cell r="CI6">
            <v>482.35400000000004</v>
          </cell>
          <cell r="CJ6">
            <v>31.707999999999998</v>
          </cell>
          <cell r="CK6">
            <v>257</v>
          </cell>
        </row>
        <row r="7">
          <cell r="E7" t="str">
            <v xml:space="preserve"> </v>
          </cell>
          <cell r="F7">
            <v>14</v>
          </cell>
          <cell r="BR7">
            <v>4968.7020000000002</v>
          </cell>
          <cell r="BS7">
            <v>10857</v>
          </cell>
          <cell r="BT7">
            <v>4767.9570000000003</v>
          </cell>
          <cell r="BU7">
            <v>841</v>
          </cell>
          <cell r="BV7">
            <v>153.75</v>
          </cell>
          <cell r="BW7">
            <v>0.530782628718799</v>
          </cell>
          <cell r="BX7">
            <v>0.15980129216845773</v>
          </cell>
          <cell r="BY7">
            <v>5094.2929999999997</v>
          </cell>
          <cell r="BZ7">
            <v>1081.0529999999999</v>
          </cell>
          <cell r="CA7">
            <v>1228.021</v>
          </cell>
          <cell r="CB7">
            <v>58.875</v>
          </cell>
          <cell r="CC7">
            <v>0</v>
          </cell>
          <cell r="CD7">
            <v>2000.0429999999999</v>
          </cell>
          <cell r="CE7">
            <v>2880.931</v>
          </cell>
          <cell r="CF7">
            <v>47.667000000000002</v>
          </cell>
          <cell r="CG7">
            <v>0</v>
          </cell>
          <cell r="CH7">
            <v>1887.6059999999998</v>
          </cell>
          <cell r="CI7">
            <v>659.005</v>
          </cell>
          <cell r="CJ7">
            <v>47.207999999999998</v>
          </cell>
          <cell r="CK7">
            <v>841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cânica"/>
      <sheetName val="META"/>
      <sheetName val="GERAL"/>
      <sheetName val="BASE GERAL"/>
      <sheetName val="ITENS"/>
      <sheetName val="CLIENTES"/>
      <sheetName val="BASE"/>
      <sheetName val="Historico"/>
    </sheetNames>
    <sheetDataSet>
      <sheetData sheetId="0"/>
      <sheetData sheetId="1"/>
      <sheetData sheetId="2">
        <row r="3">
          <cell r="E3" t="str">
            <v>EQUIPE</v>
          </cell>
          <cell r="F3" t="str">
            <v>META FY 2</v>
          </cell>
          <cell r="G3" t="str">
            <v>MIX 2</v>
          </cell>
          <cell r="H3" t="str">
            <v>2%</v>
          </cell>
          <cell r="I3" t="str">
            <v>META FY 7</v>
          </cell>
          <cell r="J3" t="str">
            <v>MIX 7</v>
          </cell>
          <cell r="K3" t="str">
            <v>7%</v>
          </cell>
          <cell r="L3" t="str">
            <v>META FY 17</v>
          </cell>
          <cell r="M3" t="str">
            <v>MIX 17</v>
          </cell>
          <cell r="N3" t="str">
            <v>17%</v>
          </cell>
          <cell r="O3" t="str">
            <v>META FY 28</v>
          </cell>
          <cell r="P3" t="str">
            <v>MIX 28</v>
          </cell>
          <cell r="Q3" t="str">
            <v>28%</v>
          </cell>
        </row>
        <row r="4">
          <cell r="E4" t="str">
            <v>FLORIPA D</v>
          </cell>
          <cell r="F4">
            <v>732</v>
          </cell>
          <cell r="G4">
            <v>690</v>
          </cell>
          <cell r="H4">
            <v>0.94262295081967218</v>
          </cell>
          <cell r="I4">
            <v>424</v>
          </cell>
          <cell r="J4">
            <v>314</v>
          </cell>
          <cell r="K4">
            <v>0.74056603773584906</v>
          </cell>
          <cell r="L4">
            <v>413</v>
          </cell>
          <cell r="M4">
            <v>204</v>
          </cell>
          <cell r="N4">
            <v>0.49394673123486682</v>
          </cell>
          <cell r="O4">
            <v>27</v>
          </cell>
          <cell r="P4">
            <v>10</v>
          </cell>
          <cell r="Q4">
            <v>0.37037037037037035</v>
          </cell>
        </row>
        <row r="5">
          <cell r="E5" t="str">
            <v>FLORIPA M</v>
          </cell>
          <cell r="F5">
            <v>57</v>
          </cell>
          <cell r="G5">
            <v>7</v>
          </cell>
          <cell r="H5">
            <v>0.12280701754385964</v>
          </cell>
          <cell r="I5">
            <v>1</v>
          </cell>
          <cell r="J5">
            <v>0</v>
          </cell>
          <cell r="K5">
            <v>0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E6" t="str">
            <v>FLP-SUL MC/KA D</v>
          </cell>
          <cell r="F6">
            <v>85</v>
          </cell>
          <cell r="G6">
            <v>143</v>
          </cell>
          <cell r="H6">
            <v>1.6823529411764706</v>
          </cell>
          <cell r="I6">
            <v>132</v>
          </cell>
          <cell r="J6">
            <v>118</v>
          </cell>
          <cell r="K6">
            <v>0.89393939393939392</v>
          </cell>
          <cell r="L6">
            <v>124</v>
          </cell>
          <cell r="M6">
            <v>111</v>
          </cell>
          <cell r="N6">
            <v>0.89516129032258063</v>
          </cell>
          <cell r="O6">
            <v>106</v>
          </cell>
          <cell r="P6">
            <v>109</v>
          </cell>
          <cell r="Q6">
            <v>1.0283018867924529</v>
          </cell>
        </row>
        <row r="7">
          <cell r="E7" t="str">
            <v>LITORAL D</v>
          </cell>
          <cell r="F7">
            <v>811</v>
          </cell>
          <cell r="G7">
            <v>925</v>
          </cell>
          <cell r="H7">
            <v>1.1405672009864365</v>
          </cell>
          <cell r="I7">
            <v>534</v>
          </cell>
          <cell r="J7">
            <v>514</v>
          </cell>
          <cell r="K7">
            <v>0.96254681647940077</v>
          </cell>
          <cell r="L7">
            <v>505</v>
          </cell>
          <cell r="M7">
            <v>399</v>
          </cell>
          <cell r="N7">
            <v>0.79009900990099013</v>
          </cell>
          <cell r="O7">
            <v>32</v>
          </cell>
          <cell r="P7">
            <v>42</v>
          </cell>
          <cell r="Q7">
            <v>1.3125</v>
          </cell>
        </row>
        <row r="8">
          <cell r="E8" t="str">
            <v>LITORAL M</v>
          </cell>
          <cell r="F8">
            <v>94</v>
          </cell>
          <cell r="G8">
            <v>29</v>
          </cell>
          <cell r="H8">
            <v>0.30851063829787234</v>
          </cell>
          <cell r="I8">
            <v>7</v>
          </cell>
          <cell r="J8">
            <v>0</v>
          </cell>
          <cell r="K8">
            <v>0</v>
          </cell>
          <cell r="L8">
            <v>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E9" t="str">
            <v>NORTE D</v>
          </cell>
          <cell r="F9">
            <v>841</v>
          </cell>
          <cell r="G9">
            <v>771</v>
          </cell>
          <cell r="H9">
            <v>0.91676575505350777</v>
          </cell>
          <cell r="I9">
            <v>501</v>
          </cell>
          <cell r="J9">
            <v>433</v>
          </cell>
          <cell r="K9">
            <v>0.86427145708582831</v>
          </cell>
          <cell r="L9">
            <v>387</v>
          </cell>
          <cell r="M9">
            <v>293</v>
          </cell>
          <cell r="N9">
            <v>0.75710594315245483</v>
          </cell>
          <cell r="O9">
            <v>22</v>
          </cell>
          <cell r="P9">
            <v>23</v>
          </cell>
          <cell r="Q9">
            <v>1.0454545454545454</v>
          </cell>
        </row>
        <row r="10">
          <cell r="E10" t="str">
            <v>NORTE M</v>
          </cell>
          <cell r="F10">
            <v>33</v>
          </cell>
          <cell r="G10">
            <v>5</v>
          </cell>
          <cell r="H10">
            <v>0.15151515151515152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E11" t="str">
            <v>NORTE MC/KA D</v>
          </cell>
          <cell r="F11">
            <v>87</v>
          </cell>
          <cell r="G11">
            <v>144</v>
          </cell>
          <cell r="H11">
            <v>1.6551724137931034</v>
          </cell>
          <cell r="I11">
            <v>99</v>
          </cell>
          <cell r="J11">
            <v>125</v>
          </cell>
          <cell r="K11">
            <v>1.2626262626262625</v>
          </cell>
          <cell r="L11">
            <v>91</v>
          </cell>
          <cell r="M11">
            <v>115</v>
          </cell>
          <cell r="N11">
            <v>1.2637362637362637</v>
          </cell>
          <cell r="O11">
            <v>94</v>
          </cell>
          <cell r="P11">
            <v>114</v>
          </cell>
          <cell r="Q11">
            <v>1.2127659574468086</v>
          </cell>
        </row>
        <row r="12">
          <cell r="E12" t="str">
            <v>SUL D</v>
          </cell>
          <cell r="F12">
            <v>973</v>
          </cell>
          <cell r="G12">
            <v>911</v>
          </cell>
          <cell r="H12">
            <v>0.93627954779033917</v>
          </cell>
          <cell r="I12">
            <v>544</v>
          </cell>
          <cell r="J12">
            <v>512</v>
          </cell>
          <cell r="K12">
            <v>0.94117647058823528</v>
          </cell>
          <cell r="L12">
            <v>527</v>
          </cell>
          <cell r="M12">
            <v>332</v>
          </cell>
          <cell r="N12">
            <v>0.62998102466793171</v>
          </cell>
          <cell r="O12">
            <v>33</v>
          </cell>
          <cell r="P12">
            <v>35</v>
          </cell>
          <cell r="Q12">
            <v>1.0606060606060606</v>
          </cell>
        </row>
        <row r="13">
          <cell r="E13" t="str">
            <v>SUL M</v>
          </cell>
          <cell r="F13">
            <v>81</v>
          </cell>
          <cell r="G13">
            <v>10</v>
          </cell>
          <cell r="H13">
            <v>0.12345679012345678</v>
          </cell>
          <cell r="I13">
            <v>6</v>
          </cell>
          <cell r="J13">
            <v>1</v>
          </cell>
          <cell r="K13">
            <v>0.16666666666666666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E14" t="str">
            <v>VALE D</v>
          </cell>
          <cell r="F14">
            <v>339</v>
          </cell>
          <cell r="G14">
            <v>317</v>
          </cell>
          <cell r="H14">
            <v>0.93510324483775809</v>
          </cell>
          <cell r="I14">
            <v>275</v>
          </cell>
          <cell r="J14">
            <v>203</v>
          </cell>
          <cell r="K14">
            <v>0.73818181818181816</v>
          </cell>
          <cell r="L14">
            <v>266</v>
          </cell>
          <cell r="M14">
            <v>106</v>
          </cell>
          <cell r="N14">
            <v>0.39849624060150374</v>
          </cell>
          <cell r="O14">
            <v>13</v>
          </cell>
          <cell r="P14">
            <v>1</v>
          </cell>
          <cell r="Q14">
            <v>7.6923076923076927E-2</v>
          </cell>
        </row>
        <row r="15">
          <cell r="E15" t="str">
            <v>VALE M</v>
          </cell>
          <cell r="F15">
            <v>150</v>
          </cell>
          <cell r="G15">
            <v>9</v>
          </cell>
          <cell r="H15">
            <v>0.06</v>
          </cell>
          <cell r="I15">
            <v>14</v>
          </cell>
          <cell r="J15">
            <v>0</v>
          </cell>
          <cell r="K15">
            <v>0</v>
          </cell>
          <cell r="L15">
            <v>14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E16" t="str">
            <v>VENDAS INTERNAS</v>
          </cell>
          <cell r="F16">
            <v>0</v>
          </cell>
          <cell r="G16">
            <v>9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E17" t="str">
            <v>Total Geral</v>
          </cell>
          <cell r="F17">
            <v>4283</v>
          </cell>
          <cell r="G17">
            <v>3970</v>
          </cell>
          <cell r="H17">
            <v>0.92692038290917578</v>
          </cell>
          <cell r="I17">
            <v>2539</v>
          </cell>
          <cell r="J17">
            <v>2220</v>
          </cell>
          <cell r="K17">
            <v>0.874359984245766</v>
          </cell>
          <cell r="L17">
            <v>2341</v>
          </cell>
          <cell r="M17">
            <v>1560</v>
          </cell>
          <cell r="N17">
            <v>0.66638188808201626</v>
          </cell>
          <cell r="O17">
            <v>327</v>
          </cell>
          <cell r="P17">
            <v>334</v>
          </cell>
          <cell r="Q17">
            <v>1.0214067278287462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Itens Válidos"/>
      <sheetName val="Metas"/>
      <sheetName val="aux"/>
      <sheetName val="Clientes"/>
      <sheetName val="BASE"/>
      <sheetName val="Carteira"/>
      <sheetName val="Historico"/>
    </sheetNames>
    <sheetDataSet>
      <sheetData sheetId="0">
        <row r="2">
          <cell r="D2" t="str">
            <v>EQUIPE</v>
          </cell>
          <cell r="E2" t="str">
            <v xml:space="preserve"> RAID LIQ ELETRICO</v>
          </cell>
          <cell r="F2" t="str">
            <v>FAT +MAQ</v>
          </cell>
          <cell r="G2" t="str">
            <v xml:space="preserve"> GAP</v>
          </cell>
          <cell r="H2" t="str">
            <v xml:space="preserve"> %RAID</v>
          </cell>
          <cell r="I2" t="str">
            <v xml:space="preserve"> GLADE AEROSSOL</v>
          </cell>
          <cell r="J2" t="str">
            <v xml:space="preserve"> FAT+MAQ</v>
          </cell>
          <cell r="K2" t="str">
            <v xml:space="preserve"> GAP </v>
          </cell>
          <cell r="L2" t="str">
            <v xml:space="preserve"> %GLAD</v>
          </cell>
          <cell r="M2" t="str">
            <v xml:space="preserve"> LYSOFORM</v>
          </cell>
          <cell r="N2" t="str">
            <v xml:space="preserve">FAT +MAQ </v>
          </cell>
          <cell r="O2" t="str">
            <v xml:space="preserve">  GAP  </v>
          </cell>
          <cell r="P2" t="str">
            <v xml:space="preserve"> %LYSO</v>
          </cell>
          <cell r="Q2" t="str">
            <v xml:space="preserve"> PATO PASTILHA</v>
          </cell>
          <cell r="R2" t="str">
            <v xml:space="preserve"> FAT + MAQ </v>
          </cell>
          <cell r="S2" t="str">
            <v xml:space="preserve">GAP     </v>
          </cell>
          <cell r="T2" t="str">
            <v xml:space="preserve"> %PATO</v>
          </cell>
        </row>
        <row r="3">
          <cell r="D3" t="str">
            <v>FLORIPA D</v>
          </cell>
          <cell r="E3">
            <v>162</v>
          </cell>
          <cell r="F3">
            <v>109.55833333333334</v>
          </cell>
          <cell r="G3">
            <v>-52.441666666666663</v>
          </cell>
          <cell r="H3">
            <v>0.67628600823045271</v>
          </cell>
          <cell r="I3">
            <v>512</v>
          </cell>
          <cell r="J3">
            <v>326.25</v>
          </cell>
          <cell r="K3">
            <v>-185.75</v>
          </cell>
          <cell r="L3">
            <v>0.63720703125</v>
          </cell>
          <cell r="M3">
            <v>264</v>
          </cell>
          <cell r="N3">
            <v>146.875</v>
          </cell>
          <cell r="O3">
            <v>-117.125</v>
          </cell>
          <cell r="P3">
            <v>0.55634469696969702</v>
          </cell>
          <cell r="R3">
            <v>486.5</v>
          </cell>
          <cell r="S3">
            <v>-19.5</v>
          </cell>
          <cell r="T3">
            <v>0.96146245059288538</v>
          </cell>
        </row>
        <row r="4">
          <cell r="D4" t="str">
            <v>FLORIPA M</v>
          </cell>
          <cell r="E4">
            <v>1</v>
          </cell>
          <cell r="F4">
            <v>0</v>
          </cell>
          <cell r="G4">
            <v>-1</v>
          </cell>
          <cell r="H4">
            <v>0</v>
          </cell>
          <cell r="I4">
            <v>5</v>
          </cell>
          <cell r="J4">
            <v>1.25</v>
          </cell>
          <cell r="K4">
            <v>-3.75</v>
          </cell>
          <cell r="L4">
            <v>0.25</v>
          </cell>
          <cell r="M4">
            <v>1</v>
          </cell>
          <cell r="N4">
            <v>1.3333333333333333</v>
          </cell>
          <cell r="O4">
            <v>0.33333333333333326</v>
          </cell>
          <cell r="P4">
            <v>1.3333333333333333</v>
          </cell>
          <cell r="Q4">
            <v>1</v>
          </cell>
          <cell r="R4">
            <v>0.375</v>
          </cell>
          <cell r="S4">
            <v>-0.625</v>
          </cell>
          <cell r="T4">
            <v>0.375</v>
          </cell>
        </row>
        <row r="5">
          <cell r="D5" t="str">
            <v>FLP-SUL MC/KA D</v>
          </cell>
          <cell r="E5">
            <v>479</v>
          </cell>
          <cell r="F5">
            <v>284.14166666666665</v>
          </cell>
          <cell r="G5">
            <v>-194.85833333333335</v>
          </cell>
          <cell r="H5">
            <v>0.59319763395963809</v>
          </cell>
          <cell r="I5">
            <v>1090</v>
          </cell>
          <cell r="J5">
            <v>443.75</v>
          </cell>
          <cell r="K5">
            <v>-646.25</v>
          </cell>
          <cell r="L5">
            <v>0.40711009174311924</v>
          </cell>
          <cell r="M5">
            <v>541</v>
          </cell>
          <cell r="N5">
            <v>466.45833333333337</v>
          </cell>
          <cell r="O5">
            <v>-74.541666666666629</v>
          </cell>
          <cell r="P5">
            <v>0.86221503388786203</v>
          </cell>
          <cell r="Q5">
            <v>1519</v>
          </cell>
          <cell r="R5">
            <v>883.20833333333348</v>
          </cell>
          <cell r="S5">
            <v>-635.79166666666652</v>
          </cell>
          <cell r="T5">
            <v>0.58144064077243807</v>
          </cell>
        </row>
        <row r="6">
          <cell r="D6" t="str">
            <v>LITORAL D</v>
          </cell>
          <cell r="E6">
            <v>189</v>
          </cell>
          <cell r="F6">
            <v>130.25833333333335</v>
          </cell>
          <cell r="G6">
            <v>-58.741666666666646</v>
          </cell>
          <cell r="H6">
            <v>0.68919753086419766</v>
          </cell>
          <cell r="I6">
            <v>505</v>
          </cell>
          <cell r="J6">
            <v>243.25</v>
          </cell>
          <cell r="K6">
            <v>-261.75</v>
          </cell>
          <cell r="L6">
            <v>0.48168316831683167</v>
          </cell>
          <cell r="M6">
            <v>249</v>
          </cell>
          <cell r="N6">
            <v>155.91666666666666</v>
          </cell>
          <cell r="O6">
            <v>-93.083333333333343</v>
          </cell>
          <cell r="P6">
            <v>0.62617135207496655</v>
          </cell>
          <cell r="Q6">
            <v>328</v>
          </cell>
          <cell r="R6">
            <v>380.33333333333331</v>
          </cell>
          <cell r="S6">
            <v>52.333333333333314</v>
          </cell>
          <cell r="T6">
            <v>1.1595528455284552</v>
          </cell>
        </row>
        <row r="7">
          <cell r="D7" t="str">
            <v>LITORAL M</v>
          </cell>
          <cell r="E7">
            <v>3</v>
          </cell>
          <cell r="F7">
            <v>1.9166666666666665</v>
          </cell>
          <cell r="G7">
            <v>-1.0833333333333335</v>
          </cell>
          <cell r="H7">
            <v>0.63888888888888884</v>
          </cell>
          <cell r="I7">
            <v>12</v>
          </cell>
          <cell r="J7">
            <v>4</v>
          </cell>
          <cell r="K7">
            <v>-8</v>
          </cell>
          <cell r="L7">
            <v>0.33333333333333331</v>
          </cell>
          <cell r="M7">
            <v>10</v>
          </cell>
          <cell r="N7">
            <v>3.2916666666666665</v>
          </cell>
          <cell r="O7">
            <v>-6.7083333333333339</v>
          </cell>
          <cell r="P7">
            <v>0.32916666666666666</v>
          </cell>
          <cell r="Q7">
            <v>3</v>
          </cell>
          <cell r="R7">
            <v>1.625</v>
          </cell>
          <cell r="S7">
            <v>-1.375</v>
          </cell>
          <cell r="T7">
            <v>0.54166666666666663</v>
          </cell>
        </row>
        <row r="8">
          <cell r="D8" t="str">
            <v>NORTE D</v>
          </cell>
          <cell r="E8">
            <v>176</v>
          </cell>
          <cell r="F8">
            <v>143.79999999999998</v>
          </cell>
          <cell r="G8">
            <v>-32.200000000000017</v>
          </cell>
          <cell r="H8">
            <v>0.81704545454545441</v>
          </cell>
          <cell r="I8">
            <v>395</v>
          </cell>
          <cell r="J8">
            <v>168</v>
          </cell>
          <cell r="K8">
            <v>-227</v>
          </cell>
          <cell r="L8">
            <v>0.42531645569620252</v>
          </cell>
          <cell r="M8">
            <v>149</v>
          </cell>
          <cell r="N8">
            <v>131.12499999999997</v>
          </cell>
          <cell r="O8">
            <v>-17.875000000000028</v>
          </cell>
          <cell r="P8">
            <v>0.88003355704697972</v>
          </cell>
          <cell r="Q8">
            <v>305</v>
          </cell>
          <cell r="R8">
            <v>235.625</v>
          </cell>
          <cell r="S8">
            <v>-69.375</v>
          </cell>
          <cell r="T8">
            <v>0.77254098360655743</v>
          </cell>
        </row>
        <row r="9">
          <cell r="D9" t="str">
            <v>NORTE M</v>
          </cell>
          <cell r="E9">
            <v>1</v>
          </cell>
          <cell r="F9">
            <v>0</v>
          </cell>
          <cell r="G9">
            <v>-1</v>
          </cell>
          <cell r="H9">
            <v>0</v>
          </cell>
          <cell r="I9">
            <v>8</v>
          </cell>
          <cell r="J9">
            <v>8.5</v>
          </cell>
          <cell r="K9">
            <v>0.5</v>
          </cell>
          <cell r="L9">
            <v>1.0625</v>
          </cell>
          <cell r="M9">
            <v>2</v>
          </cell>
          <cell r="N9">
            <v>0</v>
          </cell>
          <cell r="O9">
            <v>-2</v>
          </cell>
          <cell r="P9">
            <v>0</v>
          </cell>
          <cell r="Q9">
            <v>2</v>
          </cell>
          <cell r="R9">
            <v>1.25</v>
          </cell>
          <cell r="S9">
            <v>-0.75</v>
          </cell>
          <cell r="T9">
            <v>0.625</v>
          </cell>
        </row>
        <row r="10">
          <cell r="D10" t="str">
            <v>NORTE MC/KA D</v>
          </cell>
          <cell r="E10">
            <v>494</v>
          </cell>
          <cell r="F10">
            <v>450.15</v>
          </cell>
          <cell r="G10">
            <v>-43.850000000000023</v>
          </cell>
          <cell r="H10">
            <v>0.91123481781376514</v>
          </cell>
          <cell r="I10">
            <v>1091</v>
          </cell>
          <cell r="J10">
            <v>357.66666666666669</v>
          </cell>
          <cell r="K10">
            <v>-733.33333333333326</v>
          </cell>
          <cell r="L10">
            <v>0.32783379162847542</v>
          </cell>
          <cell r="M10">
            <v>824</v>
          </cell>
          <cell r="N10">
            <v>572.83333333333337</v>
          </cell>
          <cell r="O10">
            <v>-251.16666666666663</v>
          </cell>
          <cell r="P10">
            <v>0.69518608414239491</v>
          </cell>
          <cell r="Q10">
            <v>823</v>
          </cell>
          <cell r="R10">
            <v>995.45833333333326</v>
          </cell>
          <cell r="S10">
            <v>172.45833333333326</v>
          </cell>
          <cell r="T10">
            <v>1.2095484001620087</v>
          </cell>
        </row>
        <row r="11">
          <cell r="D11" t="str">
            <v>SUL D</v>
          </cell>
          <cell r="E11">
            <v>151</v>
          </cell>
          <cell r="F11">
            <v>94.208333333333343</v>
          </cell>
          <cell r="G11">
            <v>-56.791666666666657</v>
          </cell>
          <cell r="H11">
            <v>0.62389624724061821</v>
          </cell>
          <cell r="I11">
            <v>473</v>
          </cell>
          <cell r="J11">
            <v>292.58333333333337</v>
          </cell>
          <cell r="K11">
            <v>-180.41666666666663</v>
          </cell>
          <cell r="L11">
            <v>0.61856941508104302</v>
          </cell>
          <cell r="M11">
            <v>89</v>
          </cell>
          <cell r="N11">
            <v>75.583333333333343</v>
          </cell>
          <cell r="O11">
            <v>-13.416666666666657</v>
          </cell>
          <cell r="P11">
            <v>0.84925093632958815</v>
          </cell>
          <cell r="Q11">
            <v>424</v>
          </cell>
          <cell r="R11">
            <v>359</v>
          </cell>
          <cell r="S11">
            <v>-65</v>
          </cell>
          <cell r="T11">
            <v>0.84669811320754718</v>
          </cell>
        </row>
        <row r="12">
          <cell r="D12" t="str">
            <v>SUL M</v>
          </cell>
          <cell r="E12">
            <v>2</v>
          </cell>
          <cell r="F12">
            <v>0.71666666666666667</v>
          </cell>
          <cell r="G12">
            <v>-1.2833333333333332</v>
          </cell>
          <cell r="H12">
            <v>0.35833333333333334</v>
          </cell>
          <cell r="I12">
            <v>23</v>
          </cell>
          <cell r="J12">
            <v>7</v>
          </cell>
          <cell r="K12">
            <v>-16</v>
          </cell>
          <cell r="L12">
            <v>0.30434782608695654</v>
          </cell>
          <cell r="M12">
            <v>2</v>
          </cell>
          <cell r="N12">
            <v>2.0833333333333335</v>
          </cell>
          <cell r="O12">
            <v>8.3333333333333481E-2</v>
          </cell>
          <cell r="P12">
            <v>1.0416666666666667</v>
          </cell>
          <cell r="Q12">
            <v>4</v>
          </cell>
          <cell r="R12">
            <v>3</v>
          </cell>
          <cell r="S12">
            <v>-1</v>
          </cell>
          <cell r="T12">
            <v>0.75</v>
          </cell>
        </row>
        <row r="13">
          <cell r="D13" t="str">
            <v>VALE D</v>
          </cell>
          <cell r="E13">
            <v>38</v>
          </cell>
          <cell r="F13">
            <v>25.333333333333332</v>
          </cell>
          <cell r="G13">
            <v>-12.666666666666668</v>
          </cell>
          <cell r="H13">
            <v>0.66666666666666663</v>
          </cell>
          <cell r="I13">
            <v>159</v>
          </cell>
          <cell r="J13">
            <v>54.583333333333336</v>
          </cell>
          <cell r="K13">
            <v>-104.41666666666666</v>
          </cell>
          <cell r="L13">
            <v>0.34329140461215935</v>
          </cell>
          <cell r="M13">
            <v>34</v>
          </cell>
          <cell r="N13">
            <v>27.375</v>
          </cell>
          <cell r="O13">
            <v>-6.625</v>
          </cell>
          <cell r="P13">
            <v>0.80514705882352944</v>
          </cell>
          <cell r="Q13">
            <v>72</v>
          </cell>
          <cell r="R13">
            <v>63.75</v>
          </cell>
          <cell r="S13">
            <v>-8.25</v>
          </cell>
          <cell r="T13">
            <v>0.88541666666666663</v>
          </cell>
        </row>
        <row r="14">
          <cell r="D14" t="str">
            <v>VALE M</v>
          </cell>
          <cell r="E14">
            <v>1</v>
          </cell>
          <cell r="F14">
            <v>1.4333333333333331</v>
          </cell>
          <cell r="G14">
            <v>0.43333333333333313</v>
          </cell>
          <cell r="H14">
            <v>1.4333333333333331</v>
          </cell>
          <cell r="I14">
            <v>9</v>
          </cell>
          <cell r="J14">
            <v>6</v>
          </cell>
          <cell r="K14">
            <v>-3</v>
          </cell>
          <cell r="L14">
            <v>0.66666666666666663</v>
          </cell>
          <cell r="M14">
            <v>12</v>
          </cell>
          <cell r="N14">
            <v>6.291666666666667</v>
          </cell>
          <cell r="O14">
            <v>-5.708333333333333</v>
          </cell>
          <cell r="P14">
            <v>0.52430555555555558</v>
          </cell>
          <cell r="Q14">
            <v>44</v>
          </cell>
          <cell r="R14">
            <v>26.25</v>
          </cell>
          <cell r="S14">
            <v>-17.75</v>
          </cell>
          <cell r="T14">
            <v>0.59659090909090906</v>
          </cell>
        </row>
        <row r="15">
          <cell r="D15" t="str">
            <v>VENDAS INTERNAS</v>
          </cell>
          <cell r="E15">
            <v>18</v>
          </cell>
          <cell r="F15">
            <v>17.666666666666664</v>
          </cell>
          <cell r="G15">
            <v>-0.3333333333333357</v>
          </cell>
          <cell r="H15">
            <v>0.9814814814814814</v>
          </cell>
          <cell r="I15">
            <v>249</v>
          </cell>
          <cell r="J15">
            <v>64.5</v>
          </cell>
          <cell r="K15">
            <v>-184.5</v>
          </cell>
          <cell r="L15">
            <v>0.25903614457831325</v>
          </cell>
          <cell r="M15">
            <v>74</v>
          </cell>
          <cell r="N15">
            <v>76.083333333333343</v>
          </cell>
          <cell r="O15">
            <v>2.0833333333333428</v>
          </cell>
          <cell r="P15">
            <v>1.0281531531531534</v>
          </cell>
          <cell r="Q15">
            <v>229</v>
          </cell>
          <cell r="R15">
            <v>159.75</v>
          </cell>
          <cell r="S15">
            <v>-69.25</v>
          </cell>
          <cell r="T15">
            <v>0.69759825327510916</v>
          </cell>
        </row>
        <row r="16">
          <cell r="D16" t="str">
            <v>Total Geral</v>
          </cell>
          <cell r="E16">
            <v>1715</v>
          </cell>
          <cell r="F16">
            <v>1259.1833333333332</v>
          </cell>
          <cell r="G16">
            <v>-455.81666666666661</v>
          </cell>
          <cell r="H16">
            <v>0.73421768707482993</v>
          </cell>
          <cell r="I16">
            <v>4531</v>
          </cell>
          <cell r="J16">
            <v>1977.3333333333333</v>
          </cell>
          <cell r="K16">
            <v>-2553.666666666667</v>
          </cell>
          <cell r="L16">
            <v>0.43640108879570366</v>
          </cell>
          <cell r="M16">
            <v>2251</v>
          </cell>
          <cell r="N16">
            <v>1665.25</v>
          </cell>
          <cell r="O16">
            <v>-585.75</v>
          </cell>
          <cell r="P16">
            <v>0.73978231896934699</v>
          </cell>
          <cell r="Q16">
            <v>4260</v>
          </cell>
          <cell r="R16">
            <v>3596.125</v>
          </cell>
          <cell r="S16">
            <v>-663.875</v>
          </cell>
          <cell r="T16">
            <v>0.84416079812206568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6FA2-31B2-4B6A-9AC0-A8034595D124}">
  <sheetPr codeName="Planilha1">
    <pageSetUpPr fitToPage="1"/>
  </sheetPr>
  <dimension ref="B47:E55"/>
  <sheetViews>
    <sheetView showGridLines="0" zoomScale="85" zoomScaleNormal="85" workbookViewId="0">
      <selection activeCell="C3" sqref="C3"/>
    </sheetView>
  </sheetViews>
  <sheetFormatPr defaultRowHeight="14.5" outlineLevelRow="1" x14ac:dyDescent="0.35"/>
  <cols>
    <col min="1" max="1" width="5.453125" customWidth="1"/>
    <col min="2" max="2" width="26.26953125" bestFit="1" customWidth="1"/>
    <col min="3" max="3" width="12.54296875" bestFit="1" customWidth="1"/>
    <col min="4" max="4" width="12.26953125" customWidth="1"/>
    <col min="5" max="11" width="9.26953125" customWidth="1"/>
    <col min="12" max="12" width="10.7265625" customWidth="1"/>
    <col min="13" max="13" width="9.26953125" customWidth="1"/>
  </cols>
  <sheetData>
    <row r="47" spans="2:5" hidden="1" outlineLevel="1" x14ac:dyDescent="0.35">
      <c r="C47" s="3" t="s">
        <v>16</v>
      </c>
      <c r="D47" s="3" t="s">
        <v>17</v>
      </c>
      <c r="E47" s="3" t="s">
        <v>2</v>
      </c>
    </row>
    <row r="48" spans="2:5" hidden="1" outlineLevel="1" x14ac:dyDescent="0.35">
      <c r="B48" s="4" t="s">
        <v>18</v>
      </c>
      <c r="C48" s="5">
        <v>0</v>
      </c>
      <c r="D48" s="5">
        <v>0</v>
      </c>
      <c r="E48" s="6">
        <f t="shared" ref="E48:E54" si="0">IFERROR(D48/C48,)</f>
        <v>0</v>
      </c>
    </row>
    <row r="49" spans="2:5" hidden="1" outlineLevel="1" x14ac:dyDescent="0.35">
      <c r="B49" s="4" t="s">
        <v>19</v>
      </c>
      <c r="C49" s="5">
        <v>0</v>
      </c>
      <c r="D49" s="5">
        <v>0</v>
      </c>
      <c r="E49" s="6">
        <f t="shared" si="0"/>
        <v>0</v>
      </c>
    </row>
    <row r="50" spans="2:5" hidden="1" outlineLevel="1" x14ac:dyDescent="0.35">
      <c r="B50" s="4" t="s">
        <v>20</v>
      </c>
      <c r="C50" s="5">
        <v>0</v>
      </c>
      <c r="D50" s="5">
        <v>0</v>
      </c>
      <c r="E50" s="6">
        <f t="shared" si="0"/>
        <v>0</v>
      </c>
    </row>
    <row r="51" spans="2:5" hidden="1" outlineLevel="1" x14ac:dyDescent="0.35">
      <c r="B51" s="4" t="s">
        <v>21</v>
      </c>
      <c r="C51" s="5">
        <v>26400</v>
      </c>
      <c r="D51" s="5">
        <v>0</v>
      </c>
      <c r="E51" s="6">
        <f t="shared" si="0"/>
        <v>0</v>
      </c>
    </row>
    <row r="52" spans="2:5" hidden="1" outlineLevel="1" x14ac:dyDescent="0.35">
      <c r="B52" s="7" t="s">
        <v>22</v>
      </c>
      <c r="C52" s="5">
        <v>0</v>
      </c>
      <c r="D52" s="5">
        <v>0</v>
      </c>
      <c r="E52" s="6">
        <f t="shared" si="0"/>
        <v>0</v>
      </c>
    </row>
    <row r="53" spans="2:5" hidden="1" outlineLevel="1" x14ac:dyDescent="0.35">
      <c r="B53" s="4" t="s">
        <v>23</v>
      </c>
      <c r="C53" s="5">
        <v>0</v>
      </c>
      <c r="D53" s="5">
        <v>0</v>
      </c>
      <c r="E53" s="6">
        <f t="shared" si="0"/>
        <v>0</v>
      </c>
    </row>
    <row r="54" spans="2:5" ht="15" hidden="1" outlineLevel="1" thickBot="1" x14ac:dyDescent="0.4">
      <c r="B54" s="8" t="s">
        <v>24</v>
      </c>
      <c r="C54" s="9">
        <f>SUM(C47:C53)</f>
        <v>26400</v>
      </c>
      <c r="D54" s="9">
        <f>SUM(D47:D53)</f>
        <v>0</v>
      </c>
      <c r="E54" s="10">
        <f t="shared" si="0"/>
        <v>0</v>
      </c>
    </row>
    <row r="55" spans="2:5" collapsed="1" x14ac:dyDescent="0.35"/>
  </sheetData>
  <sheetProtection selectLockedCells="1" selectUnlockedCells="1"/>
  <pageMargins left="0" right="0" top="0" bottom="0" header="0" footer="0"/>
  <pageSetup paperSize="9" scale="49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3FED-DA5A-4964-A62E-5A45522CB7C4}">
  <sheetPr codeName="Planilha2"/>
  <dimension ref="A1:S24"/>
  <sheetViews>
    <sheetView showGridLines="0" zoomScale="115" zoomScaleNormal="115" workbookViewId="0">
      <selection activeCell="B22" sqref="B22"/>
    </sheetView>
  </sheetViews>
  <sheetFormatPr defaultRowHeight="14.5" x14ac:dyDescent="0.35"/>
  <cols>
    <col min="1" max="1" width="2" customWidth="1"/>
    <col min="2" max="2" width="11.54296875" customWidth="1"/>
    <col min="3" max="3" width="13.26953125" bestFit="1" customWidth="1"/>
    <col min="4" max="4" width="35.26953125" bestFit="1" customWidth="1"/>
    <col min="5" max="5" width="7.26953125" bestFit="1" customWidth="1"/>
    <col min="6" max="6" width="10.81640625" customWidth="1"/>
    <col min="7" max="7" width="7.7265625" bestFit="1" customWidth="1"/>
    <col min="8" max="8" width="6.7265625" bestFit="1" customWidth="1"/>
    <col min="9" max="9" width="9.26953125" bestFit="1" customWidth="1"/>
    <col min="10" max="10" width="3.7265625" customWidth="1"/>
    <col min="11" max="11" width="5.7265625" customWidth="1"/>
    <col min="12" max="12" width="35.7265625" customWidth="1"/>
    <col min="13" max="13" width="7.7265625" customWidth="1"/>
    <col min="14" max="14" width="12.7265625" bestFit="1" customWidth="1"/>
    <col min="15" max="15" width="9.453125" bestFit="1" customWidth="1"/>
    <col min="16" max="16" width="8.81640625" bestFit="1" customWidth="1"/>
    <col min="17" max="17" width="7.7265625" customWidth="1"/>
    <col min="18" max="18" width="10" customWidth="1"/>
    <col min="19" max="19" width="9.7265625" style="1" customWidth="1"/>
    <col min="23" max="23" width="8.54296875" customWidth="1"/>
  </cols>
  <sheetData>
    <row r="1" spans="1:19" ht="15" customHeight="1" thickBot="1" x14ac:dyDescent="0.4">
      <c r="A1" s="1"/>
      <c r="S1"/>
    </row>
    <row r="2" spans="1:19" ht="15.5" x14ac:dyDescent="0.35">
      <c r="A2" s="1"/>
      <c r="D2" s="206" t="s">
        <v>12</v>
      </c>
      <c r="E2" s="207"/>
      <c r="F2" s="207"/>
      <c r="G2" s="207"/>
      <c r="H2" s="207"/>
      <c r="I2" s="208"/>
      <c r="S2"/>
    </row>
    <row r="3" spans="1:19" ht="16" thickBot="1" x14ac:dyDescent="0.4">
      <c r="A3" s="1"/>
      <c r="D3" s="122" t="s">
        <v>34</v>
      </c>
      <c r="E3" s="121" t="s">
        <v>0</v>
      </c>
      <c r="F3" s="121" t="s">
        <v>1</v>
      </c>
      <c r="G3" s="121" t="s">
        <v>2</v>
      </c>
      <c r="H3" s="121" t="s">
        <v>15</v>
      </c>
      <c r="I3" s="123" t="s">
        <v>4</v>
      </c>
      <c r="S3"/>
    </row>
    <row r="4" spans="1:19" ht="15.5" x14ac:dyDescent="0.35">
      <c r="A4" s="1"/>
      <c r="D4" s="140" t="s">
        <v>44</v>
      </c>
      <c r="E4" s="141">
        <v>71</v>
      </c>
      <c r="F4" s="142">
        <f>'LOJA PERFEITA'!J12</f>
        <v>58</v>
      </c>
      <c r="G4" s="143">
        <f t="shared" ref="G4:G9" si="0">IFERROR(F4/E4,0)</f>
        <v>0.81690140845070425</v>
      </c>
      <c r="H4" s="144"/>
      <c r="I4" s="145"/>
      <c r="S4"/>
    </row>
    <row r="5" spans="1:19" ht="15.5" x14ac:dyDescent="0.35">
      <c r="A5" s="1"/>
      <c r="D5" s="128" t="s">
        <v>45</v>
      </c>
      <c r="E5" s="129">
        <v>80</v>
      </c>
      <c r="F5" s="130">
        <f>'LOJA PERFEITA'!M12</f>
        <v>88.177758620689644</v>
      </c>
      <c r="G5" s="131">
        <f t="shared" si="0"/>
        <v>1.1022219827586206</v>
      </c>
      <c r="H5" s="136">
        <v>3.3330000000000002</v>
      </c>
      <c r="I5" s="137">
        <f>IF(G5&gt;=100%,H5,IF((G5&lt;100%)*(G5&gt;=95%),H5*0.8,IF((G5&lt;95%)*(G5&gt;=90%),H5*0.6,0)))</f>
        <v>3.3330000000000002</v>
      </c>
      <c r="S5"/>
    </row>
    <row r="6" spans="1:19" ht="15.5" x14ac:dyDescent="0.35">
      <c r="A6" s="1"/>
      <c r="D6" s="124" t="s">
        <v>46</v>
      </c>
      <c r="E6" s="125">
        <v>71</v>
      </c>
      <c r="F6" s="126">
        <f>'LOJA PERFEITA'!O12</f>
        <v>57</v>
      </c>
      <c r="G6" s="127">
        <f t="shared" si="0"/>
        <v>0.80281690140845074</v>
      </c>
      <c r="H6" s="134"/>
      <c r="I6" s="135"/>
      <c r="S6"/>
    </row>
    <row r="7" spans="1:19" ht="15.5" x14ac:dyDescent="0.35">
      <c r="A7" s="1"/>
      <c r="D7" s="128" t="s">
        <v>47</v>
      </c>
      <c r="E7" s="129">
        <v>80</v>
      </c>
      <c r="F7" s="129">
        <f>'LOJA PERFEITA'!R12</f>
        <v>90.117368421052603</v>
      </c>
      <c r="G7" s="131">
        <f t="shared" si="0"/>
        <v>1.1264671052631576</v>
      </c>
      <c r="H7" s="136">
        <v>3.3332999999999999</v>
      </c>
      <c r="I7" s="137">
        <f>IF(G7&gt;=100%,H7,IF((G7&lt;100%)*(G7&gt;=95%),H7*0.8,IF((G7&lt;95%)*(G7&gt;=90%),H7*0.6,0)))</f>
        <v>3.3332999999999999</v>
      </c>
      <c r="S7"/>
    </row>
    <row r="8" spans="1:19" ht="15.5" x14ac:dyDescent="0.35">
      <c r="A8" s="1"/>
      <c r="D8" s="124" t="s">
        <v>48</v>
      </c>
      <c r="E8" s="125">
        <v>71</v>
      </c>
      <c r="F8" s="126">
        <f>'LOJA PERFEITA'!T12</f>
        <v>34</v>
      </c>
      <c r="G8" s="127">
        <f t="shared" si="0"/>
        <v>0.47887323943661969</v>
      </c>
      <c r="H8" s="134"/>
      <c r="I8" s="135"/>
      <c r="S8"/>
    </row>
    <row r="9" spans="1:19" ht="16" thickBot="1" x14ac:dyDescent="0.4">
      <c r="A9" s="1"/>
      <c r="D9" s="146" t="s">
        <v>49</v>
      </c>
      <c r="E9" s="147">
        <v>80</v>
      </c>
      <c r="F9" s="147">
        <f>'LOJA PERFEITA'!W12</f>
        <v>90.371323529411768</v>
      </c>
      <c r="G9" s="148">
        <f t="shared" si="0"/>
        <v>1.1296415441176471</v>
      </c>
      <c r="H9" s="149">
        <v>3.3332999999999999</v>
      </c>
      <c r="I9" s="150">
        <f>IF(G9&gt;=100%,H9,IF((G9&lt;100%)*(G9&gt;=95%),H9*0.8,IF((G9&lt;95%)*(G9&gt;=90%),H9*0.6,0)))</f>
        <v>3.3332999999999999</v>
      </c>
      <c r="S9"/>
    </row>
    <row r="10" spans="1:19" ht="16" thickBot="1" x14ac:dyDescent="0.4">
      <c r="A10" s="1"/>
      <c r="D10" s="124" t="s">
        <v>42</v>
      </c>
      <c r="E10" s="125">
        <f>LANÇAMENTOS!Q19</f>
        <v>1030</v>
      </c>
      <c r="F10" s="139">
        <f>LANÇAMENTOS!R19</f>
        <v>2248.4166666666665</v>
      </c>
      <c r="G10" s="127">
        <f t="shared" ref="G10" si="1">IFERROR(F10/E10,0)</f>
        <v>2.1829288025889966</v>
      </c>
      <c r="H10" s="134">
        <v>5</v>
      </c>
      <c r="I10" s="135">
        <f t="shared" ref="I10" si="2">IF(G10&gt;=100%,H10,IF((G10&lt;100%)*(G10&gt;=95%),H10*0.8,IF((G10&lt;95%)*(G10&gt;=90%),H10*0.6,0)))</f>
        <v>5</v>
      </c>
      <c r="S10"/>
    </row>
    <row r="11" spans="1:19" ht="16" thickBot="1" x14ac:dyDescent="0.4">
      <c r="A11" s="1"/>
      <c r="D11" s="151" t="s">
        <v>5</v>
      </c>
      <c r="E11" s="166">
        <f>'VOLUME POSITIVACAO'!J22</f>
        <v>6593</v>
      </c>
      <c r="F11" s="152">
        <f>'VOLUME POSITIVACAO'!K22</f>
        <v>6225</v>
      </c>
      <c r="G11" s="153">
        <f t="shared" ref="G11:G21" si="3">IFERROR(F11/E11,0)</f>
        <v>0.94418322463218562</v>
      </c>
      <c r="H11" s="154">
        <v>15</v>
      </c>
      <c r="I11" s="155">
        <f t="shared" ref="I11:I21" si="4">IF(G11&gt;=100%,H11,IF((G11&lt;100%)*(G11&gt;=95%),H11*0.8,IF((G11&lt;95%)*(G11&gt;=90%),H11*0.6,0)))</f>
        <v>9</v>
      </c>
      <c r="S11"/>
    </row>
    <row r="12" spans="1:19" ht="16" thickBot="1" x14ac:dyDescent="0.4">
      <c r="A12" s="1"/>
      <c r="D12" s="156" t="s">
        <v>6</v>
      </c>
      <c r="E12" s="167">
        <f>'VOLUME POSITIVACAO'!C24</f>
        <v>31766</v>
      </c>
      <c r="F12" s="167">
        <f>'VOLUME POSITIVACAO'!D24</f>
        <v>23377.041666666668</v>
      </c>
      <c r="G12" s="157">
        <f t="shared" si="3"/>
        <v>0.73591392264265776</v>
      </c>
      <c r="H12" s="158">
        <v>20</v>
      </c>
      <c r="I12" s="159">
        <f t="shared" si="4"/>
        <v>0</v>
      </c>
      <c r="S12"/>
    </row>
    <row r="13" spans="1:19" ht="16" thickBot="1" x14ac:dyDescent="0.4">
      <c r="A13" s="1"/>
      <c r="D13" s="151" t="s">
        <v>7</v>
      </c>
      <c r="E13" s="166">
        <f>'VOLUME POSITIVACAO'!E31</f>
        <v>10857</v>
      </c>
      <c r="F13" s="152">
        <f>'VOLUME POSITIVACAO'!A31</f>
        <v>5762.7070000000003</v>
      </c>
      <c r="G13" s="153">
        <f t="shared" si="3"/>
        <v>0.530782628718799</v>
      </c>
      <c r="H13" s="154">
        <v>10</v>
      </c>
      <c r="I13" s="155">
        <f t="shared" si="4"/>
        <v>0</v>
      </c>
      <c r="S13"/>
    </row>
    <row r="14" spans="1:19" ht="15.5" x14ac:dyDescent="0.35">
      <c r="A14" s="1"/>
      <c r="D14" s="140" t="s">
        <v>36</v>
      </c>
      <c r="E14" s="142">
        <f>GERAL!C21</f>
        <v>4283</v>
      </c>
      <c r="F14" s="142">
        <f>GERAL!D21</f>
        <v>3970</v>
      </c>
      <c r="G14" s="143">
        <f t="shared" si="3"/>
        <v>0.92692038290917578</v>
      </c>
      <c r="H14" s="144">
        <v>6</v>
      </c>
      <c r="I14" s="145">
        <f t="shared" si="4"/>
        <v>3.5999999999999996</v>
      </c>
      <c r="S14"/>
    </row>
    <row r="15" spans="1:19" ht="15.5" x14ac:dyDescent="0.35">
      <c r="A15" s="1"/>
      <c r="D15" s="128" t="s">
        <v>37</v>
      </c>
      <c r="E15" s="132">
        <f>GERAL!C22</f>
        <v>2539</v>
      </c>
      <c r="F15" s="132">
        <f>GERAL!D22</f>
        <v>2220</v>
      </c>
      <c r="G15" s="131">
        <f t="shared" si="3"/>
        <v>0.874359984245766</v>
      </c>
      <c r="H15" s="136">
        <v>5</v>
      </c>
      <c r="I15" s="137">
        <f t="shared" si="4"/>
        <v>0</v>
      </c>
      <c r="S15"/>
    </row>
    <row r="16" spans="1:19" ht="15.5" x14ac:dyDescent="0.35">
      <c r="A16" s="1"/>
      <c r="D16" s="124" t="s">
        <v>38</v>
      </c>
      <c r="E16" s="126">
        <f>GERAL!C23</f>
        <v>2341</v>
      </c>
      <c r="F16" s="126">
        <f>GERAL!D23</f>
        <v>1560</v>
      </c>
      <c r="G16" s="127">
        <f t="shared" si="3"/>
        <v>0.66638188808201626</v>
      </c>
      <c r="H16" s="134">
        <v>5</v>
      </c>
      <c r="I16" s="135">
        <f t="shared" si="4"/>
        <v>0</v>
      </c>
      <c r="S16"/>
    </row>
    <row r="17" spans="1:19" ht="16" thickBot="1" x14ac:dyDescent="0.4">
      <c r="A17" s="1"/>
      <c r="D17" s="146" t="s">
        <v>39</v>
      </c>
      <c r="E17" s="168">
        <f>GERAL!C24</f>
        <v>327</v>
      </c>
      <c r="F17" s="168">
        <f>GERAL!D24</f>
        <v>334</v>
      </c>
      <c r="G17" s="148">
        <f t="shared" si="3"/>
        <v>1.0214067278287462</v>
      </c>
      <c r="H17" s="149">
        <v>4</v>
      </c>
      <c r="I17" s="150">
        <f t="shared" si="4"/>
        <v>4</v>
      </c>
      <c r="S17"/>
    </row>
    <row r="18" spans="1:19" ht="15.5" x14ac:dyDescent="0.35">
      <c r="A18" s="1"/>
      <c r="D18" s="140" t="s">
        <v>8</v>
      </c>
      <c r="E18" s="142">
        <f>GERAL!J21</f>
        <v>1715</v>
      </c>
      <c r="F18" s="142">
        <f>GERAL!K21</f>
        <v>1259.1833333333332</v>
      </c>
      <c r="G18" s="143">
        <f t="shared" si="3"/>
        <v>0.73421768707482982</v>
      </c>
      <c r="H18" s="144">
        <v>3.75</v>
      </c>
      <c r="I18" s="145">
        <f t="shared" si="4"/>
        <v>0</v>
      </c>
      <c r="S18"/>
    </row>
    <row r="19" spans="1:19" ht="15.5" x14ac:dyDescent="0.35">
      <c r="A19" s="1"/>
      <c r="D19" s="128" t="s">
        <v>9</v>
      </c>
      <c r="E19" s="132">
        <f>GERAL!J22</f>
        <v>4531</v>
      </c>
      <c r="F19" s="132">
        <f>GERAL!K22</f>
        <v>1977.3333333333333</v>
      </c>
      <c r="G19" s="131">
        <f t="shared" si="3"/>
        <v>0.43640108879570366</v>
      </c>
      <c r="H19" s="136">
        <v>3.75</v>
      </c>
      <c r="I19" s="137">
        <f t="shared" si="4"/>
        <v>0</v>
      </c>
      <c r="S19"/>
    </row>
    <row r="20" spans="1:19" ht="15.5" x14ac:dyDescent="0.35">
      <c r="A20" s="1"/>
      <c r="D20" s="124" t="s">
        <v>10</v>
      </c>
      <c r="E20" s="126">
        <f>GERAL!J23</f>
        <v>2251</v>
      </c>
      <c r="F20" s="126">
        <f>GERAL!K23</f>
        <v>1665.25</v>
      </c>
      <c r="G20" s="127">
        <f t="shared" si="3"/>
        <v>0.73978231896934699</v>
      </c>
      <c r="H20" s="134">
        <v>3.75</v>
      </c>
      <c r="I20" s="135">
        <f t="shared" si="4"/>
        <v>0</v>
      </c>
      <c r="S20"/>
    </row>
    <row r="21" spans="1:19" ht="16" thickBot="1" x14ac:dyDescent="0.4">
      <c r="A21" s="1"/>
      <c r="D21" s="146" t="s">
        <v>11</v>
      </c>
      <c r="E21" s="168">
        <f>GERAL!J24</f>
        <v>4260</v>
      </c>
      <c r="F21" s="168">
        <f>GERAL!K24</f>
        <v>3596.125</v>
      </c>
      <c r="G21" s="148">
        <f t="shared" si="3"/>
        <v>0.84416079812206568</v>
      </c>
      <c r="H21" s="149">
        <v>3.75</v>
      </c>
      <c r="I21" s="150">
        <f t="shared" si="4"/>
        <v>0</v>
      </c>
      <c r="S21"/>
    </row>
    <row r="22" spans="1:19" ht="16" thickBot="1" x14ac:dyDescent="0.4">
      <c r="A22" s="1"/>
      <c r="D22" s="204" t="s">
        <v>35</v>
      </c>
      <c r="E22" s="205"/>
      <c r="F22" s="205"/>
      <c r="G22" s="205"/>
      <c r="H22" s="138">
        <f>SUM(H4:H21)</f>
        <v>94.999600000000001</v>
      </c>
      <c r="I22" s="133">
        <f>SUM(I4:I21)</f>
        <v>31.599600000000002</v>
      </c>
      <c r="S22"/>
    </row>
    <row r="23" spans="1:19" x14ac:dyDescent="0.35">
      <c r="A23" s="1"/>
      <c r="S23"/>
    </row>
    <row r="24" spans="1:19" ht="20.149999999999999" customHeight="1" x14ac:dyDescent="0.35">
      <c r="A24" s="1"/>
      <c r="S24"/>
    </row>
  </sheetData>
  <mergeCells count="2">
    <mergeCell ref="D22:G22"/>
    <mergeCell ref="D2:I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422D-7906-444C-995A-F30E5980402C}">
  <sheetPr codeName="Planilha3"/>
  <dimension ref="A1:Q27"/>
  <sheetViews>
    <sheetView showGridLines="0" tabSelected="1" zoomScale="115" zoomScaleNormal="115" workbookViewId="0">
      <pane ySplit="5" topLeftCell="A6" activePane="bottomLeft" state="frozen"/>
      <selection pane="bottomLeft" activeCell="B19" sqref="B19:F19"/>
    </sheetView>
  </sheetViews>
  <sheetFormatPr defaultRowHeight="14.5" x14ac:dyDescent="0.35"/>
  <cols>
    <col min="2" max="2" width="7.26953125" bestFit="1" customWidth="1"/>
    <col min="3" max="3" width="6.26953125" bestFit="1" customWidth="1"/>
    <col min="4" max="4" width="6.1796875" bestFit="1" customWidth="1"/>
    <col min="5" max="5" width="11" bestFit="1" customWidth="1"/>
    <col min="6" max="6" width="11.453125" customWidth="1"/>
    <col min="7" max="7" width="4.1796875" customWidth="1"/>
    <col min="8" max="8" width="16.1796875" bestFit="1" customWidth="1"/>
    <col min="9" max="9" width="16.453125" bestFit="1" customWidth="1"/>
    <col min="10" max="10" width="6.26953125" bestFit="1" customWidth="1"/>
    <col min="11" max="11" width="6.1796875" bestFit="1" customWidth="1"/>
    <col min="12" max="12" width="6.453125" bestFit="1" customWidth="1"/>
    <col min="13" max="13" width="11.453125" bestFit="1" customWidth="1"/>
    <col min="14" max="14" width="16.453125" bestFit="1" customWidth="1"/>
    <col min="15" max="15" width="36.26953125" bestFit="1" customWidth="1"/>
    <col min="16" max="16" width="5.453125" bestFit="1" customWidth="1"/>
    <col min="17" max="18" width="7" bestFit="1" customWidth="1"/>
    <col min="19" max="19" width="10.81640625" bestFit="1" customWidth="1"/>
  </cols>
  <sheetData>
    <row r="1" spans="1:11" ht="15" x14ac:dyDescent="0.4">
      <c r="F1" s="2" t="s">
        <v>13</v>
      </c>
      <c r="I1" s="2" t="s">
        <v>14</v>
      </c>
      <c r="K1" s="2" t="s">
        <v>40</v>
      </c>
    </row>
    <row r="2" spans="1:11" ht="15" x14ac:dyDescent="0.4">
      <c r="F2" s="172">
        <v>46191</v>
      </c>
      <c r="I2" s="12">
        <f>NETWORKDAYS("01/07/2025",F2)/NETWORKDAYS("01/07/2025","30/06/2026")</f>
        <v>0.96934865900383138</v>
      </c>
      <c r="K2" s="12">
        <f>NETWORKDAYS("01/04/2026",F2)/NETWORKDAYS("01/04/2026","30/06/2026")</f>
        <v>0.87692307692307692</v>
      </c>
    </row>
    <row r="5" spans="1:11" s="14" customFormat="1" ht="83.25" customHeight="1" thickBot="1" x14ac:dyDescent="0.4"/>
    <row r="7" spans="1:11" x14ac:dyDescent="0.35">
      <c r="A7" s="13"/>
    </row>
    <row r="8" spans="1:11" ht="15" customHeight="1" x14ac:dyDescent="0.35">
      <c r="A8" s="13"/>
    </row>
    <row r="9" spans="1:11" x14ac:dyDescent="0.35">
      <c r="A9" s="13"/>
    </row>
    <row r="10" spans="1:11" x14ac:dyDescent="0.35">
      <c r="A10" s="13"/>
    </row>
    <row r="11" spans="1:11" x14ac:dyDescent="0.35">
      <c r="A11" s="13"/>
    </row>
    <row r="12" spans="1:11" x14ac:dyDescent="0.35">
      <c r="A12" s="13"/>
    </row>
    <row r="13" spans="1:11" x14ac:dyDescent="0.35">
      <c r="A13" s="13"/>
    </row>
    <row r="14" spans="1:11" x14ac:dyDescent="0.35">
      <c r="A14" s="13"/>
    </row>
    <row r="18" spans="2:17" ht="15" thickBot="1" x14ac:dyDescent="0.4"/>
    <row r="19" spans="2:17" x14ac:dyDescent="0.35">
      <c r="B19" s="201" t="s">
        <v>31</v>
      </c>
      <c r="C19" s="202"/>
      <c r="D19" s="202"/>
      <c r="E19" s="202"/>
      <c r="F19" s="203"/>
      <c r="I19" s="201" t="s">
        <v>12</v>
      </c>
      <c r="J19" s="202"/>
      <c r="K19" s="202"/>
      <c r="L19" s="202"/>
      <c r="M19" s="203"/>
      <c r="O19" s="196" t="s">
        <v>41</v>
      </c>
      <c r="P19" s="197"/>
      <c r="Q19" s="198"/>
    </row>
    <row r="20" spans="2:17" x14ac:dyDescent="0.35">
      <c r="B20" s="107" t="s">
        <v>32</v>
      </c>
      <c r="C20" s="108" t="s">
        <v>0</v>
      </c>
      <c r="D20" s="108" t="s">
        <v>1</v>
      </c>
      <c r="E20" s="108" t="s">
        <v>2</v>
      </c>
      <c r="F20" s="109" t="s">
        <v>3</v>
      </c>
      <c r="I20" s="107" t="s">
        <v>32</v>
      </c>
      <c r="J20" s="108" t="s">
        <v>0</v>
      </c>
      <c r="K20" s="108" t="s">
        <v>1</v>
      </c>
      <c r="L20" s="108" t="s">
        <v>2</v>
      </c>
      <c r="M20" s="109" t="s">
        <v>3</v>
      </c>
      <c r="O20" s="107" t="s">
        <v>32</v>
      </c>
      <c r="P20" s="108" t="s">
        <v>1</v>
      </c>
      <c r="Q20" s="109" t="s">
        <v>43</v>
      </c>
    </row>
    <row r="21" spans="2:17" x14ac:dyDescent="0.35">
      <c r="B21" s="100" t="s">
        <v>27</v>
      </c>
      <c r="C21" s="46">
        <f>EXPANDINDO!C21</f>
        <v>4283</v>
      </c>
      <c r="D21" s="46">
        <f>EXPANDINDO!D21</f>
        <v>3970</v>
      </c>
      <c r="E21" s="101">
        <f>D21/C21</f>
        <v>0.92692038290917578</v>
      </c>
      <c r="F21" s="102">
        <f>D21-C21</f>
        <v>-313</v>
      </c>
      <c r="I21" s="119" t="s">
        <v>33</v>
      </c>
      <c r="J21" s="46">
        <f>PRIORIDADES!C22</f>
        <v>1715</v>
      </c>
      <c r="K21" s="46">
        <f>PRIORIDADES!D22</f>
        <v>1259.1833333333332</v>
      </c>
      <c r="L21" s="101">
        <f>K21/J21</f>
        <v>0.73421768707482982</v>
      </c>
      <c r="M21" s="102">
        <f>K21-J21</f>
        <v>-455.81666666666683</v>
      </c>
      <c r="O21" s="119" t="str" cm="1">
        <f t="array" ref="O21:Q27">[1]META!$P$3:$R$9</f>
        <v>GLADE GOTAS 120 ML CITRONELA</v>
      </c>
      <c r="P21" s="46">
        <v>170.33333333333334</v>
      </c>
      <c r="Q21" s="199">
        <v>7.5757014195174388E-2</v>
      </c>
    </row>
    <row r="22" spans="2:17" x14ac:dyDescent="0.35">
      <c r="B22" s="100" t="s">
        <v>28</v>
      </c>
      <c r="C22" s="46">
        <f>EXPANDINDO!F21</f>
        <v>2539</v>
      </c>
      <c r="D22" s="46">
        <f>EXPANDINDO!G21</f>
        <v>2220</v>
      </c>
      <c r="E22" s="101">
        <f t="shared" ref="E22:E24" si="0">D22/C22</f>
        <v>0.874359984245766</v>
      </c>
      <c r="F22" s="102">
        <f t="shared" ref="F22:F24" si="1">D22-C22</f>
        <v>-319</v>
      </c>
      <c r="I22" s="119" t="s">
        <v>9</v>
      </c>
      <c r="J22" s="46">
        <f>PRIORIDADES!G22</f>
        <v>4531</v>
      </c>
      <c r="K22" s="46">
        <f>PRIORIDADES!H22</f>
        <v>1977.3333333333333</v>
      </c>
      <c r="L22" s="101">
        <f t="shared" ref="L22:L24" si="2">K22/J22</f>
        <v>0.43640108879570366</v>
      </c>
      <c r="M22" s="102">
        <f t="shared" ref="M22:M24" si="3">K22-J22</f>
        <v>-2553.666666666667</v>
      </c>
      <c r="O22" s="119" t="str">
        <v>GLADE GOTAS 120 ML EUCALIPTO</v>
      </c>
      <c r="P22" s="46">
        <v>137.16666666666669</v>
      </c>
      <c r="Q22" s="199">
        <v>6.1005893035840045E-2</v>
      </c>
    </row>
    <row r="23" spans="2:17" x14ac:dyDescent="0.35">
      <c r="B23" s="100" t="s">
        <v>29</v>
      </c>
      <c r="C23" s="46">
        <f>EXPANDINDO!I21</f>
        <v>2341</v>
      </c>
      <c r="D23" s="46">
        <f>EXPANDINDO!J21</f>
        <v>1560</v>
      </c>
      <c r="E23" s="101">
        <f t="shared" si="0"/>
        <v>0.66638188808201626</v>
      </c>
      <c r="F23" s="102">
        <f t="shared" si="1"/>
        <v>-781</v>
      </c>
      <c r="I23" s="119" t="s">
        <v>10</v>
      </c>
      <c r="J23" s="46">
        <f>PRIORIDADES!K22</f>
        <v>2251</v>
      </c>
      <c r="K23" s="46">
        <f>PRIORIDADES!L22</f>
        <v>1665.25</v>
      </c>
      <c r="L23" s="101">
        <f t="shared" si="2"/>
        <v>0.73978231896934699</v>
      </c>
      <c r="M23" s="102">
        <f t="shared" si="3"/>
        <v>-585.75</v>
      </c>
      <c r="O23" s="119" t="str">
        <v>GLADE GOTAS 120 ML LAVANDA</v>
      </c>
      <c r="P23" s="46">
        <v>662.33333333333326</v>
      </c>
      <c r="Q23" s="199">
        <v>0.29457766576479744</v>
      </c>
    </row>
    <row r="24" spans="2:17" ht="15" thickBot="1" x14ac:dyDescent="0.4">
      <c r="B24" s="103" t="s">
        <v>30</v>
      </c>
      <c r="C24" s="104">
        <f>EXPANDINDO!L21</f>
        <v>327</v>
      </c>
      <c r="D24" s="104">
        <f>EXPANDINDO!M21</f>
        <v>334</v>
      </c>
      <c r="E24" s="105">
        <f t="shared" si="0"/>
        <v>1.0214067278287462</v>
      </c>
      <c r="F24" s="106">
        <f t="shared" si="1"/>
        <v>7</v>
      </c>
      <c r="H24" s="46"/>
      <c r="I24" s="120" t="s">
        <v>11</v>
      </c>
      <c r="J24" s="104">
        <f>PRIORIDADES!O22</f>
        <v>4260</v>
      </c>
      <c r="K24" s="104">
        <f>PRIORIDADES!P22</f>
        <v>3596.125</v>
      </c>
      <c r="L24" s="105">
        <f t="shared" si="2"/>
        <v>0.84416079812206568</v>
      </c>
      <c r="M24" s="106">
        <f t="shared" si="3"/>
        <v>-663.875</v>
      </c>
      <c r="O24" s="119" t="str">
        <v>GLADE GOTAS 120 ML LEMBR INFANCIA</v>
      </c>
      <c r="P24" s="46">
        <v>384.16666666666663</v>
      </c>
      <c r="Q24" s="199">
        <v>0.17086097624254104</v>
      </c>
    </row>
    <row r="25" spans="2:17" x14ac:dyDescent="0.35">
      <c r="O25" s="119" t="str">
        <v>GLADE GOTAS 120 ML SPRAY LAVANDA</v>
      </c>
      <c r="P25" s="46">
        <v>38.25</v>
      </c>
      <c r="Q25" s="199">
        <v>1.7011971387272527E-2</v>
      </c>
    </row>
    <row r="26" spans="2:17" x14ac:dyDescent="0.35">
      <c r="O26" s="119" t="str">
        <v>GLADE GOTAS 120 ML T MACIEZ</v>
      </c>
      <c r="P26" s="46">
        <v>484.16666666666663</v>
      </c>
      <c r="Q26" s="199">
        <v>0.21533671843148883</v>
      </c>
    </row>
    <row r="27" spans="2:17" ht="15" thickBot="1" x14ac:dyDescent="0.4">
      <c r="O27" s="120" t="str">
        <v>GLADE GOTAS 120 ML CHA BRANCO</v>
      </c>
      <c r="P27" s="104">
        <v>372</v>
      </c>
      <c r="Q27" s="200">
        <v>0.16544976094288574</v>
      </c>
    </row>
  </sheetData>
  <sheetProtection sheet="1" objects="1" scenarios="1"/>
  <sortState xmlns:xlrd2="http://schemas.microsoft.com/office/spreadsheetml/2017/richdata2" ref="O21:Q27">
    <sortCondition descending="1" ref="Q21:Q27"/>
  </sortState>
  <mergeCells count="2">
    <mergeCell ref="B19:F19"/>
    <mergeCell ref="I19:M1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E9BEAFBD-DB45-477C-BF60-76DCB147F29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F21:G24</xm:sqref>
        </x14:conditionalFormatting>
        <x14:conditionalFormatting xmlns:xm="http://schemas.microsoft.com/office/excel/2006/main">
          <x14:cfRule type="iconSet" priority="3" id="{7DCA20D6-CD30-4866-855C-B0DCD9D9102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M21:M24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ACC8-2BD9-4EA8-A8F7-2094C2DAFB77}">
  <sheetPr codeName="Planilha4"/>
  <dimension ref="A1:W14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RowHeight="14.5" x14ac:dyDescent="0.35"/>
  <cols>
    <col min="2" max="2" width="14.26953125" bestFit="1" customWidth="1"/>
    <col min="3" max="3" width="4.81640625" bestFit="1" customWidth="1"/>
    <col min="4" max="4" width="26.54296875" bestFit="1" customWidth="1"/>
    <col min="5" max="5" width="9.1796875" bestFit="1" customWidth="1"/>
    <col min="6" max="6" width="4.26953125" bestFit="1" customWidth="1"/>
    <col min="7" max="7" width="13.26953125" bestFit="1" customWidth="1"/>
    <col min="8" max="8" width="6.453125" bestFit="1" customWidth="1"/>
    <col min="9" max="9" width="10.7265625" customWidth="1"/>
    <col min="10" max="10" width="15.453125" bestFit="1" customWidth="1"/>
    <col min="11" max="12" width="4.26953125" bestFit="1" customWidth="1"/>
    <col min="13" max="13" width="6.453125" bestFit="1" customWidth="1"/>
    <col min="14" max="14" width="10.54296875" bestFit="1" customWidth="1"/>
    <col min="15" max="15" width="9.1796875" bestFit="1" customWidth="1"/>
    <col min="16" max="17" width="4.26953125" bestFit="1" customWidth="1"/>
    <col min="18" max="18" width="7" bestFit="1" customWidth="1"/>
    <col min="19" max="19" width="7.81640625" bestFit="1" customWidth="1"/>
    <col min="20" max="20" width="9.1796875" bestFit="1" customWidth="1"/>
    <col min="21" max="22" width="4.26953125" bestFit="1" customWidth="1"/>
    <col min="23" max="23" width="7" bestFit="1" customWidth="1"/>
    <col min="24" max="24" width="3.26953125" bestFit="1" customWidth="1"/>
    <col min="25" max="25" width="4.26953125" bestFit="1" customWidth="1"/>
    <col min="26" max="26" width="7" bestFit="1" customWidth="1"/>
  </cols>
  <sheetData>
    <row r="1" spans="1:23" ht="15" x14ac:dyDescent="0.4">
      <c r="G1" s="2" t="s">
        <v>13</v>
      </c>
      <c r="I1" s="2" t="s">
        <v>14</v>
      </c>
      <c r="J1" s="2" t="s">
        <v>40</v>
      </c>
    </row>
    <row r="2" spans="1:23" ht="15" x14ac:dyDescent="0.4">
      <c r="G2" s="11">
        <f>GERAL!$F$2</f>
        <v>46191</v>
      </c>
      <c r="I2" s="12">
        <f>GERAL!I2</f>
        <v>0.96934865900383138</v>
      </c>
      <c r="J2" s="12">
        <f>GERAL!K2</f>
        <v>0.87692307692307692</v>
      </c>
    </row>
    <row r="5" spans="1:23" s="14" customFormat="1" ht="83.25" customHeight="1" thickBot="1" x14ac:dyDescent="0.4"/>
    <row r="7" spans="1:23" ht="15" thickBot="1" x14ac:dyDescent="0.4">
      <c r="A7" s="13"/>
    </row>
    <row r="8" spans="1:23" ht="15" customHeight="1" x14ac:dyDescent="0.35">
      <c r="A8" s="13"/>
      <c r="B8" s="47" t="str">
        <f>[2]Geral!E4</f>
        <v>EQUIPE</v>
      </c>
      <c r="C8" s="47" t="str">
        <f>[2]Geral!F4</f>
        <v>REDE</v>
      </c>
      <c r="D8" s="52" t="str">
        <f>[2]Geral!BO4</f>
        <v>Q4 - ABRIL A JUNHO 2026</v>
      </c>
      <c r="E8" s="53">
        <f>[2]Geral!BP4</f>
        <v>0</v>
      </c>
      <c r="F8" s="53">
        <f>[2]Geral!BQ4</f>
        <v>0</v>
      </c>
      <c r="G8" s="53">
        <f>[2]Geral!BR4</f>
        <v>0</v>
      </c>
      <c r="H8" s="54">
        <f>[2]Geral!BS4</f>
        <v>0</v>
      </c>
      <c r="I8" s="52" t="str">
        <f>[2]Geral!BT4</f>
        <v>ABRIL</v>
      </c>
      <c r="J8" s="53">
        <f>[2]Geral!BU4</f>
        <v>0</v>
      </c>
      <c r="K8" s="53">
        <f>[2]Geral!BV4</f>
        <v>0</v>
      </c>
      <c r="L8" s="53">
        <f>[2]Geral!BW4</f>
        <v>0</v>
      </c>
      <c r="M8" s="54">
        <f>[2]Geral!BX4</f>
        <v>0</v>
      </c>
      <c r="N8" s="52" t="str">
        <f>[2]Geral!BY4</f>
        <v>MAIO</v>
      </c>
      <c r="O8" s="53">
        <f>[2]Geral!BZ4</f>
        <v>0</v>
      </c>
      <c r="P8" s="53">
        <f>[2]Geral!CA4</f>
        <v>0</v>
      </c>
      <c r="Q8" s="53">
        <f>[2]Geral!CB4</f>
        <v>0</v>
      </c>
      <c r="R8" s="54">
        <f>[2]Geral!CC4</f>
        <v>0</v>
      </c>
      <c r="S8" s="52" t="str">
        <f>[2]Geral!CD4</f>
        <v>JUNHO</v>
      </c>
      <c r="T8" s="53">
        <f>[2]Geral!CE4</f>
        <v>0</v>
      </c>
      <c r="U8" s="53">
        <f>[2]Geral!CF4</f>
        <v>0</v>
      </c>
      <c r="V8" s="53">
        <f>[2]Geral!CG4</f>
        <v>0</v>
      </c>
      <c r="W8" s="54">
        <f>[2]Geral!CH4</f>
        <v>0</v>
      </c>
    </row>
    <row r="9" spans="1:23" ht="15" customHeight="1" x14ac:dyDescent="0.35">
      <c r="A9" s="13"/>
      <c r="B9" s="48">
        <f>[2]Geral!E5</f>
        <v>0</v>
      </c>
      <c r="C9" s="48">
        <f>[2]Geral!F5</f>
        <v>0</v>
      </c>
      <c r="D9" s="23" t="str">
        <f>[2]Geral!BO5</f>
        <v>LOJAS</v>
      </c>
      <c r="E9" s="16" t="str">
        <f>[2]Geral!BP5</f>
        <v>AUDITADA</v>
      </c>
      <c r="F9" s="16" t="str">
        <f>[2]Geral!BQ5</f>
        <v>%</v>
      </c>
      <c r="G9" s="17" t="str">
        <f>[2]Geral!BR5</f>
        <v>GAP</v>
      </c>
      <c r="H9" s="16" t="str">
        <f>[2]Geral!BS5</f>
        <v>MÉDIA</v>
      </c>
      <c r="I9" s="18" t="str">
        <f>[2]Geral!BT5</f>
        <v>LOJAS</v>
      </c>
      <c r="J9" s="19" t="str">
        <f>[2]Geral!BU5</f>
        <v>AUDITADA</v>
      </c>
      <c r="K9" s="20" t="str">
        <f>[2]Geral!BV5</f>
        <v>%</v>
      </c>
      <c r="L9" s="21" t="str">
        <f>[2]Geral!BW5</f>
        <v>GAP</v>
      </c>
      <c r="M9" s="22" t="str">
        <f>[2]Geral!BX5</f>
        <v>MÉDIA</v>
      </c>
      <c r="N9" s="18" t="str">
        <f>[2]Geral!BY5</f>
        <v>LOJAS</v>
      </c>
      <c r="O9" s="19" t="str">
        <f>[2]Geral!BZ5</f>
        <v>AUDITADA</v>
      </c>
      <c r="P9" s="20" t="str">
        <f>[2]Geral!CA5</f>
        <v>%</v>
      </c>
      <c r="Q9" s="21" t="str">
        <f>[2]Geral!CB5</f>
        <v>GAP</v>
      </c>
      <c r="R9" s="22" t="str">
        <f>[2]Geral!CC5</f>
        <v>MÉDIA</v>
      </c>
      <c r="S9" s="18" t="str">
        <f>[2]Geral!CD5</f>
        <v>LOJAS</v>
      </c>
      <c r="T9" s="19" t="str">
        <f>[2]Geral!CE5</f>
        <v>AUDITADA</v>
      </c>
      <c r="U9" s="20" t="str">
        <f>[2]Geral!CF5</f>
        <v>%</v>
      </c>
      <c r="V9" s="21" t="str">
        <f>[2]Geral!CG5</f>
        <v>GAP</v>
      </c>
      <c r="W9" s="22" t="str">
        <f>[2]Geral!CH5</f>
        <v>MÉDIA</v>
      </c>
    </row>
    <row r="10" spans="1:23" x14ac:dyDescent="0.35">
      <c r="A10" s="13"/>
      <c r="B10" s="24" t="str">
        <f>[2]Geral!E6</f>
        <v>FLP-SUL MC/KA D</v>
      </c>
      <c r="C10" s="25">
        <f>[2]Geral!F6</f>
        <v>8</v>
      </c>
      <c r="D10" s="30">
        <f>[2]Geral!BO6</f>
        <v>33</v>
      </c>
      <c r="E10" s="26">
        <f>[2]Geral!BP6</f>
        <v>19</v>
      </c>
      <c r="F10" s="27">
        <f>[2]Geral!BQ6</f>
        <v>0.5757575757575758</v>
      </c>
      <c r="G10" s="28">
        <f>[2]Geral!BR6</f>
        <v>-14</v>
      </c>
      <c r="H10" s="31">
        <f>[2]Geral!BS6</f>
        <v>79.387499999999989</v>
      </c>
      <c r="I10" s="29">
        <f>[2]Geral!BT6</f>
        <v>33</v>
      </c>
      <c r="J10" s="26">
        <f>[2]Geral!BU6</f>
        <v>25</v>
      </c>
      <c r="K10" s="27">
        <f>[2]Geral!BV6</f>
        <v>0.75757575757575757</v>
      </c>
      <c r="L10" s="28">
        <f>[2]Geral!BW6</f>
        <v>-8</v>
      </c>
      <c r="M10" s="31">
        <f>[2]Geral!BX6</f>
        <v>86.99799999999999</v>
      </c>
      <c r="N10" s="29">
        <f>[2]Geral!BY6</f>
        <v>33</v>
      </c>
      <c r="O10" s="26">
        <f>[2]Geral!BZ6</f>
        <v>25</v>
      </c>
      <c r="P10" s="27">
        <f>[2]Geral!CA6</f>
        <v>0.75757575757575757</v>
      </c>
      <c r="Q10" s="28">
        <f>[2]Geral!CB6</f>
        <v>-8</v>
      </c>
      <c r="R10" s="32">
        <f>[2]Geral!CC6</f>
        <v>90.86399999999999</v>
      </c>
      <c r="S10" s="29">
        <f>[2]Geral!CD6</f>
        <v>33</v>
      </c>
      <c r="T10" s="26">
        <f>[2]Geral!CE6</f>
        <v>20</v>
      </c>
      <c r="U10" s="27">
        <f>[2]Geral!CF6</f>
        <v>0.60606060606060608</v>
      </c>
      <c r="V10" s="28">
        <f>[2]Geral!CG6</f>
        <v>-13</v>
      </c>
      <c r="W10" s="33">
        <f>[2]Geral!CH6</f>
        <v>87.283749999999998</v>
      </c>
    </row>
    <row r="11" spans="1:23" x14ac:dyDescent="0.35">
      <c r="A11" s="13"/>
      <c r="B11" s="24" t="str">
        <f>[2]Geral!E7</f>
        <v>NORTE MC/KA D</v>
      </c>
      <c r="C11" s="25">
        <f>[2]Geral!F7</f>
        <v>6</v>
      </c>
      <c r="D11" s="30">
        <f>[2]Geral!BO7</f>
        <v>38</v>
      </c>
      <c r="E11" s="26">
        <f>[2]Geral!BP7</f>
        <v>11</v>
      </c>
      <c r="F11" s="27">
        <f>[2]Geral!BQ7</f>
        <v>0.28947368421052633</v>
      </c>
      <c r="G11" s="28">
        <f>[2]Geral!BR7</f>
        <v>-27</v>
      </c>
      <c r="H11" s="31">
        <f>[2]Geral!BS7</f>
        <v>66.031481481481492</v>
      </c>
      <c r="I11" s="29">
        <f>[2]Geral!BT7</f>
        <v>38</v>
      </c>
      <c r="J11" s="26">
        <f>[2]Geral!BU7</f>
        <v>33</v>
      </c>
      <c r="K11" s="27">
        <f>[2]Geral!BV7</f>
        <v>0.86842105263157898</v>
      </c>
      <c r="L11" s="34">
        <f>[2]Geral!BW7</f>
        <v>-5</v>
      </c>
      <c r="M11" s="31">
        <f>[2]Geral!BX7</f>
        <v>89.071515151515143</v>
      </c>
      <c r="N11" s="29">
        <f>[2]Geral!BY7</f>
        <v>38</v>
      </c>
      <c r="O11" s="26">
        <f>[2]Geral!BZ7</f>
        <v>32</v>
      </c>
      <c r="P11" s="27">
        <f>[2]Geral!CA7</f>
        <v>0.84210526315789469</v>
      </c>
      <c r="Q11" s="28">
        <f>[2]Geral!CB7</f>
        <v>-6</v>
      </c>
      <c r="R11" s="32">
        <f>[2]Geral!CC7</f>
        <v>89.534062500000005</v>
      </c>
      <c r="S11" s="29">
        <f>[2]Geral!CD7</f>
        <v>38</v>
      </c>
      <c r="T11" s="26">
        <f>[2]Geral!CE7</f>
        <v>14</v>
      </c>
      <c r="U11" s="27">
        <f>[2]Geral!CF7</f>
        <v>0.36842105263157893</v>
      </c>
      <c r="V11" s="28">
        <f>[2]Geral!CG7</f>
        <v>-24</v>
      </c>
      <c r="W11" s="33">
        <f>[2]Geral!CH7</f>
        <v>94.782142857142858</v>
      </c>
    </row>
    <row r="12" spans="1:23" ht="15" thickBot="1" x14ac:dyDescent="0.4">
      <c r="A12" s="13"/>
      <c r="B12" s="35" t="str">
        <f>[2]Geral!E8</f>
        <v xml:space="preserve">TT </v>
      </c>
      <c r="C12" s="35">
        <f>[2]Geral!F8</f>
        <v>14</v>
      </c>
      <c r="D12" s="42">
        <f>[2]Geral!BO8</f>
        <v>71</v>
      </c>
      <c r="E12" s="36">
        <f>[2]Geral!BP8</f>
        <v>30</v>
      </c>
      <c r="F12" s="37">
        <f>[2]Geral!BQ8</f>
        <v>0.42253521126760563</v>
      </c>
      <c r="G12" s="36">
        <f>[2]Geral!BR8</f>
        <v>-41</v>
      </c>
      <c r="H12" s="43">
        <f>[2]Geral!BS8</f>
        <v>89.55548352371801</v>
      </c>
      <c r="I12" s="38">
        <f>[2]Geral!BT8</f>
        <v>71</v>
      </c>
      <c r="J12" s="39">
        <f>[2]Geral!BU8</f>
        <v>58</v>
      </c>
      <c r="K12" s="40">
        <f>[2]Geral!BV8</f>
        <v>0.81690140845070425</v>
      </c>
      <c r="L12" s="41">
        <f>[2]Geral!BW8</f>
        <v>-13</v>
      </c>
      <c r="M12" s="44">
        <f>[2]Geral!BX8</f>
        <v>88.177758620689644</v>
      </c>
      <c r="N12" s="38">
        <f>[2]Geral!BY8</f>
        <v>71</v>
      </c>
      <c r="O12" s="39">
        <f>[2]Geral!BZ8</f>
        <v>57</v>
      </c>
      <c r="P12" s="40">
        <f>[2]Geral!CA8</f>
        <v>0.80281690140845074</v>
      </c>
      <c r="Q12" s="39">
        <f>[2]Geral!CB8</f>
        <v>-14</v>
      </c>
      <c r="R12" s="44">
        <f>[2]Geral!CC8</f>
        <v>90.117368421052603</v>
      </c>
      <c r="S12" s="38">
        <f>[2]Geral!CD8</f>
        <v>71</v>
      </c>
      <c r="T12" s="39">
        <f>[2]Geral!CE8</f>
        <v>34</v>
      </c>
      <c r="U12" s="40">
        <f>[2]Geral!CF8</f>
        <v>0.47887323943661969</v>
      </c>
      <c r="V12" s="39">
        <f>[2]Geral!CG8</f>
        <v>-37</v>
      </c>
      <c r="W12" s="45">
        <f>[2]Geral!CH8</f>
        <v>90.371323529411768</v>
      </c>
    </row>
    <row r="13" spans="1:23" x14ac:dyDescent="0.35">
      <c r="A13" s="13"/>
    </row>
    <row r="14" spans="1:23" x14ac:dyDescent="0.35">
      <c r="A14" s="13"/>
    </row>
  </sheetData>
  <conditionalFormatting sqref="K10:K11 P10:P12 U10:U12">
    <cfRule type="cellIs" dxfId="30" priority="2" operator="greaterThanOrEqual">
      <formula>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7058-15A2-4A4F-9420-9C9A50319308}">
  <sheetPr codeName="Planilha5"/>
  <dimension ref="A1:W31"/>
  <sheetViews>
    <sheetView showGridLines="0" zoomScale="115" zoomScaleNormal="115" workbookViewId="0">
      <pane ySplit="5" topLeftCell="A6" activePane="bottomLeft" state="frozen"/>
      <selection pane="bottomLeft" activeCell="P11" sqref="P11"/>
    </sheetView>
  </sheetViews>
  <sheetFormatPr defaultRowHeight="14.5" x14ac:dyDescent="0.35"/>
  <cols>
    <col min="2" max="2" width="16.26953125" bestFit="1" customWidth="1"/>
    <col min="3" max="3" width="9" bestFit="1" customWidth="1"/>
    <col min="4" max="4" width="8" bestFit="1" customWidth="1"/>
    <col min="5" max="5" width="9" bestFit="1" customWidth="1"/>
    <col min="6" max="6" width="5.7265625" bestFit="1" customWidth="1"/>
    <col min="7" max="7" width="13.26953125" bestFit="1" customWidth="1"/>
    <col min="8" max="8" width="4" bestFit="1" customWidth="1"/>
    <col min="9" max="9" width="15.7265625" bestFit="1" customWidth="1"/>
    <col min="10" max="10" width="15.453125" bestFit="1" customWidth="1"/>
    <col min="11" max="11" width="11" bestFit="1" customWidth="1"/>
    <col min="12" max="12" width="9.54296875" bestFit="1" customWidth="1"/>
    <col min="13" max="13" width="7" bestFit="1" customWidth="1"/>
    <col min="14" max="14" width="6.7265625" bestFit="1" customWidth="1"/>
    <col min="15" max="15" width="5" bestFit="1" customWidth="1"/>
    <col min="16" max="16" width="11" bestFit="1" customWidth="1"/>
    <col min="17" max="17" width="5.453125" bestFit="1" customWidth="1"/>
    <col min="18" max="18" width="5.81640625" bestFit="1" customWidth="1"/>
    <col min="19" max="19" width="5" bestFit="1" customWidth="1"/>
    <col min="20" max="20" width="8.1796875" bestFit="1" customWidth="1"/>
    <col min="21" max="21" width="5.453125" bestFit="1" customWidth="1"/>
    <col min="22" max="22" width="5.81640625" bestFit="1" customWidth="1"/>
    <col min="23" max="23" width="5" bestFit="1" customWidth="1"/>
  </cols>
  <sheetData>
    <row r="1" spans="1:13" ht="15" x14ac:dyDescent="0.4">
      <c r="G1" s="2" t="s">
        <v>13</v>
      </c>
      <c r="I1" s="2" t="s">
        <v>14</v>
      </c>
      <c r="J1" s="2" t="s">
        <v>40</v>
      </c>
    </row>
    <row r="2" spans="1:13" ht="15" x14ac:dyDescent="0.4">
      <c r="G2" s="11">
        <f>GERAL!$F$2</f>
        <v>46191</v>
      </c>
      <c r="I2" s="12">
        <f>GERAL!$I$2</f>
        <v>0.96934865900383138</v>
      </c>
      <c r="J2" s="12">
        <f>GERAL!$K$2</f>
        <v>0.87692307692307692</v>
      </c>
    </row>
    <row r="5" spans="1:13" s="14" customFormat="1" ht="83.25" customHeight="1" thickBot="1" x14ac:dyDescent="0.4"/>
    <row r="7" spans="1:13" x14ac:dyDescent="0.35">
      <c r="A7" s="13"/>
      <c r="C7" t="s">
        <v>25</v>
      </c>
      <c r="K7" t="s">
        <v>26</v>
      </c>
    </row>
    <row r="8" spans="1:13" ht="15" customHeight="1" x14ac:dyDescent="0.35">
      <c r="A8" s="13"/>
      <c r="I8" s="61" t="str">
        <f>[3]Geral!D2</f>
        <v>EQUIPE</v>
      </c>
      <c r="J8" s="61" t="str">
        <f>[3]Geral!E2</f>
        <v>FY26</v>
      </c>
      <c r="K8" s="61" t="str">
        <f>[3]Geral!F2</f>
        <v>MAQ + FAT</v>
      </c>
      <c r="L8" s="61" t="str">
        <f>[3]Geral!G2</f>
        <v>GAP Q4</v>
      </c>
      <c r="M8" s="61" t="str">
        <f>[3]Geral!H2</f>
        <v>%</v>
      </c>
    </row>
    <row r="9" spans="1:13" x14ac:dyDescent="0.35">
      <c r="A9" s="13"/>
      <c r="I9" s="63" t="str">
        <f>[3]Geral!D3</f>
        <v>FLORIPA D</v>
      </c>
      <c r="J9" s="64">
        <f>[3]Geral!E3</f>
        <v>925</v>
      </c>
      <c r="K9" s="64">
        <f>[3]Geral!F3</f>
        <v>1022</v>
      </c>
      <c r="L9" s="64">
        <f>[3]Geral!G3</f>
        <v>97</v>
      </c>
      <c r="M9" s="174">
        <f>[3]Geral!H3</f>
        <v>1.1048648648648649</v>
      </c>
    </row>
    <row r="10" spans="1:13" x14ac:dyDescent="0.35">
      <c r="A10" s="13"/>
      <c r="B10" s="55" t="str">
        <f>[4]GERAL!D2</f>
        <v>EQUIPE</v>
      </c>
      <c r="C10" s="56" t="str">
        <f>[4]GERAL!E2</f>
        <v>Q4</v>
      </c>
      <c r="D10" s="56" t="str">
        <f>[4]GERAL!F2</f>
        <v xml:space="preserve"> Q4</v>
      </c>
      <c r="E10" s="56" t="str">
        <f>[4]GERAL!G2</f>
        <v>GAP</v>
      </c>
      <c r="F10" s="56" t="str">
        <f>[4]GERAL!H2</f>
        <v>%</v>
      </c>
      <c r="I10" s="63" t="str">
        <f>[3]Geral!D4</f>
        <v>FLORIPA M</v>
      </c>
      <c r="J10" s="64">
        <f>[3]Geral!E4</f>
        <v>245</v>
      </c>
      <c r="K10" s="64">
        <f>[3]Geral!F4</f>
        <v>132</v>
      </c>
      <c r="L10" s="64">
        <f>[3]Geral!G4</f>
        <v>-113</v>
      </c>
      <c r="M10" s="174">
        <f>[3]Geral!H4</f>
        <v>0.53877551020408165</v>
      </c>
    </row>
    <row r="11" spans="1:13" x14ac:dyDescent="0.35">
      <c r="A11" s="13"/>
      <c r="B11" s="57" t="str">
        <f>[4]GERAL!D3</f>
        <v>FLORIPA D</v>
      </c>
      <c r="C11" s="58">
        <f>[4]GERAL!E3</f>
        <v>3621</v>
      </c>
      <c r="D11" s="58">
        <f>[4]GERAL!F3</f>
        <v>2427.1624999999999</v>
      </c>
      <c r="E11" s="59">
        <f>[4]GERAL!G3</f>
        <v>-1193.8375000000001</v>
      </c>
      <c r="F11" s="60">
        <f>[4]GERAL!H3</f>
        <v>0.67030171223418944</v>
      </c>
      <c r="I11" s="63" t="str">
        <f>[3]Geral!D5</f>
        <v>FLP-SUL MC/KA D</v>
      </c>
      <c r="J11" s="64">
        <f>[3]Geral!E5</f>
        <v>177</v>
      </c>
      <c r="K11" s="64">
        <f>[3]Geral!F5</f>
        <v>177</v>
      </c>
      <c r="L11" s="64">
        <f>[3]Geral!G5</f>
        <v>0</v>
      </c>
      <c r="M11" s="174">
        <f>[3]Geral!H5</f>
        <v>1</v>
      </c>
    </row>
    <row r="12" spans="1:13" x14ac:dyDescent="0.35">
      <c r="A12" s="13"/>
      <c r="B12" s="57" t="str">
        <f>[4]GERAL!D4</f>
        <v>FLORIPA M</v>
      </c>
      <c r="C12" s="58">
        <f>[4]GERAL!E4</f>
        <v>32</v>
      </c>
      <c r="D12" s="58">
        <f>[4]GERAL!F4</f>
        <v>15.375</v>
      </c>
      <c r="E12" s="59">
        <f>[4]GERAL!G4</f>
        <v>-16.625</v>
      </c>
      <c r="F12" s="60">
        <f>[4]GERAL!H4</f>
        <v>0.48046875</v>
      </c>
      <c r="I12" s="63" t="str">
        <f>[3]Geral!D6</f>
        <v>LITORAL D</v>
      </c>
      <c r="J12" s="64">
        <f>[3]Geral!E6</f>
        <v>1131</v>
      </c>
      <c r="K12" s="64">
        <f>[3]Geral!F6</f>
        <v>1254</v>
      </c>
      <c r="L12" s="64">
        <f>[3]Geral!G6</f>
        <v>123</v>
      </c>
      <c r="M12" s="174">
        <f>[3]Geral!H6</f>
        <v>1.1087533156498675</v>
      </c>
    </row>
    <row r="13" spans="1:13" x14ac:dyDescent="0.35">
      <c r="A13" s="13"/>
      <c r="B13" s="57" t="str">
        <f>[4]GERAL!D5</f>
        <v>FLP-SUL MC/KA D</v>
      </c>
      <c r="C13" s="58">
        <f>[4]GERAL!E5</f>
        <v>8135</v>
      </c>
      <c r="D13" s="58">
        <f>[4]GERAL!F5</f>
        <v>5455.4847222222224</v>
      </c>
      <c r="E13" s="59">
        <f>[4]GERAL!G5</f>
        <v>-2679.5152777777776</v>
      </c>
      <c r="F13" s="60">
        <f>[4]GERAL!H5</f>
        <v>0.6706188964010108</v>
      </c>
      <c r="I13" s="63" t="str">
        <f>[3]Geral!D7</f>
        <v>LITORAL M</v>
      </c>
      <c r="J13" s="64">
        <f>[3]Geral!E7</f>
        <v>208</v>
      </c>
      <c r="K13" s="64">
        <f>[3]Geral!F7</f>
        <v>107</v>
      </c>
      <c r="L13" s="64">
        <f>[3]Geral!G7</f>
        <v>-101</v>
      </c>
      <c r="M13" s="174">
        <f>[3]Geral!H7</f>
        <v>0.51442307692307687</v>
      </c>
    </row>
    <row r="14" spans="1:13" x14ac:dyDescent="0.35">
      <c r="A14" s="13"/>
      <c r="B14" s="57" t="str">
        <f>[4]GERAL!D6</f>
        <v>LITORAL D</v>
      </c>
      <c r="C14" s="58">
        <f>[4]GERAL!E6</f>
        <v>3287</v>
      </c>
      <c r="D14" s="58">
        <f>[4]GERAL!F6</f>
        <v>2680.8708333333338</v>
      </c>
      <c r="E14" s="59">
        <f>[4]GERAL!G6</f>
        <v>-606.12916666666615</v>
      </c>
      <c r="F14" s="60">
        <f>[4]GERAL!H6</f>
        <v>0.81559806307676719</v>
      </c>
      <c r="I14" s="63" t="str">
        <f>[3]Geral!D8</f>
        <v>NORTE D</v>
      </c>
      <c r="J14" s="64">
        <f>[3]Geral!E8</f>
        <v>951</v>
      </c>
      <c r="K14" s="64">
        <f>[3]Geral!F8</f>
        <v>1040</v>
      </c>
      <c r="L14" s="64">
        <f>[3]Geral!G8</f>
        <v>89</v>
      </c>
      <c r="M14" s="174">
        <f>[3]Geral!H8</f>
        <v>1.0935856992639328</v>
      </c>
    </row>
    <row r="15" spans="1:13" x14ac:dyDescent="0.35">
      <c r="B15" s="57" t="str">
        <f>[4]GERAL!D7</f>
        <v>LITORAL M</v>
      </c>
      <c r="C15" s="58">
        <f>[4]GERAL!E7</f>
        <v>91</v>
      </c>
      <c r="D15" s="58">
        <f>[4]GERAL!F7</f>
        <v>57.104166666666664</v>
      </c>
      <c r="E15" s="59">
        <f>[4]GERAL!G7</f>
        <v>-33.895833333333336</v>
      </c>
      <c r="F15" s="60">
        <f>[4]GERAL!H7</f>
        <v>0.62751831501831501</v>
      </c>
      <c r="I15" s="63" t="str">
        <f>[3]Geral!D9</f>
        <v>NORTE M</v>
      </c>
      <c r="J15" s="64">
        <f>[3]Geral!E9</f>
        <v>87</v>
      </c>
      <c r="K15" s="64">
        <f>[3]Geral!F9</f>
        <v>42</v>
      </c>
      <c r="L15" s="64">
        <f>[3]Geral!G9</f>
        <v>-45</v>
      </c>
      <c r="M15" s="174">
        <f>[3]Geral!H9</f>
        <v>0.48275862068965519</v>
      </c>
    </row>
    <row r="16" spans="1:13" x14ac:dyDescent="0.35">
      <c r="B16" s="57" t="str">
        <f>[4]GERAL!D8</f>
        <v>NORTE D</v>
      </c>
      <c r="C16" s="58">
        <f>[4]GERAL!E8</f>
        <v>2630</v>
      </c>
      <c r="D16" s="58">
        <f>[4]GERAL!F8</f>
        <v>1985.3194444444443</v>
      </c>
      <c r="E16" s="59">
        <f>[4]GERAL!G8</f>
        <v>-644.68055555555566</v>
      </c>
      <c r="F16" s="60">
        <f>[4]GERAL!H8</f>
        <v>0.75487431347697509</v>
      </c>
      <c r="I16" s="63" t="str">
        <f>[3]Geral!D10</f>
        <v>NORTE MC/KA D</v>
      </c>
      <c r="J16" s="64">
        <f>[3]Geral!E10</f>
        <v>162</v>
      </c>
      <c r="K16" s="64">
        <f>[3]Geral!F10</f>
        <v>165</v>
      </c>
      <c r="L16" s="64">
        <f>[3]Geral!G10</f>
        <v>3</v>
      </c>
      <c r="M16" s="174">
        <f>[3]Geral!H10</f>
        <v>1.0185185185185186</v>
      </c>
    </row>
    <row r="17" spans="1:23" x14ac:dyDescent="0.35">
      <c r="B17" s="57" t="str">
        <f>[4]GERAL!D9</f>
        <v>NORTE M</v>
      </c>
      <c r="C17" s="58">
        <f>[4]GERAL!E9</f>
        <v>26</v>
      </c>
      <c r="D17" s="58">
        <f>[4]GERAL!F9</f>
        <v>24.958333333333336</v>
      </c>
      <c r="E17" s="59">
        <f>[4]GERAL!G9</f>
        <v>-1.0416666666666643</v>
      </c>
      <c r="F17" s="60">
        <f>[4]GERAL!H9</f>
        <v>0.95993589743589758</v>
      </c>
      <c r="I17" s="63" t="str">
        <f>[3]Geral!D11</f>
        <v>SUL D</v>
      </c>
      <c r="J17" s="64">
        <f>[3]Geral!E11</f>
        <v>1137</v>
      </c>
      <c r="K17" s="64">
        <f>[3]Geral!F11</f>
        <v>1216</v>
      </c>
      <c r="L17" s="64">
        <f>[3]Geral!G11</f>
        <v>79</v>
      </c>
      <c r="M17" s="174">
        <f>[3]Geral!H11</f>
        <v>1.06948109058927</v>
      </c>
    </row>
    <row r="18" spans="1:23" x14ac:dyDescent="0.35">
      <c r="B18" s="57" t="str">
        <f>[4]GERAL!D10</f>
        <v>NORTE MC/KA D</v>
      </c>
      <c r="C18" s="58">
        <f>[4]GERAL!E10</f>
        <v>8783</v>
      </c>
      <c r="D18" s="58">
        <f>[4]GERAL!F10</f>
        <v>6615.5555555555566</v>
      </c>
      <c r="E18" s="59">
        <f>[4]GERAL!G10</f>
        <v>-2167.4444444444434</v>
      </c>
      <c r="F18" s="60">
        <f>[4]GERAL!H10</f>
        <v>0.75322276620238604</v>
      </c>
      <c r="I18" s="63" t="str">
        <f>[3]Geral!D12</f>
        <v>SUL M</v>
      </c>
      <c r="J18" s="64">
        <f>[3]Geral!E12</f>
        <v>247</v>
      </c>
      <c r="K18" s="64">
        <f>[3]Geral!F12</f>
        <v>124</v>
      </c>
      <c r="L18" s="64">
        <f>[3]Geral!G12</f>
        <v>-123</v>
      </c>
      <c r="M18" s="174">
        <f>[3]Geral!H12</f>
        <v>0.50202429149797567</v>
      </c>
    </row>
    <row r="19" spans="1:23" x14ac:dyDescent="0.35">
      <c r="B19" s="57" t="str">
        <f>[4]GERAL!D11</f>
        <v>SUL D</v>
      </c>
      <c r="C19" s="58">
        <f>[4]GERAL!E11</f>
        <v>3003</v>
      </c>
      <c r="D19" s="58">
        <f>[4]GERAL!F11</f>
        <v>2495.1277777777777</v>
      </c>
      <c r="E19" s="59">
        <f>[4]GERAL!G11</f>
        <v>-507.87222222222226</v>
      </c>
      <c r="F19" s="60">
        <f>[4]GERAL!H11</f>
        <v>0.83087838087838084</v>
      </c>
      <c r="I19" s="63" t="str">
        <f>[3]Geral!D13</f>
        <v>VALE D</v>
      </c>
      <c r="J19" s="64">
        <f>[3]Geral!E13</f>
        <v>469</v>
      </c>
      <c r="K19" s="64">
        <f>[3]Geral!F13</f>
        <v>467</v>
      </c>
      <c r="L19" s="64">
        <f>[3]Geral!G13</f>
        <v>-2</v>
      </c>
      <c r="M19" s="174">
        <f>[3]Geral!H13</f>
        <v>0.99573560767590619</v>
      </c>
    </row>
    <row r="20" spans="1:23" x14ac:dyDescent="0.35">
      <c r="B20" s="57" t="str">
        <f>[4]GERAL!D12</f>
        <v>SUL M</v>
      </c>
      <c r="C20" s="58">
        <f>[4]GERAL!E12</f>
        <v>64</v>
      </c>
      <c r="D20" s="58">
        <f>[4]GERAL!F12</f>
        <v>39.520833333333336</v>
      </c>
      <c r="E20" s="59">
        <f>[4]GERAL!G12</f>
        <v>-24.479166666666664</v>
      </c>
      <c r="F20" s="60">
        <f>[4]GERAL!H12</f>
        <v>0.61751302083333337</v>
      </c>
      <c r="I20" s="63" t="str">
        <f>[3]Geral!D14</f>
        <v>VALE M</v>
      </c>
      <c r="J20" s="64">
        <f>[3]Geral!E14</f>
        <v>258</v>
      </c>
      <c r="K20" s="64">
        <f>[3]Geral!F14</f>
        <v>154</v>
      </c>
      <c r="L20" s="64">
        <f>[3]Geral!G14</f>
        <v>-104</v>
      </c>
      <c r="M20" s="174">
        <f>[3]Geral!H14</f>
        <v>0.5968992248062015</v>
      </c>
    </row>
    <row r="21" spans="1:23" x14ac:dyDescent="0.35">
      <c r="B21" s="57" t="str">
        <f>[4]GERAL!D13</f>
        <v>VALE D</v>
      </c>
      <c r="C21" s="58">
        <f>[4]GERAL!E13</f>
        <v>800</v>
      </c>
      <c r="D21" s="58">
        <f>[4]GERAL!F13</f>
        <v>571.19583333333344</v>
      </c>
      <c r="E21" s="59">
        <f>[4]GERAL!G13</f>
        <v>-228.80416666666656</v>
      </c>
      <c r="F21" s="60">
        <f>[4]GERAL!H13</f>
        <v>0.71399479166666679</v>
      </c>
      <c r="I21" s="63" t="str">
        <f>[3]Geral!D15</f>
        <v>VENDAS INTERNAS</v>
      </c>
      <c r="J21" s="64">
        <f>[3]Geral!E15</f>
        <v>596</v>
      </c>
      <c r="K21" s="64">
        <f>[3]Geral!F15</f>
        <v>325</v>
      </c>
      <c r="L21" s="64">
        <f>[3]Geral!G15</f>
        <v>-271</v>
      </c>
      <c r="M21" s="174">
        <f>[3]Geral!H15</f>
        <v>0.54530201342281881</v>
      </c>
    </row>
    <row r="22" spans="1:23" x14ac:dyDescent="0.35">
      <c r="B22" s="57" t="str">
        <f>[4]GERAL!D14</f>
        <v>VALE M</v>
      </c>
      <c r="C22" s="58">
        <f>[4]GERAL!E14</f>
        <v>100</v>
      </c>
      <c r="D22" s="58">
        <f>[4]GERAL!F14</f>
        <v>70.787499999999994</v>
      </c>
      <c r="E22" s="59">
        <f>[4]GERAL!G14</f>
        <v>-29.212500000000006</v>
      </c>
      <c r="F22" s="60">
        <f>[4]GERAL!H14</f>
        <v>0.70787499999999992</v>
      </c>
      <c r="I22" s="62" t="str">
        <f>[3]Geral!D16</f>
        <v>Total Geral</v>
      </c>
      <c r="J22" s="65">
        <f>[3]Geral!E16</f>
        <v>6593</v>
      </c>
      <c r="K22" s="61">
        <f>[3]Geral!F16</f>
        <v>6225</v>
      </c>
      <c r="L22" s="61">
        <f>[3]Geral!G16</f>
        <v>-368</v>
      </c>
      <c r="M22" s="175">
        <f>[3]Geral!H16</f>
        <v>0.94418322463218562</v>
      </c>
    </row>
    <row r="23" spans="1:23" x14ac:dyDescent="0.35">
      <c r="B23" s="57" t="str">
        <f>[4]GERAL!D15</f>
        <v>VENDAS INTERNAS</v>
      </c>
      <c r="C23" s="58">
        <f>[4]GERAL!E15</f>
        <v>1194</v>
      </c>
      <c r="D23" s="58">
        <f>[4]GERAL!F15</f>
        <v>938.57916666666665</v>
      </c>
      <c r="E23" s="59">
        <f>[4]GERAL!G15</f>
        <v>-255.42083333333335</v>
      </c>
      <c r="F23" s="60">
        <f>[4]GERAL!H15</f>
        <v>0.78607970407593519</v>
      </c>
    </row>
    <row r="24" spans="1:23" x14ac:dyDescent="0.35">
      <c r="B24" s="55" t="str">
        <f>[4]GERAL!D16</f>
        <v>Total Geral</v>
      </c>
      <c r="C24" s="176">
        <f>[4]GERAL!E16</f>
        <v>31766</v>
      </c>
      <c r="D24" s="176">
        <f>[4]GERAL!F16</f>
        <v>23377.041666666668</v>
      </c>
      <c r="E24" s="176">
        <f>[4]GERAL!G16</f>
        <v>-8388.9583333333321</v>
      </c>
      <c r="F24" s="173">
        <f>[4]GERAL!H16</f>
        <v>0.73591392264265776</v>
      </c>
    </row>
    <row r="26" spans="1:23" ht="15" thickBot="1" x14ac:dyDescent="0.4"/>
    <row r="27" spans="1:23" x14ac:dyDescent="0.35">
      <c r="B27" s="160" t="str">
        <f>[5]Geral!E3</f>
        <v>EQUIPE</v>
      </c>
      <c r="C27" s="162" t="str">
        <f>[5]Geral!F3</f>
        <v>REDE</v>
      </c>
      <c r="D27" s="49" t="str">
        <f>[5]Geral!BR3</f>
        <v>Q4 - ABRIL A JUNHO</v>
      </c>
      <c r="E27" s="50">
        <f>[5]Geral!BS3</f>
        <v>0</v>
      </c>
      <c r="F27" s="50">
        <f>[5]Geral!BT3</f>
        <v>0</v>
      </c>
      <c r="G27" s="50">
        <f>[5]Geral!BU3</f>
        <v>0</v>
      </c>
      <c r="H27" s="50">
        <f>[5]Geral!BV3</f>
        <v>0</v>
      </c>
      <c r="I27" s="50">
        <f>[5]Geral!BW3</f>
        <v>0</v>
      </c>
      <c r="J27" s="50">
        <f>[5]Geral!BX3</f>
        <v>0</v>
      </c>
      <c r="K27" s="51">
        <f>[5]Geral!BY3</f>
        <v>0</v>
      </c>
      <c r="L27" s="164" t="str">
        <f>[5]Geral!BZ3</f>
        <v>ABRIL</v>
      </c>
      <c r="M27" s="165">
        <f>[5]Geral!CA3</f>
        <v>0</v>
      </c>
      <c r="N27" s="165">
        <f>[5]Geral!CB3</f>
        <v>0</v>
      </c>
      <c r="O27" s="165">
        <f>[5]Geral!CC3</f>
        <v>0</v>
      </c>
      <c r="P27" s="164" t="str">
        <f>[5]Geral!CD3</f>
        <v>MAIO</v>
      </c>
      <c r="Q27" s="165">
        <f>[5]Geral!CE3</f>
        <v>0</v>
      </c>
      <c r="R27" s="165">
        <f>[5]Geral!CF3</f>
        <v>0</v>
      </c>
      <c r="S27" s="165">
        <f>[5]Geral!CG3</f>
        <v>0</v>
      </c>
      <c r="T27" s="164" t="str">
        <f>[5]Geral!CH3</f>
        <v>JUNHO</v>
      </c>
      <c r="U27" s="165">
        <f>[5]Geral!CI3</f>
        <v>0</v>
      </c>
      <c r="V27" s="165">
        <f>[5]Geral!CJ3</f>
        <v>0</v>
      </c>
      <c r="W27" s="165">
        <f>[5]Geral!CK3</f>
        <v>0</v>
      </c>
    </row>
    <row r="28" spans="1:23" ht="38.25" customHeight="1" x14ac:dyDescent="0.35">
      <c r="B28" s="161">
        <f>[5]Geral!E4</f>
        <v>0</v>
      </c>
      <c r="C28" s="163">
        <f>[5]Geral!F4</f>
        <v>0</v>
      </c>
      <c r="D28" s="69" t="str">
        <f>[5]Geral!BR4</f>
        <v>HIST</v>
      </c>
      <c r="E28" s="16" t="str">
        <f>[5]Geral!BS4</f>
        <v>META</v>
      </c>
      <c r="F28" s="16" t="str">
        <f>[5]Geral!BT4</f>
        <v>FAT</v>
      </c>
      <c r="G28" s="16" t="str">
        <f>[5]Geral!BU4</f>
        <v>BONIF</v>
      </c>
      <c r="H28" s="16" t="str">
        <f>[5]Geral!BV4</f>
        <v>MÁQ</v>
      </c>
      <c r="I28" s="70" t="str">
        <f>[5]Geral!BW4</f>
        <v>% META</v>
      </c>
      <c r="J28" s="71" t="str">
        <f>[5]Geral!BX4</f>
        <v>% HIST</v>
      </c>
      <c r="K28" s="17" t="str">
        <f>[5]Geral!BY4</f>
        <v>GAP META</v>
      </c>
      <c r="L28" s="72" t="str">
        <f>[5]Geral!BZ4</f>
        <v>HIST</v>
      </c>
      <c r="M28" s="73" t="str">
        <f>[5]Geral!CA4</f>
        <v>FAT</v>
      </c>
      <c r="N28" s="73" t="str">
        <f>[5]Geral!CB4</f>
        <v>BONIF</v>
      </c>
      <c r="O28" s="73" t="str">
        <f>[5]Geral!CC4</f>
        <v>MÁQ</v>
      </c>
      <c r="P28" s="72" t="str">
        <f>[5]Geral!CD4</f>
        <v>HIST</v>
      </c>
      <c r="Q28" s="73" t="str">
        <f>[5]Geral!CE4</f>
        <v>FAT</v>
      </c>
      <c r="R28" s="73" t="str">
        <f>[5]Geral!CF4</f>
        <v>BONIF</v>
      </c>
      <c r="S28" s="73" t="str">
        <f>[5]Geral!CG4</f>
        <v>MÁQ</v>
      </c>
      <c r="T28" s="72" t="str">
        <f>[5]Geral!CH4</f>
        <v>HIST</v>
      </c>
      <c r="U28" s="73" t="str">
        <f>[5]Geral!CI4</f>
        <v>FAT</v>
      </c>
      <c r="V28" s="73" t="str">
        <f>[5]Geral!CJ4</f>
        <v>BONIF</v>
      </c>
      <c r="W28" s="73" t="str">
        <f>[5]Geral!CK4</f>
        <v>MÁQ</v>
      </c>
    </row>
    <row r="29" spans="1:23" x14ac:dyDescent="0.35">
      <c r="B29" s="66" t="str">
        <f>[5]Geral!E5</f>
        <v>FLP-SUL MC/KA D</v>
      </c>
      <c r="C29" s="67">
        <f>[5]Geral!F5</f>
        <v>8</v>
      </c>
      <c r="D29" s="30">
        <f>[5]Geral!BR5</f>
        <v>1380.2730000000001</v>
      </c>
      <c r="E29" s="74">
        <f>[5]Geral!BS5</f>
        <v>4311</v>
      </c>
      <c r="F29" s="75">
        <f>[5]Geral!BT5</f>
        <v>1604.0810000000001</v>
      </c>
      <c r="G29" s="75">
        <f>[5]Geral!BU5</f>
        <v>584</v>
      </c>
      <c r="H29" s="76">
        <f>[5]Geral!BV5</f>
        <v>61.332999999999998</v>
      </c>
      <c r="I29" s="77">
        <f>[5]Geral!BW5</f>
        <v>0.52178473672001857</v>
      </c>
      <c r="J29" s="78">
        <f>[5]Geral!BX5</f>
        <v>0.62968775017695777</v>
      </c>
      <c r="K29" s="79">
        <f>[5]Geral!BY5</f>
        <v>2061.5859999999998</v>
      </c>
      <c r="L29" s="80">
        <f>[5]Geral!BZ5</f>
        <v>181.166</v>
      </c>
      <c r="M29" s="81">
        <f>[5]Geral!CA5</f>
        <v>425.41699999999997</v>
      </c>
      <c r="N29" s="81">
        <f>[5]Geral!CB5</f>
        <v>24.75</v>
      </c>
      <c r="O29" s="81">
        <f>[5]Geral!CC5</f>
        <v>0</v>
      </c>
      <c r="P29" s="80">
        <f>[5]Geral!CD5</f>
        <v>731.41799999999989</v>
      </c>
      <c r="Q29" s="81">
        <f>[5]Geral!CE5</f>
        <v>1002.013</v>
      </c>
      <c r="R29" s="81">
        <f>[5]Geral!CF5</f>
        <v>21.082999999999998</v>
      </c>
      <c r="S29" s="81">
        <f>[5]Geral!CG5</f>
        <v>0</v>
      </c>
      <c r="T29" s="80">
        <f>[5]Geral!CH5</f>
        <v>467.68899999999996</v>
      </c>
      <c r="U29" s="81">
        <f>[5]Geral!CI5</f>
        <v>176.65099999999998</v>
      </c>
      <c r="V29" s="81">
        <f>[5]Geral!CJ5</f>
        <v>15.5</v>
      </c>
      <c r="W29" s="81">
        <f>[5]Geral!CK5</f>
        <v>584</v>
      </c>
    </row>
    <row r="30" spans="1:23" x14ac:dyDescent="0.35">
      <c r="B30" s="66" t="str">
        <f>[5]Geral!E6</f>
        <v>NORTE MC/KA D</v>
      </c>
      <c r="C30" s="67">
        <f>[5]Geral!F6</f>
        <v>6</v>
      </c>
      <c r="D30" s="30">
        <f>[5]Geral!BR6</f>
        <v>3588.4290000000001</v>
      </c>
      <c r="E30" s="74">
        <f>[5]Geral!BS6</f>
        <v>6546</v>
      </c>
      <c r="F30" s="75">
        <f>[5]Geral!BT6</f>
        <v>3163.8760000000002</v>
      </c>
      <c r="G30" s="75">
        <f>[5]Geral!BU6</f>
        <v>257</v>
      </c>
      <c r="H30" s="76">
        <f>[5]Geral!BV6</f>
        <v>92.417000000000002</v>
      </c>
      <c r="I30" s="77">
        <f>[5]Geral!BW6</f>
        <v>0.53670837152459516</v>
      </c>
      <c r="J30" s="78">
        <f>[5]Geral!BX6</f>
        <v>-2.0938410652683981E-2</v>
      </c>
      <c r="K30" s="79">
        <f>[5]Geral!BY6</f>
        <v>3032.7069999999999</v>
      </c>
      <c r="L30" s="80">
        <f>[5]Geral!BZ6</f>
        <v>899.88699999999994</v>
      </c>
      <c r="M30" s="81">
        <f>[5]Geral!CA6</f>
        <v>802.60400000000004</v>
      </c>
      <c r="N30" s="81">
        <f>[5]Geral!CB6</f>
        <v>34.125</v>
      </c>
      <c r="O30" s="81">
        <f>[5]Geral!CC6</f>
        <v>0</v>
      </c>
      <c r="P30" s="80">
        <f>[5]Geral!CD6</f>
        <v>1268.625</v>
      </c>
      <c r="Q30" s="81">
        <f>[5]Geral!CE6</f>
        <v>1878.9180000000001</v>
      </c>
      <c r="R30" s="81">
        <f>[5]Geral!CF6</f>
        <v>26.584000000000003</v>
      </c>
      <c r="S30" s="81">
        <f>[5]Geral!CG6</f>
        <v>0</v>
      </c>
      <c r="T30" s="80">
        <f>[5]Geral!CH6</f>
        <v>1419.9169999999999</v>
      </c>
      <c r="U30" s="81">
        <f>[5]Geral!CI6</f>
        <v>482.35400000000004</v>
      </c>
      <c r="V30" s="81">
        <f>[5]Geral!CJ6</f>
        <v>31.707999999999998</v>
      </c>
      <c r="W30" s="81">
        <f>[5]Geral!CK6</f>
        <v>257</v>
      </c>
    </row>
    <row r="31" spans="1:23" ht="15" thickBot="1" x14ac:dyDescent="0.4">
      <c r="A31" s="46">
        <f>F31+G31+H31</f>
        <v>5762.7070000000003</v>
      </c>
      <c r="B31" s="35" t="str">
        <f>[5]Geral!E7</f>
        <v xml:space="preserve"> </v>
      </c>
      <c r="C31" s="68">
        <f>[5]Geral!F7</f>
        <v>14</v>
      </c>
      <c r="D31" s="82">
        <f>[5]Geral!BR7</f>
        <v>4968.7020000000002</v>
      </c>
      <c r="E31" s="83">
        <f>[5]Geral!BS7</f>
        <v>10857</v>
      </c>
      <c r="F31" s="83">
        <f>[5]Geral!BT7</f>
        <v>4767.9570000000003</v>
      </c>
      <c r="G31" s="83">
        <f>[5]Geral!BU7</f>
        <v>841</v>
      </c>
      <c r="H31" s="83">
        <f>[5]Geral!BV7</f>
        <v>153.75</v>
      </c>
      <c r="I31" s="87">
        <f>[5]Geral!BW7</f>
        <v>0.530782628718799</v>
      </c>
      <c r="J31" s="37">
        <f>[5]Geral!BX7</f>
        <v>0.15980129216845773</v>
      </c>
      <c r="K31" s="84">
        <f>[5]Geral!BY7</f>
        <v>5094.2929999999997</v>
      </c>
      <c r="L31" s="85">
        <f>[5]Geral!BZ7</f>
        <v>1081.0529999999999</v>
      </c>
      <c r="M31" s="39">
        <f>[5]Geral!CA7</f>
        <v>1228.021</v>
      </c>
      <c r="N31" s="39">
        <f>[5]Geral!CB7</f>
        <v>58.875</v>
      </c>
      <c r="O31" s="39">
        <f>[5]Geral!CC7</f>
        <v>0</v>
      </c>
      <c r="P31" s="86">
        <f>[5]Geral!CD7</f>
        <v>2000.0429999999999</v>
      </c>
      <c r="Q31" s="39">
        <f>[5]Geral!CE7</f>
        <v>2880.931</v>
      </c>
      <c r="R31" s="39">
        <f>[5]Geral!CF7</f>
        <v>47.667000000000002</v>
      </c>
      <c r="S31" s="39">
        <f>[5]Geral!CG7</f>
        <v>0</v>
      </c>
      <c r="T31" s="85">
        <f>[5]Geral!CH7</f>
        <v>1887.6059999999998</v>
      </c>
      <c r="U31" s="39">
        <f>[5]Geral!CI7</f>
        <v>659.005</v>
      </c>
      <c r="V31" s="39">
        <f>[5]Geral!CJ7</f>
        <v>47.207999999999998</v>
      </c>
      <c r="W31" s="39">
        <f>[5]Geral!CK7</f>
        <v>841</v>
      </c>
    </row>
  </sheetData>
  <conditionalFormatting sqref="F11:F13 F15:F23">
    <cfRule type="cellIs" dxfId="29" priority="7" operator="between">
      <formula>$J$2</formula>
      <formula>$J$2-3%</formula>
    </cfRule>
    <cfRule type="cellIs" dxfId="28" priority="8" operator="lessThan">
      <formula>$J$2 -3%</formula>
    </cfRule>
    <cfRule type="cellIs" dxfId="27" priority="9" operator="greaterThan">
      <formula>$J$2</formula>
    </cfRule>
  </conditionalFormatting>
  <conditionalFormatting sqref="I29:I31">
    <cfRule type="cellIs" dxfId="26" priority="1" operator="greaterThan">
      <formula>1</formula>
    </cfRule>
  </conditionalFormatting>
  <conditionalFormatting sqref="J29:J31">
    <cfRule type="cellIs" dxfId="25" priority="2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05FAA5C-55F2-446F-9996-63D857FC562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J29:J31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98A7-BCD2-4498-9C72-CDD0DB9B3AC8}">
  <sheetPr codeName="Planilha6"/>
  <dimension ref="A1:N22"/>
  <sheetViews>
    <sheetView showGridLines="0" zoomScale="115" zoomScaleNormal="115" workbookViewId="0">
      <pane ySplit="5" topLeftCell="A6" activePane="bottomLeft" state="frozen"/>
      <selection pane="bottomLeft" activeCell="T12" sqref="T12"/>
    </sheetView>
  </sheetViews>
  <sheetFormatPr defaultRowHeight="14.5" x14ac:dyDescent="0.35"/>
  <cols>
    <col min="2" max="2" width="17.81640625" bestFit="1" customWidth="1"/>
    <col min="3" max="3" width="10.453125" bestFit="1" customWidth="1"/>
    <col min="4" max="4" width="6.26953125" bestFit="1" customWidth="1"/>
    <col min="5" max="5" width="13.453125" bestFit="1" customWidth="1"/>
    <col min="6" max="6" width="11" bestFit="1" customWidth="1"/>
    <col min="7" max="7" width="6.26953125" bestFit="1" customWidth="1"/>
    <col min="8" max="8" width="13.453125" bestFit="1" customWidth="1"/>
    <col min="9" max="9" width="11.54296875" bestFit="1" customWidth="1"/>
    <col min="10" max="10" width="11" bestFit="1" customWidth="1"/>
    <col min="11" max="11" width="13.453125" bestFit="1" customWidth="1"/>
    <col min="12" max="12" width="11.54296875" bestFit="1" customWidth="1"/>
    <col min="13" max="13" width="7.453125" bestFit="1" customWidth="1"/>
    <col min="14" max="14" width="13.453125" bestFit="1" customWidth="1"/>
    <col min="15" max="17" width="2.26953125" bestFit="1" customWidth="1"/>
    <col min="18" max="18" width="5.453125" bestFit="1" customWidth="1"/>
  </cols>
  <sheetData>
    <row r="1" spans="1:14" ht="15" x14ac:dyDescent="0.4">
      <c r="E1" s="2" t="s">
        <v>13</v>
      </c>
      <c r="G1" s="2"/>
      <c r="H1" s="2" t="s">
        <v>14</v>
      </c>
      <c r="J1" s="2" t="s">
        <v>40</v>
      </c>
    </row>
    <row r="2" spans="1:14" ht="15" x14ac:dyDescent="0.4">
      <c r="E2" s="11">
        <f>GERAL!$F$2</f>
        <v>46191</v>
      </c>
      <c r="G2" s="11"/>
      <c r="H2" s="12">
        <f>GERAL!I2</f>
        <v>0.96934865900383138</v>
      </c>
      <c r="J2" s="12">
        <f>'LOJA PERFEITA'!$J$2</f>
        <v>0.87692307692307692</v>
      </c>
    </row>
    <row r="5" spans="1:14" s="14" customFormat="1" ht="83.25" customHeight="1" thickBot="1" x14ac:dyDescent="0.4"/>
    <row r="7" spans="1:14" x14ac:dyDescent="0.35">
      <c r="A7" s="13"/>
      <c r="B7" s="88" t="str">
        <f>[6]GERAL!E3</f>
        <v>EQUIPE</v>
      </c>
      <c r="C7" s="89" t="str">
        <f>[6]GERAL!F3</f>
        <v>META FY 2</v>
      </c>
      <c r="D7" s="90" t="str">
        <f>[6]GERAL!G3</f>
        <v>MIX 2</v>
      </c>
      <c r="E7" s="89" t="str">
        <f>[6]GERAL!H3</f>
        <v>2%</v>
      </c>
      <c r="F7" s="89" t="str">
        <f>[6]GERAL!I3</f>
        <v>META FY 7</v>
      </c>
      <c r="G7" s="89" t="str">
        <f>[6]GERAL!J3</f>
        <v>MIX 7</v>
      </c>
      <c r="H7" s="89" t="str">
        <f>[6]GERAL!K3</f>
        <v>7%</v>
      </c>
      <c r="I7" s="89" t="str">
        <f>[6]GERAL!L3</f>
        <v>META FY 17</v>
      </c>
      <c r="J7" s="89" t="str">
        <f>[6]GERAL!M3</f>
        <v>MIX 17</v>
      </c>
      <c r="K7" s="89" t="str">
        <f>[6]GERAL!N3</f>
        <v>17%</v>
      </c>
      <c r="L7" s="89" t="str">
        <f>[6]GERAL!O3</f>
        <v>META FY 28</v>
      </c>
      <c r="M7" s="89" t="str">
        <f>[6]GERAL!P3</f>
        <v>MIX 28</v>
      </c>
      <c r="N7" s="91" t="str">
        <f>[6]GERAL!Q3</f>
        <v>28%</v>
      </c>
    </row>
    <row r="8" spans="1:14" ht="15" customHeight="1" x14ac:dyDescent="0.35">
      <c r="A8" s="13"/>
      <c r="B8" s="92" t="str">
        <f>[6]GERAL!E4</f>
        <v>FLORIPA D</v>
      </c>
      <c r="C8" s="93">
        <f>[6]GERAL!F4</f>
        <v>732</v>
      </c>
      <c r="D8" s="93">
        <f>[6]GERAL!G4</f>
        <v>690</v>
      </c>
      <c r="E8" s="94">
        <f>[6]GERAL!H4</f>
        <v>0.94262295081967218</v>
      </c>
      <c r="F8" s="93">
        <f>[6]GERAL!I4</f>
        <v>424</v>
      </c>
      <c r="G8" s="93">
        <f>[6]GERAL!J4</f>
        <v>314</v>
      </c>
      <c r="H8" s="94">
        <f>[6]GERAL!K4</f>
        <v>0.74056603773584906</v>
      </c>
      <c r="I8" s="93">
        <f>[6]GERAL!L4</f>
        <v>413</v>
      </c>
      <c r="J8" s="93">
        <f>[6]GERAL!M4</f>
        <v>204</v>
      </c>
      <c r="K8" s="94">
        <f>[6]GERAL!N4</f>
        <v>0.49394673123486682</v>
      </c>
      <c r="L8" s="93">
        <f>[6]GERAL!O4</f>
        <v>27</v>
      </c>
      <c r="M8" s="93">
        <f>[6]GERAL!P4</f>
        <v>10</v>
      </c>
      <c r="N8" s="95">
        <f>[6]GERAL!Q4</f>
        <v>0.37037037037037035</v>
      </c>
    </row>
    <row r="9" spans="1:14" x14ac:dyDescent="0.35">
      <c r="A9" s="13"/>
      <c r="B9" s="92" t="str">
        <f>[6]GERAL!E5</f>
        <v>FLORIPA M</v>
      </c>
      <c r="C9" s="93">
        <f>[6]GERAL!F5</f>
        <v>57</v>
      </c>
      <c r="D9" s="93">
        <f>[6]GERAL!G5</f>
        <v>7</v>
      </c>
      <c r="E9" s="94">
        <f>[6]GERAL!H5</f>
        <v>0.12280701754385964</v>
      </c>
      <c r="F9" s="93">
        <f>[6]GERAL!I5</f>
        <v>1</v>
      </c>
      <c r="G9" s="93">
        <f>[6]GERAL!J5</f>
        <v>0</v>
      </c>
      <c r="H9" s="94">
        <f>[6]GERAL!K5</f>
        <v>0</v>
      </c>
      <c r="I9" s="93">
        <f>[6]GERAL!L5</f>
        <v>1</v>
      </c>
      <c r="J9" s="93">
        <f>[6]GERAL!M5</f>
        <v>0</v>
      </c>
      <c r="K9" s="94">
        <f>[6]GERAL!N5</f>
        <v>0</v>
      </c>
      <c r="L9" s="93">
        <f>[6]GERAL!O5</f>
        <v>0</v>
      </c>
      <c r="M9" s="93">
        <f>[6]GERAL!P5</f>
        <v>0</v>
      </c>
      <c r="N9" s="95">
        <f>[6]GERAL!Q5</f>
        <v>0</v>
      </c>
    </row>
    <row r="10" spans="1:14" x14ac:dyDescent="0.35">
      <c r="A10" s="13"/>
      <c r="B10" s="92" t="str">
        <f>[6]GERAL!E6</f>
        <v>FLP-SUL MC/KA D</v>
      </c>
      <c r="C10" s="93">
        <f>[6]GERAL!F6</f>
        <v>85</v>
      </c>
      <c r="D10" s="93">
        <f>[6]GERAL!G6</f>
        <v>143</v>
      </c>
      <c r="E10" s="94">
        <f>[6]GERAL!H6</f>
        <v>1.6823529411764706</v>
      </c>
      <c r="F10" s="93">
        <f>[6]GERAL!I6</f>
        <v>132</v>
      </c>
      <c r="G10" s="93">
        <f>[6]GERAL!J6</f>
        <v>118</v>
      </c>
      <c r="H10" s="94">
        <f>[6]GERAL!K6</f>
        <v>0.89393939393939392</v>
      </c>
      <c r="I10" s="93">
        <f>[6]GERAL!L6</f>
        <v>124</v>
      </c>
      <c r="J10" s="93">
        <f>[6]GERAL!M6</f>
        <v>111</v>
      </c>
      <c r="K10" s="94">
        <f>[6]GERAL!N6</f>
        <v>0.89516129032258063</v>
      </c>
      <c r="L10" s="93">
        <f>[6]GERAL!O6</f>
        <v>106</v>
      </c>
      <c r="M10" s="93">
        <f>[6]GERAL!P6</f>
        <v>109</v>
      </c>
      <c r="N10" s="95">
        <f>[6]GERAL!Q6</f>
        <v>1.0283018867924529</v>
      </c>
    </row>
    <row r="11" spans="1:14" x14ac:dyDescent="0.35">
      <c r="A11" s="13"/>
      <c r="B11" s="92" t="str">
        <f>[6]GERAL!E7</f>
        <v>LITORAL D</v>
      </c>
      <c r="C11" s="93">
        <f>[6]GERAL!F7</f>
        <v>811</v>
      </c>
      <c r="D11" s="93">
        <f>[6]GERAL!G7</f>
        <v>925</v>
      </c>
      <c r="E11" s="94">
        <f>[6]GERAL!H7</f>
        <v>1.1405672009864365</v>
      </c>
      <c r="F11" s="93">
        <f>[6]GERAL!I7</f>
        <v>534</v>
      </c>
      <c r="G11" s="93">
        <f>[6]GERAL!J7</f>
        <v>514</v>
      </c>
      <c r="H11" s="94">
        <f>[6]GERAL!K7</f>
        <v>0.96254681647940077</v>
      </c>
      <c r="I11" s="93">
        <f>[6]GERAL!L7</f>
        <v>505</v>
      </c>
      <c r="J11" s="93">
        <f>[6]GERAL!M7</f>
        <v>399</v>
      </c>
      <c r="K11" s="94">
        <f>[6]GERAL!N7</f>
        <v>0.79009900990099013</v>
      </c>
      <c r="L11" s="93">
        <f>[6]GERAL!O7</f>
        <v>32</v>
      </c>
      <c r="M11" s="93">
        <f>[6]GERAL!P7</f>
        <v>42</v>
      </c>
      <c r="N11" s="95">
        <f>[6]GERAL!Q7</f>
        <v>1.3125</v>
      </c>
    </row>
    <row r="12" spans="1:14" x14ac:dyDescent="0.35">
      <c r="A12" s="13"/>
      <c r="B12" s="92" t="str">
        <f>[6]GERAL!E8</f>
        <v>LITORAL M</v>
      </c>
      <c r="C12" s="93">
        <f>[6]GERAL!F8</f>
        <v>94</v>
      </c>
      <c r="D12" s="93">
        <f>[6]GERAL!G8</f>
        <v>29</v>
      </c>
      <c r="E12" s="94">
        <f>[6]GERAL!H8</f>
        <v>0.30851063829787234</v>
      </c>
      <c r="F12" s="93">
        <f>[6]GERAL!I8</f>
        <v>7</v>
      </c>
      <c r="G12" s="93">
        <f>[6]GERAL!J8</f>
        <v>0</v>
      </c>
      <c r="H12" s="94">
        <f>[6]GERAL!K8</f>
        <v>0</v>
      </c>
      <c r="I12" s="93">
        <f>[6]GERAL!L8</f>
        <v>7</v>
      </c>
      <c r="J12" s="93">
        <f>[6]GERAL!M8</f>
        <v>0</v>
      </c>
      <c r="K12" s="94">
        <f>[6]GERAL!N8</f>
        <v>0</v>
      </c>
      <c r="L12" s="93">
        <f>[6]GERAL!O8</f>
        <v>0</v>
      </c>
      <c r="M12" s="93">
        <f>[6]GERAL!P8</f>
        <v>0</v>
      </c>
      <c r="N12" s="95">
        <f>[6]GERAL!Q8</f>
        <v>0</v>
      </c>
    </row>
    <row r="13" spans="1:14" x14ac:dyDescent="0.35">
      <c r="A13" s="13"/>
      <c r="B13" s="92" t="str">
        <f>[6]GERAL!E9</f>
        <v>NORTE D</v>
      </c>
      <c r="C13" s="93">
        <f>[6]GERAL!F9</f>
        <v>841</v>
      </c>
      <c r="D13" s="93">
        <f>[6]GERAL!G9</f>
        <v>771</v>
      </c>
      <c r="E13" s="94">
        <f>[6]GERAL!H9</f>
        <v>0.91676575505350777</v>
      </c>
      <c r="F13" s="93">
        <f>[6]GERAL!I9</f>
        <v>501</v>
      </c>
      <c r="G13" s="93">
        <f>[6]GERAL!J9</f>
        <v>433</v>
      </c>
      <c r="H13" s="94">
        <f>[6]GERAL!K9</f>
        <v>0.86427145708582831</v>
      </c>
      <c r="I13" s="93">
        <f>[6]GERAL!L9</f>
        <v>387</v>
      </c>
      <c r="J13" s="93">
        <f>[6]GERAL!M9</f>
        <v>293</v>
      </c>
      <c r="K13" s="94">
        <f>[6]GERAL!N9</f>
        <v>0.75710594315245483</v>
      </c>
      <c r="L13" s="93">
        <f>[6]GERAL!O9</f>
        <v>22</v>
      </c>
      <c r="M13" s="93">
        <f>[6]GERAL!P9</f>
        <v>23</v>
      </c>
      <c r="N13" s="95">
        <f>[6]GERAL!Q9</f>
        <v>1.0454545454545454</v>
      </c>
    </row>
    <row r="14" spans="1:14" x14ac:dyDescent="0.35">
      <c r="A14" s="13"/>
      <c r="B14" s="92" t="str">
        <f>[6]GERAL!E10</f>
        <v>NORTE M</v>
      </c>
      <c r="C14" s="93">
        <f>[6]GERAL!F10</f>
        <v>33</v>
      </c>
      <c r="D14" s="93">
        <f>[6]GERAL!G10</f>
        <v>5</v>
      </c>
      <c r="E14" s="94">
        <f>[6]GERAL!H10</f>
        <v>0.15151515151515152</v>
      </c>
      <c r="F14" s="93">
        <f>[6]GERAL!I10</f>
        <v>2</v>
      </c>
      <c r="G14" s="93">
        <f>[6]GERAL!J10</f>
        <v>0</v>
      </c>
      <c r="H14" s="94">
        <f>[6]GERAL!K10</f>
        <v>0</v>
      </c>
      <c r="I14" s="93">
        <f>[6]GERAL!L10</f>
        <v>1</v>
      </c>
      <c r="J14" s="93">
        <f>[6]GERAL!M10</f>
        <v>0</v>
      </c>
      <c r="K14" s="94">
        <f>[6]GERAL!N10</f>
        <v>0</v>
      </c>
      <c r="L14" s="93">
        <f>[6]GERAL!O10</f>
        <v>0</v>
      </c>
      <c r="M14" s="93">
        <f>[6]GERAL!P10</f>
        <v>0</v>
      </c>
      <c r="N14" s="95">
        <f>[6]GERAL!Q10</f>
        <v>0</v>
      </c>
    </row>
    <row r="15" spans="1:14" x14ac:dyDescent="0.35">
      <c r="B15" s="92" t="str">
        <f>[6]GERAL!E11</f>
        <v>NORTE MC/KA D</v>
      </c>
      <c r="C15" s="93">
        <f>[6]GERAL!F11</f>
        <v>87</v>
      </c>
      <c r="D15" s="93">
        <f>[6]GERAL!G11</f>
        <v>144</v>
      </c>
      <c r="E15" s="94">
        <f>[6]GERAL!H11</f>
        <v>1.6551724137931034</v>
      </c>
      <c r="F15" s="93">
        <f>[6]GERAL!I11</f>
        <v>99</v>
      </c>
      <c r="G15" s="93">
        <f>[6]GERAL!J11</f>
        <v>125</v>
      </c>
      <c r="H15" s="94">
        <f>[6]GERAL!K11</f>
        <v>1.2626262626262625</v>
      </c>
      <c r="I15" s="93">
        <f>[6]GERAL!L11</f>
        <v>91</v>
      </c>
      <c r="J15" s="93">
        <f>[6]GERAL!M11</f>
        <v>115</v>
      </c>
      <c r="K15" s="94">
        <f>[6]GERAL!N11</f>
        <v>1.2637362637362637</v>
      </c>
      <c r="L15" s="93">
        <f>[6]GERAL!O11</f>
        <v>94</v>
      </c>
      <c r="M15" s="93">
        <f>[6]GERAL!P11</f>
        <v>114</v>
      </c>
      <c r="N15" s="95">
        <f>[6]GERAL!Q11</f>
        <v>1.2127659574468086</v>
      </c>
    </row>
    <row r="16" spans="1:14" x14ac:dyDescent="0.35">
      <c r="B16" s="92" t="str">
        <f>[6]GERAL!E12</f>
        <v>SUL D</v>
      </c>
      <c r="C16" s="93">
        <f>[6]GERAL!F12</f>
        <v>973</v>
      </c>
      <c r="D16" s="93">
        <f>[6]GERAL!G12</f>
        <v>911</v>
      </c>
      <c r="E16" s="94">
        <f>[6]GERAL!H12</f>
        <v>0.93627954779033917</v>
      </c>
      <c r="F16" s="93">
        <f>[6]GERAL!I12</f>
        <v>544</v>
      </c>
      <c r="G16" s="93">
        <f>[6]GERAL!J12</f>
        <v>512</v>
      </c>
      <c r="H16" s="94">
        <f>[6]GERAL!K12</f>
        <v>0.94117647058823528</v>
      </c>
      <c r="I16" s="93">
        <f>[6]GERAL!L12</f>
        <v>527</v>
      </c>
      <c r="J16" s="93">
        <f>[6]GERAL!M12</f>
        <v>332</v>
      </c>
      <c r="K16" s="94">
        <f>[6]GERAL!N12</f>
        <v>0.62998102466793171</v>
      </c>
      <c r="L16" s="93">
        <f>[6]GERAL!O12</f>
        <v>33</v>
      </c>
      <c r="M16" s="93">
        <f>[6]GERAL!P12</f>
        <v>35</v>
      </c>
      <c r="N16" s="95">
        <f>[6]GERAL!Q12</f>
        <v>1.0606060606060606</v>
      </c>
    </row>
    <row r="17" spans="2:14" x14ac:dyDescent="0.35">
      <c r="B17" s="92" t="str">
        <f>[6]GERAL!E13</f>
        <v>SUL M</v>
      </c>
      <c r="C17" s="93">
        <f>[6]GERAL!F13</f>
        <v>81</v>
      </c>
      <c r="D17" s="93">
        <f>[6]GERAL!G13</f>
        <v>10</v>
      </c>
      <c r="E17" s="94">
        <f>[6]GERAL!H13</f>
        <v>0.12345679012345678</v>
      </c>
      <c r="F17" s="93">
        <f>[6]GERAL!I13</f>
        <v>6</v>
      </c>
      <c r="G17" s="93">
        <f>[6]GERAL!J13</f>
        <v>1</v>
      </c>
      <c r="H17" s="94">
        <f>[6]GERAL!K13</f>
        <v>0.16666666666666666</v>
      </c>
      <c r="I17" s="93">
        <f>[6]GERAL!L13</f>
        <v>5</v>
      </c>
      <c r="J17" s="93">
        <f>[6]GERAL!M13</f>
        <v>0</v>
      </c>
      <c r="K17" s="94">
        <f>[6]GERAL!N13</f>
        <v>0</v>
      </c>
      <c r="L17" s="93">
        <f>[6]GERAL!O13</f>
        <v>0</v>
      </c>
      <c r="M17" s="93">
        <f>[6]GERAL!P13</f>
        <v>0</v>
      </c>
      <c r="N17" s="95">
        <f>[6]GERAL!Q13</f>
        <v>0</v>
      </c>
    </row>
    <row r="18" spans="2:14" x14ac:dyDescent="0.35">
      <c r="B18" s="92" t="str">
        <f>[6]GERAL!E14</f>
        <v>VALE D</v>
      </c>
      <c r="C18" s="93">
        <f>[6]GERAL!F14</f>
        <v>339</v>
      </c>
      <c r="D18" s="93">
        <f>[6]GERAL!G14</f>
        <v>317</v>
      </c>
      <c r="E18" s="94">
        <f>[6]GERAL!H14</f>
        <v>0.93510324483775809</v>
      </c>
      <c r="F18" s="93">
        <f>[6]GERAL!I14</f>
        <v>275</v>
      </c>
      <c r="G18" s="93">
        <f>[6]GERAL!J14</f>
        <v>203</v>
      </c>
      <c r="H18" s="94">
        <f>[6]GERAL!K14</f>
        <v>0.73818181818181816</v>
      </c>
      <c r="I18" s="93">
        <f>[6]GERAL!L14</f>
        <v>266</v>
      </c>
      <c r="J18" s="93">
        <f>[6]GERAL!M14</f>
        <v>106</v>
      </c>
      <c r="K18" s="94">
        <f>[6]GERAL!N14</f>
        <v>0.39849624060150374</v>
      </c>
      <c r="L18" s="93">
        <f>[6]GERAL!O14</f>
        <v>13</v>
      </c>
      <c r="M18" s="93">
        <f>[6]GERAL!P14</f>
        <v>1</v>
      </c>
      <c r="N18" s="95">
        <f>[6]GERAL!Q14</f>
        <v>7.6923076923076927E-2</v>
      </c>
    </row>
    <row r="19" spans="2:14" x14ac:dyDescent="0.35">
      <c r="B19" s="92" t="str">
        <f>[6]GERAL!E15</f>
        <v>VALE M</v>
      </c>
      <c r="C19" s="93">
        <f>[6]GERAL!F15</f>
        <v>150</v>
      </c>
      <c r="D19" s="93">
        <f>[6]GERAL!G15</f>
        <v>9</v>
      </c>
      <c r="E19" s="94">
        <f>[6]GERAL!H15</f>
        <v>0.06</v>
      </c>
      <c r="F19" s="93">
        <f>[6]GERAL!I15</f>
        <v>14</v>
      </c>
      <c r="G19" s="93">
        <f>[6]GERAL!J15</f>
        <v>0</v>
      </c>
      <c r="H19" s="94">
        <f>[6]GERAL!K15</f>
        <v>0</v>
      </c>
      <c r="I19" s="93">
        <f>[6]GERAL!L15</f>
        <v>14</v>
      </c>
      <c r="J19" s="93">
        <f>[6]GERAL!M15</f>
        <v>0</v>
      </c>
      <c r="K19" s="94">
        <f>[6]GERAL!N15</f>
        <v>0</v>
      </c>
      <c r="L19" s="93">
        <f>[6]GERAL!O15</f>
        <v>0</v>
      </c>
      <c r="M19" s="93">
        <f>[6]GERAL!P15</f>
        <v>0</v>
      </c>
      <c r="N19" s="95">
        <f>[6]GERAL!Q15</f>
        <v>0</v>
      </c>
    </row>
    <row r="20" spans="2:14" x14ac:dyDescent="0.35">
      <c r="B20" s="92" t="str">
        <f>[6]GERAL!E16</f>
        <v>VENDAS INTERNAS</v>
      </c>
      <c r="C20" s="93">
        <f>[6]GERAL!F16</f>
        <v>0</v>
      </c>
      <c r="D20" s="93">
        <f>[6]GERAL!G16</f>
        <v>9</v>
      </c>
      <c r="E20" s="94">
        <f>[6]GERAL!H16</f>
        <v>0</v>
      </c>
      <c r="F20" s="93">
        <f>[6]GERAL!I16</f>
        <v>0</v>
      </c>
      <c r="G20" s="93">
        <f>[6]GERAL!J16</f>
        <v>0</v>
      </c>
      <c r="H20" s="94">
        <f>[6]GERAL!K16</f>
        <v>0</v>
      </c>
      <c r="I20" s="93">
        <f>[6]GERAL!L16</f>
        <v>0</v>
      </c>
      <c r="J20" s="93">
        <f>[6]GERAL!M16</f>
        <v>0</v>
      </c>
      <c r="K20" s="94">
        <f>[6]GERAL!N16</f>
        <v>0</v>
      </c>
      <c r="L20" s="93">
        <f>[6]GERAL!O16</f>
        <v>0</v>
      </c>
      <c r="M20" s="93">
        <f>[6]GERAL!P16</f>
        <v>0</v>
      </c>
      <c r="N20" s="95">
        <f>[6]GERAL!Q16</f>
        <v>0</v>
      </c>
    </row>
    <row r="21" spans="2:14" x14ac:dyDescent="0.35">
      <c r="B21" s="96" t="str">
        <f>[6]GERAL!E17</f>
        <v>Total Geral</v>
      </c>
      <c r="C21" s="97">
        <f>[6]GERAL!F17</f>
        <v>4283</v>
      </c>
      <c r="D21" s="97">
        <f>[6]GERAL!G17</f>
        <v>3970</v>
      </c>
      <c r="E21" s="98">
        <f>[6]GERAL!H17</f>
        <v>0.92692038290917578</v>
      </c>
      <c r="F21" s="97">
        <f>[6]GERAL!I17</f>
        <v>2539</v>
      </c>
      <c r="G21" s="97">
        <f>[6]GERAL!J17</f>
        <v>2220</v>
      </c>
      <c r="H21" s="98">
        <f>[6]GERAL!K17</f>
        <v>0.874359984245766</v>
      </c>
      <c r="I21" s="97">
        <f>[6]GERAL!L17</f>
        <v>2341</v>
      </c>
      <c r="J21" s="97">
        <f>[6]GERAL!M17</f>
        <v>1560</v>
      </c>
      <c r="K21" s="98">
        <f>[6]GERAL!N17</f>
        <v>0.66638188808201626</v>
      </c>
      <c r="L21" s="97">
        <f>[6]GERAL!O17</f>
        <v>327</v>
      </c>
      <c r="M21" s="97">
        <f>[6]GERAL!P17</f>
        <v>334</v>
      </c>
      <c r="N21" s="99">
        <f>[6]GERAL!Q17</f>
        <v>1.0214067278287462</v>
      </c>
    </row>
    <row r="22" spans="2:14" ht="16.5" x14ac:dyDescent="0.45">
      <c r="I22" s="15"/>
    </row>
  </sheetData>
  <conditionalFormatting sqref="E8:E20">
    <cfRule type="cellIs" dxfId="24" priority="10" operator="between">
      <formula>$E$21</formula>
      <formula>$E$21-2%</formula>
    </cfRule>
    <cfRule type="cellIs" dxfId="23" priority="11" operator="lessThan">
      <formula>$E$21-2%</formula>
    </cfRule>
    <cfRule type="cellIs" dxfId="22" priority="12" operator="greaterThan">
      <formula>$E$21</formula>
    </cfRule>
  </conditionalFormatting>
  <conditionalFormatting sqref="H8:H20">
    <cfRule type="cellIs" dxfId="21" priority="7" operator="between">
      <formula>$E$21</formula>
      <formula>$E$21-2%</formula>
    </cfRule>
    <cfRule type="cellIs" dxfId="20" priority="8" operator="lessThan">
      <formula>$E$21-2%</formula>
    </cfRule>
    <cfRule type="cellIs" dxfId="19" priority="9" operator="greaterThan">
      <formula>$E$21</formula>
    </cfRule>
  </conditionalFormatting>
  <conditionalFormatting sqref="K8:K20">
    <cfRule type="cellIs" dxfId="18" priority="4" operator="between">
      <formula>$E$21</formula>
      <formula>$E$21-2%</formula>
    </cfRule>
    <cfRule type="cellIs" dxfId="17" priority="5" operator="lessThan">
      <formula>$E$21-2%</formula>
    </cfRule>
    <cfRule type="cellIs" dxfId="16" priority="6" operator="greaterThan">
      <formula>$E$21</formula>
    </cfRule>
  </conditionalFormatting>
  <conditionalFormatting sqref="N8:N20">
    <cfRule type="cellIs" dxfId="15" priority="1" operator="between">
      <formula>$E$21</formula>
      <formula>$E$21-2%</formula>
    </cfRule>
    <cfRule type="cellIs" dxfId="14" priority="2" operator="lessThan">
      <formula>$E$21-2%</formula>
    </cfRule>
    <cfRule type="cellIs" dxfId="13" priority="3" operator="greaterThan">
      <formula>$E$21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D1FA-A197-49F9-BDC6-BAB9DF4D8D0B}">
  <sheetPr codeName="Planilha7"/>
  <dimension ref="A1:R22"/>
  <sheetViews>
    <sheetView showGridLines="0" zoomScale="115" zoomScaleNormal="115" workbookViewId="0">
      <pane ySplit="5" topLeftCell="A6" activePane="bottomLeft" state="frozen"/>
      <selection activeCell="O13" sqref="O13"/>
      <selection pane="bottomLeft" activeCell="U12" sqref="U12"/>
    </sheetView>
  </sheetViews>
  <sheetFormatPr defaultRowHeight="14.5" x14ac:dyDescent="0.35"/>
  <cols>
    <col min="2" max="2" width="17.81640625" bestFit="1" customWidth="1"/>
    <col min="3" max="3" width="15.81640625" bestFit="1" customWidth="1"/>
    <col min="4" max="4" width="9.1796875" bestFit="1" customWidth="1"/>
    <col min="5" max="5" width="6.81640625" bestFit="1" customWidth="1"/>
    <col min="6" max="6" width="6.453125" bestFit="1" customWidth="1"/>
    <col min="7" max="7" width="15.26953125" bestFit="1" customWidth="1"/>
    <col min="8" max="8" width="9.1796875" bestFit="1" customWidth="1"/>
    <col min="9" max="9" width="6.81640625" bestFit="1" customWidth="1"/>
    <col min="10" max="10" width="7" bestFit="1" customWidth="1"/>
    <col min="11" max="11" width="10.1796875" bestFit="1" customWidth="1"/>
    <col min="13" max="13" width="6.81640625" bestFit="1" customWidth="1"/>
    <col min="14" max="14" width="6.7265625" bestFit="1" customWidth="1"/>
    <col min="15" max="15" width="13.7265625" bestFit="1" customWidth="1"/>
    <col min="16" max="16" width="10" bestFit="1" customWidth="1"/>
    <col min="17" max="17" width="6.81640625" bestFit="1" customWidth="1"/>
    <col min="18" max="18" width="7" bestFit="1" customWidth="1"/>
  </cols>
  <sheetData>
    <row r="1" spans="1:18" ht="15" x14ac:dyDescent="0.4">
      <c r="G1" s="2" t="s">
        <v>13</v>
      </c>
      <c r="I1" s="2" t="s">
        <v>14</v>
      </c>
      <c r="K1" s="2" t="s">
        <v>40</v>
      </c>
    </row>
    <row r="2" spans="1:18" ht="15" x14ac:dyDescent="0.4">
      <c r="G2" s="11">
        <f>GERAL!$F$2</f>
        <v>46191</v>
      </c>
      <c r="I2" s="12">
        <f>GERAL!I2</f>
        <v>0.96934865900383138</v>
      </c>
      <c r="K2" s="12">
        <f>GERAL!K2</f>
        <v>0.87692307692307692</v>
      </c>
    </row>
    <row r="5" spans="1:18" s="14" customFormat="1" ht="83.25" customHeight="1" thickBot="1" x14ac:dyDescent="0.4"/>
    <row r="7" spans="1:18" ht="15" thickBot="1" x14ac:dyDescent="0.4">
      <c r="A7" s="13"/>
    </row>
    <row r="8" spans="1:18" ht="15" customHeight="1" thickBot="1" x14ac:dyDescent="0.4">
      <c r="A8" s="13"/>
      <c r="B8" s="110" t="str">
        <f>[7]GERAL!D2</f>
        <v>EQUIPE</v>
      </c>
      <c r="C8" s="111" t="str">
        <f>[7]GERAL!E2</f>
        <v xml:space="preserve"> RAID LIQ ELETRICO</v>
      </c>
      <c r="D8" s="111" t="str">
        <f>[7]GERAL!F2</f>
        <v>FAT +MAQ</v>
      </c>
      <c r="E8" s="111" t="str">
        <f>[7]GERAL!G2</f>
        <v xml:space="preserve"> GAP</v>
      </c>
      <c r="F8" s="111" t="str">
        <f>[7]GERAL!H2</f>
        <v xml:space="preserve"> %RAID</v>
      </c>
      <c r="G8" s="111" t="str">
        <f>[7]GERAL!I2</f>
        <v xml:space="preserve"> GLADE AEROSSOL</v>
      </c>
      <c r="H8" s="111" t="str">
        <f>[7]GERAL!J2</f>
        <v xml:space="preserve"> FAT+MAQ</v>
      </c>
      <c r="I8" s="111" t="str">
        <f>[7]GERAL!K2</f>
        <v xml:space="preserve"> GAP </v>
      </c>
      <c r="J8" s="111" t="str">
        <f>[7]GERAL!L2</f>
        <v xml:space="preserve"> %GLAD</v>
      </c>
      <c r="K8" s="111" t="str">
        <f>[7]GERAL!M2</f>
        <v xml:space="preserve"> LYSOFORM</v>
      </c>
      <c r="L8" s="111" t="str">
        <f>[7]GERAL!N2</f>
        <v xml:space="preserve">FAT +MAQ </v>
      </c>
      <c r="M8" s="111" t="str">
        <f>[7]GERAL!O2</f>
        <v xml:space="preserve">  GAP  </v>
      </c>
      <c r="N8" s="111" t="str">
        <f>[7]GERAL!P2</f>
        <v xml:space="preserve"> %LYSO</v>
      </c>
      <c r="O8" s="111" t="str">
        <f>[7]GERAL!Q2</f>
        <v xml:space="preserve"> PATO PASTILHA</v>
      </c>
      <c r="P8" s="111" t="str">
        <f>[7]GERAL!R2</f>
        <v xml:space="preserve"> FAT + MAQ </v>
      </c>
      <c r="Q8" s="111" t="str">
        <f>[7]GERAL!S2</f>
        <v xml:space="preserve">GAP     </v>
      </c>
      <c r="R8" s="111" t="str">
        <f>[7]GERAL!T2</f>
        <v xml:space="preserve"> %PATO</v>
      </c>
    </row>
    <row r="9" spans="1:18" x14ac:dyDescent="0.35">
      <c r="A9" s="13"/>
      <c r="B9" s="112" t="str">
        <f>[7]GERAL!D3</f>
        <v>FLORIPA D</v>
      </c>
      <c r="C9" s="113">
        <f>[7]GERAL!E3</f>
        <v>162</v>
      </c>
      <c r="D9" s="113">
        <f>[7]GERAL!F3</f>
        <v>109.55833333333334</v>
      </c>
      <c r="E9" s="113">
        <f>[7]GERAL!G3</f>
        <v>-52.441666666666663</v>
      </c>
      <c r="F9" s="114">
        <f>[7]GERAL!H3</f>
        <v>0.67628600823045271</v>
      </c>
      <c r="G9" s="113">
        <f>[7]GERAL!I3</f>
        <v>512</v>
      </c>
      <c r="H9" s="113">
        <f>[7]GERAL!J3</f>
        <v>326.25</v>
      </c>
      <c r="I9" s="113">
        <f>[7]GERAL!K3</f>
        <v>-185.75</v>
      </c>
      <c r="J9" s="114">
        <f>[7]GERAL!L3</f>
        <v>0.63720703125</v>
      </c>
      <c r="K9" s="113">
        <f>[7]GERAL!M3</f>
        <v>264</v>
      </c>
      <c r="L9" s="113">
        <f>[7]GERAL!N3</f>
        <v>146.875</v>
      </c>
      <c r="M9" s="113">
        <f>[7]GERAL!O3</f>
        <v>-117.125</v>
      </c>
      <c r="N9" s="114">
        <f>[7]GERAL!P3</f>
        <v>0.55634469696969702</v>
      </c>
      <c r="O9" s="113">
        <f>[7]GERAL!Q4</f>
        <v>1</v>
      </c>
      <c r="P9" s="113">
        <f>[7]GERAL!R3</f>
        <v>486.5</v>
      </c>
      <c r="Q9" s="113">
        <f>[7]GERAL!S3</f>
        <v>-19.5</v>
      </c>
      <c r="R9" s="114">
        <f>[7]GERAL!T3</f>
        <v>0.96146245059288538</v>
      </c>
    </row>
    <row r="10" spans="1:18" x14ac:dyDescent="0.35">
      <c r="A10" s="13"/>
      <c r="B10" s="112" t="str">
        <f>[7]GERAL!D4</f>
        <v>FLORIPA M</v>
      </c>
      <c r="C10" s="113">
        <f>[7]GERAL!E4</f>
        <v>1</v>
      </c>
      <c r="D10" s="113">
        <f>[7]GERAL!F4</f>
        <v>0</v>
      </c>
      <c r="E10" s="113">
        <f>[7]GERAL!G4</f>
        <v>-1</v>
      </c>
      <c r="F10" s="114">
        <f>[7]GERAL!H4</f>
        <v>0</v>
      </c>
      <c r="G10" s="113">
        <f>[7]GERAL!I4</f>
        <v>5</v>
      </c>
      <c r="H10" s="113">
        <f>[7]GERAL!J4</f>
        <v>1.25</v>
      </c>
      <c r="I10" s="113">
        <f>[7]GERAL!K4</f>
        <v>-3.75</v>
      </c>
      <c r="J10" s="114">
        <f>[7]GERAL!L4</f>
        <v>0.25</v>
      </c>
      <c r="K10" s="113">
        <f>[7]GERAL!M4</f>
        <v>1</v>
      </c>
      <c r="L10" s="113">
        <f>[7]GERAL!N4</f>
        <v>1.3333333333333333</v>
      </c>
      <c r="M10" s="113">
        <f>[7]GERAL!O4</f>
        <v>0.33333333333333326</v>
      </c>
      <c r="N10" s="114">
        <f>[7]GERAL!P4</f>
        <v>1.3333333333333333</v>
      </c>
      <c r="O10" s="113">
        <f>[7]GERAL!Q4</f>
        <v>1</v>
      </c>
      <c r="P10" s="113">
        <f>[7]GERAL!R4</f>
        <v>0.375</v>
      </c>
      <c r="Q10" s="113">
        <f>[7]GERAL!S4</f>
        <v>-0.625</v>
      </c>
      <c r="R10" s="114">
        <f>[7]GERAL!T4</f>
        <v>0.375</v>
      </c>
    </row>
    <row r="11" spans="1:18" x14ac:dyDescent="0.35">
      <c r="A11" s="13"/>
      <c r="B11" s="112" t="str">
        <f>[7]GERAL!D5</f>
        <v>FLP-SUL MC/KA D</v>
      </c>
      <c r="C11" s="113">
        <f>[7]GERAL!E5</f>
        <v>479</v>
      </c>
      <c r="D11" s="113">
        <f>[7]GERAL!F5</f>
        <v>284.14166666666665</v>
      </c>
      <c r="E11" s="113">
        <f>[7]GERAL!G5</f>
        <v>-194.85833333333335</v>
      </c>
      <c r="F11" s="114">
        <f>[7]GERAL!H5</f>
        <v>0.59319763395963809</v>
      </c>
      <c r="G11" s="113">
        <f>[7]GERAL!I5</f>
        <v>1090</v>
      </c>
      <c r="H11" s="113">
        <f>[7]GERAL!J5</f>
        <v>443.75</v>
      </c>
      <c r="I11" s="113">
        <f>[7]GERAL!K5</f>
        <v>-646.25</v>
      </c>
      <c r="J11" s="114">
        <f>[7]GERAL!L5</f>
        <v>0.40711009174311924</v>
      </c>
      <c r="K11" s="113">
        <f>[7]GERAL!M5</f>
        <v>541</v>
      </c>
      <c r="L11" s="113">
        <f>[7]GERAL!N5</f>
        <v>466.45833333333337</v>
      </c>
      <c r="M11" s="113">
        <f>[7]GERAL!O5</f>
        <v>-74.541666666666629</v>
      </c>
      <c r="N11" s="114">
        <f>[7]GERAL!P5</f>
        <v>0.86221503388786203</v>
      </c>
      <c r="O11" s="113">
        <f>[7]GERAL!Q5</f>
        <v>1519</v>
      </c>
      <c r="P11" s="113">
        <f>[7]GERAL!R5</f>
        <v>883.20833333333348</v>
      </c>
      <c r="Q11" s="113">
        <f>[7]GERAL!S5</f>
        <v>-635.79166666666652</v>
      </c>
      <c r="R11" s="114">
        <f>[7]GERAL!T5</f>
        <v>0.58144064077243807</v>
      </c>
    </row>
    <row r="12" spans="1:18" x14ac:dyDescent="0.35">
      <c r="A12" s="13"/>
      <c r="B12" s="112" t="str">
        <f>[7]GERAL!D6</f>
        <v>LITORAL D</v>
      </c>
      <c r="C12" s="113">
        <f>[7]GERAL!E6</f>
        <v>189</v>
      </c>
      <c r="D12" s="113">
        <f>[7]GERAL!F6</f>
        <v>130.25833333333335</v>
      </c>
      <c r="E12" s="113">
        <f>[7]GERAL!G6</f>
        <v>-58.741666666666646</v>
      </c>
      <c r="F12" s="114">
        <f>[7]GERAL!H6</f>
        <v>0.68919753086419766</v>
      </c>
      <c r="G12" s="113">
        <f>[7]GERAL!I6</f>
        <v>505</v>
      </c>
      <c r="H12" s="113">
        <f>[7]GERAL!J6</f>
        <v>243.25</v>
      </c>
      <c r="I12" s="113">
        <f>[7]GERAL!K6</f>
        <v>-261.75</v>
      </c>
      <c r="J12" s="114">
        <f>[7]GERAL!L6</f>
        <v>0.48168316831683167</v>
      </c>
      <c r="K12" s="113">
        <f>[7]GERAL!M6</f>
        <v>249</v>
      </c>
      <c r="L12" s="113">
        <f>[7]GERAL!N6</f>
        <v>155.91666666666666</v>
      </c>
      <c r="M12" s="113">
        <f>[7]GERAL!O6</f>
        <v>-93.083333333333343</v>
      </c>
      <c r="N12" s="114">
        <f>[7]GERAL!P6</f>
        <v>0.62617135207496655</v>
      </c>
      <c r="O12" s="113">
        <f>[7]GERAL!Q6</f>
        <v>328</v>
      </c>
      <c r="P12" s="113">
        <f>[7]GERAL!R6</f>
        <v>380.33333333333331</v>
      </c>
      <c r="Q12" s="113">
        <f>[7]GERAL!S6</f>
        <v>52.333333333333314</v>
      </c>
      <c r="R12" s="114">
        <f>[7]GERAL!T6</f>
        <v>1.1595528455284552</v>
      </c>
    </row>
    <row r="13" spans="1:18" x14ac:dyDescent="0.35">
      <c r="A13" s="13"/>
      <c r="B13" s="112" t="str">
        <f>[7]GERAL!D7</f>
        <v>LITORAL M</v>
      </c>
      <c r="C13" s="113">
        <f>[7]GERAL!E7</f>
        <v>3</v>
      </c>
      <c r="D13" s="113">
        <f>[7]GERAL!F7</f>
        <v>1.9166666666666665</v>
      </c>
      <c r="E13" s="113">
        <f>[7]GERAL!G7</f>
        <v>-1.0833333333333335</v>
      </c>
      <c r="F13" s="114">
        <f>[7]GERAL!H7</f>
        <v>0.63888888888888884</v>
      </c>
      <c r="G13" s="113">
        <f>[7]GERAL!I7</f>
        <v>12</v>
      </c>
      <c r="H13" s="113">
        <f>[7]GERAL!J7</f>
        <v>4</v>
      </c>
      <c r="I13" s="113">
        <f>[7]GERAL!K7</f>
        <v>-8</v>
      </c>
      <c r="J13" s="114">
        <f>[7]GERAL!L7</f>
        <v>0.33333333333333331</v>
      </c>
      <c r="K13" s="113">
        <f>[7]GERAL!M7</f>
        <v>10</v>
      </c>
      <c r="L13" s="113">
        <f>[7]GERAL!N7</f>
        <v>3.2916666666666665</v>
      </c>
      <c r="M13" s="113">
        <f>[7]GERAL!O7</f>
        <v>-6.7083333333333339</v>
      </c>
      <c r="N13" s="114">
        <f>[7]GERAL!P7</f>
        <v>0.32916666666666666</v>
      </c>
      <c r="O13" s="113">
        <f>[7]GERAL!Q7</f>
        <v>3</v>
      </c>
      <c r="P13" s="113">
        <f>[7]GERAL!R7</f>
        <v>1.625</v>
      </c>
      <c r="Q13" s="113">
        <f>[7]GERAL!S7</f>
        <v>-1.375</v>
      </c>
      <c r="R13" s="114">
        <f>[7]GERAL!T7</f>
        <v>0.54166666666666663</v>
      </c>
    </row>
    <row r="14" spans="1:18" x14ac:dyDescent="0.35">
      <c r="A14" s="13"/>
      <c r="B14" s="112" t="str">
        <f>[7]GERAL!D8</f>
        <v>NORTE D</v>
      </c>
      <c r="C14" s="113">
        <f>[7]GERAL!E8</f>
        <v>176</v>
      </c>
      <c r="D14" s="113">
        <f>[7]GERAL!F8</f>
        <v>143.79999999999998</v>
      </c>
      <c r="E14" s="113">
        <f>[7]GERAL!G8</f>
        <v>-32.200000000000017</v>
      </c>
      <c r="F14" s="114">
        <f>[7]GERAL!H8</f>
        <v>0.81704545454545441</v>
      </c>
      <c r="G14" s="113">
        <f>[7]GERAL!I8</f>
        <v>395</v>
      </c>
      <c r="H14" s="113">
        <f>[7]GERAL!J8</f>
        <v>168</v>
      </c>
      <c r="I14" s="113">
        <f>[7]GERAL!K8</f>
        <v>-227</v>
      </c>
      <c r="J14" s="114">
        <f>[7]GERAL!L8</f>
        <v>0.42531645569620252</v>
      </c>
      <c r="K14" s="113">
        <f>[7]GERAL!M8</f>
        <v>149</v>
      </c>
      <c r="L14" s="113">
        <f>[7]GERAL!N8</f>
        <v>131.12499999999997</v>
      </c>
      <c r="M14" s="113">
        <f>[7]GERAL!O8</f>
        <v>-17.875000000000028</v>
      </c>
      <c r="N14" s="114">
        <f>[7]GERAL!P8</f>
        <v>0.88003355704697972</v>
      </c>
      <c r="O14" s="113">
        <f>[7]GERAL!Q8</f>
        <v>305</v>
      </c>
      <c r="P14" s="113">
        <f>[7]GERAL!R8</f>
        <v>235.625</v>
      </c>
      <c r="Q14" s="113">
        <f>[7]GERAL!S8</f>
        <v>-69.375</v>
      </c>
      <c r="R14" s="114">
        <f>[7]GERAL!T8</f>
        <v>0.77254098360655743</v>
      </c>
    </row>
    <row r="15" spans="1:18" x14ac:dyDescent="0.35">
      <c r="B15" s="112" t="str">
        <f>[7]GERAL!D9</f>
        <v>NORTE M</v>
      </c>
      <c r="C15" s="113">
        <f>[7]GERAL!E9</f>
        <v>1</v>
      </c>
      <c r="D15" s="113">
        <f>[7]GERAL!F9</f>
        <v>0</v>
      </c>
      <c r="E15" s="113">
        <f>[7]GERAL!G9</f>
        <v>-1</v>
      </c>
      <c r="F15" s="114">
        <f>[7]GERAL!H9</f>
        <v>0</v>
      </c>
      <c r="G15" s="113">
        <f>[7]GERAL!I9</f>
        <v>8</v>
      </c>
      <c r="H15" s="113">
        <f>[7]GERAL!J9</f>
        <v>8.5</v>
      </c>
      <c r="I15" s="113">
        <f>[7]GERAL!K9</f>
        <v>0.5</v>
      </c>
      <c r="J15" s="114">
        <f>[7]GERAL!L9</f>
        <v>1.0625</v>
      </c>
      <c r="K15" s="113">
        <f>[7]GERAL!M9</f>
        <v>2</v>
      </c>
      <c r="L15" s="113">
        <f>[7]GERAL!N9</f>
        <v>0</v>
      </c>
      <c r="M15" s="113">
        <f>[7]GERAL!O9</f>
        <v>-2</v>
      </c>
      <c r="N15" s="114">
        <f>[7]GERAL!P9</f>
        <v>0</v>
      </c>
      <c r="O15" s="113">
        <f>[7]GERAL!Q9</f>
        <v>2</v>
      </c>
      <c r="P15" s="113">
        <f>[7]GERAL!R9</f>
        <v>1.25</v>
      </c>
      <c r="Q15" s="113">
        <f>[7]GERAL!S9</f>
        <v>-0.75</v>
      </c>
      <c r="R15" s="114">
        <f>[7]GERAL!T9</f>
        <v>0.625</v>
      </c>
    </row>
    <row r="16" spans="1:18" x14ac:dyDescent="0.35">
      <c r="B16" s="112" t="str">
        <f>[7]GERAL!D10</f>
        <v>NORTE MC/KA D</v>
      </c>
      <c r="C16" s="113">
        <f>[7]GERAL!E10</f>
        <v>494</v>
      </c>
      <c r="D16" s="113">
        <f>[7]GERAL!F10</f>
        <v>450.15</v>
      </c>
      <c r="E16" s="113">
        <f>[7]GERAL!G10</f>
        <v>-43.850000000000023</v>
      </c>
      <c r="F16" s="114">
        <f>[7]GERAL!H10</f>
        <v>0.91123481781376514</v>
      </c>
      <c r="G16" s="113">
        <f>[7]GERAL!I10</f>
        <v>1091</v>
      </c>
      <c r="H16" s="113">
        <f>[7]GERAL!J10</f>
        <v>357.66666666666669</v>
      </c>
      <c r="I16" s="113">
        <f>[7]GERAL!K10</f>
        <v>-733.33333333333326</v>
      </c>
      <c r="J16" s="114">
        <f>[7]GERAL!L10</f>
        <v>0.32783379162847542</v>
      </c>
      <c r="K16" s="113">
        <f>[7]GERAL!M10</f>
        <v>824</v>
      </c>
      <c r="L16" s="113">
        <f>[7]GERAL!N10</f>
        <v>572.83333333333337</v>
      </c>
      <c r="M16" s="113">
        <f>[7]GERAL!O10</f>
        <v>-251.16666666666663</v>
      </c>
      <c r="N16" s="114">
        <f>[7]GERAL!P10</f>
        <v>0.69518608414239491</v>
      </c>
      <c r="O16" s="113">
        <f>[7]GERAL!Q10</f>
        <v>823</v>
      </c>
      <c r="P16" s="113">
        <f>[7]GERAL!R10</f>
        <v>995.45833333333326</v>
      </c>
      <c r="Q16" s="113">
        <f>[7]GERAL!S10</f>
        <v>172.45833333333326</v>
      </c>
      <c r="R16" s="114">
        <f>[7]GERAL!T10</f>
        <v>1.2095484001620087</v>
      </c>
    </row>
    <row r="17" spans="2:18" x14ac:dyDescent="0.35">
      <c r="B17" s="112" t="str">
        <f>[7]GERAL!D11</f>
        <v>SUL D</v>
      </c>
      <c r="C17" s="113">
        <f>[7]GERAL!E11</f>
        <v>151</v>
      </c>
      <c r="D17" s="113">
        <f>[7]GERAL!F11</f>
        <v>94.208333333333343</v>
      </c>
      <c r="E17" s="113">
        <f>[7]GERAL!G11</f>
        <v>-56.791666666666657</v>
      </c>
      <c r="F17" s="114">
        <f>[7]GERAL!H11</f>
        <v>0.62389624724061821</v>
      </c>
      <c r="G17" s="113">
        <f>[7]GERAL!I11</f>
        <v>473</v>
      </c>
      <c r="H17" s="113">
        <f>[7]GERAL!J11</f>
        <v>292.58333333333337</v>
      </c>
      <c r="I17" s="113">
        <f>[7]GERAL!K11</f>
        <v>-180.41666666666663</v>
      </c>
      <c r="J17" s="114">
        <f>[7]GERAL!L11</f>
        <v>0.61856941508104302</v>
      </c>
      <c r="K17" s="113">
        <f>[7]GERAL!M11</f>
        <v>89</v>
      </c>
      <c r="L17" s="113">
        <f>[7]GERAL!N11</f>
        <v>75.583333333333343</v>
      </c>
      <c r="M17" s="113">
        <f>[7]GERAL!O11</f>
        <v>-13.416666666666657</v>
      </c>
      <c r="N17" s="114">
        <f>[7]GERAL!P11</f>
        <v>0.84925093632958815</v>
      </c>
      <c r="O17" s="113">
        <f>[7]GERAL!Q11</f>
        <v>424</v>
      </c>
      <c r="P17" s="113">
        <f>[7]GERAL!R11</f>
        <v>359</v>
      </c>
      <c r="Q17" s="113">
        <f>[7]GERAL!S11</f>
        <v>-65</v>
      </c>
      <c r="R17" s="114">
        <f>[7]GERAL!T11</f>
        <v>0.84669811320754718</v>
      </c>
    </row>
    <row r="18" spans="2:18" x14ac:dyDescent="0.35">
      <c r="B18" s="112" t="str">
        <f>[7]GERAL!D12</f>
        <v>SUL M</v>
      </c>
      <c r="C18" s="113">
        <f>[7]GERAL!E12</f>
        <v>2</v>
      </c>
      <c r="D18" s="113">
        <f>[7]GERAL!F12</f>
        <v>0.71666666666666667</v>
      </c>
      <c r="E18" s="113">
        <f>[7]GERAL!G12</f>
        <v>-1.2833333333333332</v>
      </c>
      <c r="F18" s="114">
        <f>[7]GERAL!H12</f>
        <v>0.35833333333333334</v>
      </c>
      <c r="G18" s="113">
        <f>[7]GERAL!I12</f>
        <v>23</v>
      </c>
      <c r="H18" s="113">
        <f>[7]GERAL!J12</f>
        <v>7</v>
      </c>
      <c r="I18" s="113">
        <f>[7]GERAL!K12</f>
        <v>-16</v>
      </c>
      <c r="J18" s="114">
        <f>[7]GERAL!L12</f>
        <v>0.30434782608695654</v>
      </c>
      <c r="K18" s="113">
        <f>[7]GERAL!M12</f>
        <v>2</v>
      </c>
      <c r="L18" s="113">
        <f>[7]GERAL!N12</f>
        <v>2.0833333333333335</v>
      </c>
      <c r="M18" s="113">
        <f>[7]GERAL!O12</f>
        <v>8.3333333333333481E-2</v>
      </c>
      <c r="N18" s="114">
        <f>[7]GERAL!P12</f>
        <v>1.0416666666666667</v>
      </c>
      <c r="O18" s="113">
        <f>[7]GERAL!Q12</f>
        <v>4</v>
      </c>
      <c r="P18" s="113">
        <f>[7]GERAL!R12</f>
        <v>3</v>
      </c>
      <c r="Q18" s="113">
        <f>[7]GERAL!S12</f>
        <v>-1</v>
      </c>
      <c r="R18" s="114">
        <f>[7]GERAL!T12</f>
        <v>0.75</v>
      </c>
    </row>
    <row r="19" spans="2:18" x14ac:dyDescent="0.35">
      <c r="B19" s="112" t="str">
        <f>[7]GERAL!D13</f>
        <v>VALE D</v>
      </c>
      <c r="C19" s="113">
        <f>[7]GERAL!E13</f>
        <v>38</v>
      </c>
      <c r="D19" s="113">
        <f>[7]GERAL!F13</f>
        <v>25.333333333333332</v>
      </c>
      <c r="E19" s="113">
        <f>[7]GERAL!G13</f>
        <v>-12.666666666666668</v>
      </c>
      <c r="F19" s="114">
        <f>[7]GERAL!H13</f>
        <v>0.66666666666666663</v>
      </c>
      <c r="G19" s="113">
        <f>[7]GERAL!I13</f>
        <v>159</v>
      </c>
      <c r="H19" s="113">
        <f>[7]GERAL!J13</f>
        <v>54.583333333333336</v>
      </c>
      <c r="I19" s="113">
        <f>[7]GERAL!K13</f>
        <v>-104.41666666666666</v>
      </c>
      <c r="J19" s="114">
        <f>[7]GERAL!L13</f>
        <v>0.34329140461215935</v>
      </c>
      <c r="K19" s="113">
        <f>[7]GERAL!M13</f>
        <v>34</v>
      </c>
      <c r="L19" s="113">
        <f>[7]GERAL!N13</f>
        <v>27.375</v>
      </c>
      <c r="M19" s="113">
        <f>[7]GERAL!O13</f>
        <v>-6.625</v>
      </c>
      <c r="N19" s="114">
        <f>[7]GERAL!P13</f>
        <v>0.80514705882352944</v>
      </c>
      <c r="O19" s="113">
        <f>[7]GERAL!Q13</f>
        <v>72</v>
      </c>
      <c r="P19" s="113">
        <f>[7]GERAL!R13</f>
        <v>63.75</v>
      </c>
      <c r="Q19" s="113">
        <f>[7]GERAL!S13</f>
        <v>-8.25</v>
      </c>
      <c r="R19" s="114">
        <f>[7]GERAL!T13</f>
        <v>0.88541666666666663</v>
      </c>
    </row>
    <row r="20" spans="2:18" x14ac:dyDescent="0.35">
      <c r="B20" s="112" t="str">
        <f>[7]GERAL!D14</f>
        <v>VALE M</v>
      </c>
      <c r="C20" s="113">
        <f>[7]GERAL!E14</f>
        <v>1</v>
      </c>
      <c r="D20" s="113">
        <f>[7]GERAL!F14</f>
        <v>1.4333333333333331</v>
      </c>
      <c r="E20" s="113">
        <f>[7]GERAL!G14</f>
        <v>0.43333333333333313</v>
      </c>
      <c r="F20" s="114">
        <f>[7]GERAL!H14</f>
        <v>1.4333333333333331</v>
      </c>
      <c r="G20" s="113">
        <f>[7]GERAL!I14</f>
        <v>9</v>
      </c>
      <c r="H20" s="113">
        <f>[7]GERAL!J14</f>
        <v>6</v>
      </c>
      <c r="I20" s="113">
        <f>[7]GERAL!K14</f>
        <v>-3</v>
      </c>
      <c r="J20" s="114">
        <f>[7]GERAL!L14</f>
        <v>0.66666666666666663</v>
      </c>
      <c r="K20" s="113">
        <f>[7]GERAL!M14</f>
        <v>12</v>
      </c>
      <c r="L20" s="113">
        <f>[7]GERAL!N14</f>
        <v>6.291666666666667</v>
      </c>
      <c r="M20" s="113">
        <f>[7]GERAL!O14</f>
        <v>-5.708333333333333</v>
      </c>
      <c r="N20" s="114">
        <f>[7]GERAL!P14</f>
        <v>0.52430555555555558</v>
      </c>
      <c r="O20" s="113">
        <f>[7]GERAL!Q14</f>
        <v>44</v>
      </c>
      <c r="P20" s="113">
        <f>[7]GERAL!R14</f>
        <v>26.25</v>
      </c>
      <c r="Q20" s="113">
        <f>[7]GERAL!S14</f>
        <v>-17.75</v>
      </c>
      <c r="R20" s="114">
        <f>[7]GERAL!T14</f>
        <v>0.59659090909090906</v>
      </c>
    </row>
    <row r="21" spans="2:18" ht="15" thickBot="1" x14ac:dyDescent="0.4">
      <c r="B21" s="112" t="str">
        <f>[7]GERAL!D15</f>
        <v>VENDAS INTERNAS</v>
      </c>
      <c r="C21" s="113">
        <f>[7]GERAL!E15</f>
        <v>18</v>
      </c>
      <c r="D21" s="113">
        <f>[7]GERAL!F15</f>
        <v>17.666666666666664</v>
      </c>
      <c r="E21" s="113">
        <f>[7]GERAL!G15</f>
        <v>-0.3333333333333357</v>
      </c>
      <c r="F21" s="114">
        <f>[7]GERAL!H15</f>
        <v>0.9814814814814814</v>
      </c>
      <c r="G21" s="113">
        <f>[7]GERAL!I15</f>
        <v>249</v>
      </c>
      <c r="H21" s="113">
        <f>[7]GERAL!J15</f>
        <v>64.5</v>
      </c>
      <c r="I21" s="113">
        <f>[7]GERAL!K15</f>
        <v>-184.5</v>
      </c>
      <c r="J21" s="114">
        <f>[7]GERAL!L15</f>
        <v>0.25903614457831325</v>
      </c>
      <c r="K21" s="113">
        <f>[7]GERAL!M15</f>
        <v>74</v>
      </c>
      <c r="L21" s="113">
        <f>[7]GERAL!N15</f>
        <v>76.083333333333343</v>
      </c>
      <c r="M21" s="113">
        <f>[7]GERAL!O15</f>
        <v>2.0833333333333428</v>
      </c>
      <c r="N21" s="114">
        <f>[7]GERAL!P15</f>
        <v>1.0281531531531534</v>
      </c>
      <c r="O21" s="113">
        <f>[7]GERAL!Q15</f>
        <v>229</v>
      </c>
      <c r="P21" s="113">
        <f>[7]GERAL!R15</f>
        <v>159.75</v>
      </c>
      <c r="Q21" s="113">
        <f>[7]GERAL!S15</f>
        <v>-69.25</v>
      </c>
      <c r="R21" s="114">
        <f>[7]GERAL!T15</f>
        <v>0.69759825327510916</v>
      </c>
    </row>
    <row r="22" spans="2:18" ht="15" thickBot="1" x14ac:dyDescent="0.4">
      <c r="B22" s="115" t="str">
        <f>[7]GERAL!D16</f>
        <v>Total Geral</v>
      </c>
      <c r="C22" s="116">
        <f>[7]GERAL!E16</f>
        <v>1715</v>
      </c>
      <c r="D22" s="116">
        <f>[7]GERAL!F16</f>
        <v>1259.1833333333332</v>
      </c>
      <c r="E22" s="116">
        <f>[7]GERAL!G16</f>
        <v>-455.81666666666661</v>
      </c>
      <c r="F22" s="117">
        <f>[7]GERAL!H16</f>
        <v>0.73421768707482993</v>
      </c>
      <c r="G22" s="116">
        <f>[7]GERAL!I16</f>
        <v>4531</v>
      </c>
      <c r="H22" s="116">
        <f>[7]GERAL!J16</f>
        <v>1977.3333333333333</v>
      </c>
      <c r="I22" s="116">
        <f>[7]GERAL!K16</f>
        <v>-2553.666666666667</v>
      </c>
      <c r="J22" s="118">
        <f>[7]GERAL!L16</f>
        <v>0.43640108879570366</v>
      </c>
      <c r="K22" s="116">
        <f>[7]GERAL!M16</f>
        <v>2251</v>
      </c>
      <c r="L22" s="116">
        <f>[7]GERAL!N16</f>
        <v>1665.25</v>
      </c>
      <c r="M22" s="116">
        <f>[7]GERAL!O16</f>
        <v>-585.75</v>
      </c>
      <c r="N22" s="118">
        <f>[7]GERAL!P16</f>
        <v>0.73978231896934699</v>
      </c>
      <c r="O22" s="116">
        <f>[7]GERAL!Q16</f>
        <v>4260</v>
      </c>
      <c r="P22" s="116">
        <f>[7]GERAL!R16</f>
        <v>3596.125</v>
      </c>
      <c r="Q22" s="116">
        <f>[7]GERAL!S16</f>
        <v>-663.875</v>
      </c>
      <c r="R22" s="118">
        <f>[7]GERAL!T16</f>
        <v>0.84416079812206568</v>
      </c>
    </row>
  </sheetData>
  <conditionalFormatting sqref="F9:F21">
    <cfRule type="cellIs" dxfId="12" priority="19" operator="between">
      <formula>$K$2</formula>
      <formula>$K$2-3%</formula>
    </cfRule>
    <cfRule type="cellIs" dxfId="11" priority="20" operator="lessThan">
      <formula>$K$2-3%</formula>
    </cfRule>
    <cfRule type="cellIs" dxfId="10" priority="21" operator="greaterThan">
      <formula>$K$2</formula>
    </cfRule>
  </conditionalFormatting>
  <conditionalFormatting sqref="J9:J21">
    <cfRule type="cellIs" dxfId="9" priority="7" operator="between">
      <formula>$K$2</formula>
      <formula>$K$2-3%</formula>
    </cfRule>
    <cfRule type="cellIs" dxfId="8" priority="8" operator="lessThan">
      <formula>$K$2-3%</formula>
    </cfRule>
    <cfRule type="cellIs" dxfId="7" priority="9" operator="greaterThan">
      <formula>$K$2</formula>
    </cfRule>
  </conditionalFormatting>
  <conditionalFormatting sqref="N9:N21">
    <cfRule type="cellIs" dxfId="6" priority="4" operator="between">
      <formula>$K$2</formula>
      <formula>$K$2-3%</formula>
    </cfRule>
    <cfRule type="cellIs" dxfId="5" priority="5" operator="lessThan">
      <formula>$K$2-3%</formula>
    </cfRule>
    <cfRule type="cellIs" dxfId="4" priority="6" operator="greaterThan">
      <formula>$K$2</formula>
    </cfRule>
  </conditionalFormatting>
  <conditionalFormatting sqref="R9:R21">
    <cfRule type="cellIs" dxfId="3" priority="1" operator="between">
      <formula>$K$2</formula>
      <formula>$K$2-3%</formula>
    </cfRule>
    <cfRule type="cellIs" dxfId="2" priority="2" operator="lessThan">
      <formula>$K$2-3%</formula>
    </cfRule>
    <cfRule type="cellIs" dxfId="1" priority="3" operator="greaterThan">
      <formula>$K$2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5AF1-6703-4228-8A15-C728F63B8E60}">
  <sheetPr codeName="Planilha8"/>
  <dimension ref="A1:T19"/>
  <sheetViews>
    <sheetView showGridLines="0" zoomScale="115" zoomScaleNormal="115" workbookViewId="0">
      <pane ySplit="5" topLeftCell="A6" activePane="bottomLeft" state="frozen"/>
      <selection pane="bottomLeft" activeCell="H24" sqref="H24"/>
    </sheetView>
  </sheetViews>
  <sheetFormatPr defaultRowHeight="14.5" x14ac:dyDescent="0.35"/>
  <cols>
    <col min="1" max="2" width="8.7265625" customWidth="1"/>
    <col min="3" max="3" width="21.7265625" bestFit="1" customWidth="1"/>
    <col min="4" max="4" width="6.26953125" bestFit="1" customWidth="1"/>
    <col min="5" max="5" width="9.81640625" bestFit="1" customWidth="1"/>
    <col min="6" max="6" width="13.26953125" bestFit="1" customWidth="1"/>
    <col min="7" max="7" width="6.26953125" bestFit="1" customWidth="1"/>
    <col min="8" max="8" width="15.453125" bestFit="1" customWidth="1"/>
    <col min="9" max="9" width="7.54296875" bestFit="1" customWidth="1"/>
    <col min="10" max="10" width="15.453125" bestFit="1" customWidth="1"/>
    <col min="11" max="11" width="9.81640625" bestFit="1" customWidth="1"/>
    <col min="12" max="12" width="6.453125" bestFit="1" customWidth="1"/>
    <col min="13" max="13" width="6.7265625" bestFit="1" customWidth="1"/>
    <col min="14" max="14" width="13.7265625" bestFit="1" customWidth="1"/>
    <col min="15" max="15" width="10" bestFit="1" customWidth="1"/>
    <col min="16" max="16" width="8.26953125" bestFit="1" customWidth="1"/>
    <col min="17" max="17" width="7" bestFit="1" customWidth="1"/>
  </cols>
  <sheetData>
    <row r="1" spans="1:19" ht="15" x14ac:dyDescent="0.4">
      <c r="F1" s="2" t="s">
        <v>13</v>
      </c>
      <c r="H1" s="2" t="s">
        <v>14</v>
      </c>
      <c r="J1" s="2" t="s">
        <v>40</v>
      </c>
    </row>
    <row r="2" spans="1:19" ht="15" x14ac:dyDescent="0.4">
      <c r="F2" s="11">
        <f>GERAL!$F$2</f>
        <v>46191</v>
      </c>
      <c r="H2" s="12">
        <f>GERAL!I2</f>
        <v>0.96934865900383138</v>
      </c>
      <c r="J2" s="12">
        <f>GERAL!K2</f>
        <v>0.87692307692307692</v>
      </c>
    </row>
    <row r="5" spans="1:19" s="14" customFormat="1" ht="83.25" customHeight="1" thickBot="1" x14ac:dyDescent="0.4"/>
    <row r="7" spans="1:19" x14ac:dyDescent="0.35">
      <c r="A7" s="13"/>
    </row>
    <row r="8" spans="1:19" x14ac:dyDescent="0.35">
      <c r="C8" s="177">
        <f>[1]GERAL!C3</f>
        <v>0</v>
      </c>
      <c r="D8" s="178" t="str">
        <f>[1]GERAL!D3</f>
        <v>'</v>
      </c>
      <c r="E8" s="179">
        <f>[1]GERAL!E3</f>
        <v>0</v>
      </c>
      <c r="F8" s="179">
        <f>[1]GERAL!F3</f>
        <v>0</v>
      </c>
      <c r="G8" s="179">
        <f>[1]GERAL!G3</f>
        <v>0</v>
      </c>
      <c r="H8" s="179">
        <f>[1]GERAL!H3</f>
        <v>0</v>
      </c>
      <c r="I8" s="179">
        <f>[1]GERAL!I3</f>
        <v>0</v>
      </c>
      <c r="J8" s="179">
        <f>[1]GERAL!J3</f>
        <v>0</v>
      </c>
      <c r="K8" s="179">
        <f>[1]GERAL!K3</f>
        <v>0</v>
      </c>
      <c r="L8" s="179">
        <f>[1]GERAL!L3</f>
        <v>0</v>
      </c>
      <c r="M8" s="179">
        <f>[1]GERAL!M3</f>
        <v>0</v>
      </c>
      <c r="N8" s="179">
        <f>[1]GERAL!N3</f>
        <v>0</v>
      </c>
      <c r="O8" s="179">
        <f>[1]GERAL!O3</f>
        <v>0</v>
      </c>
      <c r="P8" s="179">
        <f>[1]GERAL!P3</f>
        <v>0</v>
      </c>
      <c r="Q8" s="179">
        <f>[1]GERAL!Q3</f>
        <v>0</v>
      </c>
      <c r="R8" s="179">
        <f>[1]GERAL!R3</f>
        <v>0</v>
      </c>
      <c r="S8" s="179">
        <f>[1]GERAL!S3</f>
        <v>0</v>
      </c>
    </row>
    <row r="9" spans="1:19" x14ac:dyDescent="0.35">
      <c r="C9" s="180">
        <f>[1]GERAL!C4</f>
        <v>0</v>
      </c>
      <c r="D9" s="181" t="str">
        <f>[1]GERAL!D4</f>
        <v xml:space="preserve">ABRIL </v>
      </c>
      <c r="E9" s="182">
        <f>[1]GERAL!E4</f>
        <v>0</v>
      </c>
      <c r="F9" s="181">
        <f>[1]GERAL!F4</f>
        <v>0</v>
      </c>
      <c r="G9" s="181">
        <f>[1]GERAL!G4</f>
        <v>0</v>
      </c>
      <c r="H9" s="181" t="str">
        <f>[1]GERAL!H4</f>
        <v xml:space="preserve">MAIO </v>
      </c>
      <c r="I9" s="182">
        <f>[1]GERAL!I4</f>
        <v>0</v>
      </c>
      <c r="J9" s="181">
        <f>[1]GERAL!J4</f>
        <v>0</v>
      </c>
      <c r="K9" s="181">
        <f>[1]GERAL!K4</f>
        <v>0</v>
      </c>
      <c r="L9" s="181" t="str">
        <f>[1]GERAL!L4</f>
        <v xml:space="preserve">JUNHO </v>
      </c>
      <c r="M9" s="182">
        <f>[1]GERAL!M4</f>
        <v>0</v>
      </c>
      <c r="N9" s="181">
        <f>[1]GERAL!N4</f>
        <v>0</v>
      </c>
      <c r="O9" s="181">
        <f>[1]GERAL!O4</f>
        <v>0</v>
      </c>
      <c r="P9" s="183" t="str">
        <f>[1]GERAL!P4</f>
        <v>Total Metas</v>
      </c>
      <c r="Q9" s="183" t="str">
        <f>[1]GERAL!Q4</f>
        <v>Total META</v>
      </c>
      <c r="R9" s="183" t="str">
        <f>[1]GERAL!R4</f>
        <v>Total CX</v>
      </c>
      <c r="S9" s="183" t="str">
        <f>[1]GERAL!S4</f>
        <v>Total %</v>
      </c>
    </row>
    <row r="10" spans="1:19" x14ac:dyDescent="0.35">
      <c r="C10" s="170" t="str">
        <f>[1]GERAL!C5</f>
        <v>EQUIPE</v>
      </c>
      <c r="D10" s="170" t="str">
        <f>[1]GERAL!D5</f>
        <v>Metas</v>
      </c>
      <c r="E10" s="183" t="str">
        <f>[1]GERAL!E5</f>
        <v>META</v>
      </c>
      <c r="F10" s="169" t="str">
        <f>[1]GERAL!F5</f>
        <v>CX</v>
      </c>
      <c r="G10" s="170" t="str">
        <f>[1]GERAL!G5</f>
        <v>%</v>
      </c>
      <c r="H10" s="170" t="str">
        <f>[1]GERAL!H5</f>
        <v>Metas</v>
      </c>
      <c r="I10" s="183" t="str">
        <f>[1]GERAL!I5</f>
        <v>META</v>
      </c>
      <c r="J10" s="169" t="str">
        <f>[1]GERAL!J5</f>
        <v>CX</v>
      </c>
      <c r="K10" s="170" t="str">
        <f>[1]GERAL!K5</f>
        <v>%</v>
      </c>
      <c r="L10" s="170" t="str">
        <f>[1]GERAL!L5</f>
        <v>Metas</v>
      </c>
      <c r="M10" s="183" t="str">
        <f>[1]GERAL!M5</f>
        <v>META</v>
      </c>
      <c r="N10" s="169" t="str">
        <f>[1]GERAL!N5</f>
        <v>CX</v>
      </c>
      <c r="O10" s="170" t="str">
        <f>[1]GERAL!O5</f>
        <v>%</v>
      </c>
      <c r="P10" s="183">
        <f>[1]GERAL!P5</f>
        <v>0</v>
      </c>
      <c r="Q10" s="170">
        <f>[1]GERAL!Q5</f>
        <v>0</v>
      </c>
      <c r="R10" s="170">
        <f>[1]GERAL!R5</f>
        <v>0</v>
      </c>
      <c r="S10" s="170">
        <f>[1]GERAL!S5</f>
        <v>0</v>
      </c>
    </row>
    <row r="11" spans="1:19" x14ac:dyDescent="0.35">
      <c r="C11" s="184" t="str">
        <f>[1]GERAL!C6</f>
        <v>FLORIPA D</v>
      </c>
      <c r="D11" s="185">
        <f>[1]GERAL!D6</f>
        <v>15.333333333333334</v>
      </c>
      <c r="E11" s="186">
        <f>[1]GERAL!E6</f>
        <v>46</v>
      </c>
      <c r="F11" s="187">
        <f>[1]GERAL!F6</f>
        <v>21.25</v>
      </c>
      <c r="G11" s="171">
        <f>[1]GERAL!G6</f>
        <v>0.46195652173913043</v>
      </c>
      <c r="H11" s="185">
        <f>[1]GERAL!H6</f>
        <v>15.333333333333334</v>
      </c>
      <c r="I11" s="186">
        <f>[1]GERAL!I6</f>
        <v>46</v>
      </c>
      <c r="J11" s="187">
        <f>[1]GERAL!J6</f>
        <v>141.5</v>
      </c>
      <c r="K11" s="171">
        <f>[1]GERAL!K6</f>
        <v>3.0760869565217392</v>
      </c>
      <c r="L11" s="185">
        <f>[1]GERAL!L6</f>
        <v>15.333333333333334</v>
      </c>
      <c r="M11" s="186">
        <f>[1]GERAL!M6</f>
        <v>46</v>
      </c>
      <c r="N11" s="187">
        <f>[1]GERAL!N6</f>
        <v>15.25</v>
      </c>
      <c r="O11" s="186">
        <f>[1]GERAL!O6</f>
        <v>0.33152173913043476</v>
      </c>
      <c r="P11" s="185">
        <f>[1]GERAL!P6</f>
        <v>15.333333333333334</v>
      </c>
      <c r="Q11" s="186">
        <f>[1]GERAL!Q6</f>
        <v>46</v>
      </c>
      <c r="R11" s="187">
        <f>[1]GERAL!R6</f>
        <v>178</v>
      </c>
      <c r="S11" s="171">
        <f>[1]GERAL!S6</f>
        <v>3.8695652173913042</v>
      </c>
    </row>
    <row r="12" spans="1:19" x14ac:dyDescent="0.35">
      <c r="C12" s="184" t="str">
        <f>[1]GERAL!C7</f>
        <v>FLP-SUL MC/KA D</v>
      </c>
      <c r="D12" s="185">
        <f>[1]GERAL!D7</f>
        <v>94.333333333333329</v>
      </c>
      <c r="E12" s="186">
        <f>[1]GERAL!E7</f>
        <v>283</v>
      </c>
      <c r="F12" s="187">
        <f>[1]GERAL!F7</f>
        <v>57.166666666666657</v>
      </c>
      <c r="G12" s="171">
        <f>[1]GERAL!G7</f>
        <v>0.20200235571260303</v>
      </c>
      <c r="H12" s="185">
        <f>[1]GERAL!H7</f>
        <v>94.333333333333329</v>
      </c>
      <c r="I12" s="186">
        <f>[1]GERAL!I7</f>
        <v>283</v>
      </c>
      <c r="J12" s="187">
        <f>[1]GERAL!J7</f>
        <v>82.166666666666671</v>
      </c>
      <c r="K12" s="171">
        <f>[1]GERAL!K7</f>
        <v>0.29034157832744406</v>
      </c>
      <c r="L12" s="185">
        <f>[1]GERAL!L7</f>
        <v>94.333333333333329</v>
      </c>
      <c r="M12" s="186">
        <f>[1]GERAL!M7</f>
        <v>283</v>
      </c>
      <c r="N12" s="187">
        <f>[1]GERAL!N7</f>
        <v>180.25</v>
      </c>
      <c r="O12" s="186">
        <f>[1]GERAL!O7</f>
        <v>0.63692579505300351</v>
      </c>
      <c r="P12" s="185">
        <f>[1]GERAL!P7</f>
        <v>94.333333333333329</v>
      </c>
      <c r="Q12" s="186">
        <f>[1]GERAL!Q7</f>
        <v>283</v>
      </c>
      <c r="R12" s="187">
        <f>[1]GERAL!R7</f>
        <v>319.58333333333337</v>
      </c>
      <c r="S12" s="171">
        <f>[1]GERAL!S7</f>
        <v>1.1292697290930507</v>
      </c>
    </row>
    <row r="13" spans="1:19" x14ac:dyDescent="0.35">
      <c r="C13" s="184" t="str">
        <f>[1]GERAL!C8</f>
        <v>LITORAL D</v>
      </c>
      <c r="D13" s="185">
        <f>[1]GERAL!D8</f>
        <v>39.666666666666664</v>
      </c>
      <c r="E13" s="186">
        <f>[1]GERAL!E8</f>
        <v>119</v>
      </c>
      <c r="F13" s="187">
        <f>[1]GERAL!F8</f>
        <v>45.75</v>
      </c>
      <c r="G13" s="171">
        <f>[1]GERAL!G8</f>
        <v>0.38445378151260506</v>
      </c>
      <c r="H13" s="185">
        <f>[1]GERAL!H8</f>
        <v>39.666666666666664</v>
      </c>
      <c r="I13" s="186">
        <f>[1]GERAL!I8</f>
        <v>119</v>
      </c>
      <c r="J13" s="187">
        <f>[1]GERAL!J8</f>
        <v>213</v>
      </c>
      <c r="K13" s="171">
        <f>[1]GERAL!K8</f>
        <v>1.7899159663865547</v>
      </c>
      <c r="L13" s="185">
        <f>[1]GERAL!L8</f>
        <v>39.666666666666664</v>
      </c>
      <c r="M13" s="186">
        <f>[1]GERAL!M8</f>
        <v>119</v>
      </c>
      <c r="N13" s="187">
        <f>[1]GERAL!N8</f>
        <v>73.75</v>
      </c>
      <c r="O13" s="186">
        <f>[1]GERAL!O8</f>
        <v>0.61974789915966388</v>
      </c>
      <c r="P13" s="185">
        <f>[1]GERAL!P8</f>
        <v>39.666666666666664</v>
      </c>
      <c r="Q13" s="186">
        <f>[1]GERAL!Q8</f>
        <v>119</v>
      </c>
      <c r="R13" s="187">
        <f>[1]GERAL!R8</f>
        <v>332.5</v>
      </c>
      <c r="S13" s="171">
        <f>[1]GERAL!S8</f>
        <v>2.7941176470588234</v>
      </c>
    </row>
    <row r="14" spans="1:19" x14ac:dyDescent="0.35">
      <c r="C14" s="184" t="str">
        <f>[1]GERAL!C9</f>
        <v>NORTE D</v>
      </c>
      <c r="D14" s="185">
        <f>[1]GERAL!D9</f>
        <v>34.666666666666664</v>
      </c>
      <c r="E14" s="186">
        <f>[1]GERAL!E9</f>
        <v>104</v>
      </c>
      <c r="F14" s="187">
        <f>[1]GERAL!F9</f>
        <v>38</v>
      </c>
      <c r="G14" s="171">
        <f>[1]GERAL!G9</f>
        <v>0.36538461538461536</v>
      </c>
      <c r="H14" s="185">
        <f>[1]GERAL!H9</f>
        <v>34.666666666666664</v>
      </c>
      <c r="I14" s="186">
        <f>[1]GERAL!I9</f>
        <v>104</v>
      </c>
      <c r="J14" s="187">
        <f>[1]GERAL!J9</f>
        <v>271</v>
      </c>
      <c r="K14" s="171">
        <f>[1]GERAL!K9</f>
        <v>2.6057692307692308</v>
      </c>
      <c r="L14" s="185">
        <f>[1]GERAL!L9</f>
        <v>34.666666666666664</v>
      </c>
      <c r="M14" s="186">
        <f>[1]GERAL!M9</f>
        <v>104</v>
      </c>
      <c r="N14" s="187">
        <f>[1]GERAL!N9</f>
        <v>34.25</v>
      </c>
      <c r="O14" s="186">
        <f>[1]GERAL!O9</f>
        <v>0.32932692307692307</v>
      </c>
      <c r="P14" s="185">
        <f>[1]GERAL!P9</f>
        <v>34.666666666666664</v>
      </c>
      <c r="Q14" s="186">
        <f>[1]GERAL!Q9</f>
        <v>104</v>
      </c>
      <c r="R14" s="187">
        <f>[1]GERAL!R9</f>
        <v>343.25</v>
      </c>
      <c r="S14" s="171">
        <f>[1]GERAL!S9</f>
        <v>3.3004807692307692</v>
      </c>
    </row>
    <row r="15" spans="1:19" x14ac:dyDescent="0.35">
      <c r="C15" s="184" t="str">
        <f>[1]GERAL!C10</f>
        <v>NORTE MC/KA D</v>
      </c>
      <c r="D15" s="185">
        <f>[1]GERAL!D10</f>
        <v>120.66666666666667</v>
      </c>
      <c r="E15" s="186">
        <f>[1]GERAL!E10</f>
        <v>362</v>
      </c>
      <c r="F15" s="187">
        <f>[1]GERAL!F10</f>
        <v>97.5</v>
      </c>
      <c r="G15" s="171">
        <f>[1]GERAL!G10</f>
        <v>0.26933701657458564</v>
      </c>
      <c r="H15" s="185">
        <f>[1]GERAL!H10</f>
        <v>120.66666666666667</v>
      </c>
      <c r="I15" s="186">
        <f>[1]GERAL!I10</f>
        <v>362</v>
      </c>
      <c r="J15" s="187">
        <f>[1]GERAL!J10</f>
        <v>158</v>
      </c>
      <c r="K15" s="171">
        <f>[1]GERAL!K10</f>
        <v>0.43646408839779005</v>
      </c>
      <c r="L15" s="185">
        <f>[1]GERAL!L10</f>
        <v>120.66666666666667</v>
      </c>
      <c r="M15" s="186">
        <f>[1]GERAL!M10</f>
        <v>362</v>
      </c>
      <c r="N15" s="187">
        <f>[1]GERAL!N10</f>
        <v>104.5</v>
      </c>
      <c r="O15" s="186">
        <f>[1]GERAL!O10</f>
        <v>0.28867403314917128</v>
      </c>
      <c r="P15" s="185">
        <f>[1]GERAL!P10</f>
        <v>120.66666666666667</v>
      </c>
      <c r="Q15" s="186">
        <f>[1]GERAL!Q10</f>
        <v>362</v>
      </c>
      <c r="R15" s="187">
        <f>[1]GERAL!R10</f>
        <v>360</v>
      </c>
      <c r="S15" s="171">
        <f>[1]GERAL!S10</f>
        <v>0.99447513812154698</v>
      </c>
    </row>
    <row r="16" spans="1:19" x14ac:dyDescent="0.35">
      <c r="C16" s="184" t="str">
        <f>[1]GERAL!C11</f>
        <v>SUL D</v>
      </c>
      <c r="D16" s="185">
        <f>[1]GERAL!D11</f>
        <v>29.333333333333332</v>
      </c>
      <c r="E16" s="186">
        <f>[1]GERAL!E11</f>
        <v>88</v>
      </c>
      <c r="F16" s="187">
        <f>[1]GERAL!F11</f>
        <v>27.25</v>
      </c>
      <c r="G16" s="171">
        <f>[1]GERAL!G11</f>
        <v>0.30965909090909088</v>
      </c>
      <c r="H16" s="185">
        <f>[1]GERAL!H11</f>
        <v>29.333333333333332</v>
      </c>
      <c r="I16" s="186">
        <f>[1]GERAL!I11</f>
        <v>88</v>
      </c>
      <c r="J16" s="187">
        <f>[1]GERAL!J11</f>
        <v>358.75</v>
      </c>
      <c r="K16" s="171">
        <f>[1]GERAL!K11</f>
        <v>4.0767045454545459</v>
      </c>
      <c r="L16" s="185">
        <f>[1]GERAL!L11</f>
        <v>29.333333333333332</v>
      </c>
      <c r="M16" s="186">
        <f>[1]GERAL!M11</f>
        <v>88</v>
      </c>
      <c r="N16" s="187">
        <f>[1]GERAL!N11</f>
        <v>47.5</v>
      </c>
      <c r="O16" s="186">
        <f>[1]GERAL!O11</f>
        <v>0.53977272727272729</v>
      </c>
      <c r="P16" s="185">
        <f>[1]GERAL!P11</f>
        <v>29.333333333333332</v>
      </c>
      <c r="Q16" s="186">
        <f>[1]GERAL!Q11</f>
        <v>88</v>
      </c>
      <c r="R16" s="187">
        <f>[1]GERAL!R11</f>
        <v>433.5</v>
      </c>
      <c r="S16" s="171">
        <f>[1]GERAL!S11</f>
        <v>4.9261363636363633</v>
      </c>
    </row>
    <row r="17" spans="3:20" x14ac:dyDescent="0.35">
      <c r="C17" s="184" t="str">
        <f>[1]GERAL!C12</f>
        <v>VALE D</v>
      </c>
      <c r="D17" s="185">
        <f>[1]GERAL!D12</f>
        <v>9.3333333333333339</v>
      </c>
      <c r="E17" s="186">
        <f>[1]GERAL!E12</f>
        <v>28</v>
      </c>
      <c r="F17" s="187">
        <f>[1]GERAL!F12</f>
        <v>9.5</v>
      </c>
      <c r="G17" s="171">
        <f>[1]GERAL!G12</f>
        <v>0.3392857142857143</v>
      </c>
      <c r="H17" s="185">
        <f>[1]GERAL!H12</f>
        <v>9.3333333333333339</v>
      </c>
      <c r="I17" s="186">
        <f>[1]GERAL!I12</f>
        <v>28</v>
      </c>
      <c r="J17" s="187">
        <f>[1]GERAL!J12</f>
        <v>44.75</v>
      </c>
      <c r="K17" s="171">
        <f>[1]GERAL!K12</f>
        <v>1.5982142857142858</v>
      </c>
      <c r="L17" s="185">
        <f>[1]GERAL!L12</f>
        <v>9.3333333333333339</v>
      </c>
      <c r="M17" s="186">
        <f>[1]GERAL!M12</f>
        <v>28</v>
      </c>
      <c r="N17" s="187">
        <f>[1]GERAL!N12</f>
        <v>8.75</v>
      </c>
      <c r="O17" s="186">
        <f>[1]GERAL!O12</f>
        <v>0.3125</v>
      </c>
      <c r="P17" s="185">
        <f>[1]GERAL!P12</f>
        <v>9.3333333333333339</v>
      </c>
      <c r="Q17" s="186">
        <f>[1]GERAL!Q12</f>
        <v>28</v>
      </c>
      <c r="R17" s="187">
        <f>[1]GERAL!R12</f>
        <v>63</v>
      </c>
      <c r="S17" s="171">
        <f>[1]GERAL!S12</f>
        <v>2.25</v>
      </c>
    </row>
    <row r="18" spans="3:20" ht="15" thickBot="1" x14ac:dyDescent="0.4">
      <c r="C18" s="184" t="str">
        <f>[1]GERAL!C13</f>
        <v>DMULLER</v>
      </c>
      <c r="D18" s="185">
        <f>[1]GERAL!D13</f>
        <v>0</v>
      </c>
      <c r="E18" s="186">
        <f>[1]GERAL!E13</f>
        <v>0</v>
      </c>
      <c r="F18" s="187">
        <f>[1]GERAL!F13</f>
        <v>4</v>
      </c>
      <c r="G18" s="171">
        <f>[1]GERAL!G13</f>
        <v>0</v>
      </c>
      <c r="H18" s="185">
        <f>[1]GERAL!H13</f>
        <v>0</v>
      </c>
      <c r="I18" s="186">
        <f>[1]GERAL!I13</f>
        <v>0</v>
      </c>
      <c r="J18" s="187">
        <f>[1]GERAL!J13</f>
        <v>4.833333333333333</v>
      </c>
      <c r="K18" s="171">
        <f>[1]GERAL!K13</f>
        <v>0</v>
      </c>
      <c r="L18" s="185">
        <f>[1]GERAL!L13</f>
        <v>0</v>
      </c>
      <c r="M18" s="186">
        <f>[1]GERAL!M13</f>
        <v>0</v>
      </c>
      <c r="N18" s="187">
        <f>[1]GERAL!N13</f>
        <v>209.75000000000003</v>
      </c>
      <c r="O18" s="186">
        <f>[1]GERAL!O13</f>
        <v>0</v>
      </c>
      <c r="P18" s="185">
        <f>[1]GERAL!P13</f>
        <v>0</v>
      </c>
      <c r="Q18" s="186">
        <f>[1]GERAL!Q13</f>
        <v>0</v>
      </c>
      <c r="R18" s="187">
        <f>[1]GERAL!R13</f>
        <v>218.58333333333337</v>
      </c>
      <c r="S18" s="171">
        <f>[1]GERAL!S13</f>
        <v>0</v>
      </c>
    </row>
    <row r="19" spans="3:20" ht="15" thickTop="1" x14ac:dyDescent="0.35">
      <c r="C19" s="188" t="str">
        <f>[1]GERAL!C14</f>
        <v>Total Geral</v>
      </c>
      <c r="D19" s="189">
        <f>[1]GERAL!D14</f>
        <v>343.33333333333331</v>
      </c>
      <c r="E19" s="190">
        <f>[1]GERAL!E14</f>
        <v>1030</v>
      </c>
      <c r="F19" s="191">
        <f>[1]GERAL!F14</f>
        <v>300.41666666666663</v>
      </c>
      <c r="G19" s="192">
        <f>[1]GERAL!G14</f>
        <v>0.29166666666666663</v>
      </c>
      <c r="H19" s="189">
        <f>[1]GERAL!H14</f>
        <v>343.33333333333331</v>
      </c>
      <c r="I19" s="190">
        <f>[1]GERAL!I14</f>
        <v>1030</v>
      </c>
      <c r="J19" s="191">
        <f>[1]GERAL!J14</f>
        <v>1273.9999999999998</v>
      </c>
      <c r="K19" s="192">
        <f>[1]GERAL!K14</f>
        <v>1.236893203883495</v>
      </c>
      <c r="L19" s="189">
        <f>[1]GERAL!L14</f>
        <v>343.33333333333331</v>
      </c>
      <c r="M19" s="190">
        <f>[1]GERAL!M14</f>
        <v>1030</v>
      </c>
      <c r="N19" s="191">
        <f>[1]GERAL!N14</f>
        <v>674.00000000000011</v>
      </c>
      <c r="O19" s="193">
        <f>[1]GERAL!O14</f>
        <v>0.65436893203883506</v>
      </c>
      <c r="P19" s="194">
        <f>[1]GERAL!P14</f>
        <v>343.33333333333331</v>
      </c>
      <c r="Q19" s="193">
        <f>[1]GERAL!Q14</f>
        <v>1030</v>
      </c>
      <c r="R19" s="191">
        <f>[1]GERAL!R14</f>
        <v>2248.4166666666665</v>
      </c>
      <c r="S19" s="192">
        <f>[1]GERAL!S14</f>
        <v>2.1829288025889966</v>
      </c>
      <c r="T19" s="195">
        <f>R19-Q19</f>
        <v>1218.4166666666665</v>
      </c>
    </row>
  </sheetData>
  <conditionalFormatting sqref="G11:G19 K11:K19 O11:O19 S11:S19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{3CD5513E-FC5F-489A-9C0F-03D54F9904FE}</x14:id>
        </ext>
      </extLst>
    </cfRule>
    <cfRule type="cellIs" dxfId="0" priority="2" operator="greaterThanOrEqual">
      <formula>1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D5513E-FC5F-489A-9C0F-03D54F9904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G11:G19 K11:K19 O11:O19 S11:S19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AB866-F9E2-4627-ACD5-E823F2FB37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MECÂNICA</vt:lpstr>
      <vt:lpstr>PONTOS</vt:lpstr>
      <vt:lpstr>GERAL</vt:lpstr>
      <vt:lpstr>LOJA PERFEITA</vt:lpstr>
      <vt:lpstr>VOLUME POSITIVACAO</vt:lpstr>
      <vt:lpstr>EXPANDINDO</vt:lpstr>
      <vt:lpstr>PRIORIDADES</vt:lpstr>
      <vt:lpstr>LANÇAMENTOS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 Kriek</dc:creator>
  <cp:lastModifiedBy>Victor Almeida Nunes</cp:lastModifiedBy>
  <cp:lastPrinted>2026-06-11T20:28:25Z</cp:lastPrinted>
  <dcterms:created xsi:type="dcterms:W3CDTF">2022-02-21T18:08:42Z</dcterms:created>
  <dcterms:modified xsi:type="dcterms:W3CDTF">2026-06-18T19:53:55Z</dcterms:modified>
</cp:coreProperties>
</file>